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8869C446-7816-46CA-97C1-C4FF3BADC64E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D118" i="4"/>
  <c r="C2" i="1" l="1"/>
  <c r="D2" i="1"/>
  <c r="C116" i="5"/>
  <c r="C122" i="5"/>
  <c r="C133" i="5" s="1"/>
  <c r="D136" i="5" s="1"/>
  <c r="C122" i="4"/>
  <c r="C133" i="4" s="1"/>
  <c r="C136" i="4" s="1"/>
  <c r="C118" i="4"/>
  <c r="R765" i="1"/>
  <c r="S765" i="1" s="1"/>
  <c r="T765" i="1" s="1"/>
  <c r="C122" i="3"/>
  <c r="C133" i="3" s="1"/>
  <c r="D136" i="3" s="1"/>
  <c r="C118" i="3"/>
  <c r="R764" i="1" l="1"/>
  <c r="C136" i="5"/>
  <c r="C138" i="5" s="1"/>
  <c r="D136" i="4"/>
  <c r="C138" i="4" s="1"/>
  <c r="C136" i="3"/>
  <c r="C138" i="3" s="1"/>
  <c r="R763" i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S274" i="1" l="1"/>
  <c r="T274" i="1" s="1"/>
  <c r="R273" i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S266" i="1" l="1"/>
  <c r="T266" i="1" s="1"/>
  <c r="R265" i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S250" i="1" l="1"/>
  <c r="T250" i="1" s="1"/>
  <c r="R249" i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S236" i="1" l="1"/>
  <c r="T236" i="1" s="1"/>
  <c r="R235" i="1"/>
  <c r="R234" i="1" l="1"/>
  <c r="S235" i="1"/>
  <c r="T235" i="1" s="1"/>
  <c r="S234" i="1" l="1"/>
  <c r="T234" i="1" s="1"/>
  <c r="R233" i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S212" i="1" l="1"/>
  <c r="T212" i="1" s="1"/>
  <c r="R211" i="1"/>
  <c r="R210" i="1" l="1"/>
  <c r="S211" i="1"/>
  <c r="T211" i="1" s="1"/>
  <c r="S210" i="1" l="1"/>
  <c r="T210" i="1" s="1"/>
  <c r="R209" i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S202" i="1" l="1"/>
  <c r="T202" i="1" s="1"/>
  <c r="R201" i="1"/>
  <c r="R200" i="1" l="1"/>
  <c r="S201" i="1"/>
  <c r="T201" i="1" s="1"/>
  <c r="R199" i="1" l="1"/>
  <c r="S200" i="1"/>
  <c r="T200" i="1" s="1"/>
  <c r="S199" i="1" l="1"/>
  <c r="T199" i="1" s="1"/>
  <c r="R198" i="1"/>
  <c r="R197" i="1" l="1"/>
  <c r="S198" i="1"/>
  <c r="T198" i="1" s="1"/>
  <c r="R196" i="1" l="1"/>
  <c r="S197" i="1"/>
  <c r="T197" i="1" s="1"/>
  <c r="S196" i="1" l="1"/>
  <c r="T196" i="1" s="1"/>
  <c r="R195" i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S188" i="1" l="1"/>
  <c r="T188" i="1" s="1"/>
  <c r="R187" i="1"/>
  <c r="S187" i="1" l="1"/>
  <c r="T187" i="1" s="1"/>
  <c r="R186" i="1"/>
  <c r="S186" i="1" l="1"/>
  <c r="T186" i="1" s="1"/>
  <c r="R185" i="1"/>
  <c r="R184" i="1" l="1"/>
  <c r="S185" i="1"/>
  <c r="T185" i="1" s="1"/>
  <c r="R183" i="1" l="1"/>
  <c r="S184" i="1"/>
  <c r="T184" i="1" s="1"/>
  <c r="S183" i="1" l="1"/>
  <c r="T183" i="1" s="1"/>
  <c r="R182" i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S178" i="1" l="1"/>
  <c r="T178" i="1" s="1"/>
  <c r="R177" i="1"/>
  <c r="R176" i="1" l="1"/>
  <c r="S177" i="1"/>
  <c r="T177" i="1" s="1"/>
  <c r="R175" i="1" l="1"/>
  <c r="S176" i="1"/>
  <c r="T176" i="1" s="1"/>
  <c r="S175" i="1" l="1"/>
  <c r="T175" i="1" s="1"/>
  <c r="R174" i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S164" i="1" l="1"/>
  <c r="T164" i="1" s="1"/>
  <c r="R163" i="1"/>
  <c r="S163" i="1" l="1"/>
  <c r="T163" i="1" s="1"/>
  <c r="R162" i="1"/>
  <c r="S162" i="1" l="1"/>
  <c r="T162" i="1" s="1"/>
  <c r="R161" i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S154" i="1" l="1"/>
  <c r="T154" i="1" s="1"/>
  <c r="R153" i="1"/>
  <c r="R152" i="1" l="1"/>
  <c r="S153" i="1"/>
  <c r="T153" i="1" s="1"/>
  <c r="R151" i="1" l="1"/>
  <c r="S152" i="1"/>
  <c r="T152" i="1" s="1"/>
  <c r="S151" i="1" l="1"/>
  <c r="T151" i="1" s="1"/>
  <c r="R150" i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S138" i="1" l="1"/>
  <c r="T138" i="1" s="1"/>
  <c r="R137" i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S130" i="1" l="1"/>
  <c r="T130" i="1" s="1"/>
  <c r="R129" i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S114" i="1" l="1"/>
  <c r="T114" i="1" s="1"/>
  <c r="R113" i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S106" i="1" l="1"/>
  <c r="T106" i="1" s="1"/>
  <c r="R105" i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S90" i="1" l="1"/>
  <c r="T90" i="1" s="1"/>
  <c r="R89" i="1"/>
  <c r="S89" i="1" l="1"/>
  <c r="T89" i="1" s="1"/>
  <c r="R88" i="1"/>
  <c r="S88" i="1" l="1"/>
  <c r="T88" i="1" s="1"/>
  <c r="R87" i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S82" i="1" l="1"/>
  <c r="T82" i="1" s="1"/>
  <c r="R81" i="1"/>
  <c r="S81" i="1" l="1"/>
  <c r="T81" i="1" s="1"/>
  <c r="R80" i="1"/>
  <c r="S80" i="1" l="1"/>
  <c r="T80" i="1" s="1"/>
  <c r="R79" i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R70" i="1" l="1"/>
  <c r="S71" i="1"/>
  <c r="T71" i="1" s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S58" i="1" l="1"/>
  <c r="T58" i="1" s="1"/>
  <c r="R57" i="1"/>
  <c r="S57" i="1" l="1"/>
  <c r="T57" i="1" s="1"/>
  <c r="R56" i="1"/>
  <c r="S56" i="1" l="1"/>
  <c r="T56" i="1" s="1"/>
  <c r="R55" i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R46" i="1" l="1"/>
  <c r="S47" i="1"/>
  <c r="T47" i="1" s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<sst xmlns="http://schemas.openxmlformats.org/spreadsheetml/2006/main" count="3273" uniqueCount="34">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</sst>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0.71799999999999997</c:v>
                </c:pt>
                <c:pt idx="1">
                  <c:v>0.746</c:v>
                </c:pt>
                <c:pt idx="2">
                  <c:v>0.70899999999999996</c:v>
                </c:pt>
                <c:pt idx="3">
                  <c:v>0.70299999999999996</c:v>
                </c:pt>
                <c:pt idx="4">
                  <c:v>0.73099999999999998</c:v>
                </c:pt>
                <c:pt idx="5">
                  <c:v>0.71099999999999997</c:v>
                </c:pt>
                <c:pt idx="6">
                  <c:v>0.76400000000000001</c:v>
                </c:pt>
                <c:pt idx="7">
                  <c:v>0.93899999999999995</c:v>
                </c:pt>
                <c:pt idx="8">
                  <c:v>0.96</c:v>
                </c:pt>
                <c:pt idx="9">
                  <c:v>1.008</c:v>
                </c:pt>
                <c:pt idx="10">
                  <c:v>1.016</c:v>
                </c:pt>
                <c:pt idx="11">
                  <c:v>1.056</c:v>
                </c:pt>
                <c:pt idx="12">
                  <c:v>1.0740000000000001</c:v>
                </c:pt>
                <c:pt idx="13">
                  <c:v>1.0549999999999999</c:v>
                </c:pt>
                <c:pt idx="14">
                  <c:v>1.0269999999999999</c:v>
                </c:pt>
                <c:pt idx="15">
                  <c:v>1.0840000000000001</c:v>
                </c:pt>
                <c:pt idx="16">
                  <c:v>1.0449999999999999</c:v>
                </c:pt>
                <c:pt idx="17">
                  <c:v>1.0309999999999999</c:v>
                </c:pt>
                <c:pt idx="18">
                  <c:v>1.0649999999999999</c:v>
                </c:pt>
                <c:pt idx="19">
                  <c:v>1.04</c:v>
                </c:pt>
                <c:pt idx="20">
                  <c:v>1.054</c:v>
                </c:pt>
                <c:pt idx="21">
                  <c:v>1.163</c:v>
                </c:pt>
                <c:pt idx="22">
                  <c:v>1.1779999999999999</c:v>
                </c:pt>
                <c:pt idx="23">
                  <c:v>1.2230000000000001</c:v>
                </c:pt>
                <c:pt idx="24">
                  <c:v>1.24</c:v>
                </c:pt>
                <c:pt idx="25">
                  <c:v>1.266</c:v>
                </c:pt>
                <c:pt idx="26">
                  <c:v>1.276</c:v>
                </c:pt>
                <c:pt idx="27">
                  <c:v>1.2589999999999999</c:v>
                </c:pt>
                <c:pt idx="28">
                  <c:v>1.2669999999999999</c:v>
                </c:pt>
                <c:pt idx="29">
                  <c:v>1.2230000000000001</c:v>
                </c:pt>
                <c:pt idx="30">
                  <c:v>1.28</c:v>
                </c:pt>
                <c:pt idx="31">
                  <c:v>1.325</c:v>
                </c:pt>
                <c:pt idx="32">
                  <c:v>1.3169999999999999</c:v>
                </c:pt>
                <c:pt idx="33">
                  <c:v>1.302</c:v>
                </c:pt>
                <c:pt idx="34">
                  <c:v>1.2869999999999999</c:v>
                </c:pt>
                <c:pt idx="35">
                  <c:v>1.3009999999999999</c:v>
                </c:pt>
                <c:pt idx="36">
                  <c:v>1.2709999999999999</c:v>
                </c:pt>
                <c:pt idx="37">
                  <c:v>1.2210000000000001</c:v>
                </c:pt>
                <c:pt idx="38">
                  <c:v>1.1950000000000001</c:v>
                </c:pt>
                <c:pt idx="39">
                  <c:v>1.2190000000000001</c:v>
                </c:pt>
                <c:pt idx="40">
                  <c:v>1.2589999999999999</c:v>
                </c:pt>
                <c:pt idx="41">
                  <c:v>1.1930000000000001</c:v>
                </c:pt>
                <c:pt idx="42">
                  <c:v>1.216</c:v>
                </c:pt>
                <c:pt idx="43">
                  <c:v>1.2789999999999999</c:v>
                </c:pt>
                <c:pt idx="44">
                  <c:v>1.2410000000000001</c:v>
                </c:pt>
                <c:pt idx="45">
                  <c:v>1.22</c:v>
                </c:pt>
                <c:pt idx="46">
                  <c:v>1.3260000000000001</c:v>
                </c:pt>
                <c:pt idx="47">
                  <c:v>1.3069999999999999</c:v>
                </c:pt>
                <c:pt idx="48">
                  <c:v>1.2909999999999999</c:v>
                </c:pt>
                <c:pt idx="49">
                  <c:v>1.337</c:v>
                </c:pt>
                <c:pt idx="50">
                  <c:v>1.4490000000000001</c:v>
                </c:pt>
                <c:pt idx="51">
                  <c:v>1.4039999999999999</c:v>
                </c:pt>
                <c:pt idx="52">
                  <c:v>1.38</c:v>
                </c:pt>
                <c:pt idx="53">
                  <c:v>1.353</c:v>
                </c:pt>
                <c:pt idx="54">
                  <c:v>1.4219999999999999</c:v>
                </c:pt>
                <c:pt idx="55">
                  <c:v>1.6739999999999999</c:v>
                </c:pt>
                <c:pt idx="56">
                  <c:v>1.8009999999999999</c:v>
                </c:pt>
                <c:pt idx="57">
                  <c:v>1.6359999999999999</c:v>
                </c:pt>
                <c:pt idx="58">
                  <c:v>1.613</c:v>
                </c:pt>
                <c:pt idx="59">
                  <c:v>1.6830000000000001</c:v>
                </c:pt>
                <c:pt idx="60">
                  <c:v>1.583</c:v>
                </c:pt>
                <c:pt idx="61">
                  <c:v>1.597</c:v>
                </c:pt>
                <c:pt idx="62">
                  <c:v>1.591</c:v>
                </c:pt>
                <c:pt idx="63">
                  <c:v>1.6459999999999999</c:v>
                </c:pt>
                <c:pt idx="64">
                  <c:v>1.6890000000000001</c:v>
                </c:pt>
                <c:pt idx="65">
                  <c:v>1.736</c:v>
                </c:pt>
                <c:pt idx="66">
                  <c:v>1.673</c:v>
                </c:pt>
                <c:pt idx="67">
                  <c:v>1.762</c:v>
                </c:pt>
                <c:pt idx="68">
                  <c:v>1.768</c:v>
                </c:pt>
                <c:pt idx="69">
                  <c:v>1.6759999999999999</c:v>
                </c:pt>
                <c:pt idx="70">
                  <c:v>1.552</c:v>
                </c:pt>
                <c:pt idx="71">
                  <c:v>1.6819999999999999</c:v>
                </c:pt>
                <c:pt idx="72">
                  <c:v>1.698</c:v>
                </c:pt>
                <c:pt idx="73">
                  <c:v>1.877</c:v>
                </c:pt>
                <c:pt idx="74">
                  <c:v>1.9039999999999999</c:v>
                </c:pt>
                <c:pt idx="75">
                  <c:v>1.9019999999999999</c:v>
                </c:pt>
                <c:pt idx="76">
                  <c:v>1.9339999999999999</c:v>
                </c:pt>
                <c:pt idx="77">
                  <c:v>1.915</c:v>
                </c:pt>
                <c:pt idx="78">
                  <c:v>1.8979999999999999</c:v>
                </c:pt>
                <c:pt idx="79">
                  <c:v>2.0129999999999999</c:v>
                </c:pt>
                <c:pt idx="80">
                  <c:v>1.9890000000000001</c:v>
                </c:pt>
                <c:pt idx="81">
                  <c:v>2.0009999999999999</c:v>
                </c:pt>
                <c:pt idx="82">
                  <c:v>1.982</c:v>
                </c:pt>
                <c:pt idx="83">
                  <c:v>2.044</c:v>
                </c:pt>
                <c:pt idx="84">
                  <c:v>2.0489999999999999</c:v>
                </c:pt>
                <c:pt idx="85">
                  <c:v>2.0910000000000002</c:v>
                </c:pt>
                <c:pt idx="86">
                  <c:v>2.1549999999999998</c:v>
                </c:pt>
                <c:pt idx="87">
                  <c:v>1.9379999999999999</c:v>
                </c:pt>
                <c:pt idx="88">
                  <c:v>1.915</c:v>
                </c:pt>
                <c:pt idx="89">
                  <c:v>1.881</c:v>
                </c:pt>
                <c:pt idx="90">
                  <c:v>1.9219999999999999</c:v>
                </c:pt>
                <c:pt idx="91">
                  <c:v>1.8779999999999999</c:v>
                </c:pt>
                <c:pt idx="92">
                  <c:v>1.83</c:v>
                </c:pt>
                <c:pt idx="93">
                  <c:v>1.996</c:v>
                </c:pt>
                <c:pt idx="94">
                  <c:v>2.0339999999999998</c:v>
                </c:pt>
                <c:pt idx="95">
                  <c:v>2.0230000000000001</c:v>
                </c:pt>
                <c:pt idx="96">
                  <c:v>2.1339999999999999</c:v>
                </c:pt>
                <c:pt idx="97">
                  <c:v>2.056</c:v>
                </c:pt>
                <c:pt idx="98">
                  <c:v>1.9950000000000001</c:v>
                </c:pt>
                <c:pt idx="99">
                  <c:v>2.0609999999999999</c:v>
                </c:pt>
                <c:pt idx="100">
                  <c:v>2.0329999999999999</c:v>
                </c:pt>
                <c:pt idx="101">
                  <c:v>2.0659999999999998</c:v>
                </c:pt>
                <c:pt idx="102">
                  <c:v>2.0680000000000001</c:v>
                </c:pt>
                <c:pt idx="103">
                  <c:v>2.02</c:v>
                </c:pt>
                <c:pt idx="104">
                  <c:v>1.972</c:v>
                </c:pt>
                <c:pt idx="105">
                  <c:v>2.0030000000000001</c:v>
                </c:pt>
                <c:pt idx="106">
                  <c:v>2.0230000000000001</c:v>
                </c:pt>
                <c:pt idx="107">
                  <c:v>1.8660000000000001</c:v>
                </c:pt>
                <c:pt idx="108">
                  <c:v>1.8320000000000001</c:v>
                </c:pt>
                <c:pt idx="109">
                  <c:v>1.8580000000000001</c:v>
                </c:pt>
                <c:pt idx="110">
                  <c:v>1.954</c:v>
                </c:pt>
                <c:pt idx="111">
                  <c:v>1.9259999999999999</c:v>
                </c:pt>
                <c:pt idx="112">
                  <c:v>1.917</c:v>
                </c:pt>
                <c:pt idx="113">
                  <c:v>1.8919999999999999</c:v>
                </c:pt>
                <c:pt idx="114">
                  <c:v>1.9279999999999999</c:v>
                </c:pt>
                <c:pt idx="115">
                  <c:v>1.897</c:v>
                </c:pt>
                <c:pt idx="116">
                  <c:v>1.9450000000000001</c:v>
                </c:pt>
                <c:pt idx="117">
                  <c:v>1.9790000000000001</c:v>
                </c:pt>
                <c:pt idx="118">
                  <c:v>1.91</c:v>
                </c:pt>
                <c:pt idx="119">
                  <c:v>1.722</c:v>
                </c:pt>
                <c:pt idx="120">
                  <c:v>1.653</c:v>
                </c:pt>
                <c:pt idx="121">
                  <c:v>1.61</c:v>
                </c:pt>
                <c:pt idx="122">
                  <c:v>1.6319999999999999</c:v>
                </c:pt>
                <c:pt idx="123">
                  <c:v>1.7130000000000001</c:v>
                </c:pt>
                <c:pt idx="124">
                  <c:v>1.748</c:v>
                </c:pt>
                <c:pt idx="125">
                  <c:v>1.8</c:v>
                </c:pt>
                <c:pt idx="126">
                  <c:v>1.9359999999999999</c:v>
                </c:pt>
                <c:pt idx="127">
                  <c:v>1.96</c:v>
                </c:pt>
                <c:pt idx="128">
                  <c:v>1.7470000000000001</c:v>
                </c:pt>
                <c:pt idx="129">
                  <c:v>1.9850000000000001</c:v>
                </c:pt>
                <c:pt idx="130">
                  <c:v>2.1840000000000002</c:v>
                </c:pt>
                <c:pt idx="131">
                  <c:v>2.2189999999999999</c:v>
                </c:pt>
                <c:pt idx="132">
                  <c:v>2.0219999999999998</c:v>
                </c:pt>
                <c:pt idx="133">
                  <c:v>2.1339999999999999</c:v>
                </c:pt>
                <c:pt idx="134">
                  <c:v>2.1709999999999998</c:v>
                </c:pt>
                <c:pt idx="135">
                  <c:v>2.113</c:v>
                </c:pt>
                <c:pt idx="136">
                  <c:v>2.0409999999999999</c:v>
                </c:pt>
                <c:pt idx="137">
                  <c:v>2.1659999999999999</c:v>
                </c:pt>
                <c:pt idx="138">
                  <c:v>2.113</c:v>
                </c:pt>
                <c:pt idx="139">
                  <c:v>2.145</c:v>
                </c:pt>
                <c:pt idx="140">
                  <c:v>2.1349999999999998</c:v>
                </c:pt>
                <c:pt idx="141">
                  <c:v>2.0680000000000001</c:v>
                </c:pt>
                <c:pt idx="142">
                  <c:v>2.165</c:v>
                </c:pt>
                <c:pt idx="143">
                  <c:v>2.726</c:v>
                </c:pt>
                <c:pt idx="144">
                  <c:v>2.7330000000000001</c:v>
                </c:pt>
                <c:pt idx="145">
                  <c:v>2.7090000000000001</c:v>
                </c:pt>
                <c:pt idx="146">
                  <c:v>2.6579999999999999</c:v>
                </c:pt>
                <c:pt idx="147">
                  <c:v>2.6739999999999999</c:v>
                </c:pt>
                <c:pt idx="148">
                  <c:v>2.7240000000000002</c:v>
                </c:pt>
                <c:pt idx="149">
                  <c:v>2.589</c:v>
                </c:pt>
                <c:pt idx="150">
                  <c:v>2.653</c:v>
                </c:pt>
                <c:pt idx="151">
                  <c:v>2.8780000000000001</c:v>
                </c:pt>
                <c:pt idx="152">
                  <c:v>3.0409999999999999</c:v>
                </c:pt>
                <c:pt idx="153">
                  <c:v>3.141</c:v>
                </c:pt>
                <c:pt idx="154">
                  <c:v>2.7050000000000001</c:v>
                </c:pt>
                <c:pt idx="155">
                  <c:v>2.9159999999999999</c:v>
                </c:pt>
                <c:pt idx="156">
                  <c:v>2.1905000000000001</c:v>
                </c:pt>
                <c:pt idx="157">
                  <c:v>2.3473000000000002</c:v>
                </c:pt>
                <c:pt idx="158">
                  <c:v>2.2904</c:v>
                </c:pt>
                <c:pt idx="159">
                  <c:v>2.2439</c:v>
                </c:pt>
                <c:pt idx="160">
                  <c:v>2.3092999999999999</c:v>
                </c:pt>
                <c:pt idx="161">
                  <c:v>2.1941000000000002</c:v>
                </c:pt>
                <c:pt idx="162">
                  <c:v>2.1331000000000002</c:v>
                </c:pt>
                <c:pt idx="163">
                  <c:v>2.1920000000000002</c:v>
                </c:pt>
                <c:pt idx="164">
                  <c:v>2.2538</c:v>
                </c:pt>
                <c:pt idx="165">
                  <c:v>2.0333000000000001</c:v>
                </c:pt>
                <c:pt idx="166">
                  <c:v>2.0177</c:v>
                </c:pt>
                <c:pt idx="167">
                  <c:v>1.9728000000000001</c:v>
                </c:pt>
                <c:pt idx="168">
                  <c:v>1.8340000000000001</c:v>
                </c:pt>
                <c:pt idx="169">
                  <c:v>1.9054</c:v>
                </c:pt>
                <c:pt idx="170">
                  <c:v>1.853</c:v>
                </c:pt>
                <c:pt idx="171">
                  <c:v>1.8468</c:v>
                </c:pt>
                <c:pt idx="172">
                  <c:v>1.7989999999999999</c:v>
                </c:pt>
                <c:pt idx="173">
                  <c:v>1.9849000000000001</c:v>
                </c:pt>
                <c:pt idx="174">
                  <c:v>1.7675000000000001</c:v>
                </c:pt>
                <c:pt idx="175">
                  <c:v>1.6435</c:v>
                </c:pt>
                <c:pt idx="176">
                  <c:v>1.5842000000000001</c:v>
                </c:pt>
                <c:pt idx="177">
                  <c:v>1.5259</c:v>
                </c:pt>
                <c:pt idx="178">
                  <c:v>1.5668</c:v>
                </c:pt>
                <c:pt idx="179">
                  <c:v>1.5720000000000001</c:v>
                </c:pt>
                <c:pt idx="180">
                  <c:v>1.5640000000000001</c:v>
                </c:pt>
                <c:pt idx="181">
                  <c:v>1.56</c:v>
                </c:pt>
                <c:pt idx="182">
                  <c:v>1.5359</c:v>
                </c:pt>
                <c:pt idx="183">
                  <c:v>1.5349999999999999</c:v>
                </c:pt>
                <c:pt idx="184">
                  <c:v>1.5581</c:v>
                </c:pt>
                <c:pt idx="185">
                  <c:v>1.577</c:v>
                </c:pt>
                <c:pt idx="186">
                  <c:v>1.6240000000000001</c:v>
                </c:pt>
                <c:pt idx="187">
                  <c:v>1.6351</c:v>
                </c:pt>
                <c:pt idx="188">
                  <c:v>1.599</c:v>
                </c:pt>
                <c:pt idx="189">
                  <c:v>1.39</c:v>
                </c:pt>
                <c:pt idx="190">
                  <c:v>1.3821000000000001</c:v>
                </c:pt>
                <c:pt idx="191">
                  <c:v>1.2842</c:v>
                </c:pt>
                <c:pt idx="192">
                  <c:v>1.3197000000000001</c:v>
                </c:pt>
                <c:pt idx="193">
                  <c:v>1.5241</c:v>
                </c:pt>
                <c:pt idx="194">
                  <c:v>1.587</c:v>
                </c:pt>
                <c:pt idx="195">
                  <c:v>1.7117</c:v>
                </c:pt>
                <c:pt idx="196">
                  <c:v>1.4917</c:v>
                </c:pt>
                <c:pt idx="197">
                  <c:v>1.6281000000000001</c:v>
                </c:pt>
                <c:pt idx="198">
                  <c:v>1.3660000000000001</c:v>
                </c:pt>
                <c:pt idx="199">
                  <c:v>1.3636999999999999</c:v>
                </c:pt>
                <c:pt idx="200">
                  <c:v>1.403</c:v>
                </c:pt>
                <c:pt idx="201">
                  <c:v>1.3573999999999999</c:v>
                </c:pt>
                <c:pt idx="202">
                  <c:v>1.3982000000000001</c:v>
                </c:pt>
                <c:pt idx="203">
                  <c:v>1.3425</c:v>
                </c:pt>
                <c:pt idx="204">
                  <c:v>1.4617</c:v>
                </c:pt>
                <c:pt idx="205">
                  <c:v>1.4185000000000001</c:v>
                </c:pt>
                <c:pt idx="206">
                  <c:v>1.3592</c:v>
                </c:pt>
                <c:pt idx="207">
                  <c:v>1.4217</c:v>
                </c:pt>
                <c:pt idx="208">
                  <c:v>1.3938999999999999</c:v>
                </c:pt>
                <c:pt idx="209">
                  <c:v>1.3204</c:v>
                </c:pt>
                <c:pt idx="210">
                  <c:v>1.3283</c:v>
                </c:pt>
                <c:pt idx="211">
                  <c:v>1.3933</c:v>
                </c:pt>
                <c:pt idx="212">
                  <c:v>1.4403999999999999</c:v>
                </c:pt>
                <c:pt idx="213">
                  <c:v>1.4176</c:v>
                </c:pt>
                <c:pt idx="214">
                  <c:v>1.3794</c:v>
                </c:pt>
                <c:pt idx="215">
                  <c:v>1.3322000000000001</c:v>
                </c:pt>
                <c:pt idx="216">
                  <c:v>1.3516999999999999</c:v>
                </c:pt>
                <c:pt idx="217">
                  <c:v>1.4553</c:v>
                </c:pt>
                <c:pt idx="218">
                  <c:v>1.4675</c:v>
                </c:pt>
                <c:pt idx="219">
                  <c:v>1.3144</c:v>
                </c:pt>
                <c:pt idx="220">
                  <c:v>1.3089</c:v>
                </c:pt>
                <c:pt idx="221">
                  <c:v>1.7024999999999999</c:v>
                </c:pt>
                <c:pt idx="222">
                  <c:v>1.6955</c:v>
                </c:pt>
                <c:pt idx="223">
                  <c:v>1.73</c:v>
                </c:pt>
                <c:pt idx="224">
                  <c:v>1.8311999999999999</c:v>
                </c:pt>
                <c:pt idx="225">
                  <c:v>1.8363</c:v>
                </c:pt>
                <c:pt idx="226">
                  <c:v>1.9732000000000001</c:v>
                </c:pt>
                <c:pt idx="227">
                  <c:v>2.0232999999999999</c:v>
                </c:pt>
                <c:pt idx="228">
                  <c:v>2.0682</c:v>
                </c:pt>
                <c:pt idx="229">
                  <c:v>1.9067000000000001</c:v>
                </c:pt>
                <c:pt idx="230">
                  <c:v>1.946</c:v>
                </c:pt>
                <c:pt idx="231">
                  <c:v>1.9918</c:v>
                </c:pt>
                <c:pt idx="232">
                  <c:v>2.2732000000000001</c:v>
                </c:pt>
                <c:pt idx="233">
                  <c:v>2.0453000000000001</c:v>
                </c:pt>
                <c:pt idx="234">
                  <c:v>2.1472000000000002</c:v>
                </c:pt>
                <c:pt idx="235">
                  <c:v>2.3896999999999999</c:v>
                </c:pt>
                <c:pt idx="236">
                  <c:v>2.3975</c:v>
                </c:pt>
                <c:pt idx="237">
                  <c:v>2.3031000000000001</c:v>
                </c:pt>
                <c:pt idx="238">
                  <c:v>2.6810999999999998</c:v>
                </c:pt>
                <c:pt idx="239">
                  <c:v>2.4098999999999999</c:v>
                </c:pt>
                <c:pt idx="240">
                  <c:v>2.0284</c:v>
                </c:pt>
                <c:pt idx="241">
                  <c:v>1.6612</c:v>
                </c:pt>
                <c:pt idx="242">
                  <c:v>1.5337000000000001</c:v>
                </c:pt>
                <c:pt idx="243">
                  <c:v>1.4567000000000001</c:v>
                </c:pt>
                <c:pt idx="244">
                  <c:v>1.5853999999999999</c:v>
                </c:pt>
                <c:pt idx="245">
                  <c:v>1.8152999999999999</c:v>
                </c:pt>
                <c:pt idx="246">
                  <c:v>1.9113</c:v>
                </c:pt>
                <c:pt idx="247">
                  <c:v>1.6234999999999999</c:v>
                </c:pt>
                <c:pt idx="248">
                  <c:v>1.6889000000000001</c:v>
                </c:pt>
                <c:pt idx="249">
                  <c:v>1.2806</c:v>
                </c:pt>
                <c:pt idx="250">
                  <c:v>1.5052000000000001</c:v>
                </c:pt>
                <c:pt idx="251">
                  <c:v>1.7512000000000001</c:v>
                </c:pt>
                <c:pt idx="252">
                  <c:v>2.0935000000000001</c:v>
                </c:pt>
                <c:pt idx="253">
                  <c:v>1.8809</c:v>
                </c:pt>
                <c:pt idx="254">
                  <c:v>2.9559000000000002</c:v>
                </c:pt>
                <c:pt idx="255">
                  <c:v>2.7080000000000002</c:v>
                </c:pt>
                <c:pt idx="256">
                  <c:v>2.9481000000000002</c:v>
                </c:pt>
                <c:pt idx="257">
                  <c:v>2.8323999999999998</c:v>
                </c:pt>
                <c:pt idx="258">
                  <c:v>3.0977000000000001</c:v>
                </c:pt>
                <c:pt idx="259">
                  <c:v>2.9649000000000001</c:v>
                </c:pt>
                <c:pt idx="260">
                  <c:v>3.0769000000000002</c:v>
                </c:pt>
                <c:pt idx="261">
                  <c:v>3.7067000000000001</c:v>
                </c:pt>
                <c:pt idx="262">
                  <c:v>3.2494999999999998</c:v>
                </c:pt>
                <c:pt idx="263">
                  <c:v>3.5327999999999999</c:v>
                </c:pt>
                <c:pt idx="264">
                  <c:v>3.7425999999999999</c:v>
                </c:pt>
                <c:pt idx="265">
                  <c:v>3.5182000000000002</c:v>
                </c:pt>
                <c:pt idx="266">
                  <c:v>3.6650999999999998</c:v>
                </c:pt>
                <c:pt idx="267">
                  <c:v>3.9967999999999999</c:v>
                </c:pt>
                <c:pt idx="268">
                  <c:v>3.6200999999999999</c:v>
                </c:pt>
                <c:pt idx="269">
                  <c:v>4.2556000000000003</c:v>
                </c:pt>
                <c:pt idx="270">
                  <c:v>4.4668000000000001</c:v>
                </c:pt>
                <c:pt idx="271">
                  <c:v>3.1917</c:v>
                </c:pt>
                <c:pt idx="272">
                  <c:v>3.5308999999999999</c:v>
                </c:pt>
                <c:pt idx="273">
                  <c:v>2.9716</c:v>
                </c:pt>
                <c:pt idx="274">
                  <c:v>2.8331</c:v>
                </c:pt>
                <c:pt idx="275">
                  <c:v>2.7549999999999999</c:v>
                </c:pt>
                <c:pt idx="276">
                  <c:v>2.4567999999999999</c:v>
                </c:pt>
                <c:pt idx="277">
                  <c:v>2.2949999999999999</c:v>
                </c:pt>
                <c:pt idx="278">
                  <c:v>2.2566999999999999</c:v>
                </c:pt>
                <c:pt idx="279">
                  <c:v>2.2200000000000002</c:v>
                </c:pt>
                <c:pt idx="280">
                  <c:v>2.1257000000000001</c:v>
                </c:pt>
                <c:pt idx="281">
                  <c:v>2.4087999999999998</c:v>
                </c:pt>
                <c:pt idx="282">
                  <c:v>2.4338000000000002</c:v>
                </c:pt>
                <c:pt idx="283">
                  <c:v>2.7515000000000001</c:v>
                </c:pt>
                <c:pt idx="284">
                  <c:v>2.9251</c:v>
                </c:pt>
                <c:pt idx="285">
                  <c:v>2.0419999999999998</c:v>
                </c:pt>
                <c:pt idx="286">
                  <c:v>1.7412000000000001</c:v>
                </c:pt>
                <c:pt idx="287">
                  <c:v>2.0347</c:v>
                </c:pt>
                <c:pt idx="288">
                  <c:v>2.0508999999999999</c:v>
                </c:pt>
                <c:pt idx="289">
                  <c:v>2.1419000000000001</c:v>
                </c:pt>
                <c:pt idx="290">
                  <c:v>2.3864999999999998</c:v>
                </c:pt>
                <c:pt idx="291">
                  <c:v>2.3031999999999999</c:v>
                </c:pt>
                <c:pt idx="292">
                  <c:v>2.3496999999999999</c:v>
                </c:pt>
                <c:pt idx="293">
                  <c:v>2.2719</c:v>
                </c:pt>
                <c:pt idx="294">
                  <c:v>2.3877000000000002</c:v>
                </c:pt>
                <c:pt idx="295">
                  <c:v>2.9857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5C-4393-B312-BA723344887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-5.7631385129580064</c:v>
                </c:pt>
                <c:pt idx="1">
                  <c:v>-5.761265667958007</c:v>
                </c:pt>
                <c:pt idx="2">
                  <c:v>-5.7496099945611814</c:v>
                </c:pt>
                <c:pt idx="3">
                  <c:v>-5.7538204958111807</c:v>
                </c:pt>
                <c:pt idx="4">
                  <c:v>-5.7607569398839074</c:v>
                </c:pt>
                <c:pt idx="5">
                  <c:v>-5.7529486733532949</c:v>
                </c:pt>
                <c:pt idx="6">
                  <c:v>-5.743129340656651</c:v>
                </c:pt>
                <c:pt idx="7">
                  <c:v>-5.7193173464227067</c:v>
                </c:pt>
                <c:pt idx="8">
                  <c:v>-5.7078258190697664</c:v>
                </c:pt>
                <c:pt idx="9">
                  <c:v>-5.6944568997149281</c:v>
                </c:pt>
                <c:pt idx="10">
                  <c:v>-5.6874111191764669</c:v>
                </c:pt>
                <c:pt idx="11">
                  <c:v>-5.681230586123835</c:v>
                </c:pt>
                <c:pt idx="12">
                  <c:v>-5.6802841817905021</c:v>
                </c:pt>
                <c:pt idx="13">
                  <c:v>-5.6830772002905023</c:v>
                </c:pt>
                <c:pt idx="14">
                  <c:v>-5.6736162863330559</c:v>
                </c:pt>
                <c:pt idx="15">
                  <c:v>-5.6582173364812043</c:v>
                </c:pt>
                <c:pt idx="16">
                  <c:v>-5.6624310011719263</c:v>
                </c:pt>
                <c:pt idx="17">
                  <c:v>-5.6655534963194665</c:v>
                </c:pt>
                <c:pt idx="18">
                  <c:v>-5.6693669385113576</c:v>
                </c:pt>
                <c:pt idx="19">
                  <c:v>-5.6693669385113576</c:v>
                </c:pt>
                <c:pt idx="20">
                  <c:v>-5.6604728430113589</c:v>
                </c:pt>
                <c:pt idx="21">
                  <c:v>-5.6389331710754815</c:v>
                </c:pt>
                <c:pt idx="22">
                  <c:v>-5.6409147907476127</c:v>
                </c:pt>
                <c:pt idx="23">
                  <c:v>-5.62264075532656</c:v>
                </c:pt>
                <c:pt idx="24">
                  <c:v>-5.6169681051901961</c:v>
                </c:pt>
                <c:pt idx="25">
                  <c:v>-5.6163857847087151</c:v>
                </c:pt>
                <c:pt idx="26">
                  <c:v>-5.6143993016784117</c:v>
                </c:pt>
                <c:pt idx="27">
                  <c:v>-5.6166890409965937</c:v>
                </c:pt>
                <c:pt idx="28">
                  <c:v>-5.6084590719965934</c:v>
                </c:pt>
                <c:pt idx="29">
                  <c:v>-5.6141440654251644</c:v>
                </c:pt>
                <c:pt idx="30">
                  <c:v>-5.5956275964443956</c:v>
                </c:pt>
                <c:pt idx="31">
                  <c:v>-5.5506463126943952</c:v>
                </c:pt>
                <c:pt idx="32">
                  <c:v>-5.5433038060277298</c:v>
                </c:pt>
                <c:pt idx="33">
                  <c:v>-5.5547756388913658</c:v>
                </c:pt>
                <c:pt idx="34">
                  <c:v>-5.5564537050342224</c:v>
                </c:pt>
                <c:pt idx="35">
                  <c:v>-5.5314643176863969</c:v>
                </c:pt>
                <c:pt idx="36">
                  <c:v>-5.5499207860197304</c:v>
                </c:pt>
                <c:pt idx="37">
                  <c:v>-5.5425073789585069</c:v>
                </c:pt>
                <c:pt idx="38">
                  <c:v>-5.5562464590494152</c:v>
                </c:pt>
                <c:pt idx="39">
                  <c:v>-5.5548163685230989</c:v>
                </c:pt>
                <c:pt idx="40">
                  <c:v>-5.537497954670159</c:v>
                </c:pt>
                <c:pt idx="41">
                  <c:v>-5.4816765239077823</c:v>
                </c:pt>
                <c:pt idx="42">
                  <c:v>-5.4800780391966706</c:v>
                </c:pt>
                <c:pt idx="43">
                  <c:v>-5.4637495271713545</c:v>
                </c:pt>
                <c:pt idx="44">
                  <c:v>-5.4725373121905854</c:v>
                </c:pt>
                <c:pt idx="45">
                  <c:v>-5.4766510784921731</c:v>
                </c:pt>
                <c:pt idx="46">
                  <c:v>-5.4612289009049091</c:v>
                </c:pt>
                <c:pt idx="47">
                  <c:v>-5.4582265111549093</c:v>
                </c:pt>
                <c:pt idx="48">
                  <c:v>-5.4586727714307717</c:v>
                </c:pt>
                <c:pt idx="49">
                  <c:v>-5.4418758298153858</c:v>
                </c:pt>
                <c:pt idx="50">
                  <c:v>-5.4241260903473023</c:v>
                </c:pt>
                <c:pt idx="51">
                  <c:v>-5.4289186840001511</c:v>
                </c:pt>
                <c:pt idx="52">
                  <c:v>-5.4021524517975079</c:v>
                </c:pt>
                <c:pt idx="53">
                  <c:v>-5.4232446915071861</c:v>
                </c:pt>
                <c:pt idx="54">
                  <c:v>-5.4109393000281445</c:v>
                </c:pt>
                <c:pt idx="55">
                  <c:v>-5.3968180429966308</c:v>
                </c:pt>
                <c:pt idx="56">
                  <c:v>-5.3749434317025129</c:v>
                </c:pt>
                <c:pt idx="57">
                  <c:v>-5.3771992339201446</c:v>
                </c:pt>
                <c:pt idx="58">
                  <c:v>-5.353925973920143</c:v>
                </c:pt>
                <c:pt idx="59">
                  <c:v>-5.3334628742359333</c:v>
                </c:pt>
                <c:pt idx="60">
                  <c:v>-5.343959226235933</c:v>
                </c:pt>
                <c:pt idx="61">
                  <c:v>-5.3522451743787904</c:v>
                </c:pt>
                <c:pt idx="62">
                  <c:v>-5.3429720634822386</c:v>
                </c:pt>
                <c:pt idx="63">
                  <c:v>-5.3404866949721717</c:v>
                </c:pt>
                <c:pt idx="64">
                  <c:v>-5.335890960324285</c:v>
                </c:pt>
                <c:pt idx="65">
                  <c:v>-5.3319357127155893</c:v>
                </c:pt>
                <c:pt idx="66">
                  <c:v>-5.329649396361158</c:v>
                </c:pt>
                <c:pt idx="67">
                  <c:v>-5.3149917183962465</c:v>
                </c:pt>
                <c:pt idx="68">
                  <c:v>-5.2231655395934293</c:v>
                </c:pt>
                <c:pt idx="69">
                  <c:v>-5.2436649639551316</c:v>
                </c:pt>
                <c:pt idx="70">
                  <c:v>-5.2610837060651319</c:v>
                </c:pt>
                <c:pt idx="71">
                  <c:v>-5.2409978593039668</c:v>
                </c:pt>
                <c:pt idx="72">
                  <c:v>-5.2591823870438041</c:v>
                </c:pt>
                <c:pt idx="73">
                  <c:v>-5.2302357170438034</c:v>
                </c:pt>
                <c:pt idx="74">
                  <c:v>-5.2114906249009465</c:v>
                </c:pt>
                <c:pt idx="75">
                  <c:v>-5.2209582906609464</c:v>
                </c:pt>
                <c:pt idx="76">
                  <c:v>-5.2180233037175503</c:v>
                </c:pt>
                <c:pt idx="77">
                  <c:v>-5.2413071050508835</c:v>
                </c:pt>
                <c:pt idx="78">
                  <c:v>-5.2472162803651692</c:v>
                </c:pt>
                <c:pt idx="79">
                  <c:v>-5.2253324853348655</c:v>
                </c:pt>
                <c:pt idx="80">
                  <c:v>-5.2077991616852932</c:v>
                </c:pt>
                <c:pt idx="81">
                  <c:v>-5.2032229137344741</c:v>
                </c:pt>
                <c:pt idx="82">
                  <c:v>-5.1920684159713151</c:v>
                </c:pt>
                <c:pt idx="83">
                  <c:v>-5.1852503515842194</c:v>
                </c:pt>
                <c:pt idx="84">
                  <c:v>-5.1595448632286631</c:v>
                </c:pt>
                <c:pt idx="85">
                  <c:v>-5.1356587399854199</c:v>
                </c:pt>
                <c:pt idx="86">
                  <c:v>-5.0631614054437533</c:v>
                </c:pt>
                <c:pt idx="87">
                  <c:v>-5.1222723558867065</c:v>
                </c:pt>
                <c:pt idx="88">
                  <c:v>-5.1240505227307427</c:v>
                </c:pt>
                <c:pt idx="89">
                  <c:v>-5.1161337449195541</c:v>
                </c:pt>
                <c:pt idx="90">
                  <c:v>-5.111075808848847</c:v>
                </c:pt>
                <c:pt idx="91">
                  <c:v>-5.1221169737030143</c:v>
                </c:pt>
                <c:pt idx="92">
                  <c:v>-5.1346070315540784</c:v>
                </c:pt>
                <c:pt idx="93">
                  <c:v>-5.0983118557822156</c:v>
                </c:pt>
                <c:pt idx="94">
                  <c:v>-5.0749783601631666</c:v>
                </c:pt>
                <c:pt idx="95">
                  <c:v>-5.0684338373298337</c:v>
                </c:pt>
                <c:pt idx="96">
                  <c:v>-5.0477688345798333</c:v>
                </c:pt>
                <c:pt idx="97">
                  <c:v>-5.059773314579834</c:v>
                </c:pt>
                <c:pt idx="98">
                  <c:v>-5.0623753144259869</c:v>
                </c:pt>
                <c:pt idx="99">
                  <c:v>-5.0492455942990038</c:v>
                </c:pt>
                <c:pt idx="100">
                  <c:v>-5.0607275339815434</c:v>
                </c:pt>
                <c:pt idx="101">
                  <c:v>-5.0584930348117316</c:v>
                </c:pt>
                <c:pt idx="102">
                  <c:v>-5.0350401777362599</c:v>
                </c:pt>
                <c:pt idx="103">
                  <c:v>-5.0361448284759858</c:v>
                </c:pt>
                <c:pt idx="104">
                  <c:v>-5.0040613829436662</c:v>
                </c:pt>
                <c:pt idx="105">
                  <c:v>-4.9776638437625635</c:v>
                </c:pt>
                <c:pt idx="106">
                  <c:v>-4.9291236942260834</c:v>
                </c:pt>
                <c:pt idx="107">
                  <c:v>-4.9113456057180898</c:v>
                </c:pt>
                <c:pt idx="108">
                  <c:v>-4.9275987027180896</c:v>
                </c:pt>
                <c:pt idx="109">
                  <c:v>-4.9164082577272641</c:v>
                </c:pt>
                <c:pt idx="110">
                  <c:v>-4.8952789641439303</c:v>
                </c:pt>
                <c:pt idx="111">
                  <c:v>-4.8939584872005346</c:v>
                </c:pt>
                <c:pt idx="112">
                  <c:v>-4.9032534476844054</c:v>
                </c:pt>
                <c:pt idx="113">
                  <c:v>-4.9139091054670141</c:v>
                </c:pt>
                <c:pt idx="114">
                  <c:v>-4.9256580619870149</c:v>
                </c:pt>
                <c:pt idx="115">
                  <c:v>-4.9436327700089926</c:v>
                </c:pt>
                <c:pt idx="116">
                  <c:v>-4.9505698608060937</c:v>
                </c:pt>
                <c:pt idx="117">
                  <c:v>-4.9427944720973551</c:v>
                </c:pt>
                <c:pt idx="118">
                  <c:v>-4.9640668341618719</c:v>
                </c:pt>
                <c:pt idx="119">
                  <c:v>-4.9890053898221032</c:v>
                </c:pt>
                <c:pt idx="120">
                  <c:v>-5.0072657427850666</c:v>
                </c:pt>
                <c:pt idx="121">
                  <c:v>-5.0049991803312848</c:v>
                </c:pt>
                <c:pt idx="122">
                  <c:v>-4.9924954209238779</c:v>
                </c:pt>
                <c:pt idx="123">
                  <c:v>-4.9704734046838777</c:v>
                </c:pt>
                <c:pt idx="124">
                  <c:v>-4.9865084569745761</c:v>
                </c:pt>
                <c:pt idx="125">
                  <c:v>-4.971835571453866</c:v>
                </c:pt>
                <c:pt idx="126">
                  <c:v>-4.9570373611160274</c:v>
                </c:pt>
                <c:pt idx="127">
                  <c:v>-4.951462715866028</c:v>
                </c:pt>
                <c:pt idx="128">
                  <c:v>-4.9999495259954401</c:v>
                </c:pt>
                <c:pt idx="129">
                  <c:v>-4.9735128115452234</c:v>
                </c:pt>
                <c:pt idx="130">
                  <c:v>-4.9443981425836849</c:v>
                </c:pt>
                <c:pt idx="131">
                  <c:v>-4.8589290395445968</c:v>
                </c:pt>
                <c:pt idx="132">
                  <c:v>-4.8919602520224732</c:v>
                </c:pt>
                <c:pt idx="133">
                  <c:v>-4.8729258441790995</c:v>
                </c:pt>
                <c:pt idx="134">
                  <c:v>-4.8592746075715052</c:v>
                </c:pt>
                <c:pt idx="135">
                  <c:v>-4.8693258311450336</c:v>
                </c:pt>
                <c:pt idx="136">
                  <c:v>-4.8935595900365065</c:v>
                </c:pt>
                <c:pt idx="137">
                  <c:v>-4.8843172950548555</c:v>
                </c:pt>
                <c:pt idx="138">
                  <c:v>-4.84142389406676</c:v>
                </c:pt>
                <c:pt idx="139">
                  <c:v>-4.8335805431771899</c:v>
                </c:pt>
                <c:pt idx="140">
                  <c:v>-4.8479605844271889</c:v>
                </c:pt>
                <c:pt idx="141">
                  <c:v>-4.8554415776909252</c:v>
                </c:pt>
                <c:pt idx="142">
                  <c:v>-4.8801564660182812</c:v>
                </c:pt>
                <c:pt idx="143">
                  <c:v>-4.8267473998932822</c:v>
                </c:pt>
                <c:pt idx="144">
                  <c:v>-4.8241963305826019</c:v>
                </c:pt>
                <c:pt idx="145">
                  <c:v>-4.8249524728473077</c:v>
                </c:pt>
                <c:pt idx="146">
                  <c:v>-4.7831569915036543</c:v>
                </c:pt>
                <c:pt idx="147">
                  <c:v>-4.7593128501303221</c:v>
                </c:pt>
                <c:pt idx="148">
                  <c:v>-4.7065175985678218</c:v>
                </c:pt>
                <c:pt idx="149">
                  <c:v>-4.7502424905733767</c:v>
                </c:pt>
                <c:pt idx="150">
                  <c:v>-4.6939992298698625</c:v>
                </c:pt>
                <c:pt idx="151">
                  <c:v>-4.6185639652195558</c:v>
                </c:pt>
                <c:pt idx="152">
                  <c:v>-4.5581923015417045</c:v>
                </c:pt>
                <c:pt idx="153">
                  <c:v>-4.447404321570275</c:v>
                </c:pt>
                <c:pt idx="154">
                  <c:v>-4.6031717265669752</c:v>
                </c:pt>
                <c:pt idx="155">
                  <c:v>-4.434341594830788</c:v>
                </c:pt>
                <c:pt idx="156">
                  <c:v>-4.5739599630800782</c:v>
                </c:pt>
                <c:pt idx="157">
                  <c:v>-4.5346167181321713</c:v>
                </c:pt>
                <c:pt idx="158">
                  <c:v>-4.5938145064444944</c:v>
                </c:pt>
                <c:pt idx="159">
                  <c:v>-4.6018901491079083</c:v>
                </c:pt>
                <c:pt idx="160">
                  <c:v>-4.5636270180455565</c:v>
                </c:pt>
                <c:pt idx="161">
                  <c:v>-4.5840434127640144</c:v>
                </c:pt>
                <c:pt idx="162">
                  <c:v>-4.6352730222311394</c:v>
                </c:pt>
                <c:pt idx="163">
                  <c:v>-4.5867411619717346</c:v>
                </c:pt>
                <c:pt idx="164">
                  <c:v>-4.475243495338451</c:v>
                </c:pt>
                <c:pt idx="165">
                  <c:v>-4.5737105914596725</c:v>
                </c:pt>
                <c:pt idx="166">
                  <c:v>-4.6074310522556434</c:v>
                </c:pt>
                <c:pt idx="167">
                  <c:v>-4.593124799208284</c:v>
                </c:pt>
                <c:pt idx="168">
                  <c:v>-4.634525027489083</c:v>
                </c:pt>
                <c:pt idx="169">
                  <c:v>-4.6062591103897486</c:v>
                </c:pt>
                <c:pt idx="170">
                  <c:v>-4.5544711522715406</c:v>
                </c:pt>
                <c:pt idx="171">
                  <c:v>-4.5803114025429696</c:v>
                </c:pt>
                <c:pt idx="172">
                  <c:v>-4.5936875637568511</c:v>
                </c:pt>
                <c:pt idx="173">
                  <c:v>-4.549465009185738</c:v>
                </c:pt>
                <c:pt idx="174">
                  <c:v>-4.6940472659830581</c:v>
                </c:pt>
                <c:pt idx="175">
                  <c:v>-4.6722471103506287</c:v>
                </c:pt>
                <c:pt idx="176">
                  <c:v>-4.7066418070605511</c:v>
                </c:pt>
                <c:pt idx="177">
                  <c:v>-4.7340301703556333</c:v>
                </c:pt>
                <c:pt idx="178">
                  <c:v>-4.7243587034477388</c:v>
                </c:pt>
                <c:pt idx="179">
                  <c:v>-4.7189814949726268</c:v>
                </c:pt>
                <c:pt idx="180">
                  <c:v>-4.6864037040801696</c:v>
                </c:pt>
                <c:pt idx="181">
                  <c:v>-4.6946452509006997</c:v>
                </c:pt>
                <c:pt idx="182">
                  <c:v>-4.7160132854220569</c:v>
                </c:pt>
                <c:pt idx="183">
                  <c:v>-4.7263681691285564</c:v>
                </c:pt>
                <c:pt idx="184">
                  <c:v>-4.7080588738566815</c:v>
                </c:pt>
                <c:pt idx="185">
                  <c:v>-4.7252762745055943</c:v>
                </c:pt>
                <c:pt idx="186">
                  <c:v>-4.629647797581212</c:v>
                </c:pt>
                <c:pt idx="187">
                  <c:v>-4.6618712974928407</c:v>
                </c:pt>
                <c:pt idx="188">
                  <c:v>-4.6884364366709228</c:v>
                </c:pt>
                <c:pt idx="189">
                  <c:v>-4.8008727624826868</c:v>
                </c:pt>
                <c:pt idx="190">
                  <c:v>-4.7957664996025908</c:v>
                </c:pt>
                <c:pt idx="191">
                  <c:v>-4.8260360103091902</c:v>
                </c:pt>
                <c:pt idx="192">
                  <c:v>-4.832318658294783</c:v>
                </c:pt>
                <c:pt idx="193">
                  <c:v>-4.7506563182848902</c:v>
                </c:pt>
                <c:pt idx="194">
                  <c:v>-4.724433242767633</c:v>
                </c:pt>
                <c:pt idx="195">
                  <c:v>-4.6691305647740071</c:v>
                </c:pt>
                <c:pt idx="196">
                  <c:v>-4.7529813269754619</c:v>
                </c:pt>
                <c:pt idx="197">
                  <c:v>-4.5271110620142583</c:v>
                </c:pt>
                <c:pt idx="198">
                  <c:v>-4.5893057780361461</c:v>
                </c:pt>
                <c:pt idx="199">
                  <c:v>-4.6022323260883198</c:v>
                </c:pt>
                <c:pt idx="200">
                  <c:v>-4.5879714824234545</c:v>
                </c:pt>
                <c:pt idx="201">
                  <c:v>-4.6028481966769981</c:v>
                </c:pt>
                <c:pt idx="202">
                  <c:v>-4.593290172312253</c:v>
                </c:pt>
                <c:pt idx="203">
                  <c:v>-4.6099000142467981</c:v>
                </c:pt>
                <c:pt idx="204">
                  <c:v>-4.5798651879193653</c:v>
                </c:pt>
                <c:pt idx="205">
                  <c:v>-4.5529940158393991</c:v>
                </c:pt>
                <c:pt idx="206">
                  <c:v>-4.5561689692600886</c:v>
                </c:pt>
                <c:pt idx="207">
                  <c:v>-4.5447404887295182</c:v>
                </c:pt>
                <c:pt idx="208">
                  <c:v>-4.5486750900665234</c:v>
                </c:pt>
                <c:pt idx="209">
                  <c:v>-4.5628389422034745</c:v>
                </c:pt>
                <c:pt idx="210">
                  <c:v>-4.5677517589527046</c:v>
                </c:pt>
                <c:pt idx="211">
                  <c:v>-4.5590246480681724</c:v>
                </c:pt>
                <c:pt idx="212">
                  <c:v>-4.5715078925443837</c:v>
                </c:pt>
                <c:pt idx="213">
                  <c:v>-4.5648632629974308</c:v>
                </c:pt>
                <c:pt idx="214">
                  <c:v>-4.5768920986514532</c:v>
                </c:pt>
                <c:pt idx="215">
                  <c:v>-4.6030361594234135</c:v>
                </c:pt>
                <c:pt idx="216">
                  <c:v>-4.6058539524392152</c:v>
                </c:pt>
                <c:pt idx="217">
                  <c:v>-4.5819276856541533</c:v>
                </c:pt>
                <c:pt idx="218">
                  <c:v>-4.6032064398921264</c:v>
                </c:pt>
                <c:pt idx="219">
                  <c:v>-4.6234892931300546</c:v>
                </c:pt>
                <c:pt idx="220">
                  <c:v>-4.6315477440406791</c:v>
                </c:pt>
                <c:pt idx="221">
                  <c:v>-4.5585450946160213</c:v>
                </c:pt>
                <c:pt idx="222">
                  <c:v>-4.5747298298659338</c:v>
                </c:pt>
                <c:pt idx="223">
                  <c:v>-4.5722954606659334</c:v>
                </c:pt>
                <c:pt idx="224">
                  <c:v>-4.5621404376666774</c:v>
                </c:pt>
                <c:pt idx="225">
                  <c:v>-4.5463118246373799</c:v>
                </c:pt>
                <c:pt idx="226">
                  <c:v>-4.5122110661891037</c:v>
                </c:pt>
                <c:pt idx="227">
                  <c:v>-4.4861537267232974</c:v>
                </c:pt>
                <c:pt idx="228">
                  <c:v>-4.4851091396123888</c:v>
                </c:pt>
                <c:pt idx="229">
                  <c:v>-4.5197784288961138</c:v>
                </c:pt>
                <c:pt idx="230">
                  <c:v>-4.5361071886832738</c:v>
                </c:pt>
                <c:pt idx="231">
                  <c:v>-4.480132798396137</c:v>
                </c:pt>
                <c:pt idx="232">
                  <c:v>-4.4163097952174706</c:v>
                </c:pt>
                <c:pt idx="233">
                  <c:v>-4.534091727793597</c:v>
                </c:pt>
                <c:pt idx="234">
                  <c:v>-4.5504497905829799</c:v>
                </c:pt>
                <c:pt idx="235">
                  <c:v>-4.4903434170182432</c:v>
                </c:pt>
                <c:pt idx="236">
                  <c:v>-4.4797780346231457</c:v>
                </c:pt>
                <c:pt idx="237">
                  <c:v>-4.3972105805773491</c:v>
                </c:pt>
                <c:pt idx="238">
                  <c:v>-4.3311763229702409</c:v>
                </c:pt>
                <c:pt idx="239">
                  <c:v>-4.383361035054711</c:v>
                </c:pt>
                <c:pt idx="240">
                  <c:v>-4.5533183609645427</c:v>
                </c:pt>
                <c:pt idx="241">
                  <c:v>-4.669599281064805</c:v>
                </c:pt>
                <c:pt idx="242">
                  <c:v>-4.7173876850590908</c:v>
                </c:pt>
                <c:pt idx="243">
                  <c:v>-4.7304242648122674</c:v>
                </c:pt>
                <c:pt idx="244">
                  <c:v>-4.7153619890012575</c:v>
                </c:pt>
                <c:pt idx="245">
                  <c:v>-4.6884088286603607</c:v>
                </c:pt>
                <c:pt idx="246">
                  <c:v>-4.6924705848531572</c:v>
                </c:pt>
                <c:pt idx="247">
                  <c:v>-4.7677157820252409</c:v>
                </c:pt>
                <c:pt idx="248">
                  <c:v>-4.7694082225358425</c:v>
                </c:pt>
                <c:pt idx="249">
                  <c:v>-4.8843642881128675</c:v>
                </c:pt>
                <c:pt idx="250">
                  <c:v>-4.8870708443508954</c:v>
                </c:pt>
                <c:pt idx="251">
                  <c:v>-4.8180342411157051</c:v>
                </c:pt>
                <c:pt idx="252">
                  <c:v>-4.7762096056304841</c:v>
                </c:pt>
                <c:pt idx="253">
                  <c:v>-4.8298110238773475</c:v>
                </c:pt>
                <c:pt idx="254">
                  <c:v>-4.7297989899578292</c:v>
                </c:pt>
                <c:pt idx="255">
                  <c:v>-4.7485876568118837</c:v>
                </c:pt>
                <c:pt idx="256">
                  <c:v>-4.7075199035391337</c:v>
                </c:pt>
                <c:pt idx="257">
                  <c:v>-4.6730401427831421</c:v>
                </c:pt>
                <c:pt idx="258">
                  <c:v>-4.5907004856154066</c:v>
                </c:pt>
                <c:pt idx="259">
                  <c:v>-4.5831988238531007</c:v>
                </c:pt>
                <c:pt idx="260">
                  <c:v>-4.5219380920660006</c:v>
                </c:pt>
                <c:pt idx="261">
                  <c:v>-4.3773010447864484</c:v>
                </c:pt>
                <c:pt idx="262">
                  <c:v>-4.5091802295030066</c:v>
                </c:pt>
                <c:pt idx="263">
                  <c:v>-4.3983354887796731</c:v>
                </c:pt>
                <c:pt idx="264">
                  <c:v>-4.3732465788030064</c:v>
                </c:pt>
                <c:pt idx="265">
                  <c:v>-4.3429597947292429</c:v>
                </c:pt>
                <c:pt idx="266">
                  <c:v>-4.2744968171057547</c:v>
                </c:pt>
                <c:pt idx="267">
                  <c:v>-4.1092625212354941</c:v>
                </c:pt>
                <c:pt idx="268">
                  <c:v>-4.1266425910094293</c:v>
                </c:pt>
                <c:pt idx="269">
                  <c:v>-3.7902905678948859</c:v>
                </c:pt>
                <c:pt idx="270">
                  <c:v>-3.4140984275009916</c:v>
                </c:pt>
                <c:pt idx="271">
                  <c:v>-3.9474343575547635</c:v>
                </c:pt>
                <c:pt idx="272">
                  <c:v>-3.8060269978069328</c:v>
                </c:pt>
                <c:pt idx="273">
                  <c:v>-4.1391839548791269</c:v>
                </c:pt>
                <c:pt idx="274">
                  <c:v>-4.2284961356826942</c:v>
                </c:pt>
                <c:pt idx="275">
                  <c:v>-4.1816076473553112</c:v>
                </c:pt>
                <c:pt idx="276">
                  <c:v>-4.3119303103356685</c:v>
                </c:pt>
                <c:pt idx="277">
                  <c:v>-4.3623578544764587</c:v>
                </c:pt>
                <c:pt idx="278">
                  <c:v>-4.3095689253358103</c:v>
                </c:pt>
                <c:pt idx="279">
                  <c:v>-4.3367372140149856</c:v>
                </c:pt>
                <c:pt idx="280">
                  <c:v>-4.4904184979395136</c:v>
                </c:pt>
                <c:pt idx="281">
                  <c:v>-4.265628114835514</c:v>
                </c:pt>
                <c:pt idx="282">
                  <c:v>-3.9939055751333195</c:v>
                </c:pt>
                <c:pt idx="283">
                  <c:v>-3.4710867148651232</c:v>
                </c:pt>
                <c:pt idx="284">
                  <c:v>-2.0527671845118509</c:v>
                </c:pt>
                <c:pt idx="285">
                  <c:v>-2.5595792972822529</c:v>
                </c:pt>
                <c:pt idx="286">
                  <c:v>-2.7123760125811698</c:v>
                </c:pt>
                <c:pt idx="287">
                  <c:v>-2.5793911449416727</c:v>
                </c:pt>
                <c:pt idx="288">
                  <c:v>-2.5004515129770564</c:v>
                </c:pt>
                <c:pt idx="289">
                  <c:v>-2.4337778793143361</c:v>
                </c:pt>
                <c:pt idx="290">
                  <c:v>-2.3557374873288364</c:v>
                </c:pt>
                <c:pt idx="291">
                  <c:v>-2.3095335790938361</c:v>
                </c:pt>
                <c:pt idx="292">
                  <c:v>-2.3136714299418357</c:v>
                </c:pt>
                <c:pt idx="293">
                  <c:v>-2.1191926871518953</c:v>
                </c:pt>
                <c:pt idx="294">
                  <c:v>-2.0317992852557167</c:v>
                </c:pt>
                <c:pt idx="295">
                  <c:v>-1.3695140971598125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5C-4393-B312-BA7233448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3086544"/>
        <c:axId val="643086960"/>
      </c:lineChart>
      <c:dateAx>
        <c:axId val="6430865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086960"/>
        <c:crosses val="autoZero"/>
        <c:auto val="1"/>
        <c:lblOffset val="100"/>
        <c:baseTimeUnit val="days"/>
      </c:dateAx>
      <c:valAx>
        <c:axId val="64308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086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517E17E-CEC7-4676-A5AE-0B0249F0B3F0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0B1FD1-503D-48B8-A04C-065D89D73A2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10</v>
      </c>
      <c r="D2" s="4">
        <f>MIN(D3:D1912)</f>
        <v>0.1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0.747</v>
      </c>
      <c r="C5">
        <v>0.76300000000000001</v>
      </c>
      <c r="D5">
        <v>0.71799999999999997</v>
      </c>
      <c r="E5">
        <v>0.71799999999999997</v>
      </c>
      <c r="F5">
        <v>187284.5</v>
      </c>
      <c r="G5">
        <v>0.71799999999999997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-187284.5</v>
      </c>
      <c r="R5">
        <f t="shared" ref="R5" si="2">R6+Q5</f>
        <v>-576313851.29580069</v>
      </c>
      <c r="S5">
        <f t="shared" ref="S5" si="3">R5/100000</f>
        <v>-5763.1385129580067</v>
      </c>
      <c r="T5">
        <f t="shared" ref="T5" si="4">S5/1000</f>
        <v>-5.7631385129580064</v>
      </c>
    </row>
    <row r="6" spans="1:20" x14ac:dyDescent="0.25">
      <c r="A6" s="5">
        <v>44587</v>
      </c>
      <c r="B6">
        <v>0.70899999999999996</v>
      </c>
      <c r="C6">
        <v>0.82499999999999996</v>
      </c>
      <c r="D6">
        <v>0.69899999999999995</v>
      </c>
      <c r="E6">
        <v>0.746</v>
      </c>
      <c r="F6">
        <v>4589421.4000000004</v>
      </c>
      <c r="G6">
        <v>0.746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-0.25396825396825329</v>
      </c>
      <c r="Q6">
        <f t="shared" ref="Q6" si="6">F6*P6</f>
        <v>-1165567.3396825367</v>
      </c>
      <c r="R6">
        <f t="shared" ref="R6" si="7">R7+Q6</f>
        <v>-576126566.79580069</v>
      </c>
      <c r="S6">
        <f t="shared" ref="S6" si="8">R6/100000</f>
        <v>-5761.2656679580068</v>
      </c>
      <c r="T6">
        <f t="shared" ref="T6" si="9">S6/1000</f>
        <v>-5.761265667958007</v>
      </c>
    </row>
    <row r="7" spans="1:20" x14ac:dyDescent="0.25">
      <c r="A7" s="5">
        <v>44586</v>
      </c>
      <c r="B7">
        <v>0.70299999999999996</v>
      </c>
      <c r="C7">
        <v>0.73</v>
      </c>
      <c r="D7">
        <v>0.67400000000000004</v>
      </c>
      <c r="E7">
        <v>0.70899999999999996</v>
      </c>
      <c r="F7">
        <v>1684200.5</v>
      </c>
      <c r="G7">
        <v>0.70899999999999996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0.2499999999999985</v>
      </c>
      <c r="Q7">
        <f t="shared" ref="Q7" si="11">F7*P7</f>
        <v>421050.1249999975</v>
      </c>
      <c r="R7">
        <f t="shared" ref="R7" si="12">R8+Q7</f>
        <v>-574960999.45611811</v>
      </c>
      <c r="S7">
        <f t="shared" ref="S7" si="13">R7/100000</f>
        <v>-5749.6099945611813</v>
      </c>
      <c r="T7">
        <f t="shared" ref="T7" si="14">S7/1000</f>
        <v>-5.7496099945611814</v>
      </c>
    </row>
    <row r="8" spans="1:20" x14ac:dyDescent="0.25">
      <c r="A8" s="5">
        <v>44585</v>
      </c>
      <c r="B8">
        <v>0.73099999999999998</v>
      </c>
      <c r="C8">
        <v>0.74399999999999999</v>
      </c>
      <c r="D8">
        <v>0.63400000000000001</v>
      </c>
      <c r="E8">
        <v>0.70299999999999996</v>
      </c>
      <c r="F8">
        <v>2725031.6</v>
      </c>
      <c r="G8">
        <v>0.70299999999999996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0.2545454545454538</v>
      </c>
      <c r="Q8">
        <f t="shared" ref="Q8" si="16">F8*P8</f>
        <v>693644.40727272525</v>
      </c>
      <c r="R8">
        <f t="shared" ref="R8" si="17">R9+Q8</f>
        <v>-575382049.58111811</v>
      </c>
      <c r="S8">
        <f t="shared" ref="S8" si="18">R8/100000</f>
        <v>-5753.820495811181</v>
      </c>
      <c r="T8">
        <f t="shared" ref="T8" si="19">S8/1000</f>
        <v>-5.7538204958111807</v>
      </c>
    </row>
    <row r="9" spans="1:20" x14ac:dyDescent="0.25">
      <c r="A9" s="5">
        <v>44584</v>
      </c>
      <c r="B9">
        <v>0.71</v>
      </c>
      <c r="C9">
        <v>0.79200000000000004</v>
      </c>
      <c r="D9">
        <v>0.69399999999999995</v>
      </c>
      <c r="E9">
        <v>0.73099999999999998</v>
      </c>
      <c r="F9">
        <v>3188375.5</v>
      </c>
      <c r="G9">
        <v>0.73099999999999998</v>
      </c>
      <c r="L9" t="s">
        <v>8</v>
      </c>
      <c r="M9" t="s">
        <v>8</v>
      </c>
      <c r="N9" t="s">
        <v>7</v>
      </c>
      <c r="P9">
        <f t="shared" ref="P9" si="20">IF(C9=D9,0,((E9-D9)-(C9-E9))/(C9-D9))</f>
        <v>-0.24489795918367346</v>
      </c>
      <c r="Q9">
        <f t="shared" ref="Q9" si="21">F9*P9</f>
        <v>-780826.6530612245</v>
      </c>
      <c r="R9">
        <f t="shared" ref="R9" si="22">R10+Q9</f>
        <v>-576075693.9883908</v>
      </c>
      <c r="S9">
        <f t="shared" ref="S9" si="23">R9/100000</f>
        <v>-5760.7569398839078</v>
      </c>
      <c r="T9">
        <f t="shared" ref="T9" si="24">S9/1000</f>
        <v>-5.7607569398839074</v>
      </c>
    </row>
    <row r="10" spans="1:20" x14ac:dyDescent="0.25">
      <c r="A10" s="5">
        <v>44583</v>
      </c>
      <c r="B10">
        <v>0.76400000000000001</v>
      </c>
      <c r="C10">
        <v>0.8</v>
      </c>
      <c r="D10">
        <v>0.65100000000000002</v>
      </c>
      <c r="E10">
        <v>0.71099999999999997</v>
      </c>
      <c r="F10">
        <v>5045105.42</v>
      </c>
      <c r="G10">
        <v>0.71099999999999997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-0.19463087248322236</v>
      </c>
      <c r="Q10">
        <f t="shared" ref="Q10" si="26">F10*P10</f>
        <v>-981933.26966443402</v>
      </c>
      <c r="R10">
        <f t="shared" ref="R10" si="27">R11+Q10</f>
        <v>-575294867.33532953</v>
      </c>
      <c r="S10">
        <f t="shared" ref="S10" si="28">R10/100000</f>
        <v>-5752.9486733532949</v>
      </c>
      <c r="T10">
        <f t="shared" ref="T10" si="29">S10/1000</f>
        <v>-5.7529486733532949</v>
      </c>
    </row>
    <row r="11" spans="1:20" x14ac:dyDescent="0.25">
      <c r="A11" s="5">
        <v>44582</v>
      </c>
      <c r="B11">
        <v>0.93899999999999995</v>
      </c>
      <c r="C11">
        <v>0.94599999999999995</v>
      </c>
      <c r="D11">
        <v>0.72799999999999998</v>
      </c>
      <c r="E11">
        <v>0.76400000000000001</v>
      </c>
      <c r="F11">
        <v>3555489.55</v>
      </c>
      <c r="G11">
        <v>0.76400000000000001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-0.66972477064220148</v>
      </c>
      <c r="Q11">
        <f t="shared" ref="Q11" si="31">F11*P11</f>
        <v>-2381199.4233944942</v>
      </c>
      <c r="R11">
        <f t="shared" ref="R11" si="32">R12+Q11</f>
        <v>-574312934.06566513</v>
      </c>
      <c r="S11">
        <f t="shared" ref="S11" si="33">R11/100000</f>
        <v>-5743.129340656651</v>
      </c>
      <c r="T11">
        <f t="shared" ref="T11" si="34">S11/1000</f>
        <v>-5.743129340656651</v>
      </c>
    </row>
    <row r="12" spans="1:20" x14ac:dyDescent="0.25">
      <c r="A12" s="5">
        <v>44581</v>
      </c>
      <c r="B12">
        <v>0.96</v>
      </c>
      <c r="C12">
        <v>1.0189999999999999</v>
      </c>
      <c r="D12">
        <v>0.93400000000000005</v>
      </c>
      <c r="E12">
        <v>0.93899999999999995</v>
      </c>
      <c r="F12">
        <v>1302373.1000000001</v>
      </c>
      <c r="G12">
        <v>0.93899999999999995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-0.88235294117647289</v>
      </c>
      <c r="Q12">
        <f t="shared" ref="Q12" si="36">F12*P12</f>
        <v>-1149152.7352941206</v>
      </c>
      <c r="R12">
        <f t="shared" ref="R12" si="37">R13+Q12</f>
        <v>-571931734.64227068</v>
      </c>
      <c r="S12">
        <f t="shared" ref="S12" si="38">R12/100000</f>
        <v>-5719.3173464227066</v>
      </c>
      <c r="T12">
        <f t="shared" ref="T12" si="39">S12/1000</f>
        <v>-5.7193173464227067</v>
      </c>
    </row>
    <row r="13" spans="1:20" x14ac:dyDescent="0.25">
      <c r="A13" s="5">
        <v>44580</v>
      </c>
      <c r="B13">
        <v>1.0089999999999999</v>
      </c>
      <c r="C13">
        <v>1.016</v>
      </c>
      <c r="D13">
        <v>0.95399999999999996</v>
      </c>
      <c r="E13">
        <v>0.96</v>
      </c>
      <c r="F13">
        <v>1657746</v>
      </c>
      <c r="G13">
        <v>0.96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-0.80645161290322576</v>
      </c>
      <c r="Q13">
        <f t="shared" ref="Q13" si="41">F13*P13</f>
        <v>-1336891.9354838708</v>
      </c>
      <c r="R13">
        <f t="shared" ref="R13" si="42">R14+Q13</f>
        <v>-570782581.90697658</v>
      </c>
      <c r="S13">
        <f t="shared" ref="S13" si="43">R13/100000</f>
        <v>-5707.8258190697661</v>
      </c>
      <c r="T13">
        <f t="shared" ref="T13" si="44">S13/1000</f>
        <v>-5.7078258190697664</v>
      </c>
    </row>
    <row r="14" spans="1:20" x14ac:dyDescent="0.25">
      <c r="A14" s="5">
        <v>44579</v>
      </c>
      <c r="B14">
        <v>1.016</v>
      </c>
      <c r="C14">
        <v>1.048</v>
      </c>
      <c r="D14">
        <v>0.996</v>
      </c>
      <c r="E14">
        <v>1.008</v>
      </c>
      <c r="F14">
        <v>1308502.1000000001</v>
      </c>
      <c r="G14">
        <v>1.008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-0.53846153846153844</v>
      </c>
      <c r="Q14">
        <f t="shared" ref="Q14" si="46">F14*P14</f>
        <v>-704578.0538461539</v>
      </c>
      <c r="R14">
        <f t="shared" ref="R14" si="47">R15+Q14</f>
        <v>-569445689.97149277</v>
      </c>
      <c r="S14">
        <f t="shared" ref="S14" si="48">R14/100000</f>
        <v>-5694.4568997149281</v>
      </c>
      <c r="T14">
        <f t="shared" ref="T14" si="49">S14/1000</f>
        <v>-5.6944568997149281</v>
      </c>
    </row>
    <row r="15" spans="1:20" x14ac:dyDescent="0.25">
      <c r="A15" s="5">
        <v>44578</v>
      </c>
      <c r="B15">
        <v>1.0580000000000001</v>
      </c>
      <c r="C15">
        <v>1.0580000000000001</v>
      </c>
      <c r="D15">
        <v>1.0009999999999999</v>
      </c>
      <c r="E15">
        <v>1.016</v>
      </c>
      <c r="F15">
        <v>1304779.2</v>
      </c>
      <c r="G15">
        <v>1.016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-0.47368421052631293</v>
      </c>
      <c r="Q15">
        <f t="shared" ref="Q15" si="51">F15*P15</f>
        <v>-618053.30526315409</v>
      </c>
      <c r="R15">
        <f t="shared" ref="R15" si="52">R16+Q15</f>
        <v>-568741111.91764665</v>
      </c>
      <c r="S15">
        <f t="shared" ref="S15" si="53">R15/100000</f>
        <v>-5687.4111191764669</v>
      </c>
      <c r="T15">
        <f t="shared" ref="T15" si="54">S15/1000</f>
        <v>-5.6874111191764669</v>
      </c>
    </row>
    <row r="16" spans="1:20" x14ac:dyDescent="0.25">
      <c r="A16" s="5">
        <v>44577</v>
      </c>
      <c r="B16">
        <v>1.0740000000000001</v>
      </c>
      <c r="C16">
        <v>1.0760000000000001</v>
      </c>
      <c r="D16">
        <v>1.04</v>
      </c>
      <c r="E16">
        <v>1.056</v>
      </c>
      <c r="F16">
        <v>851763.9</v>
      </c>
      <c r="G16">
        <v>1.056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-0.1111111111111111</v>
      </c>
      <c r="Q16">
        <f t="shared" ref="Q16" si="56">F16*P16</f>
        <v>-94640.433333333334</v>
      </c>
      <c r="R16">
        <f t="shared" ref="R16" si="57">R17+Q16</f>
        <v>-568123058.61238348</v>
      </c>
      <c r="S16">
        <f t="shared" ref="S16" si="58">R16/100000</f>
        <v>-5681.2305861238347</v>
      </c>
      <c r="T16">
        <f t="shared" ref="T16" si="59">S16/1000</f>
        <v>-5.681230586123835</v>
      </c>
    </row>
    <row r="17" spans="1:20" x14ac:dyDescent="0.25">
      <c r="A17" s="5">
        <v>44576</v>
      </c>
      <c r="B17">
        <v>1.0549999999999999</v>
      </c>
      <c r="C17">
        <v>1.089</v>
      </c>
      <c r="D17">
        <v>1.0489999999999999</v>
      </c>
      <c r="E17">
        <v>1.0740000000000001</v>
      </c>
      <c r="F17">
        <v>1117207.3999999999</v>
      </c>
      <c r="G17">
        <v>1.0740000000000001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0.25000000000000555</v>
      </c>
      <c r="Q17">
        <f t="shared" ref="Q17" si="61">F17*P17</f>
        <v>279301.8500000062</v>
      </c>
      <c r="R17">
        <f t="shared" ref="R17" si="62">R18+Q17</f>
        <v>-568028418.17905021</v>
      </c>
      <c r="S17">
        <f t="shared" ref="S17" si="63">R17/100000</f>
        <v>-5680.2841817905019</v>
      </c>
      <c r="T17">
        <f t="shared" ref="T17" si="64">S17/1000</f>
        <v>-5.6802841817905021</v>
      </c>
    </row>
    <row r="18" spans="1:20" x14ac:dyDescent="0.25">
      <c r="A18" s="5">
        <v>44575</v>
      </c>
      <c r="B18">
        <v>1.0269999999999999</v>
      </c>
      <c r="C18">
        <v>1.1599999999999999</v>
      </c>
      <c r="D18">
        <v>1.0189999999999999</v>
      </c>
      <c r="E18">
        <v>1.0549999999999999</v>
      </c>
      <c r="F18">
        <v>1933317.2</v>
      </c>
      <c r="G18">
        <v>1.0549999999999999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-0.48936170212765917</v>
      </c>
      <c r="Q18">
        <f t="shared" ref="Q18" si="66">F18*P18</f>
        <v>-946091.39574468008</v>
      </c>
      <c r="R18">
        <f t="shared" ref="R18" si="67">R19+Q18</f>
        <v>-568307720.02905023</v>
      </c>
      <c r="S18">
        <f t="shared" ref="S18" si="68">R18/100000</f>
        <v>-5683.0772002905023</v>
      </c>
      <c r="T18">
        <f t="shared" ref="T18" si="69">S18/1000</f>
        <v>-5.6830772002905023</v>
      </c>
    </row>
    <row r="19" spans="1:20" x14ac:dyDescent="0.25">
      <c r="A19" s="5">
        <v>44574</v>
      </c>
      <c r="B19">
        <v>1.0840000000000001</v>
      </c>
      <c r="C19">
        <v>1.1040000000000001</v>
      </c>
      <c r="D19">
        <v>1.0229999999999999</v>
      </c>
      <c r="E19">
        <v>1.0269999999999999</v>
      </c>
      <c r="F19">
        <v>1708650.6</v>
      </c>
      <c r="G19">
        <v>1.0269999999999999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-0.90123456790123468</v>
      </c>
      <c r="Q19">
        <f t="shared" ref="Q19" si="71">F19*P19</f>
        <v>-1539894.9851851854</v>
      </c>
      <c r="R19">
        <f t="shared" ref="R19" si="72">R20+Q19</f>
        <v>-567361628.63330555</v>
      </c>
      <c r="S19">
        <f t="shared" ref="S19" si="73">R19/100000</f>
        <v>-5673.6162863330555</v>
      </c>
      <c r="T19">
        <f t="shared" ref="T19" si="74">S19/1000</f>
        <v>-5.6736162863330559</v>
      </c>
    </row>
    <row r="20" spans="1:20" x14ac:dyDescent="0.25">
      <c r="A20" s="5">
        <v>44573</v>
      </c>
      <c r="B20">
        <v>1.0449999999999999</v>
      </c>
      <c r="C20">
        <v>1.125</v>
      </c>
      <c r="D20">
        <v>1.028</v>
      </c>
      <c r="E20">
        <v>1.0840000000000001</v>
      </c>
      <c r="F20">
        <v>2724836.5</v>
      </c>
      <c r="G20">
        <v>1.0840000000000001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0.15463917525773327</v>
      </c>
      <c r="Q20">
        <f t="shared" ref="Q20" si="76">F20*P20</f>
        <v>421366.46907216852</v>
      </c>
      <c r="R20">
        <f t="shared" ref="R20" si="77">R21+Q20</f>
        <v>-565821733.6481204</v>
      </c>
      <c r="S20">
        <f t="shared" ref="S20" si="78">R20/100000</f>
        <v>-5658.2173364812043</v>
      </c>
      <c r="T20">
        <f t="shared" ref="T20" si="79">S20/1000</f>
        <v>-5.6582173364812043</v>
      </c>
    </row>
    <row r="21" spans="1:20" x14ac:dyDescent="0.25">
      <c r="A21" s="5">
        <v>44572</v>
      </c>
      <c r="B21">
        <v>1.0329999999999999</v>
      </c>
      <c r="C21">
        <v>1.069</v>
      </c>
      <c r="D21">
        <v>1.008</v>
      </c>
      <c r="E21">
        <v>1.0449999999999999</v>
      </c>
      <c r="F21">
        <v>1465170.8</v>
      </c>
      <c r="G21">
        <v>1.0449999999999999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0.21311475409835923</v>
      </c>
      <c r="Q21">
        <f t="shared" ref="Q21" si="81">F21*P21</f>
        <v>312249.51475409628</v>
      </c>
      <c r="R21">
        <f t="shared" ref="R21" si="82">R22+Q21</f>
        <v>-566243100.11719263</v>
      </c>
      <c r="S21">
        <f t="shared" ref="S21" si="83">R21/100000</f>
        <v>-5662.4310011719263</v>
      </c>
      <c r="T21">
        <f t="shared" ref="T21" si="84">S21/1000</f>
        <v>-5.6624310011719263</v>
      </c>
    </row>
    <row r="22" spans="1:20" x14ac:dyDescent="0.25">
      <c r="A22" s="5">
        <v>44571</v>
      </c>
      <c r="B22">
        <v>1.0640000000000001</v>
      </c>
      <c r="C22">
        <v>1.077</v>
      </c>
      <c r="D22">
        <v>0.96599999999999997</v>
      </c>
      <c r="E22">
        <v>1.0309999999999999</v>
      </c>
      <c r="F22">
        <v>2227853.0699999998</v>
      </c>
      <c r="G22">
        <v>1.0309999999999999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0.17117117117117034</v>
      </c>
      <c r="Q22">
        <f t="shared" ref="Q22" si="86">F22*P22</f>
        <v>381344.21918918728</v>
      </c>
      <c r="R22">
        <f t="shared" ref="R22" si="87">R23+Q22</f>
        <v>-566555349.63194668</v>
      </c>
      <c r="S22">
        <f t="shared" ref="S22" si="88">R22/100000</f>
        <v>-5665.5534963194668</v>
      </c>
      <c r="T22">
        <f t="shared" ref="T22" si="89">S22/1000</f>
        <v>-5.6655534963194665</v>
      </c>
    </row>
    <row r="23" spans="1:20" x14ac:dyDescent="0.25">
      <c r="A23" s="5">
        <v>44570</v>
      </c>
      <c r="B23">
        <v>1.04</v>
      </c>
      <c r="C23">
        <v>1.1000000000000001</v>
      </c>
      <c r="D23">
        <v>1.03</v>
      </c>
      <c r="E23">
        <v>1.0649999999999999</v>
      </c>
      <c r="F23">
        <v>1019229.3</v>
      </c>
      <c r="G23">
        <v>1.0649999999999999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-3.1720657846433014E-15</v>
      </c>
      <c r="Q23">
        <f t="shared" ref="Q23" si="91">F23*P23</f>
        <v>-3.2330623892359429E-9</v>
      </c>
      <c r="R23">
        <f t="shared" ref="R23" si="92">R24+Q23</f>
        <v>-566936693.85113585</v>
      </c>
      <c r="S23">
        <f t="shared" ref="S23" si="93">R23/100000</f>
        <v>-5669.3669385113581</v>
      </c>
      <c r="T23">
        <f t="shared" ref="T23" si="94">S23/1000</f>
        <v>-5.6693669385113576</v>
      </c>
    </row>
    <row r="24" spans="1:20" x14ac:dyDescent="0.25">
      <c r="A24" s="5">
        <v>44569</v>
      </c>
      <c r="B24">
        <v>1.056</v>
      </c>
      <c r="C24">
        <v>1.1000000000000001</v>
      </c>
      <c r="D24">
        <v>1.02</v>
      </c>
      <c r="E24">
        <v>1.04</v>
      </c>
      <c r="F24">
        <v>1778819.1</v>
      </c>
      <c r="G24">
        <v>1.04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</v>
      </c>
      <c r="Q24">
        <f t="shared" ref="Q24" si="96">F24*P24</f>
        <v>-889409.55</v>
      </c>
      <c r="R24">
        <f t="shared" ref="R24" si="97">R25+Q24</f>
        <v>-566936693.85113585</v>
      </c>
      <c r="S24">
        <f t="shared" ref="S24" si="98">R24/100000</f>
        <v>-5669.3669385113581</v>
      </c>
      <c r="T24">
        <f t="shared" ref="T24" si="99">S24/1000</f>
        <v>-5.6693669385113576</v>
      </c>
    </row>
    <row r="25" spans="1:20" x14ac:dyDescent="0.25">
      <c r="A25" s="5">
        <v>44568</v>
      </c>
      <c r="B25">
        <v>1.165</v>
      </c>
      <c r="C25">
        <v>1.165</v>
      </c>
      <c r="D25">
        <v>1.034</v>
      </c>
      <c r="E25">
        <v>1.054</v>
      </c>
      <c r="F25">
        <v>3100765.96</v>
      </c>
      <c r="G25">
        <v>1.054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-0.69465648854961803</v>
      </c>
      <c r="Q25">
        <f t="shared" ref="Q25" si="101">F25*P25</f>
        <v>-2153967.1935877851</v>
      </c>
      <c r="R25">
        <f t="shared" ref="R25" si="102">R26+Q25</f>
        <v>-566047284.3011359</v>
      </c>
      <c r="S25">
        <f t="shared" ref="S25" si="103">R25/100000</f>
        <v>-5660.4728430113591</v>
      </c>
      <c r="T25">
        <f t="shared" ref="T25" si="104">S25/1000</f>
        <v>-5.6604728430113589</v>
      </c>
    </row>
    <row r="26" spans="1:20" x14ac:dyDescent="0.25">
      <c r="A26" s="5">
        <v>44567</v>
      </c>
      <c r="B26">
        <v>1.177</v>
      </c>
      <c r="C26">
        <v>1.19</v>
      </c>
      <c r="D26">
        <v>1.129</v>
      </c>
      <c r="E26">
        <v>1.163</v>
      </c>
      <c r="F26">
        <v>1726840</v>
      </c>
      <c r="G26">
        <v>1.163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0.11475409836065777</v>
      </c>
      <c r="Q26">
        <f t="shared" ref="Q26" si="106">F26*P26</f>
        <v>198161.96721311825</v>
      </c>
      <c r="R26">
        <f t="shared" ref="R26" si="107">R27+Q26</f>
        <v>-563893317.10754812</v>
      </c>
      <c r="S26">
        <f t="shared" ref="S26" si="108">R26/100000</f>
        <v>-5638.9331710754814</v>
      </c>
      <c r="T26">
        <f t="shared" ref="T26" si="109">S26/1000</f>
        <v>-5.6389331710754815</v>
      </c>
    </row>
    <row r="27" spans="1:20" x14ac:dyDescent="0.25">
      <c r="A27" s="5">
        <v>44566</v>
      </c>
      <c r="B27">
        <v>1.2230000000000001</v>
      </c>
      <c r="C27">
        <v>1.2829999999999999</v>
      </c>
      <c r="D27">
        <v>1.1499999999999999</v>
      </c>
      <c r="E27">
        <v>1.1779999999999999</v>
      </c>
      <c r="F27">
        <v>3156424.3</v>
      </c>
      <c r="G27">
        <v>1.1779999999999999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-0.57894736842105232</v>
      </c>
      <c r="Q27">
        <f t="shared" ref="Q27" si="111">F27*P27</f>
        <v>-1827403.5421052622</v>
      </c>
      <c r="R27">
        <f t="shared" ref="R27" si="112">R28+Q27</f>
        <v>-564091479.07476127</v>
      </c>
      <c r="S27">
        <f t="shared" ref="S27" si="113">R27/100000</f>
        <v>-5640.9147907476126</v>
      </c>
      <c r="T27">
        <f t="shared" ref="T27" si="114">S27/1000</f>
        <v>-5.6409147907476127</v>
      </c>
    </row>
    <row r="28" spans="1:20" x14ac:dyDescent="0.25">
      <c r="A28" s="5">
        <v>44565</v>
      </c>
      <c r="B28">
        <v>1.24</v>
      </c>
      <c r="C28">
        <v>1.252</v>
      </c>
      <c r="D28">
        <v>1.208</v>
      </c>
      <c r="E28">
        <v>1.2230000000000001</v>
      </c>
      <c r="F28">
        <v>1782832.9</v>
      </c>
      <c r="G28">
        <v>1.2230000000000001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-0.31818181818181313</v>
      </c>
      <c r="Q28">
        <f t="shared" ref="Q28" si="116">F28*P28</f>
        <v>-567265.01363635459</v>
      </c>
      <c r="R28">
        <f t="shared" ref="R28" si="117">R29+Q28</f>
        <v>-562264075.53265595</v>
      </c>
      <c r="S28">
        <f t="shared" ref="S28" si="118">R28/100000</f>
        <v>-5622.6407553265599</v>
      </c>
      <c r="T28">
        <f t="shared" ref="T28" si="119">S28/1000</f>
        <v>-5.62264075532656</v>
      </c>
    </row>
    <row r="29" spans="1:20" x14ac:dyDescent="0.25">
      <c r="A29" s="5">
        <v>44564</v>
      </c>
      <c r="B29">
        <v>1.266</v>
      </c>
      <c r="C29">
        <v>1.268</v>
      </c>
      <c r="D29">
        <v>1.214</v>
      </c>
      <c r="E29">
        <v>1.24</v>
      </c>
      <c r="F29">
        <v>1572265.3</v>
      </c>
      <c r="G29">
        <v>1.24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-3.7037037037037035E-2</v>
      </c>
      <c r="Q29">
        <f t="shared" ref="Q29" si="121">F29*P29</f>
        <v>-58232.048148148147</v>
      </c>
      <c r="R29">
        <f t="shared" ref="R29" si="122">R30+Q29</f>
        <v>-561696810.5190196</v>
      </c>
      <c r="S29">
        <f t="shared" ref="S29" si="123">R29/100000</f>
        <v>-5616.9681051901962</v>
      </c>
      <c r="T29">
        <f t="shared" ref="T29" si="124">S29/1000</f>
        <v>-5.6169681051901961</v>
      </c>
    </row>
    <row r="30" spans="1:20" x14ac:dyDescent="0.25">
      <c r="A30" s="5">
        <v>44563</v>
      </c>
      <c r="B30">
        <v>1.2769999999999999</v>
      </c>
      <c r="C30">
        <v>1.2849999999999999</v>
      </c>
      <c r="D30">
        <v>1.252</v>
      </c>
      <c r="E30">
        <v>1.266</v>
      </c>
      <c r="F30">
        <v>1311078.8</v>
      </c>
      <c r="G30">
        <v>1.266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-0.15151515151514866</v>
      </c>
      <c r="Q30">
        <f t="shared" ref="Q30" si="126">F30*P30</f>
        <v>-198648.30303029928</v>
      </c>
      <c r="R30">
        <f t="shared" ref="R30" si="127">R31+Q30</f>
        <v>-561638578.47087145</v>
      </c>
      <c r="S30">
        <f t="shared" ref="S30" si="128">R30/100000</f>
        <v>-5616.3857847087147</v>
      </c>
      <c r="T30">
        <f t="shared" ref="T30" si="129">S30/1000</f>
        <v>-5.6163857847087151</v>
      </c>
    </row>
    <row r="31" spans="1:20" x14ac:dyDescent="0.25">
      <c r="A31" s="5">
        <v>44562</v>
      </c>
      <c r="B31">
        <v>1.2589999999999999</v>
      </c>
      <c r="C31">
        <v>1.2929999999999999</v>
      </c>
      <c r="D31">
        <v>1.2490000000000001</v>
      </c>
      <c r="E31">
        <v>1.276</v>
      </c>
      <c r="F31">
        <v>1007485.3</v>
      </c>
      <c r="G31">
        <v>1.276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0.22727272727272843</v>
      </c>
      <c r="Q31">
        <f t="shared" ref="Q31" si="131">F31*P31</f>
        <v>228973.93181818299</v>
      </c>
      <c r="R31">
        <f t="shared" ref="R31" si="132">R32+Q31</f>
        <v>-561439930.1678412</v>
      </c>
      <c r="S31">
        <f t="shared" ref="S31" si="133">R31/100000</f>
        <v>-5614.3993016784116</v>
      </c>
      <c r="T31">
        <f t="shared" ref="T31" si="134">S31/1000</f>
        <v>-5.6143993016784117</v>
      </c>
    </row>
    <row r="32" spans="1:20" x14ac:dyDescent="0.25">
      <c r="A32" s="5">
        <v>44561</v>
      </c>
      <c r="B32">
        <v>1.266</v>
      </c>
      <c r="C32">
        <v>1.3109999999999999</v>
      </c>
      <c r="D32">
        <v>1.24</v>
      </c>
      <c r="E32">
        <v>1.2589999999999999</v>
      </c>
      <c r="F32">
        <v>1770690.3</v>
      </c>
      <c r="G32">
        <v>1.2589999999999999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-0.46478873239436846</v>
      </c>
      <c r="Q32">
        <f t="shared" ref="Q32" si="136">F32*P32</f>
        <v>-822996.90000000398</v>
      </c>
      <c r="R32">
        <f t="shared" ref="R32" si="137">R33+Q32</f>
        <v>-561668904.09965932</v>
      </c>
      <c r="S32">
        <f t="shared" ref="S32" si="138">R32/100000</f>
        <v>-5616.6890409965936</v>
      </c>
      <c r="T32">
        <f t="shared" ref="T32" si="139">S32/1000</f>
        <v>-5.6166890409965937</v>
      </c>
    </row>
    <row r="33" spans="1:20" x14ac:dyDescent="0.25">
      <c r="A33" s="5">
        <v>44560</v>
      </c>
      <c r="B33">
        <v>1.2230000000000001</v>
      </c>
      <c r="C33">
        <v>1.2969999999999999</v>
      </c>
      <c r="D33">
        <v>1.2130000000000001</v>
      </c>
      <c r="E33">
        <v>1.2669999999999999</v>
      </c>
      <c r="F33">
        <v>1989747.7</v>
      </c>
      <c r="G33">
        <v>1.2669999999999999</v>
      </c>
      <c r="L33" t="s">
        <v>8</v>
      </c>
      <c r="M33" t="s">
        <v>7</v>
      </c>
      <c r="N33" t="s">
        <v>7</v>
      </c>
      <c r="P33">
        <f t="shared" ref="P33" si="140">IF(C33=D33,0,((E33-D33)-(C33-E33))/(C33-D33))</f>
        <v>0.28571428571428381</v>
      </c>
      <c r="Q33">
        <f t="shared" ref="Q33" si="141">F33*P33</f>
        <v>568499.34285713907</v>
      </c>
      <c r="R33">
        <f t="shared" ref="R33" si="142">R34+Q33</f>
        <v>-560845907.19965935</v>
      </c>
      <c r="S33">
        <f t="shared" ref="S33" si="143">R33/100000</f>
        <v>-5608.4590719965936</v>
      </c>
      <c r="T33">
        <f t="shared" ref="T33" si="144">S33/1000</f>
        <v>-5.6084590719965934</v>
      </c>
    </row>
    <row r="34" spans="1:20" x14ac:dyDescent="0.25">
      <c r="A34" s="5">
        <v>44559</v>
      </c>
      <c r="B34">
        <v>1.28</v>
      </c>
      <c r="C34">
        <v>1.3180000000000001</v>
      </c>
      <c r="D34">
        <v>1.214</v>
      </c>
      <c r="E34">
        <v>1.2230000000000001</v>
      </c>
      <c r="F34">
        <v>2239200.9</v>
      </c>
      <c r="G34">
        <v>1.2230000000000001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-0.82692307692307476</v>
      </c>
      <c r="Q34">
        <f t="shared" ref="Q34" si="146">F34*P34</f>
        <v>-1851646.8980769182</v>
      </c>
      <c r="R34">
        <f t="shared" ref="R34" si="147">R35+Q34</f>
        <v>-561414406.54251647</v>
      </c>
      <c r="S34">
        <f t="shared" ref="S34" si="148">R34/100000</f>
        <v>-5614.1440654251646</v>
      </c>
      <c r="T34">
        <f t="shared" ref="T34" si="149">S34/1000</f>
        <v>-5.6141440654251644</v>
      </c>
    </row>
    <row r="35" spans="1:20" x14ac:dyDescent="0.25">
      <c r="A35" s="5">
        <v>44558</v>
      </c>
      <c r="B35">
        <v>1.3240000000000001</v>
      </c>
      <c r="C35">
        <v>1.42</v>
      </c>
      <c r="D35">
        <v>1.26</v>
      </c>
      <c r="E35">
        <v>1.28</v>
      </c>
      <c r="F35">
        <v>5997504.5</v>
      </c>
      <c r="G35">
        <v>1.28</v>
      </c>
      <c r="L35" t="s">
        <v>8</v>
      </c>
      <c r="M35" t="s">
        <v>8</v>
      </c>
      <c r="N35" t="s">
        <v>7</v>
      </c>
      <c r="P35">
        <f t="shared" ref="P35" si="150">IF(C35=D35,0,((E35-D35)-(C35-E35))/(C35-D35))</f>
        <v>-0.74999999999999967</v>
      </c>
      <c r="Q35">
        <f t="shared" ref="Q35" si="151">F35*P35</f>
        <v>-4498128.3749999981</v>
      </c>
      <c r="R35">
        <f t="shared" ref="R35" si="152">R36+Q35</f>
        <v>-559562759.64443958</v>
      </c>
      <c r="S35">
        <f t="shared" ref="S35" si="153">R35/100000</f>
        <v>-5595.6275964443957</v>
      </c>
      <c r="T35">
        <f t="shared" ref="T35" si="154">S35/1000</f>
        <v>-5.5956275964443956</v>
      </c>
    </row>
    <row r="36" spans="1:20" x14ac:dyDescent="0.25">
      <c r="A36" s="5">
        <v>44557</v>
      </c>
      <c r="B36">
        <v>1.3160000000000001</v>
      </c>
      <c r="C36">
        <v>1.38</v>
      </c>
      <c r="D36">
        <v>1.302</v>
      </c>
      <c r="E36">
        <v>1.325</v>
      </c>
      <c r="F36">
        <v>1789736</v>
      </c>
      <c r="G36">
        <v>1.325</v>
      </c>
      <c r="L36" t="s">
        <v>8</v>
      </c>
      <c r="M36" t="s">
        <v>7</v>
      </c>
      <c r="N36" t="s">
        <v>7</v>
      </c>
      <c r="P36">
        <f t="shared" ref="P36" si="155">IF(C36=D36,0,((E36-D36)-(C36-E36))/(C36-D36))</f>
        <v>-0.41025641025641141</v>
      </c>
      <c r="Q36">
        <f t="shared" ref="Q36" si="156">F36*P36</f>
        <v>-734250.66666666872</v>
      </c>
      <c r="R36">
        <f t="shared" ref="R36" si="157">R37+Q36</f>
        <v>-555064631.26943958</v>
      </c>
      <c r="S36">
        <f t="shared" ref="S36" si="158">R36/100000</f>
        <v>-5550.6463126943954</v>
      </c>
      <c r="T36">
        <f t="shared" ref="T36" si="159">S36/1000</f>
        <v>-5.5506463126943952</v>
      </c>
    </row>
    <row r="37" spans="1:20" x14ac:dyDescent="0.25">
      <c r="A37" s="5">
        <v>44556</v>
      </c>
      <c r="B37">
        <v>1.302</v>
      </c>
      <c r="C37">
        <v>1.335</v>
      </c>
      <c r="D37">
        <v>1.2470000000000001</v>
      </c>
      <c r="E37">
        <v>1.3169999999999999</v>
      </c>
      <c r="F37">
        <v>1941387.1</v>
      </c>
      <c r="G37">
        <v>1.3169999999999999</v>
      </c>
      <c r="L37" t="s">
        <v>7</v>
      </c>
      <c r="M37" t="s">
        <v>7</v>
      </c>
      <c r="N37" t="s">
        <v>7</v>
      </c>
      <c r="P37">
        <f t="shared" ref="P37" si="160">IF(C37=D37,0,((E37-D37)-(C37-E37))/(C37-D37))</f>
        <v>0.59090909090908983</v>
      </c>
      <c r="Q37">
        <f t="shared" ref="Q37" si="161">F37*P37</f>
        <v>1147183.2863636343</v>
      </c>
      <c r="R37">
        <f t="shared" ref="R37" si="162">R38+Q37</f>
        <v>-554330380.60277295</v>
      </c>
      <c r="S37">
        <f t="shared" ref="S37" si="163">R37/100000</f>
        <v>-5543.3038060277295</v>
      </c>
      <c r="T37">
        <f t="shared" ref="T37" si="164">S37/1000</f>
        <v>-5.5433038060277298</v>
      </c>
    </row>
    <row r="38" spans="1:20" x14ac:dyDescent="0.25">
      <c r="A38" s="5">
        <v>44555</v>
      </c>
      <c r="B38">
        <v>1.2869999999999999</v>
      </c>
      <c r="C38">
        <v>1.32</v>
      </c>
      <c r="D38">
        <v>1.278</v>
      </c>
      <c r="E38">
        <v>1.302</v>
      </c>
      <c r="F38">
        <v>1174646.3</v>
      </c>
      <c r="G38">
        <v>1.302</v>
      </c>
      <c r="L38" t="s">
        <v>8</v>
      </c>
      <c r="M38" t="s">
        <v>7</v>
      </c>
      <c r="N38" t="s">
        <v>7</v>
      </c>
      <c r="P38">
        <f t="shared" ref="P38" si="165">IF(C38=D38,0,((E38-D38)-(C38-E38))/(C38-D38))</f>
        <v>0.14285714285714285</v>
      </c>
      <c r="Q38">
        <f t="shared" ref="Q38" si="166">F38*P38</f>
        <v>167806.61428571428</v>
      </c>
      <c r="R38">
        <f t="shared" ref="R38" si="167">R39+Q38</f>
        <v>-555477563.88913655</v>
      </c>
      <c r="S38">
        <f t="shared" ref="S38" si="168">R38/100000</f>
        <v>-5554.7756388913658</v>
      </c>
      <c r="T38">
        <f t="shared" ref="T38" si="169">S38/1000</f>
        <v>-5.5547756388913658</v>
      </c>
    </row>
    <row r="39" spans="1:20" x14ac:dyDescent="0.25">
      <c r="A39" s="5">
        <v>44554</v>
      </c>
      <c r="B39">
        <v>1.3009999999999999</v>
      </c>
      <c r="C39">
        <v>1.371</v>
      </c>
      <c r="D39">
        <v>1.2789999999999999</v>
      </c>
      <c r="E39">
        <v>1.2869999999999999</v>
      </c>
      <c r="F39">
        <v>3025031.1</v>
      </c>
      <c r="G39">
        <v>1.2869999999999999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-0.82608695652173914</v>
      </c>
      <c r="Q39">
        <f t="shared" ref="Q39" si="171">F39*P39</f>
        <v>-2498938.7347826087</v>
      </c>
      <c r="R39">
        <f t="shared" ref="R39" si="172">R40+Q39</f>
        <v>-555645370.50342226</v>
      </c>
      <c r="S39">
        <f t="shared" ref="S39" si="173">R39/100000</f>
        <v>-5556.4537050342224</v>
      </c>
      <c r="T39">
        <f t="shared" ref="T39" si="174">S39/1000</f>
        <v>-5.5564537050342224</v>
      </c>
    </row>
    <row r="40" spans="1:20" x14ac:dyDescent="0.25">
      <c r="A40" s="5">
        <v>44553</v>
      </c>
      <c r="B40">
        <v>1.27</v>
      </c>
      <c r="C40">
        <v>1.3120000000000001</v>
      </c>
      <c r="D40">
        <v>1.2250000000000001</v>
      </c>
      <c r="E40">
        <v>1.3009999999999999</v>
      </c>
      <c r="F40">
        <v>2470327.2999999998</v>
      </c>
      <c r="G40">
        <v>1.3009999999999999</v>
      </c>
      <c r="L40" t="s">
        <v>7</v>
      </c>
      <c r="M40" t="s">
        <v>7</v>
      </c>
      <c r="N40" t="s">
        <v>7</v>
      </c>
      <c r="P40">
        <f t="shared" ref="P40" si="175">IF(C40=D40,0,((E40-D40)-(C40-E40))/(C40-D40))</f>
        <v>0.74712643678160628</v>
      </c>
      <c r="Q40">
        <f t="shared" ref="Q40" si="176">F40*P40</f>
        <v>1845646.833333326</v>
      </c>
      <c r="R40">
        <f t="shared" ref="R40" si="177">R41+Q40</f>
        <v>-553146431.76863968</v>
      </c>
      <c r="S40">
        <f t="shared" ref="S40" si="178">R40/100000</f>
        <v>-5531.4643176863965</v>
      </c>
      <c r="T40">
        <f t="shared" ref="T40" si="179">S40/1000</f>
        <v>-5.5314643176863969</v>
      </c>
    </row>
    <row r="41" spans="1:20" x14ac:dyDescent="0.25">
      <c r="A41" s="5">
        <v>44552</v>
      </c>
      <c r="B41">
        <v>1.2210000000000001</v>
      </c>
      <c r="C41">
        <v>1.36</v>
      </c>
      <c r="D41">
        <v>1.2130000000000001</v>
      </c>
      <c r="E41">
        <v>1.2709999999999999</v>
      </c>
      <c r="F41">
        <v>3515389.8</v>
      </c>
      <c r="G41">
        <v>1.2709999999999999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-0.21088435374149903</v>
      </c>
      <c r="Q41">
        <f t="shared" ref="Q41" si="181">F41*P41</f>
        <v>-741340.70612245752</v>
      </c>
      <c r="R41">
        <f t="shared" ref="R41" si="182">R42+Q41</f>
        <v>-554992078.60197306</v>
      </c>
      <c r="S41">
        <f t="shared" ref="S41" si="183">R41/100000</f>
        <v>-5549.9207860197303</v>
      </c>
      <c r="T41">
        <f t="shared" ref="T41" si="184">S41/1000</f>
        <v>-5.5499207860197304</v>
      </c>
    </row>
    <row r="42" spans="1:20" x14ac:dyDescent="0.25">
      <c r="A42" s="5">
        <v>44551</v>
      </c>
      <c r="B42">
        <v>1.1950000000000001</v>
      </c>
      <c r="C42">
        <v>1.226</v>
      </c>
      <c r="D42">
        <v>1.1819999999999999</v>
      </c>
      <c r="E42">
        <v>1.2210000000000001</v>
      </c>
      <c r="F42">
        <v>1777998.6</v>
      </c>
      <c r="G42">
        <v>1.2210000000000001</v>
      </c>
      <c r="L42" t="s">
        <v>7</v>
      </c>
      <c r="M42" t="s">
        <v>7</v>
      </c>
      <c r="N42" t="s">
        <v>7</v>
      </c>
      <c r="P42">
        <f t="shared" ref="P42" si="185">IF(C42=D42,0,((E42-D42)-(C42-E42))/(C42-D42))</f>
        <v>0.77272727272727781</v>
      </c>
      <c r="Q42">
        <f t="shared" ref="Q42" si="186">F42*P42</f>
        <v>1373908.0090909181</v>
      </c>
      <c r="R42">
        <f t="shared" ref="R42" si="187">R43+Q42</f>
        <v>-554250737.89585066</v>
      </c>
      <c r="S42">
        <f t="shared" ref="S42" si="188">R42/100000</f>
        <v>-5542.5073789585067</v>
      </c>
      <c r="T42">
        <f t="shared" ref="T42" si="189">S42/1000</f>
        <v>-5.5425073789585069</v>
      </c>
    </row>
    <row r="43" spans="1:20" x14ac:dyDescent="0.25">
      <c r="A43" s="5">
        <v>44550</v>
      </c>
      <c r="B43">
        <v>1.2190000000000001</v>
      </c>
      <c r="C43">
        <v>1.236</v>
      </c>
      <c r="D43">
        <v>1.1599999999999999</v>
      </c>
      <c r="E43">
        <v>1.1950000000000001</v>
      </c>
      <c r="F43">
        <v>1811448</v>
      </c>
      <c r="G43">
        <v>1.1950000000000001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-7.8947368421049713E-2</v>
      </c>
      <c r="Q43">
        <f t="shared" ref="Q43" si="191">F43*P43</f>
        <v>-143009.05263157366</v>
      </c>
      <c r="R43">
        <f t="shared" ref="R43" si="192">R44+Q43</f>
        <v>-555624645.90494156</v>
      </c>
      <c r="S43">
        <f t="shared" ref="S43" si="193">R43/100000</f>
        <v>-5556.2464590494155</v>
      </c>
      <c r="T43">
        <f t="shared" ref="T43" si="194">S43/1000</f>
        <v>-5.5562464590494152</v>
      </c>
    </row>
    <row r="44" spans="1:20" x14ac:dyDescent="0.25">
      <c r="A44" s="5">
        <v>44549</v>
      </c>
      <c r="B44">
        <v>1.2589999999999999</v>
      </c>
      <c r="C44">
        <v>1.28</v>
      </c>
      <c r="D44">
        <v>1.212</v>
      </c>
      <c r="E44">
        <v>1.2190000000000001</v>
      </c>
      <c r="F44">
        <v>2180837.2999999998</v>
      </c>
      <c r="G44">
        <v>1.2190000000000001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-0.79411764705882026</v>
      </c>
      <c r="Q44">
        <f t="shared" ref="Q44" si="196">F44*P44</f>
        <v>-1731841.3852941103</v>
      </c>
      <c r="R44">
        <f t="shared" ref="R44" si="197">R45+Q44</f>
        <v>-555481636.85230994</v>
      </c>
      <c r="S44">
        <f t="shared" ref="S44" si="198">R44/100000</f>
        <v>-5554.8163685230993</v>
      </c>
      <c r="T44">
        <f t="shared" ref="T44" si="199">S44/1000</f>
        <v>-5.5548163685230989</v>
      </c>
    </row>
    <row r="45" spans="1:20" x14ac:dyDescent="0.25">
      <c r="A45" s="5">
        <v>44548</v>
      </c>
      <c r="B45">
        <v>1.1930000000000001</v>
      </c>
      <c r="C45">
        <v>1.58</v>
      </c>
      <c r="D45">
        <v>1.1759999999999999</v>
      </c>
      <c r="E45">
        <v>1.2589999999999999</v>
      </c>
      <c r="F45">
        <v>9475570.5999999996</v>
      </c>
      <c r="G45">
        <v>1.2589999999999999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-0.58910891089108941</v>
      </c>
      <c r="Q45">
        <f t="shared" ref="Q45" si="201">F45*P45</f>
        <v>-5582143.0762376264</v>
      </c>
      <c r="R45">
        <f t="shared" ref="R45" si="202">R46+Q45</f>
        <v>-553749795.46701586</v>
      </c>
      <c r="S45">
        <f t="shared" ref="S45" si="203">R45/100000</f>
        <v>-5537.4979546701588</v>
      </c>
      <c r="T45">
        <f t="shared" ref="T45" si="204">S45/1000</f>
        <v>-5.537497954670159</v>
      </c>
    </row>
    <row r="46" spans="1:20" x14ac:dyDescent="0.25">
      <c r="A46" s="5">
        <v>44547</v>
      </c>
      <c r="B46">
        <v>1.2170000000000001</v>
      </c>
      <c r="C46">
        <v>1.2330000000000001</v>
      </c>
      <c r="D46">
        <v>1.161</v>
      </c>
      <c r="E46">
        <v>1.1930000000000001</v>
      </c>
      <c r="F46">
        <v>1438636.24</v>
      </c>
      <c r="G46">
        <v>1.1930000000000001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-0.1111111111111111</v>
      </c>
      <c r="Q46">
        <f t="shared" ref="Q46" si="206">F46*P46</f>
        <v>-159848.47111111111</v>
      </c>
      <c r="R46">
        <f t="shared" ref="R46" si="207">R47+Q46</f>
        <v>-548167652.39077818</v>
      </c>
      <c r="S46">
        <f t="shared" ref="S46" si="208">R46/100000</f>
        <v>-5481.6765239077822</v>
      </c>
      <c r="T46">
        <f t="shared" ref="T46" si="209">S46/1000</f>
        <v>-5.4816765239077823</v>
      </c>
    </row>
    <row r="47" spans="1:20" x14ac:dyDescent="0.25">
      <c r="A47" s="5">
        <v>44546</v>
      </c>
      <c r="B47">
        <v>1.28</v>
      </c>
      <c r="C47">
        <v>1.2929999999999999</v>
      </c>
      <c r="D47">
        <v>1.214</v>
      </c>
      <c r="E47">
        <v>1.216</v>
      </c>
      <c r="F47">
        <v>1719936.6</v>
      </c>
      <c r="G47">
        <v>1.216</v>
      </c>
      <c r="L47" t="s">
        <v>7</v>
      </c>
      <c r="M47" t="s">
        <v>7</v>
      </c>
      <c r="N47" t="s">
        <v>7</v>
      </c>
      <c r="P47">
        <f t="shared" ref="P47" si="210">IF(C47=D47,0,((E47-D47)-(C47-E47))/(C47-D47))</f>
        <v>-0.94936708860759489</v>
      </c>
      <c r="Q47">
        <f t="shared" ref="Q47" si="211">F47*P47</f>
        <v>-1632851.2025316455</v>
      </c>
      <c r="R47">
        <f t="shared" ref="R47" si="212">R48+Q47</f>
        <v>-548007803.91966712</v>
      </c>
      <c r="S47">
        <f t="shared" ref="S47" si="213">R47/100000</f>
        <v>-5480.0780391966709</v>
      </c>
      <c r="T47">
        <f t="shared" ref="T47" si="214">S47/1000</f>
        <v>-5.4800780391966706</v>
      </c>
    </row>
    <row r="48" spans="1:20" x14ac:dyDescent="0.25">
      <c r="A48" s="5">
        <v>44545</v>
      </c>
      <c r="B48">
        <v>1.2390000000000001</v>
      </c>
      <c r="C48">
        <v>1.304</v>
      </c>
      <c r="D48">
        <v>1.2</v>
      </c>
      <c r="E48">
        <v>1.2789999999999999</v>
      </c>
      <c r="F48">
        <v>1692462.3</v>
      </c>
      <c r="G48">
        <v>1.2789999999999999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0.51923076923076705</v>
      </c>
      <c r="Q48">
        <f t="shared" ref="Q48" si="216">F48*P48</f>
        <v>878778.50192307332</v>
      </c>
      <c r="R48">
        <f t="shared" ref="R48" si="217">R49+Q48</f>
        <v>-546374952.71713543</v>
      </c>
      <c r="S48">
        <f t="shared" ref="S48" si="218">R48/100000</f>
        <v>-5463.7495271713542</v>
      </c>
      <c r="T48">
        <f t="shared" ref="T48" si="219">S48/1000</f>
        <v>-5.4637495271713545</v>
      </c>
    </row>
    <row r="49" spans="1:20" x14ac:dyDescent="0.25">
      <c r="A49" s="5">
        <v>44544</v>
      </c>
      <c r="B49">
        <v>1.2210000000000001</v>
      </c>
      <c r="C49">
        <v>1.2629999999999999</v>
      </c>
      <c r="D49">
        <v>1.2</v>
      </c>
      <c r="E49">
        <v>1.2410000000000001</v>
      </c>
      <c r="F49">
        <v>1364038.3</v>
      </c>
      <c r="G49">
        <v>1.2410000000000001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0.3015873015873074</v>
      </c>
      <c r="Q49">
        <f t="shared" ref="Q49" si="221">F49*P49</f>
        <v>411376.63015873812</v>
      </c>
      <c r="R49">
        <f t="shared" ref="R49" si="222">R50+Q49</f>
        <v>-547253731.21905851</v>
      </c>
      <c r="S49">
        <f t="shared" ref="S49" si="223">R49/100000</f>
        <v>-5472.537312190585</v>
      </c>
      <c r="T49">
        <f t="shared" ref="T49" si="224">S49/1000</f>
        <v>-5.4725373121905854</v>
      </c>
    </row>
    <row r="50" spans="1:20" x14ac:dyDescent="0.25">
      <c r="A50" s="5">
        <v>44543</v>
      </c>
      <c r="B50">
        <v>1.325</v>
      </c>
      <c r="C50">
        <v>1.3360000000000001</v>
      </c>
      <c r="D50">
        <v>1.1931</v>
      </c>
      <c r="E50">
        <v>1.22</v>
      </c>
      <c r="F50">
        <v>2473433.42</v>
      </c>
      <c r="G50">
        <v>1.22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-0.62351294611616626</v>
      </c>
      <c r="Q50">
        <f t="shared" ref="Q50" si="226">F50*P50</f>
        <v>-1542217.7587263847</v>
      </c>
      <c r="R50">
        <f t="shared" ref="R50" si="227">R51+Q50</f>
        <v>-547665107.8492173</v>
      </c>
      <c r="S50">
        <f t="shared" ref="S50" si="228">R50/100000</f>
        <v>-5476.6510784921729</v>
      </c>
      <c r="T50">
        <f t="shared" ref="T50" si="229">S50/1000</f>
        <v>-5.4766510784921731</v>
      </c>
    </row>
    <row r="51" spans="1:20" x14ac:dyDescent="0.25">
      <c r="A51" s="5">
        <v>44542</v>
      </c>
      <c r="B51">
        <v>1.3169999999999999</v>
      </c>
      <c r="C51">
        <v>1.361</v>
      </c>
      <c r="D51">
        <v>1.3049999999999999</v>
      </c>
      <c r="E51">
        <v>1.3260000000000001</v>
      </c>
      <c r="F51">
        <v>1200955.8999999999</v>
      </c>
      <c r="G51">
        <v>1.3260000000000001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-0.24999999999999603</v>
      </c>
      <c r="Q51">
        <f t="shared" ref="Q51" si="231">F51*P51</f>
        <v>-300238.9749999952</v>
      </c>
      <c r="R51">
        <f t="shared" ref="R51" si="232">R52+Q51</f>
        <v>-546122890.09049094</v>
      </c>
      <c r="S51">
        <f t="shared" ref="S51" si="233">R51/100000</f>
        <v>-5461.2289009049091</v>
      </c>
      <c r="T51">
        <f t="shared" ref="T51" si="234">S51/1000</f>
        <v>-5.4612289009049091</v>
      </c>
    </row>
    <row r="52" spans="1:20" x14ac:dyDescent="0.25">
      <c r="A52" s="5">
        <v>44541</v>
      </c>
      <c r="B52">
        <v>1.2889999999999999</v>
      </c>
      <c r="C52">
        <v>1.31</v>
      </c>
      <c r="D52">
        <v>1.2809999999999999</v>
      </c>
      <c r="E52">
        <v>1.3069999999999999</v>
      </c>
      <c r="F52">
        <v>56267.6</v>
      </c>
      <c r="G52">
        <v>1.3069999999999999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0.79310344827585522</v>
      </c>
      <c r="Q52">
        <f t="shared" ref="Q52" si="236">F52*P52</f>
        <v>44626.02758620651</v>
      </c>
      <c r="R52">
        <f t="shared" ref="R52" si="237">R53+Q52</f>
        <v>-545822651.11549091</v>
      </c>
      <c r="S52">
        <f t="shared" ref="S52" si="238">R52/100000</f>
        <v>-5458.2265111549095</v>
      </c>
      <c r="T52">
        <f t="shared" ref="T52" si="239">S52/1000</f>
        <v>-5.4582265111549093</v>
      </c>
    </row>
    <row r="53" spans="1:20" x14ac:dyDescent="0.25">
      <c r="A53" s="5">
        <v>44540</v>
      </c>
      <c r="B53">
        <v>1.339</v>
      </c>
      <c r="C53">
        <v>1.387</v>
      </c>
      <c r="D53">
        <v>1.2829999999999999</v>
      </c>
      <c r="E53">
        <v>1.2909999999999999</v>
      </c>
      <c r="F53">
        <v>1985093.1</v>
      </c>
      <c r="G53">
        <v>1.2909999999999999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-0.84615384615384615</v>
      </c>
      <c r="Q53">
        <f t="shared" ref="Q53" si="241">F53*P53</f>
        <v>-1679694.1615384617</v>
      </c>
      <c r="R53">
        <f t="shared" ref="R53" si="242">R54+Q53</f>
        <v>-545867277.14307714</v>
      </c>
      <c r="S53">
        <f t="shared" ref="S53" si="243">R53/100000</f>
        <v>-5458.6727714307717</v>
      </c>
      <c r="T53">
        <f t="shared" ref="T53" si="244">S53/1000</f>
        <v>-5.4586727714307717</v>
      </c>
    </row>
    <row r="54" spans="1:20" x14ac:dyDescent="0.25">
      <c r="A54" s="5">
        <v>44539</v>
      </c>
      <c r="B54">
        <v>1.4490000000000001</v>
      </c>
      <c r="C54">
        <v>1.464</v>
      </c>
      <c r="D54">
        <v>1.323</v>
      </c>
      <c r="E54">
        <v>1.337</v>
      </c>
      <c r="F54">
        <v>2214790.5</v>
      </c>
      <c r="G54">
        <v>1.337</v>
      </c>
      <c r="L54" t="s">
        <v>8</v>
      </c>
      <c r="M54" t="s">
        <v>7</v>
      </c>
      <c r="N54" t="s">
        <v>7</v>
      </c>
      <c r="P54">
        <f t="shared" ref="P54" si="245">IF(C54=D54,0,((E54-D54)-(C54-E54))/(C54-D54))</f>
        <v>-0.80141843971631188</v>
      </c>
      <c r="Q54">
        <f t="shared" ref="Q54" si="246">F54*P54</f>
        <v>-1774973.9468085102</v>
      </c>
      <c r="R54">
        <f t="shared" ref="R54" si="247">R55+Q54</f>
        <v>-544187582.98153865</v>
      </c>
      <c r="S54">
        <f t="shared" ref="S54" si="248">R54/100000</f>
        <v>-5441.8758298153862</v>
      </c>
      <c r="T54">
        <f t="shared" ref="T54" si="249">S54/1000</f>
        <v>-5.4418758298153858</v>
      </c>
    </row>
    <row r="55" spans="1:20" x14ac:dyDescent="0.25">
      <c r="A55" s="5">
        <v>44538</v>
      </c>
      <c r="B55">
        <v>1.4019999999999999</v>
      </c>
      <c r="C55">
        <v>1.5329999999999999</v>
      </c>
      <c r="D55">
        <v>1.34</v>
      </c>
      <c r="E55">
        <v>1.4490000000000001</v>
      </c>
      <c r="F55">
        <v>3699882.3</v>
      </c>
      <c r="G55">
        <v>1.4490000000000001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0.12953367875647748</v>
      </c>
      <c r="Q55">
        <f t="shared" ref="Q55" si="251">F55*P55</f>
        <v>479259.36528497702</v>
      </c>
      <c r="R55">
        <f t="shared" ref="R55" si="252">R56+Q55</f>
        <v>-542412609.0347302</v>
      </c>
      <c r="S55">
        <f t="shared" ref="S55" si="253">R55/100000</f>
        <v>-5424.1260903473021</v>
      </c>
      <c r="T55">
        <f t="shared" ref="T55" si="254">S55/1000</f>
        <v>-5.4241260903473023</v>
      </c>
    </row>
    <row r="56" spans="1:20" x14ac:dyDescent="0.25">
      <c r="A56" s="5">
        <v>44537</v>
      </c>
      <c r="B56">
        <v>1.38</v>
      </c>
      <c r="C56">
        <v>1.59</v>
      </c>
      <c r="D56">
        <v>1.363</v>
      </c>
      <c r="E56">
        <v>1.4039999999999999</v>
      </c>
      <c r="F56">
        <v>4190299.8</v>
      </c>
      <c r="G56">
        <v>1.4039999999999999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-0.6387665198237894</v>
      </c>
      <c r="Q56">
        <f t="shared" ref="Q56" si="256">F56*P56</f>
        <v>-2676623.2202643207</v>
      </c>
      <c r="R56">
        <f t="shared" ref="R56" si="257">R57+Q56</f>
        <v>-542891868.40001512</v>
      </c>
      <c r="S56">
        <f t="shared" ref="S56" si="258">R56/100000</f>
        <v>-5428.9186840001512</v>
      </c>
      <c r="T56">
        <f t="shared" ref="T56" si="259">S56/1000</f>
        <v>-5.4289186840001511</v>
      </c>
    </row>
    <row r="57" spans="1:20" x14ac:dyDescent="0.25">
      <c r="A57" s="5">
        <v>44536</v>
      </c>
      <c r="B57">
        <v>1.3520000000000001</v>
      </c>
      <c r="C57">
        <v>1.401</v>
      </c>
      <c r="D57">
        <v>1.2769999999999999</v>
      </c>
      <c r="E57">
        <v>1.38</v>
      </c>
      <c r="F57">
        <v>3189558.2</v>
      </c>
      <c r="G57">
        <v>1.38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0.66129032258064335</v>
      </c>
      <c r="Q57">
        <f t="shared" ref="Q57" si="261">F57*P57</f>
        <v>2109223.9709677361</v>
      </c>
      <c r="R57">
        <f t="shared" ref="R57" si="262">R58+Q57</f>
        <v>-540215245.1797508</v>
      </c>
      <c r="S57">
        <f t="shared" ref="S57" si="263">R57/100000</f>
        <v>-5402.1524517975076</v>
      </c>
      <c r="T57">
        <f t="shared" ref="T57" si="264">S57/1000</f>
        <v>-5.4021524517975079</v>
      </c>
    </row>
    <row r="58" spans="1:20" x14ac:dyDescent="0.25">
      <c r="A58" s="5">
        <v>44535</v>
      </c>
      <c r="B58">
        <v>1.4219999999999999</v>
      </c>
      <c r="C58">
        <v>1.476</v>
      </c>
      <c r="D58">
        <v>1.3089999999999999</v>
      </c>
      <c r="E58">
        <v>1.353</v>
      </c>
      <c r="F58">
        <v>2601266.2999999998</v>
      </c>
      <c r="G58">
        <v>1.353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-0.47305389221556854</v>
      </c>
      <c r="Q58">
        <f t="shared" ref="Q58" si="266">F58*P58</f>
        <v>-1230539.1479041907</v>
      </c>
      <c r="R58">
        <f t="shared" ref="R58" si="267">R59+Q58</f>
        <v>-542324469.15071857</v>
      </c>
      <c r="S58">
        <f t="shared" ref="S58" si="268">R58/100000</f>
        <v>-5423.244691507186</v>
      </c>
      <c r="T58">
        <f t="shared" ref="T58" si="269">S58/1000</f>
        <v>-5.4232446915071861</v>
      </c>
    </row>
    <row r="59" spans="1:20" x14ac:dyDescent="0.25">
      <c r="A59" s="5">
        <v>44534</v>
      </c>
      <c r="B59">
        <v>1.6739999999999999</v>
      </c>
      <c r="C59">
        <v>1.6739999999999999</v>
      </c>
      <c r="D59">
        <v>1.2709999999999999</v>
      </c>
      <c r="E59">
        <v>1.4219999999999999</v>
      </c>
      <c r="F59">
        <v>5634521.3700000001</v>
      </c>
      <c r="G59">
        <v>1.4219999999999999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-0.25062034739454087</v>
      </c>
      <c r="Q59">
        <f t="shared" ref="Q59" si="271">F59*P59</f>
        <v>-1412125.7031513643</v>
      </c>
      <c r="R59">
        <f t="shared" ref="R59" si="272">R60+Q59</f>
        <v>-541093930.00281441</v>
      </c>
      <c r="S59">
        <f t="shared" ref="S59" si="273">R59/100000</f>
        <v>-5410.9393000281443</v>
      </c>
      <c r="T59">
        <f t="shared" ref="T59" si="274">S59/1000</f>
        <v>-5.4109393000281445</v>
      </c>
    </row>
    <row r="60" spans="1:20" x14ac:dyDescent="0.25">
      <c r="A60" s="5">
        <v>44533</v>
      </c>
      <c r="B60">
        <v>1.8009999999999999</v>
      </c>
      <c r="C60">
        <v>1.8420000000000001</v>
      </c>
      <c r="D60">
        <v>1.6040000000000001</v>
      </c>
      <c r="E60">
        <v>1.6739999999999999</v>
      </c>
      <c r="F60">
        <v>5312405.5999999996</v>
      </c>
      <c r="G60">
        <v>1.6739999999999999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-0.41176470588235425</v>
      </c>
      <c r="Q60">
        <f t="shared" ref="Q60" si="276">F60*P60</f>
        <v>-2187461.1294117714</v>
      </c>
      <c r="R60">
        <f t="shared" ref="R60" si="277">R61+Q60</f>
        <v>-539681804.29966307</v>
      </c>
      <c r="S60">
        <f t="shared" ref="S60" si="278">R60/100000</f>
        <v>-5396.8180429966305</v>
      </c>
      <c r="T60">
        <f t="shared" ref="T60" si="279">S60/1000</f>
        <v>-5.3968180429966308</v>
      </c>
    </row>
    <row r="61" spans="1:20" x14ac:dyDescent="0.25">
      <c r="A61" s="5">
        <v>44532</v>
      </c>
      <c r="B61">
        <v>1.6359999999999999</v>
      </c>
      <c r="C61">
        <v>1.98</v>
      </c>
      <c r="D61">
        <v>1.617</v>
      </c>
      <c r="E61">
        <v>1.8009999999999999</v>
      </c>
      <c r="F61">
        <v>16377124.1</v>
      </c>
      <c r="G61">
        <v>1.8009999999999999</v>
      </c>
      <c r="L61" t="s">
        <v>8</v>
      </c>
      <c r="M61" t="s">
        <v>8</v>
      </c>
      <c r="N61" t="s">
        <v>7</v>
      </c>
      <c r="P61">
        <f t="shared" ref="P61" si="280">IF(C61=D61,0,((E61-D61)-(C61-E61))/(C61-D61))</f>
        <v>1.37741046831953E-2</v>
      </c>
      <c r="Q61">
        <f t="shared" ref="Q61" si="281">F61*P61</f>
        <v>225580.2217630806</v>
      </c>
      <c r="R61">
        <f t="shared" ref="R61" si="282">R62+Q61</f>
        <v>-537494343.17025125</v>
      </c>
      <c r="S61">
        <f t="shared" ref="S61" si="283">R61/100000</f>
        <v>-5374.9434317025125</v>
      </c>
      <c r="T61">
        <f t="shared" ref="T61" si="284">S61/1000</f>
        <v>-5.3749434317025129</v>
      </c>
    </row>
    <row r="62" spans="1:20" x14ac:dyDescent="0.25">
      <c r="A62" s="5">
        <v>44531</v>
      </c>
      <c r="B62">
        <v>1.6140000000000001</v>
      </c>
      <c r="C62">
        <v>1.75</v>
      </c>
      <c r="D62">
        <v>1.6020000000000001</v>
      </c>
      <c r="E62">
        <v>1.6359999999999999</v>
      </c>
      <c r="F62">
        <v>4305553.0999999996</v>
      </c>
      <c r="G62">
        <v>1.6359999999999999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-0.5405405405405429</v>
      </c>
      <c r="Q62">
        <f t="shared" ref="Q62" si="286">F62*P62</f>
        <v>-2327326.0000000098</v>
      </c>
      <c r="R62">
        <f t="shared" ref="R62" si="287">R63+Q62</f>
        <v>-537719923.39201438</v>
      </c>
      <c r="S62">
        <f t="shared" ref="S62" si="288">R62/100000</f>
        <v>-5377.1992339201443</v>
      </c>
      <c r="T62">
        <f t="shared" ref="T62" si="289">S62/1000</f>
        <v>-5.3771992339201446</v>
      </c>
    </row>
    <row r="63" spans="1:20" x14ac:dyDescent="0.25">
      <c r="A63" s="5">
        <v>44530</v>
      </c>
      <c r="B63">
        <v>1.6839999999999999</v>
      </c>
      <c r="C63">
        <v>1.7030000000000001</v>
      </c>
      <c r="D63">
        <v>1.589</v>
      </c>
      <c r="E63">
        <v>1.613</v>
      </c>
      <c r="F63">
        <v>3534535.4</v>
      </c>
      <c r="G63">
        <v>1.613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-0.57894736842105265</v>
      </c>
      <c r="Q63">
        <f t="shared" ref="Q63" si="291">F63*P63</f>
        <v>-2046309.9684210527</v>
      </c>
      <c r="R63">
        <f t="shared" ref="R63" si="292">R64+Q63</f>
        <v>-535392597.39201438</v>
      </c>
      <c r="S63">
        <f t="shared" ref="S63" si="293">R63/100000</f>
        <v>-5353.9259739201434</v>
      </c>
      <c r="T63">
        <f t="shared" ref="T63" si="294">S63/1000</f>
        <v>-5.353925973920143</v>
      </c>
    </row>
    <row r="64" spans="1:20" x14ac:dyDescent="0.25">
      <c r="A64" s="5">
        <v>44529</v>
      </c>
      <c r="B64">
        <v>1.5840000000000001</v>
      </c>
      <c r="C64">
        <v>1.764</v>
      </c>
      <c r="D64">
        <v>1.57</v>
      </c>
      <c r="E64">
        <v>1.6830000000000001</v>
      </c>
      <c r="F64">
        <v>6363413.4000000004</v>
      </c>
      <c r="G64">
        <v>1.6830000000000001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0.16494845360824761</v>
      </c>
      <c r="Q64">
        <f t="shared" ref="Q64" si="296">F64*P64</f>
        <v>1049635.2000000014</v>
      </c>
      <c r="R64">
        <f t="shared" ref="R64" si="297">R65+Q64</f>
        <v>-533346287.42359334</v>
      </c>
      <c r="S64">
        <f t="shared" ref="S64" si="298">R64/100000</f>
        <v>-5333.4628742359337</v>
      </c>
      <c r="T64">
        <f t="shared" ref="T64" si="299">S64/1000</f>
        <v>-5.3334628742359333</v>
      </c>
    </row>
    <row r="65" spans="1:20" x14ac:dyDescent="0.25">
      <c r="A65" s="5">
        <v>44528</v>
      </c>
      <c r="B65">
        <v>1.595</v>
      </c>
      <c r="C65">
        <v>1.6220000000000001</v>
      </c>
      <c r="D65">
        <v>1.51</v>
      </c>
      <c r="E65">
        <v>1.583</v>
      </c>
      <c r="F65">
        <v>2729488.8</v>
      </c>
      <c r="G65">
        <v>1.583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0.3035714285714266</v>
      </c>
      <c r="Q65">
        <f t="shared" ref="Q65" si="301">F65*P65</f>
        <v>828594.81428570882</v>
      </c>
      <c r="R65">
        <f t="shared" ref="R65" si="302">R66+Q65</f>
        <v>-534395922.62359333</v>
      </c>
      <c r="S65">
        <f t="shared" ref="S65" si="303">R65/100000</f>
        <v>-5343.9592262359329</v>
      </c>
      <c r="T65">
        <f t="shared" ref="T65" si="304">S65/1000</f>
        <v>-5.343959226235933</v>
      </c>
    </row>
    <row r="66" spans="1:20" x14ac:dyDescent="0.25">
      <c r="A66" s="5">
        <v>44527</v>
      </c>
      <c r="B66">
        <v>1.5920000000000001</v>
      </c>
      <c r="C66">
        <v>1.6539999999999999</v>
      </c>
      <c r="D66">
        <v>1.5669999999999999</v>
      </c>
      <c r="E66">
        <v>1.597</v>
      </c>
      <c r="F66">
        <v>2988002.4</v>
      </c>
      <c r="G66">
        <v>1.597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-0.31034482758620602</v>
      </c>
      <c r="Q66">
        <f t="shared" ref="Q66" si="306">F66*P66</f>
        <v>-927311.08965516975</v>
      </c>
      <c r="R66">
        <f t="shared" ref="R66" si="307">R67+Q66</f>
        <v>-535224517.43787903</v>
      </c>
      <c r="S66">
        <f t="shared" ref="S66" si="308">R66/100000</f>
        <v>-5352.2451743787906</v>
      </c>
      <c r="T66">
        <f t="shared" ref="T66" si="309">S66/1000</f>
        <v>-5.3522451743787904</v>
      </c>
    </row>
    <row r="67" spans="1:20" x14ac:dyDescent="0.25">
      <c r="A67" s="5">
        <v>44526</v>
      </c>
      <c r="B67">
        <v>1.6459999999999999</v>
      </c>
      <c r="C67">
        <v>1.669</v>
      </c>
      <c r="D67">
        <v>1.52</v>
      </c>
      <c r="E67">
        <v>1.591</v>
      </c>
      <c r="F67">
        <v>5290284.4000000004</v>
      </c>
      <c r="G67">
        <v>1.591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-4.6979865771812859E-2</v>
      </c>
      <c r="Q67">
        <f t="shared" ref="Q67" si="311">F67*P67</f>
        <v>-248536.85100671556</v>
      </c>
      <c r="R67">
        <f t="shared" ref="R67" si="312">R68+Q67</f>
        <v>-534297206.34822387</v>
      </c>
      <c r="S67">
        <f t="shared" ref="S67" si="313">R67/100000</f>
        <v>-5342.9720634822388</v>
      </c>
      <c r="T67">
        <f t="shared" ref="T67" si="314">S67/1000</f>
        <v>-5.3429720634822386</v>
      </c>
    </row>
    <row r="68" spans="1:20" x14ac:dyDescent="0.25">
      <c r="A68" s="5">
        <v>44525</v>
      </c>
      <c r="B68">
        <v>1.6379999999999999</v>
      </c>
      <c r="C68">
        <v>1.6859999999999999</v>
      </c>
      <c r="D68">
        <v>1.615</v>
      </c>
      <c r="E68">
        <v>1.6459999999999999</v>
      </c>
      <c r="F68">
        <v>3625524</v>
      </c>
      <c r="G68">
        <v>1.6459999999999999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-0.12676056338028346</v>
      </c>
      <c r="Q68">
        <f t="shared" ref="Q68" si="316">F68*P68</f>
        <v>-459573.46478873881</v>
      </c>
      <c r="R68">
        <f t="shared" ref="R68" si="317">R69+Q68</f>
        <v>-534048669.49721718</v>
      </c>
      <c r="S68">
        <f t="shared" ref="S68" si="318">R68/100000</f>
        <v>-5340.4866949721718</v>
      </c>
      <c r="T68">
        <f t="shared" ref="T68" si="319">S68/1000</f>
        <v>-5.3404866949721717</v>
      </c>
    </row>
    <row r="69" spans="1:20" x14ac:dyDescent="0.25">
      <c r="A69" s="5">
        <v>44524</v>
      </c>
      <c r="B69">
        <v>1.736</v>
      </c>
      <c r="C69">
        <v>1.7689999999999999</v>
      </c>
      <c r="D69">
        <v>1.6539999999999999</v>
      </c>
      <c r="E69">
        <v>1.6890000000000001</v>
      </c>
      <c r="F69">
        <v>1010785.5</v>
      </c>
      <c r="G69">
        <v>1.6890000000000001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-0.39130434782608442</v>
      </c>
      <c r="Q69">
        <f t="shared" ref="Q69" si="321">F69*P69</f>
        <v>-395524.76086956263</v>
      </c>
      <c r="R69">
        <f t="shared" ref="R69" si="322">R70+Q69</f>
        <v>-533589096.03242844</v>
      </c>
      <c r="S69">
        <f t="shared" ref="S69" si="323">R69/100000</f>
        <v>-5335.8909603242846</v>
      </c>
      <c r="T69">
        <f t="shared" ref="T69" si="324">S69/1000</f>
        <v>-5.335890960324285</v>
      </c>
    </row>
    <row r="70" spans="1:20" x14ac:dyDescent="0.25">
      <c r="A70" s="5">
        <v>44523</v>
      </c>
      <c r="B70">
        <v>1.671</v>
      </c>
      <c r="C70">
        <v>1.819</v>
      </c>
      <c r="D70">
        <v>1.661</v>
      </c>
      <c r="E70">
        <v>1.736</v>
      </c>
      <c r="F70">
        <v>4515474.8</v>
      </c>
      <c r="G70">
        <v>1.736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-5.0632911392405132E-2</v>
      </c>
      <c r="Q70">
        <f t="shared" ref="Q70" si="326">F70*P70</f>
        <v>-228631.63544303828</v>
      </c>
      <c r="R70">
        <f t="shared" ref="R70" si="327">R71+Q70</f>
        <v>-533193571.27155888</v>
      </c>
      <c r="S70">
        <f t="shared" ref="S70" si="328">R70/100000</f>
        <v>-5331.935712715589</v>
      </c>
      <c r="T70">
        <f t="shared" ref="T70" si="329">S70/1000</f>
        <v>-5.3319357127155893</v>
      </c>
    </row>
    <row r="71" spans="1:20" x14ac:dyDescent="0.25">
      <c r="A71" s="5">
        <v>44522</v>
      </c>
      <c r="B71">
        <v>1.7629999999999999</v>
      </c>
      <c r="C71">
        <v>1.764</v>
      </c>
      <c r="D71">
        <v>1.65</v>
      </c>
      <c r="E71">
        <v>1.673</v>
      </c>
      <c r="F71">
        <v>2457316.6</v>
      </c>
      <c r="G71">
        <v>1.673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-0.59649122807017352</v>
      </c>
      <c r="Q71">
        <f t="shared" ref="Q71" si="331">F71*P71</f>
        <v>-1465767.7964912234</v>
      </c>
      <c r="R71">
        <f t="shared" ref="R71" si="332">R72+Q71</f>
        <v>-532964939.63611585</v>
      </c>
      <c r="S71">
        <f t="shared" ref="S71" si="333">R71/100000</f>
        <v>-5329.6493963611583</v>
      </c>
      <c r="T71">
        <f t="shared" ref="T71" si="334">S71/1000</f>
        <v>-5.329649396361158</v>
      </c>
    </row>
    <row r="72" spans="1:20" x14ac:dyDescent="0.25">
      <c r="A72" s="5">
        <v>44521</v>
      </c>
      <c r="B72">
        <v>1.766</v>
      </c>
      <c r="C72">
        <v>1.8879999999999999</v>
      </c>
      <c r="D72">
        <v>1.746</v>
      </c>
      <c r="E72">
        <v>1.762</v>
      </c>
      <c r="F72">
        <v>11853924.9</v>
      </c>
      <c r="G72">
        <v>1.762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-0.7746478873239433</v>
      </c>
      <c r="Q72">
        <f t="shared" ref="Q72" si="336">F72*P72</f>
        <v>-9182617.8802816868</v>
      </c>
      <c r="R72">
        <f t="shared" ref="R72" si="337">R73+Q72</f>
        <v>-531499171.83962464</v>
      </c>
      <c r="S72">
        <f t="shared" ref="S72" si="338">R72/100000</f>
        <v>-5314.9917183962461</v>
      </c>
      <c r="T72">
        <f t="shared" ref="T72" si="339">S72/1000</f>
        <v>-5.3149917183962465</v>
      </c>
    </row>
    <row r="73" spans="1:20" x14ac:dyDescent="0.25">
      <c r="A73" s="5">
        <v>44520</v>
      </c>
      <c r="B73">
        <v>1.677</v>
      </c>
      <c r="C73">
        <v>1.7949999999999999</v>
      </c>
      <c r="D73">
        <v>1.6539999999999999</v>
      </c>
      <c r="E73">
        <v>1.768</v>
      </c>
      <c r="F73">
        <v>3322320.5</v>
      </c>
      <c r="G73">
        <v>1.768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0.6170212765957459</v>
      </c>
      <c r="Q73">
        <f t="shared" ref="Q73" si="341">F73*P73</f>
        <v>2049942.4361702169</v>
      </c>
      <c r="R73">
        <f t="shared" ref="R73" si="342">R74+Q73</f>
        <v>-522316553.95934296</v>
      </c>
      <c r="S73">
        <f t="shared" ref="S73" si="343">R73/100000</f>
        <v>-5223.1655395934295</v>
      </c>
      <c r="T73">
        <f t="shared" ref="T73" si="344">S73/1000</f>
        <v>-5.2231655395934293</v>
      </c>
    </row>
    <row r="74" spans="1:20" x14ac:dyDescent="0.25">
      <c r="A74" s="5">
        <v>44519</v>
      </c>
      <c r="B74">
        <v>1.552</v>
      </c>
      <c r="C74">
        <v>1.7130000000000001</v>
      </c>
      <c r="D74">
        <v>1.5129999999999999</v>
      </c>
      <c r="E74">
        <v>1.6759999999999999</v>
      </c>
      <c r="F74">
        <v>2764879.7</v>
      </c>
      <c r="G74">
        <v>1.6759999999999999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0.62999999999999889</v>
      </c>
      <c r="Q74">
        <f t="shared" ref="Q74" si="346">F74*P74</f>
        <v>1741874.2109999971</v>
      </c>
      <c r="R74">
        <f t="shared" ref="R74" si="347">R75+Q74</f>
        <v>-524366496.39551318</v>
      </c>
      <c r="S74">
        <f t="shared" ref="S74" si="348">R74/100000</f>
        <v>-5243.6649639551315</v>
      </c>
      <c r="T74">
        <f t="shared" ref="T74" si="349">S74/1000</f>
        <v>-5.2436649639551316</v>
      </c>
    </row>
    <row r="75" spans="1:20" x14ac:dyDescent="0.25">
      <c r="A75" s="5">
        <v>44518</v>
      </c>
      <c r="B75">
        <v>1.6839999999999999</v>
      </c>
      <c r="C75">
        <v>1.708</v>
      </c>
      <c r="D75">
        <v>1.502</v>
      </c>
      <c r="E75">
        <v>1.552</v>
      </c>
      <c r="F75">
        <v>3903475.88</v>
      </c>
      <c r="G75">
        <v>1.552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-0.51456310679611594</v>
      </c>
      <c r="Q75">
        <f t="shared" ref="Q75" si="351">F75*P75</f>
        <v>-2008584.6761165026</v>
      </c>
      <c r="R75">
        <f t="shared" ref="R75" si="352">R76+Q75</f>
        <v>-526108370.6065132</v>
      </c>
      <c r="S75">
        <f t="shared" ref="S75" si="353">R75/100000</f>
        <v>-5261.083706065132</v>
      </c>
      <c r="T75">
        <f t="shared" ref="T75" si="354">S75/1000</f>
        <v>-5.2610837060651319</v>
      </c>
    </row>
    <row r="76" spans="1:20" x14ac:dyDescent="0.25">
      <c r="A76" s="5">
        <v>44517</v>
      </c>
      <c r="B76">
        <v>1.698</v>
      </c>
      <c r="C76">
        <v>1.72</v>
      </c>
      <c r="D76">
        <v>1.597</v>
      </c>
      <c r="E76">
        <v>1.6819999999999999</v>
      </c>
      <c r="F76">
        <v>4758929.5999999996</v>
      </c>
      <c r="G76">
        <v>1.6819999999999999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0.38211382113821085</v>
      </c>
      <c r="Q76">
        <f t="shared" ref="Q76" si="356">F76*P76</f>
        <v>1818452.7739837372</v>
      </c>
      <c r="R76">
        <f t="shared" ref="R76" si="357">R77+Q76</f>
        <v>-524099785.93039668</v>
      </c>
      <c r="S76">
        <f t="shared" ref="S76" si="358">R76/100000</f>
        <v>-5240.9978593039668</v>
      </c>
      <c r="T76">
        <f t="shared" ref="T76" si="359">S76/1000</f>
        <v>-5.2409978593039668</v>
      </c>
    </row>
    <row r="77" spans="1:20" x14ac:dyDescent="0.25">
      <c r="A77" s="5">
        <v>44516</v>
      </c>
      <c r="B77">
        <v>1.877</v>
      </c>
      <c r="C77">
        <v>1.883</v>
      </c>
      <c r="D77">
        <v>1.663</v>
      </c>
      <c r="E77">
        <v>1.698</v>
      </c>
      <c r="F77">
        <v>4245511.5999999996</v>
      </c>
      <c r="G77">
        <v>1.698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-0.68181818181818254</v>
      </c>
      <c r="Q77">
        <f t="shared" ref="Q77" si="361">F77*P77</f>
        <v>-2894667.0000000028</v>
      </c>
      <c r="R77">
        <f t="shared" ref="R77" si="362">R78+Q77</f>
        <v>-525918238.70438039</v>
      </c>
      <c r="S77">
        <f t="shared" ref="S77" si="363">R77/100000</f>
        <v>-5259.1823870438038</v>
      </c>
      <c r="T77">
        <f t="shared" ref="T77" si="364">S77/1000</f>
        <v>-5.2591823870438041</v>
      </c>
    </row>
    <row r="78" spans="1:20" x14ac:dyDescent="0.25">
      <c r="A78" s="5">
        <v>44515</v>
      </c>
      <c r="B78">
        <v>1.907</v>
      </c>
      <c r="C78">
        <v>1.9430000000000001</v>
      </c>
      <c r="D78">
        <v>1.8660000000000001</v>
      </c>
      <c r="E78">
        <v>1.877</v>
      </c>
      <c r="F78">
        <v>2624312.9</v>
      </c>
      <c r="G78">
        <v>1.877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-0.71428571428571674</v>
      </c>
      <c r="Q78">
        <f t="shared" ref="Q78" si="366">F78*P78</f>
        <v>-1874509.2142857206</v>
      </c>
      <c r="R78">
        <f t="shared" ref="R78" si="367">R79+Q78</f>
        <v>-523023571.70438039</v>
      </c>
      <c r="S78">
        <f t="shared" ref="S78" si="368">R78/100000</f>
        <v>-5230.2357170438036</v>
      </c>
      <c r="T78">
        <f t="shared" ref="T78" si="369">S78/1000</f>
        <v>-5.2302357170438034</v>
      </c>
    </row>
    <row r="79" spans="1:20" x14ac:dyDescent="0.25">
      <c r="A79" s="5">
        <v>44514</v>
      </c>
      <c r="B79">
        <v>1.9039999999999999</v>
      </c>
      <c r="C79">
        <v>1.9490000000000001</v>
      </c>
      <c r="D79">
        <v>1.8240000000000001</v>
      </c>
      <c r="E79">
        <v>1.9039999999999999</v>
      </c>
      <c r="F79">
        <v>3381309.2</v>
      </c>
      <c r="G79">
        <v>1.9039999999999999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0.27999999999999758</v>
      </c>
      <c r="Q79">
        <f t="shared" ref="Q79" si="371">F79*P79</f>
        <v>946766.57599999185</v>
      </c>
      <c r="R79">
        <f t="shared" ref="R79" si="372">R80+Q79</f>
        <v>-521149062.49009466</v>
      </c>
      <c r="S79">
        <f t="shared" ref="S79" si="373">R79/100000</f>
        <v>-5211.4906249009464</v>
      </c>
      <c r="T79">
        <f t="shared" ref="T79" si="374">S79/1000</f>
        <v>-5.2114906249009465</v>
      </c>
    </row>
    <row r="80" spans="1:20" x14ac:dyDescent="0.25">
      <c r="A80" s="5">
        <v>44513</v>
      </c>
      <c r="B80">
        <v>1.9339999999999999</v>
      </c>
      <c r="C80">
        <v>1.962</v>
      </c>
      <c r="D80">
        <v>1.8560000000000001</v>
      </c>
      <c r="E80">
        <v>1.9019999999999999</v>
      </c>
      <c r="F80">
        <v>2222204.4</v>
      </c>
      <c r="G80">
        <v>1.9019999999999999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-0.13207547169811557</v>
      </c>
      <c r="Q80">
        <f t="shared" ref="Q80" si="376">F80*P80</f>
        <v>-293498.69433962787</v>
      </c>
      <c r="R80">
        <f t="shared" ref="R80" si="377">R81+Q80</f>
        <v>-522095829.06609464</v>
      </c>
      <c r="S80">
        <f t="shared" ref="S80" si="378">R80/100000</f>
        <v>-5220.9582906609467</v>
      </c>
      <c r="T80">
        <f t="shared" ref="T80" si="379">S80/1000</f>
        <v>-5.2209582906609464</v>
      </c>
    </row>
    <row r="81" spans="1:20" x14ac:dyDescent="0.25">
      <c r="A81" s="5">
        <v>44512</v>
      </c>
      <c r="B81">
        <v>1.9119999999999999</v>
      </c>
      <c r="C81">
        <v>1.9490000000000001</v>
      </c>
      <c r="D81">
        <v>1.8140000000000001</v>
      </c>
      <c r="E81">
        <v>1.9339999999999999</v>
      </c>
      <c r="F81">
        <v>2993631.6</v>
      </c>
      <c r="G81">
        <v>1.9339999999999999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0.7777777777777759</v>
      </c>
      <c r="Q81">
        <f t="shared" ref="Q81" si="381">F81*P81</f>
        <v>2328380.1333333277</v>
      </c>
      <c r="R81">
        <f t="shared" ref="R81" si="382">R82+Q81</f>
        <v>-521802330.371755</v>
      </c>
      <c r="S81">
        <f t="shared" ref="S81" si="383">R81/100000</f>
        <v>-5218.0233037175503</v>
      </c>
      <c r="T81">
        <f t="shared" ref="T81" si="384">S81/1000</f>
        <v>-5.2180233037175503</v>
      </c>
    </row>
    <row r="82" spans="1:20" x14ac:dyDescent="0.25">
      <c r="A82" s="5">
        <v>44511</v>
      </c>
      <c r="B82">
        <v>1.897</v>
      </c>
      <c r="C82">
        <v>1.9419999999999999</v>
      </c>
      <c r="D82">
        <v>1.8720000000000001</v>
      </c>
      <c r="E82">
        <v>1.915</v>
      </c>
      <c r="F82">
        <v>2585264.2000000002</v>
      </c>
      <c r="G82">
        <v>1.915</v>
      </c>
      <c r="L82" t="s">
        <v>7</v>
      </c>
      <c r="M82" t="s">
        <v>7</v>
      </c>
      <c r="N82" t="s">
        <v>8</v>
      </c>
      <c r="P82">
        <f t="shared" ref="P82" si="385">IF(C82=D82,0,((E82-D82)-(C82-E82))/(C82-D82))</f>
        <v>0.22857142857142929</v>
      </c>
      <c r="Q82">
        <f t="shared" ref="Q82" si="386">F82*P82</f>
        <v>590917.5314285733</v>
      </c>
      <c r="R82">
        <f t="shared" ref="R82" si="387">R83+Q82</f>
        <v>-524130710.50508833</v>
      </c>
      <c r="S82">
        <f t="shared" ref="S82" si="388">R82/100000</f>
        <v>-5241.3071050508834</v>
      </c>
      <c r="T82">
        <f t="shared" ref="T82" si="389">S82/1000</f>
        <v>-5.2413071050508835</v>
      </c>
    </row>
    <row r="83" spans="1:20" x14ac:dyDescent="0.25">
      <c r="A83" s="5">
        <v>44510</v>
      </c>
      <c r="B83">
        <v>2.0150000000000001</v>
      </c>
      <c r="C83">
        <v>2.0489999999999999</v>
      </c>
      <c r="D83">
        <v>1.851</v>
      </c>
      <c r="E83">
        <v>1.8979999999999999</v>
      </c>
      <c r="F83">
        <v>4166337.9</v>
      </c>
      <c r="G83">
        <v>1.8979999999999999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-0.52525252525252586</v>
      </c>
      <c r="Q83">
        <f t="shared" ref="Q83" si="391">F83*P83</f>
        <v>-2188379.5030303057</v>
      </c>
      <c r="R83">
        <f t="shared" ref="R83" si="392">R84+Q83</f>
        <v>-524721628.0365169</v>
      </c>
      <c r="S83">
        <f t="shared" ref="S83" si="393">R83/100000</f>
        <v>-5247.216280365169</v>
      </c>
      <c r="T83">
        <f t="shared" ref="T83" si="394">S83/1000</f>
        <v>-5.2472162803651692</v>
      </c>
    </row>
    <row r="84" spans="1:20" x14ac:dyDescent="0.25">
      <c r="A84" s="5">
        <v>44509</v>
      </c>
      <c r="B84">
        <v>1.9910000000000001</v>
      </c>
      <c r="C84">
        <v>2.0960000000000001</v>
      </c>
      <c r="D84">
        <v>1.9790000000000001</v>
      </c>
      <c r="E84">
        <v>2.0129999999999999</v>
      </c>
      <c r="F84">
        <v>4186528.3</v>
      </c>
      <c r="G84">
        <v>2.0129999999999999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-0.41880341880342203</v>
      </c>
      <c r="Q84">
        <f t="shared" ref="Q84" si="396">F84*P84</f>
        <v>-1753332.3649572784</v>
      </c>
      <c r="R84">
        <f t="shared" ref="R84" si="397">R85+Q84</f>
        <v>-522533248.5334866</v>
      </c>
      <c r="S84">
        <f t="shared" ref="S84" si="398">R84/100000</f>
        <v>-5225.3324853348659</v>
      </c>
      <c r="T84">
        <f t="shared" ref="T84" si="399">S84/1000</f>
        <v>-5.2253324853348655</v>
      </c>
    </row>
    <row r="85" spans="1:20" x14ac:dyDescent="0.25">
      <c r="A85" s="5">
        <v>44508</v>
      </c>
      <c r="B85">
        <v>2.0019999999999998</v>
      </c>
      <c r="C85">
        <v>2.0249999999999999</v>
      </c>
      <c r="D85">
        <v>1.964</v>
      </c>
      <c r="E85">
        <v>1.9890000000000001</v>
      </c>
      <c r="F85">
        <v>2537737.5</v>
      </c>
      <c r="G85">
        <v>1.9890000000000001</v>
      </c>
      <c r="L85" t="s">
        <v>7</v>
      </c>
      <c r="M85" t="s">
        <v>7</v>
      </c>
      <c r="N85" t="s">
        <v>8</v>
      </c>
      <c r="P85">
        <f t="shared" ref="P85" si="400">IF(C85=D85,0,((E85-D85)-(C85-E85))/(C85-D85))</f>
        <v>-0.18032786885245389</v>
      </c>
      <c r="Q85">
        <f t="shared" ref="Q85" si="401">F85*P85</f>
        <v>-457624.79508195422</v>
      </c>
      <c r="R85">
        <f t="shared" ref="R85" si="402">R86+Q85</f>
        <v>-520779916.16852933</v>
      </c>
      <c r="S85">
        <f t="shared" ref="S85" si="403">R85/100000</f>
        <v>-5207.7991616852933</v>
      </c>
      <c r="T85">
        <f t="shared" ref="T85" si="404">S85/1000</f>
        <v>-5.2077991616852932</v>
      </c>
    </row>
    <row r="86" spans="1:20" x14ac:dyDescent="0.25">
      <c r="A86" s="5">
        <v>44507</v>
      </c>
      <c r="B86">
        <v>1.982</v>
      </c>
      <c r="C86">
        <v>2.052</v>
      </c>
      <c r="D86">
        <v>1.976</v>
      </c>
      <c r="E86">
        <v>2.0009999999999999</v>
      </c>
      <c r="F86">
        <v>3260545.5</v>
      </c>
      <c r="G86">
        <v>2.0009999999999999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-0.34210526315789763</v>
      </c>
      <c r="Q86">
        <f t="shared" ref="Q86" si="406">F86*P86</f>
        <v>-1115449.776315799</v>
      </c>
      <c r="R86">
        <f t="shared" ref="R86" si="407">R87+Q86</f>
        <v>-520322291.37344736</v>
      </c>
      <c r="S86">
        <f t="shared" ref="S86" si="408">R86/100000</f>
        <v>-5203.2229137344739</v>
      </c>
      <c r="T86">
        <f t="shared" ref="T86" si="409">S86/1000</f>
        <v>-5.2032229137344741</v>
      </c>
    </row>
    <row r="87" spans="1:20" x14ac:dyDescent="0.25">
      <c r="A87" s="5">
        <v>44506</v>
      </c>
      <c r="B87">
        <v>2.044</v>
      </c>
      <c r="C87">
        <v>2.0619999999999998</v>
      </c>
      <c r="D87">
        <v>1.9379999999999999</v>
      </c>
      <c r="E87">
        <v>1.982</v>
      </c>
      <c r="F87">
        <v>2348444.4</v>
      </c>
      <c r="G87">
        <v>1.982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-0.29032258064516003</v>
      </c>
      <c r="Q87">
        <f t="shared" ref="Q87" si="411">F87*P87</f>
        <v>-681806.4387096744</v>
      </c>
      <c r="R87">
        <f t="shared" ref="R87" si="412">R88+Q87</f>
        <v>-519206841.59713155</v>
      </c>
      <c r="S87">
        <f t="shared" ref="S87" si="413">R87/100000</f>
        <v>-5192.0684159713155</v>
      </c>
      <c r="T87">
        <f t="shared" ref="T87" si="414">S87/1000</f>
        <v>-5.1920684159713151</v>
      </c>
    </row>
    <row r="88" spans="1:20" x14ac:dyDescent="0.25">
      <c r="A88" s="5">
        <v>44505</v>
      </c>
      <c r="B88">
        <v>2.0489999999999999</v>
      </c>
      <c r="C88">
        <v>2.15</v>
      </c>
      <c r="D88">
        <v>2.0150000000000001</v>
      </c>
      <c r="E88">
        <v>2.044</v>
      </c>
      <c r="F88">
        <v>4506806.4000000004</v>
      </c>
      <c r="G88">
        <v>2.044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-0.57037037037037097</v>
      </c>
      <c r="Q88">
        <f t="shared" ref="Q88" si="416">F88*P88</f>
        <v>-2570548.8355555586</v>
      </c>
      <c r="R88">
        <f t="shared" ref="R88" si="417">R89+Q88</f>
        <v>-518525035.15842187</v>
      </c>
      <c r="S88">
        <f t="shared" ref="S88" si="418">R88/100000</f>
        <v>-5185.2503515842191</v>
      </c>
      <c r="T88">
        <f t="shared" ref="T88" si="419">S88/1000</f>
        <v>-5.1852503515842194</v>
      </c>
    </row>
    <row r="89" spans="1:20" x14ac:dyDescent="0.25">
      <c r="A89" s="5">
        <v>44504</v>
      </c>
      <c r="B89">
        <v>2.093</v>
      </c>
      <c r="C89">
        <v>2.1629999999999998</v>
      </c>
      <c r="D89">
        <v>2.0150000000000001</v>
      </c>
      <c r="E89">
        <v>2.0489999999999999</v>
      </c>
      <c r="F89">
        <v>4418932.8</v>
      </c>
      <c r="G89">
        <v>2.0489999999999999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-0.54054054054054212</v>
      </c>
      <c r="Q89">
        <f t="shared" ref="Q89" si="421">F89*P89</f>
        <v>-2388612.3243243312</v>
      </c>
      <c r="R89">
        <f t="shared" ref="R89" si="422">R90+Q89</f>
        <v>-515954486.32286632</v>
      </c>
      <c r="S89">
        <f t="shared" ref="S89" si="423">R89/100000</f>
        <v>-5159.5448632286634</v>
      </c>
      <c r="T89">
        <f t="shared" ref="T89" si="424">S89/1000</f>
        <v>-5.1595448632286631</v>
      </c>
    </row>
    <row r="90" spans="1:20" x14ac:dyDescent="0.25">
      <c r="A90" s="5">
        <v>44503</v>
      </c>
      <c r="B90">
        <v>2.1539999999999999</v>
      </c>
      <c r="C90">
        <v>2.35</v>
      </c>
      <c r="D90">
        <v>2.0139999999999998</v>
      </c>
      <c r="E90">
        <v>2.0910000000000002</v>
      </c>
      <c r="F90">
        <v>13384123.300000001</v>
      </c>
      <c r="G90">
        <v>2.0910000000000002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-0.54166666666666463</v>
      </c>
      <c r="Q90">
        <f t="shared" ref="Q90" si="426">F90*P90</f>
        <v>-7249733.4541666396</v>
      </c>
      <c r="R90">
        <f t="shared" ref="R90" si="427">R91+Q90</f>
        <v>-513565873.99854201</v>
      </c>
      <c r="S90">
        <f t="shared" ref="S90" si="428">R90/100000</f>
        <v>-5135.6587399854197</v>
      </c>
      <c r="T90">
        <f t="shared" ref="T90" si="429">S90/1000</f>
        <v>-5.1356587399854199</v>
      </c>
    </row>
    <row r="91" spans="1:20" x14ac:dyDescent="0.25">
      <c r="A91" s="5">
        <v>44502</v>
      </c>
      <c r="B91">
        <v>1.9379999999999999</v>
      </c>
      <c r="C91">
        <v>2.2000000000000002</v>
      </c>
      <c r="D91">
        <v>1.9019999999999999</v>
      </c>
      <c r="E91">
        <v>2.1549999999999998</v>
      </c>
      <c r="F91">
        <v>8468780.4000000004</v>
      </c>
      <c r="G91">
        <v>2.1549999999999998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0.69798657718120583</v>
      </c>
      <c r="Q91">
        <f t="shared" ref="Q91" si="431">F91*P91</f>
        <v>5911095.044295283</v>
      </c>
      <c r="R91">
        <f t="shared" ref="R91" si="432">R92+Q91</f>
        <v>-506316140.54437536</v>
      </c>
      <c r="S91">
        <f t="shared" ref="S91" si="433">R91/100000</f>
        <v>-5063.1614054437532</v>
      </c>
      <c r="T91">
        <f t="shared" ref="T91" si="434">S91/1000</f>
        <v>-5.0631614054437533</v>
      </c>
    </row>
    <row r="92" spans="1:20" x14ac:dyDescent="0.25">
      <c r="A92" s="5">
        <v>44501</v>
      </c>
      <c r="B92">
        <v>1.915</v>
      </c>
      <c r="C92">
        <v>1.9890000000000001</v>
      </c>
      <c r="D92">
        <v>1.88</v>
      </c>
      <c r="E92">
        <v>1.9379999999999999</v>
      </c>
      <c r="F92">
        <v>2768859.8</v>
      </c>
      <c r="G92">
        <v>1.9379999999999999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6.4220183486237453E-2</v>
      </c>
      <c r="Q92">
        <f t="shared" ref="Q92" si="436">F92*P92</f>
        <v>177816.68440366673</v>
      </c>
      <c r="R92">
        <f t="shared" ref="R92" si="437">R93+Q92</f>
        <v>-512227235.58867067</v>
      </c>
      <c r="S92">
        <f t="shared" ref="S92" si="438">R92/100000</f>
        <v>-5122.2723558867065</v>
      </c>
      <c r="T92">
        <f t="shared" ref="T92" si="439">S92/1000</f>
        <v>-5.1222723558867065</v>
      </c>
    </row>
    <row r="93" spans="1:20" x14ac:dyDescent="0.25">
      <c r="A93" s="5">
        <v>44500</v>
      </c>
      <c r="B93">
        <v>1.881</v>
      </c>
      <c r="C93">
        <v>2</v>
      </c>
      <c r="D93">
        <v>1.857</v>
      </c>
      <c r="E93">
        <v>1.915</v>
      </c>
      <c r="F93">
        <v>4192960.1</v>
      </c>
      <c r="G93">
        <v>1.915</v>
      </c>
      <c r="L93" t="s">
        <v>8</v>
      </c>
      <c r="M93" t="s">
        <v>7</v>
      </c>
      <c r="N93" t="s">
        <v>8</v>
      </c>
      <c r="P93">
        <f t="shared" ref="P93" si="440">IF(C93=D93,0,((E93-D93)-(C93-E93))/(C93-D93))</f>
        <v>-0.18881118881118819</v>
      </c>
      <c r="Q93">
        <f t="shared" ref="Q93" si="441">F93*P93</f>
        <v>-791677.78111887851</v>
      </c>
      <c r="R93">
        <f t="shared" ref="R93" si="442">R94+Q93</f>
        <v>-512405052.27307433</v>
      </c>
      <c r="S93">
        <f t="shared" ref="S93" si="443">R93/100000</f>
        <v>-5124.0505227307431</v>
      </c>
      <c r="T93">
        <f t="shared" ref="T93" si="444">S93/1000</f>
        <v>-5.1240505227307427</v>
      </c>
    </row>
    <row r="94" spans="1:20" x14ac:dyDescent="0.25">
      <c r="A94" s="5">
        <v>44499</v>
      </c>
      <c r="B94">
        <v>1.9219999999999999</v>
      </c>
      <c r="C94">
        <v>1.94</v>
      </c>
      <c r="D94">
        <v>1.841</v>
      </c>
      <c r="E94">
        <v>1.881</v>
      </c>
      <c r="F94">
        <v>2635450.9</v>
      </c>
      <c r="G94">
        <v>1.881</v>
      </c>
      <c r="L94" t="s">
        <v>8</v>
      </c>
      <c r="M94" t="s">
        <v>7</v>
      </c>
      <c r="N94" t="s">
        <v>8</v>
      </c>
      <c r="P94">
        <f t="shared" ref="P94" si="445">IF(C94=D94,0,((E94-D94)-(C94-E94))/(C94-D94))</f>
        <v>-0.19191919191919102</v>
      </c>
      <c r="Q94">
        <f t="shared" ref="Q94" si="446">F94*P94</f>
        <v>-505793.60707070469</v>
      </c>
      <c r="R94">
        <f t="shared" ref="R94" si="447">R95+Q94</f>
        <v>-511613374.49195546</v>
      </c>
      <c r="S94">
        <f t="shared" ref="S94" si="448">R94/100000</f>
        <v>-5116.1337449195544</v>
      </c>
      <c r="T94">
        <f t="shared" ref="T94" si="449">S94/1000</f>
        <v>-5.1161337449195541</v>
      </c>
    </row>
    <row r="95" spans="1:20" x14ac:dyDescent="0.25">
      <c r="A95" s="5">
        <v>44498</v>
      </c>
      <c r="B95">
        <v>1.8779999999999999</v>
      </c>
      <c r="C95">
        <v>1.9470000000000001</v>
      </c>
      <c r="D95">
        <v>1.851</v>
      </c>
      <c r="E95">
        <v>1.9219999999999999</v>
      </c>
      <c r="F95">
        <v>2304243.1</v>
      </c>
      <c r="G95">
        <v>1.9219999999999999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0.47916666666666435</v>
      </c>
      <c r="Q95">
        <f t="shared" ref="Q95" si="451">F95*P95</f>
        <v>1104116.4854166615</v>
      </c>
      <c r="R95">
        <f t="shared" ref="R95" si="452">R96+Q95</f>
        <v>-511107580.88488477</v>
      </c>
      <c r="S95">
        <f t="shared" ref="S95" si="453">R95/100000</f>
        <v>-5111.0758088488474</v>
      </c>
      <c r="T95">
        <f t="shared" ref="T95" si="454">S95/1000</f>
        <v>-5.111075808848847</v>
      </c>
    </row>
    <row r="96" spans="1:20" x14ac:dyDescent="0.25">
      <c r="A96" s="5">
        <v>44497</v>
      </c>
      <c r="B96">
        <v>1.829</v>
      </c>
      <c r="C96">
        <v>1.917</v>
      </c>
      <c r="D96">
        <v>1.776</v>
      </c>
      <c r="E96">
        <v>1.8779999999999999</v>
      </c>
      <c r="F96">
        <v>2795393.9</v>
      </c>
      <c r="G96">
        <v>1.8779999999999999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0.44680851063829585</v>
      </c>
      <c r="Q96">
        <f t="shared" ref="Q96" si="456">F96*P96</f>
        <v>1249005.7851063772</v>
      </c>
      <c r="R96">
        <f t="shared" ref="R96" si="457">R97+Q96</f>
        <v>-512211697.37030143</v>
      </c>
      <c r="S96">
        <f t="shared" ref="S96" si="458">R96/100000</f>
        <v>-5122.1169737030141</v>
      </c>
      <c r="T96">
        <f t="shared" ref="T96" si="459">S96/1000</f>
        <v>-5.1221169737030143</v>
      </c>
    </row>
    <row r="97" spans="1:20" x14ac:dyDescent="0.25">
      <c r="A97" s="5">
        <v>44496</v>
      </c>
      <c r="B97">
        <v>1.996</v>
      </c>
      <c r="C97">
        <v>2.0699999999999998</v>
      </c>
      <c r="D97">
        <v>1.8069999999999999</v>
      </c>
      <c r="E97">
        <v>1.83</v>
      </c>
      <c r="F97">
        <v>4398908.4000000004</v>
      </c>
      <c r="G97">
        <v>1.83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-0.82509505703421948</v>
      </c>
      <c r="Q97">
        <f t="shared" ref="Q97" si="461">F97*P97</f>
        <v>-3629517.5771863074</v>
      </c>
      <c r="R97">
        <f t="shared" ref="R97" si="462">R98+Q97</f>
        <v>-513460703.15540779</v>
      </c>
      <c r="S97">
        <f t="shared" ref="S97" si="463">R97/100000</f>
        <v>-5134.6070315540783</v>
      </c>
      <c r="T97">
        <f t="shared" ref="T97" si="464">S97/1000</f>
        <v>-5.1346070315540784</v>
      </c>
    </row>
    <row r="98" spans="1:20" x14ac:dyDescent="0.25">
      <c r="A98" s="5">
        <v>44495</v>
      </c>
      <c r="B98">
        <v>2.0339999999999998</v>
      </c>
      <c r="C98">
        <v>2.0699999999999998</v>
      </c>
      <c r="D98">
        <v>1.986</v>
      </c>
      <c r="E98">
        <v>1.996</v>
      </c>
      <c r="F98">
        <v>3062521.3</v>
      </c>
      <c r="G98">
        <v>1.996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-0.76190476190476131</v>
      </c>
      <c r="Q98">
        <f t="shared" ref="Q98" si="466">F98*P98</f>
        <v>-2333349.5619047601</v>
      </c>
      <c r="R98">
        <f t="shared" ref="R98" si="467">R99+Q98</f>
        <v>-509831185.5782215</v>
      </c>
      <c r="S98">
        <f t="shared" ref="S98" si="468">R98/100000</f>
        <v>-5098.3118557822154</v>
      </c>
      <c r="T98">
        <f t="shared" ref="T98" si="469">S98/1000</f>
        <v>-5.0983118557822156</v>
      </c>
    </row>
    <row r="99" spans="1:20" x14ac:dyDescent="0.25">
      <c r="A99" s="5">
        <v>44494</v>
      </c>
      <c r="B99">
        <v>2.0249999999999999</v>
      </c>
      <c r="C99">
        <v>2.0710000000000002</v>
      </c>
      <c r="D99">
        <v>2.0110000000000001</v>
      </c>
      <c r="E99">
        <v>2.0339999999999998</v>
      </c>
      <c r="F99">
        <v>2804795.5</v>
      </c>
      <c r="G99">
        <v>2.0339999999999998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-0.23333333333334444</v>
      </c>
      <c r="Q99">
        <f t="shared" ref="Q99" si="471">F99*P99</f>
        <v>-654452.28333336452</v>
      </c>
      <c r="R99">
        <f t="shared" ref="R99" si="472">R100+Q99</f>
        <v>-507497836.01631671</v>
      </c>
      <c r="S99">
        <f t="shared" ref="S99" si="473">R99/100000</f>
        <v>-5074.9783601631671</v>
      </c>
      <c r="T99">
        <f t="shared" ref="T99" si="474">S99/1000</f>
        <v>-5.0749783601631666</v>
      </c>
    </row>
    <row r="100" spans="1:20" x14ac:dyDescent="0.25">
      <c r="A100" s="5">
        <v>44493</v>
      </c>
      <c r="B100">
        <v>2.1339999999999999</v>
      </c>
      <c r="C100">
        <v>2.1440000000000001</v>
      </c>
      <c r="D100">
        <v>2</v>
      </c>
      <c r="E100">
        <v>2.0230000000000001</v>
      </c>
      <c r="F100">
        <v>3036490.2</v>
      </c>
      <c r="G100">
        <v>2.0230000000000001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-0.68055555555555403</v>
      </c>
      <c r="Q100">
        <f t="shared" ref="Q100" si="476">F100*P100</f>
        <v>-2066500.2749999955</v>
      </c>
      <c r="R100">
        <f t="shared" ref="R100" si="477">R101+Q100</f>
        <v>-506843383.73298335</v>
      </c>
      <c r="S100">
        <f t="shared" ref="S100" si="478">R100/100000</f>
        <v>-5068.4338373298333</v>
      </c>
      <c r="T100">
        <f t="shared" ref="T100" si="479">S100/1000</f>
        <v>-5.0684338373298337</v>
      </c>
    </row>
    <row r="101" spans="1:20" x14ac:dyDescent="0.25">
      <c r="A101" s="5">
        <v>44492</v>
      </c>
      <c r="B101">
        <v>2.0539999999999998</v>
      </c>
      <c r="C101">
        <v>2.21</v>
      </c>
      <c r="D101">
        <v>2.0259999999999998</v>
      </c>
      <c r="E101">
        <v>2.1339999999999999</v>
      </c>
      <c r="F101">
        <v>6902576</v>
      </c>
      <c r="G101">
        <v>2.1339999999999999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0.17391304347826086</v>
      </c>
      <c r="Q101">
        <f t="shared" ref="Q101" si="481">F101*P101</f>
        <v>1200448</v>
      </c>
      <c r="R101">
        <f t="shared" ref="R101" si="482">R102+Q101</f>
        <v>-504776883.45798337</v>
      </c>
      <c r="S101">
        <f t="shared" ref="S101" si="483">R101/100000</f>
        <v>-5047.7688345798333</v>
      </c>
      <c r="T101">
        <f t="shared" ref="T101" si="484">S101/1000</f>
        <v>-5.0477688345798333</v>
      </c>
    </row>
    <row r="102" spans="1:20" x14ac:dyDescent="0.25">
      <c r="A102" s="5">
        <v>44491</v>
      </c>
      <c r="B102">
        <v>1.994</v>
      </c>
      <c r="C102">
        <v>2.13</v>
      </c>
      <c r="D102">
        <v>1.974</v>
      </c>
      <c r="E102">
        <v>2.056</v>
      </c>
      <c r="F102">
        <v>5073899.7</v>
      </c>
      <c r="G102">
        <v>2.056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5.1282051282052779E-2</v>
      </c>
      <c r="Q102">
        <f t="shared" ref="Q102" si="486">F102*P102</f>
        <v>260199.98461539223</v>
      </c>
      <c r="R102">
        <f t="shared" ref="R102" si="487">R103+Q102</f>
        <v>-505977331.45798337</v>
      </c>
      <c r="S102">
        <f t="shared" ref="S102" si="488">R102/100000</f>
        <v>-5059.7733145798338</v>
      </c>
      <c r="T102">
        <f t="shared" ref="T102" si="489">S102/1000</f>
        <v>-5.059773314579834</v>
      </c>
    </row>
    <row r="103" spans="1:20" x14ac:dyDescent="0.25">
      <c r="A103" s="5">
        <v>44490</v>
      </c>
      <c r="B103">
        <v>2.0619999999999998</v>
      </c>
      <c r="C103">
        <v>2.081</v>
      </c>
      <c r="D103">
        <v>1.9550000000000001</v>
      </c>
      <c r="E103">
        <v>1.9950000000000001</v>
      </c>
      <c r="F103">
        <v>3596401.6</v>
      </c>
      <c r="G103">
        <v>1.9950000000000001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-0.36507936507936395</v>
      </c>
      <c r="Q103">
        <f t="shared" ref="Q103" si="491">F103*P103</f>
        <v>-1312972.0126984087</v>
      </c>
      <c r="R103">
        <f t="shared" ref="R103" si="492">R104+Q103</f>
        <v>-506237531.44259876</v>
      </c>
      <c r="S103">
        <f t="shared" ref="S103" si="493">R103/100000</f>
        <v>-5062.3753144259872</v>
      </c>
      <c r="T103">
        <f t="shared" ref="T103" si="494">S103/1000</f>
        <v>-5.0623753144259869</v>
      </c>
    </row>
    <row r="104" spans="1:20" x14ac:dyDescent="0.25">
      <c r="A104" s="5">
        <v>44489</v>
      </c>
      <c r="B104">
        <v>2.0310000000000001</v>
      </c>
      <c r="C104">
        <v>2.0990000000000002</v>
      </c>
      <c r="D104">
        <v>1.9730000000000001</v>
      </c>
      <c r="E104">
        <v>2.0609999999999999</v>
      </c>
      <c r="F104">
        <v>2893448.8</v>
      </c>
      <c r="G104">
        <v>2.0609999999999999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0.39682539682539331</v>
      </c>
      <c r="Q104">
        <f t="shared" ref="Q104" si="496">F104*P104</f>
        <v>1148193.968253958</v>
      </c>
      <c r="R104">
        <f t="shared" ref="R104" si="497">R105+Q104</f>
        <v>-504924559.42990035</v>
      </c>
      <c r="S104">
        <f t="shared" ref="S104" si="498">R104/100000</f>
        <v>-5049.2455942990036</v>
      </c>
      <c r="T104">
        <f t="shared" ref="T104" si="499">S104/1000</f>
        <v>-5.0492455942990038</v>
      </c>
    </row>
    <row r="105" spans="1:20" x14ac:dyDescent="0.25">
      <c r="A105" s="5">
        <v>44488</v>
      </c>
      <c r="B105">
        <v>2.0630000000000002</v>
      </c>
      <c r="C105">
        <v>2.09</v>
      </c>
      <c r="D105">
        <v>1.984</v>
      </c>
      <c r="E105">
        <v>2.0329999999999999</v>
      </c>
      <c r="F105">
        <v>2960711.4</v>
      </c>
      <c r="G105">
        <v>2.0329999999999999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-7.5471698113207711E-2</v>
      </c>
      <c r="Q105">
        <f t="shared" ref="Q105" si="501">F105*P105</f>
        <v>-223449.91698113256</v>
      </c>
      <c r="R105">
        <f t="shared" ref="R105" si="502">R106+Q105</f>
        <v>-506072753.39815432</v>
      </c>
      <c r="S105">
        <f t="shared" ref="S105" si="503">R105/100000</f>
        <v>-5060.7275339815433</v>
      </c>
      <c r="T105">
        <f t="shared" ref="T105" si="504">S105/1000</f>
        <v>-5.0607275339815434</v>
      </c>
    </row>
    <row r="106" spans="1:20" x14ac:dyDescent="0.25">
      <c r="A106" s="5">
        <v>44487</v>
      </c>
      <c r="B106">
        <v>2.0699999999999998</v>
      </c>
      <c r="C106">
        <v>2.222</v>
      </c>
      <c r="D106">
        <v>2.0099999999999998</v>
      </c>
      <c r="E106">
        <v>2.0659999999999998</v>
      </c>
      <c r="F106">
        <v>4972005.7</v>
      </c>
      <c r="G106">
        <v>2.0659999999999998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-0.47169811320754718</v>
      </c>
      <c r="Q106">
        <f t="shared" ref="Q106" si="506">F106*P106</f>
        <v>-2345285.7075471701</v>
      </c>
      <c r="R106">
        <f t="shared" ref="R106" si="507">R107+Q106</f>
        <v>-505849303.48117316</v>
      </c>
      <c r="S106">
        <f t="shared" ref="S106" si="508">R106/100000</f>
        <v>-5058.4930348117314</v>
      </c>
      <c r="T106">
        <f t="shared" ref="T106" si="509">S106/1000</f>
        <v>-5.0584930348117316</v>
      </c>
    </row>
    <row r="107" spans="1:20" x14ac:dyDescent="0.25">
      <c r="A107" s="5">
        <v>44486</v>
      </c>
      <c r="B107">
        <v>2.02</v>
      </c>
      <c r="C107">
        <v>2.1389999999999998</v>
      </c>
      <c r="D107">
        <v>1.9930000000000001</v>
      </c>
      <c r="E107">
        <v>2.0680000000000001</v>
      </c>
      <c r="F107">
        <v>4031975.2</v>
      </c>
      <c r="G107">
        <v>2.0680000000000001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2.7397260273974208E-2</v>
      </c>
      <c r="Q107">
        <f t="shared" ref="Q107" si="511">F107*P107</f>
        <v>110465.07397260921</v>
      </c>
      <c r="R107">
        <f t="shared" ref="R107" si="512">R108+Q107</f>
        <v>-503504017.77362597</v>
      </c>
      <c r="S107">
        <f t="shared" ref="S107" si="513">R107/100000</f>
        <v>-5035.0401777362595</v>
      </c>
      <c r="T107">
        <f t="shared" ref="T107" si="514">S107/1000</f>
        <v>-5.0350401777362599</v>
      </c>
    </row>
    <row r="108" spans="1:20" x14ac:dyDescent="0.25">
      <c r="A108" s="5">
        <v>44485</v>
      </c>
      <c r="B108">
        <v>1.972</v>
      </c>
      <c r="C108">
        <v>2.2280000000000002</v>
      </c>
      <c r="D108">
        <v>1.9650000000000001</v>
      </c>
      <c r="E108">
        <v>2.02</v>
      </c>
      <c r="F108">
        <v>5514997.5</v>
      </c>
      <c r="G108">
        <v>2.02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-0.58174904942965844</v>
      </c>
      <c r="Q108">
        <f t="shared" ref="Q108" si="516">F108*P108</f>
        <v>-3208344.5532319429</v>
      </c>
      <c r="R108">
        <f t="shared" ref="R108" si="517">R109+Q108</f>
        <v>-503614482.84759855</v>
      </c>
      <c r="S108">
        <f t="shared" ref="S108" si="518">R108/100000</f>
        <v>-5036.1448284759854</v>
      </c>
      <c r="T108">
        <f t="shared" ref="T108" si="519">S108/1000</f>
        <v>-5.0361448284759858</v>
      </c>
    </row>
    <row r="109" spans="1:20" x14ac:dyDescent="0.25">
      <c r="A109" s="5">
        <v>44484</v>
      </c>
      <c r="B109">
        <v>2.0030000000000001</v>
      </c>
      <c r="C109">
        <v>2.1509999999999998</v>
      </c>
      <c r="D109">
        <v>1.897</v>
      </c>
      <c r="E109">
        <v>1.972</v>
      </c>
      <c r="F109">
        <v>6447091.2999999998</v>
      </c>
      <c r="G109">
        <v>1.972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-0.40944881889763762</v>
      </c>
      <c r="Q109">
        <f t="shared" ref="Q109" si="521">F109*P109</f>
        <v>-2639753.9181102351</v>
      </c>
      <c r="R109">
        <f t="shared" ref="R109" si="522">R110+Q109</f>
        <v>-500406138.2943666</v>
      </c>
      <c r="S109">
        <f t="shared" ref="S109" si="523">R109/100000</f>
        <v>-5004.0613829436661</v>
      </c>
      <c r="T109">
        <f t="shared" ref="T109" si="524">S109/1000</f>
        <v>-5.0040613829436662</v>
      </c>
    </row>
    <row r="110" spans="1:20" x14ac:dyDescent="0.25">
      <c r="A110" s="5">
        <v>44483</v>
      </c>
      <c r="B110">
        <v>2.0230000000000001</v>
      </c>
      <c r="C110">
        <v>2.2040000000000002</v>
      </c>
      <c r="D110">
        <v>1.9710000000000001</v>
      </c>
      <c r="E110">
        <v>2.0030000000000001</v>
      </c>
      <c r="F110">
        <v>6692221.7999999998</v>
      </c>
      <c r="G110">
        <v>2.0030000000000001</v>
      </c>
      <c r="L110" t="s">
        <v>7</v>
      </c>
      <c r="M110" t="s">
        <v>7</v>
      </c>
      <c r="N110" t="s">
        <v>8</v>
      </c>
      <c r="P110">
        <f t="shared" ref="P110" si="525">IF(C110=D110,0,((E110-D110)-(C110-E110))/(C110-D110))</f>
        <v>-0.72532188841201706</v>
      </c>
      <c r="Q110">
        <f t="shared" ref="Q110" si="526">F110*P110</f>
        <v>-4854014.953648068</v>
      </c>
      <c r="R110">
        <f t="shared" ref="R110" si="527">R111+Q110</f>
        <v>-497766384.37625635</v>
      </c>
      <c r="S110">
        <f t="shared" ref="S110" si="528">R110/100000</f>
        <v>-4977.6638437625634</v>
      </c>
      <c r="T110">
        <f t="shared" ref="T110" si="529">S110/1000</f>
        <v>-4.9776638437625635</v>
      </c>
    </row>
    <row r="111" spans="1:20" x14ac:dyDescent="0.25">
      <c r="A111" s="5">
        <v>44482</v>
      </c>
      <c r="B111">
        <v>1.865</v>
      </c>
      <c r="C111">
        <v>2.34</v>
      </c>
      <c r="D111">
        <v>1.7769999999999999</v>
      </c>
      <c r="E111">
        <v>2.0230000000000001</v>
      </c>
      <c r="F111">
        <v>14097273</v>
      </c>
      <c r="G111">
        <v>2.0230000000000001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-0.12611012433392454</v>
      </c>
      <c r="Q111">
        <f t="shared" ref="Q111" si="531">F111*P111</f>
        <v>-1777808.8507992774</v>
      </c>
      <c r="R111">
        <f t="shared" ref="R111" si="532">R112+Q111</f>
        <v>-492912369.42260826</v>
      </c>
      <c r="S111">
        <f t="shared" ref="S111" si="533">R111/100000</f>
        <v>-4929.123694226083</v>
      </c>
      <c r="T111">
        <f t="shared" ref="T111" si="534">S111/1000</f>
        <v>-4.9291236942260834</v>
      </c>
    </row>
    <row r="112" spans="1:20" x14ac:dyDescent="0.25">
      <c r="A112" s="5">
        <v>44481</v>
      </c>
      <c r="B112">
        <v>1.83</v>
      </c>
      <c r="C112">
        <v>1.9</v>
      </c>
      <c r="D112">
        <v>1.73</v>
      </c>
      <c r="E112">
        <v>1.8660000000000001</v>
      </c>
      <c r="F112">
        <v>2708849.5</v>
      </c>
      <c r="G112">
        <v>1.8660000000000001</v>
      </c>
      <c r="L112" t="s">
        <v>7</v>
      </c>
      <c r="M112" t="s">
        <v>8</v>
      </c>
      <c r="N112" t="s">
        <v>7</v>
      </c>
      <c r="P112">
        <f t="shared" ref="P112" si="535">IF(C112=D112,0,((E112-D112)-(C112-E112))/(C112-D112))</f>
        <v>0.60000000000000209</v>
      </c>
      <c r="Q112">
        <f t="shared" ref="Q112" si="536">F112*P112</f>
        <v>1625309.7000000055</v>
      </c>
      <c r="R112">
        <f t="shared" ref="R112" si="537">R113+Q112</f>
        <v>-491134560.57180899</v>
      </c>
      <c r="S112">
        <f t="shared" ref="S112" si="538">R112/100000</f>
        <v>-4911.3456057180902</v>
      </c>
      <c r="T112">
        <f t="shared" ref="T112" si="539">S112/1000</f>
        <v>-4.9113456057180898</v>
      </c>
    </row>
    <row r="113" spans="1:20" x14ac:dyDescent="0.25">
      <c r="A113" s="5">
        <v>44480</v>
      </c>
      <c r="B113">
        <v>1.859</v>
      </c>
      <c r="C113">
        <v>1.915</v>
      </c>
      <c r="D113">
        <v>1.806</v>
      </c>
      <c r="E113">
        <v>1.8320000000000001</v>
      </c>
      <c r="F113">
        <v>2139927.2000000002</v>
      </c>
      <c r="G113">
        <v>1.8320000000000001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-0.52293577981651329</v>
      </c>
      <c r="Q113">
        <f t="shared" ref="Q113" si="541">F113*P113</f>
        <v>-1119044.4990825679</v>
      </c>
      <c r="R113">
        <f t="shared" ref="R113" si="542">R114+Q113</f>
        <v>-492759870.27180898</v>
      </c>
      <c r="S113">
        <f t="shared" ref="S113" si="543">R113/100000</f>
        <v>-4927.59870271809</v>
      </c>
      <c r="T113">
        <f t="shared" ref="T113" si="544">S113/1000</f>
        <v>-4.9275987027180896</v>
      </c>
    </row>
    <row r="114" spans="1:20" x14ac:dyDescent="0.25">
      <c r="A114" s="5">
        <v>44479</v>
      </c>
      <c r="B114">
        <v>1.954</v>
      </c>
      <c r="C114">
        <v>1.9710000000000001</v>
      </c>
      <c r="D114">
        <v>1.851</v>
      </c>
      <c r="E114">
        <v>1.8580000000000001</v>
      </c>
      <c r="F114">
        <v>2391995.5</v>
      </c>
      <c r="G114">
        <v>1.8580000000000001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-0.88333333333333153</v>
      </c>
      <c r="Q114">
        <f t="shared" ref="Q114" si="546">F114*P114</f>
        <v>-2112929.3583333292</v>
      </c>
      <c r="R114">
        <f t="shared" ref="R114" si="547">R115+Q114</f>
        <v>-491640825.77272642</v>
      </c>
      <c r="S114">
        <f t="shared" ref="S114" si="548">R114/100000</f>
        <v>-4916.4082577272638</v>
      </c>
      <c r="T114">
        <f t="shared" ref="T114" si="549">S114/1000</f>
        <v>-4.9164082577272641</v>
      </c>
    </row>
    <row r="115" spans="1:20" x14ac:dyDescent="0.25">
      <c r="A115" s="5">
        <v>44478</v>
      </c>
      <c r="B115">
        <v>1.9279999999999999</v>
      </c>
      <c r="C115">
        <v>2.0089999999999999</v>
      </c>
      <c r="D115">
        <v>1.903</v>
      </c>
      <c r="E115">
        <v>1.954</v>
      </c>
      <c r="F115">
        <v>3499263.9</v>
      </c>
      <c r="G115">
        <v>1.954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-3.7735849056603855E-2</v>
      </c>
      <c r="Q115">
        <f t="shared" ref="Q115" si="551">F115*P115</f>
        <v>-132047.69433962292</v>
      </c>
      <c r="R115">
        <f t="shared" ref="R115" si="552">R116+Q115</f>
        <v>-489527896.41439307</v>
      </c>
      <c r="S115">
        <f t="shared" ref="S115" si="553">R115/100000</f>
        <v>-4895.2789641439304</v>
      </c>
      <c r="T115">
        <f t="shared" ref="T115" si="554">S115/1000</f>
        <v>-4.8952789641439303</v>
      </c>
    </row>
    <row r="116" spans="1:20" x14ac:dyDescent="0.25">
      <c r="A116" s="5">
        <v>44477</v>
      </c>
      <c r="B116">
        <v>1.9159999999999999</v>
      </c>
      <c r="C116">
        <v>1.96</v>
      </c>
      <c r="D116">
        <v>1.867</v>
      </c>
      <c r="E116">
        <v>1.9259999999999999</v>
      </c>
      <c r="F116">
        <v>3457725.3</v>
      </c>
      <c r="G116">
        <v>1.9259999999999999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0.26881720430107442</v>
      </c>
      <c r="Q116">
        <f t="shared" ref="Q116" si="556">F116*P116</f>
        <v>929496.04838709382</v>
      </c>
      <c r="R116">
        <f t="shared" ref="R116" si="557">R117+Q116</f>
        <v>-489395848.72005343</v>
      </c>
      <c r="S116">
        <f t="shared" ref="S116" si="558">R116/100000</f>
        <v>-4893.9584872005344</v>
      </c>
      <c r="T116">
        <f t="shared" ref="T116" si="559">S116/1000</f>
        <v>-4.8939584872005346</v>
      </c>
    </row>
    <row r="117" spans="1:20" x14ac:dyDescent="0.25">
      <c r="A117" s="5">
        <v>44476</v>
      </c>
      <c r="B117">
        <v>1.8939999999999999</v>
      </c>
      <c r="C117">
        <v>1.9650000000000001</v>
      </c>
      <c r="D117">
        <v>1.827</v>
      </c>
      <c r="E117">
        <v>1.917</v>
      </c>
      <c r="F117">
        <v>3501144.7</v>
      </c>
      <c r="G117">
        <v>1.917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0.30434782608695654</v>
      </c>
      <c r="Q117">
        <f t="shared" ref="Q117" si="561">F117*P117</f>
        <v>1065565.7782608697</v>
      </c>
      <c r="R117">
        <f t="shared" ref="R117" si="562">R118+Q117</f>
        <v>-490325344.76844054</v>
      </c>
      <c r="S117">
        <f t="shared" ref="S117" si="563">R117/100000</f>
        <v>-4903.2534476844057</v>
      </c>
      <c r="T117">
        <f t="shared" ref="T117" si="564">S117/1000</f>
        <v>-4.9032534476844054</v>
      </c>
    </row>
    <row r="118" spans="1:20" x14ac:dyDescent="0.25">
      <c r="A118" s="5">
        <v>44475</v>
      </c>
      <c r="B118">
        <v>1.931</v>
      </c>
      <c r="C118">
        <v>1.9550000000000001</v>
      </c>
      <c r="D118">
        <v>1.78</v>
      </c>
      <c r="E118">
        <v>1.8919999999999999</v>
      </c>
      <c r="F118">
        <v>4196055.9000000004</v>
      </c>
      <c r="G118">
        <v>1.8919999999999999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0.27999999999999825</v>
      </c>
      <c r="Q118">
        <f t="shared" ref="Q118" si="566">F118*P118</f>
        <v>1174895.6519999928</v>
      </c>
      <c r="R118">
        <f t="shared" ref="R118" si="567">R119+Q118</f>
        <v>-491390910.54670143</v>
      </c>
      <c r="S118">
        <f t="shared" ref="S118" si="568">R118/100000</f>
        <v>-4913.9091054670143</v>
      </c>
      <c r="T118">
        <f t="shared" ref="T118" si="569">S118/1000</f>
        <v>-4.9139091054670141</v>
      </c>
    </row>
    <row r="119" spans="1:20" x14ac:dyDescent="0.25">
      <c r="A119" s="5">
        <v>44474</v>
      </c>
      <c r="B119">
        <v>1.899</v>
      </c>
      <c r="C119">
        <v>1.9510000000000001</v>
      </c>
      <c r="D119">
        <v>1.86</v>
      </c>
      <c r="E119">
        <v>1.9279999999999999</v>
      </c>
      <c r="F119">
        <v>3634885.4</v>
      </c>
      <c r="G119">
        <v>1.9279999999999999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0.49450549450549147</v>
      </c>
      <c r="Q119">
        <f t="shared" ref="Q119" si="571">F119*P119</f>
        <v>1797470.8021977912</v>
      </c>
      <c r="R119">
        <f t="shared" ref="R119" si="572">R120+Q119</f>
        <v>-492565806.19870144</v>
      </c>
      <c r="S119">
        <f t="shared" ref="S119" si="573">R119/100000</f>
        <v>-4925.6580619870147</v>
      </c>
      <c r="T119">
        <f t="shared" ref="T119" si="574">S119/1000</f>
        <v>-4.9256580619870149</v>
      </c>
    </row>
    <row r="120" spans="1:20" x14ac:dyDescent="0.25">
      <c r="A120" s="5">
        <v>44473</v>
      </c>
      <c r="B120">
        <v>1.944</v>
      </c>
      <c r="C120">
        <v>1.9590000000000001</v>
      </c>
      <c r="D120">
        <v>1.821</v>
      </c>
      <c r="E120">
        <v>1.897</v>
      </c>
      <c r="F120">
        <v>6837989.5</v>
      </c>
      <c r="G120">
        <v>1.897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0.10144927536231885</v>
      </c>
      <c r="Q120">
        <f t="shared" ref="Q120" si="576">F120*P120</f>
        <v>693709.07971014502</v>
      </c>
      <c r="R120">
        <f t="shared" ref="R120" si="577">R121+Q120</f>
        <v>-494363277.00089926</v>
      </c>
      <c r="S120">
        <f t="shared" ref="S120" si="578">R120/100000</f>
        <v>-4943.6327700089923</v>
      </c>
      <c r="T120">
        <f t="shared" ref="T120" si="579">S120/1000</f>
        <v>-4.9436327700089926</v>
      </c>
    </row>
    <row r="121" spans="1:20" x14ac:dyDescent="0.25">
      <c r="A121" s="5">
        <v>44472</v>
      </c>
      <c r="B121">
        <v>1.9790000000000001</v>
      </c>
      <c r="C121">
        <v>2.008</v>
      </c>
      <c r="D121">
        <v>1.905</v>
      </c>
      <c r="E121">
        <v>1.9450000000000001</v>
      </c>
      <c r="F121">
        <v>3482021.9</v>
      </c>
      <c r="G121">
        <v>1.9450000000000001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-0.22330097087378556</v>
      </c>
      <c r="Q121">
        <f t="shared" ref="Q121" si="581">F121*P121</f>
        <v>-777538.87087378348</v>
      </c>
      <c r="R121">
        <f t="shared" ref="R121" si="582">R122+Q121</f>
        <v>-495056986.08060938</v>
      </c>
      <c r="S121">
        <f t="shared" ref="S121" si="583">R121/100000</f>
        <v>-4950.5698608060939</v>
      </c>
      <c r="T121">
        <f t="shared" ref="T121" si="584">S121/1000</f>
        <v>-4.9505698608060937</v>
      </c>
    </row>
    <row r="122" spans="1:20" x14ac:dyDescent="0.25">
      <c r="A122" s="5">
        <v>44471</v>
      </c>
      <c r="B122">
        <v>1.91</v>
      </c>
      <c r="C122">
        <v>2.0489999999999999</v>
      </c>
      <c r="D122">
        <v>1.8320000000000001</v>
      </c>
      <c r="E122">
        <v>1.9790000000000001</v>
      </c>
      <c r="F122">
        <v>5994938.4000000004</v>
      </c>
      <c r="G122">
        <v>1.9790000000000001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0.35483870967742043</v>
      </c>
      <c r="Q122">
        <f t="shared" ref="Q122" si="586">F122*P122</f>
        <v>2127236.2064516195</v>
      </c>
      <c r="R122">
        <f t="shared" ref="R122" si="587">R123+Q122</f>
        <v>-494279447.20973557</v>
      </c>
      <c r="S122">
        <f t="shared" ref="S122" si="588">R122/100000</f>
        <v>-4942.7944720973555</v>
      </c>
      <c r="T122">
        <f t="shared" ref="T122" si="589">S122/1000</f>
        <v>-4.9427944720973551</v>
      </c>
    </row>
    <row r="123" spans="1:20" x14ac:dyDescent="0.25">
      <c r="A123" s="5">
        <v>44470</v>
      </c>
      <c r="B123">
        <v>1.722</v>
      </c>
      <c r="C123">
        <v>1.97</v>
      </c>
      <c r="D123">
        <v>1.7110000000000001</v>
      </c>
      <c r="E123">
        <v>1.91</v>
      </c>
      <c r="F123">
        <v>4646824.4000000004</v>
      </c>
      <c r="G123">
        <v>1.91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0.53667953667953605</v>
      </c>
      <c r="Q123">
        <f t="shared" ref="Q123" si="591">F123*P123</f>
        <v>2493855.5660231635</v>
      </c>
      <c r="R123">
        <f t="shared" ref="R123" si="592">R124+Q123</f>
        <v>-496406683.41618717</v>
      </c>
      <c r="S123">
        <f t="shared" ref="S123" si="593">R123/100000</f>
        <v>-4964.0668341618721</v>
      </c>
      <c r="T123">
        <f t="shared" ref="T123" si="594">S123/1000</f>
        <v>-4.9640668341618719</v>
      </c>
    </row>
    <row r="124" spans="1:20" x14ac:dyDescent="0.25">
      <c r="A124" s="5">
        <v>44469</v>
      </c>
      <c r="B124">
        <v>1.65</v>
      </c>
      <c r="C124">
        <v>1.7410000000000001</v>
      </c>
      <c r="D124">
        <v>1.633</v>
      </c>
      <c r="E124">
        <v>1.722</v>
      </c>
      <c r="F124">
        <v>2817311.6</v>
      </c>
      <c r="G124">
        <v>1.722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0.64814814814814614</v>
      </c>
      <c r="Q124">
        <f t="shared" ref="Q124" si="596">F124*P124</f>
        <v>1826035.2962962906</v>
      </c>
      <c r="R124">
        <f t="shared" ref="R124" si="597">R125+Q124</f>
        <v>-498900538.98221034</v>
      </c>
      <c r="S124">
        <f t="shared" ref="S124" si="598">R124/100000</f>
        <v>-4989.0053898221031</v>
      </c>
      <c r="T124">
        <f t="shared" ref="T124" si="599">S124/1000</f>
        <v>-4.9890053898221032</v>
      </c>
    </row>
    <row r="125" spans="1:20" x14ac:dyDescent="0.25">
      <c r="A125" s="5">
        <v>44468</v>
      </c>
      <c r="B125">
        <v>1.6060000000000001</v>
      </c>
      <c r="C125">
        <v>1.7190000000000001</v>
      </c>
      <c r="D125">
        <v>1.6</v>
      </c>
      <c r="E125">
        <v>1.653</v>
      </c>
      <c r="F125">
        <v>2074776.4</v>
      </c>
      <c r="G125">
        <v>1.653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-0.10924369747899264</v>
      </c>
      <c r="Q125">
        <f t="shared" ref="Q125" si="601">F125*P125</f>
        <v>-226656.2453781534</v>
      </c>
      <c r="R125">
        <f t="shared" ref="R125" si="602">R126+Q125</f>
        <v>-500726574.27850664</v>
      </c>
      <c r="S125">
        <f t="shared" ref="S125" si="603">R125/100000</f>
        <v>-5007.2657427850663</v>
      </c>
      <c r="T125">
        <f t="shared" ref="T125" si="604">S125/1000</f>
        <v>-5.0072657427850666</v>
      </c>
    </row>
    <row r="126" spans="1:20" x14ac:dyDescent="0.25">
      <c r="A126" s="5">
        <v>44467</v>
      </c>
      <c r="B126">
        <v>1.631</v>
      </c>
      <c r="C126">
        <v>1.6759999999999999</v>
      </c>
      <c r="D126">
        <v>1.595</v>
      </c>
      <c r="E126">
        <v>1.61</v>
      </c>
      <c r="F126">
        <v>1985891.2</v>
      </c>
      <c r="G126">
        <v>1.61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-0.62962962962962643</v>
      </c>
      <c r="Q126">
        <f t="shared" ref="Q126" si="606">F126*P126</f>
        <v>-1250375.9407407343</v>
      </c>
      <c r="R126">
        <f t="shared" ref="R126" si="607">R127+Q126</f>
        <v>-500499918.0331285</v>
      </c>
      <c r="S126">
        <f t="shared" ref="S126" si="608">R126/100000</f>
        <v>-5004.9991803312851</v>
      </c>
      <c r="T126">
        <f t="shared" ref="T126" si="609">S126/1000</f>
        <v>-5.0049991803312848</v>
      </c>
    </row>
    <row r="127" spans="1:20" x14ac:dyDescent="0.25">
      <c r="A127" s="5">
        <v>44466</v>
      </c>
      <c r="B127">
        <v>1.7130000000000001</v>
      </c>
      <c r="C127">
        <v>1.8</v>
      </c>
      <c r="D127">
        <v>1.6</v>
      </c>
      <c r="E127">
        <v>1.6319999999999999</v>
      </c>
      <c r="F127">
        <v>3238531.8</v>
      </c>
      <c r="G127">
        <v>1.6319999999999999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-0.68000000000000183</v>
      </c>
      <c r="Q127">
        <f t="shared" ref="Q127" si="611">F127*P127</f>
        <v>-2202201.6240000059</v>
      </c>
      <c r="R127">
        <f t="shared" ref="R127" si="612">R128+Q127</f>
        <v>-499249542.0923878</v>
      </c>
      <c r="S127">
        <f t="shared" ref="S127" si="613">R127/100000</f>
        <v>-4992.4954209238776</v>
      </c>
      <c r="T127">
        <f t="shared" ref="T127" si="614">S127/1000</f>
        <v>-4.9924954209238779</v>
      </c>
    </row>
    <row r="128" spans="1:20" x14ac:dyDescent="0.25">
      <c r="A128" s="5">
        <v>44465</v>
      </c>
      <c r="B128">
        <v>1.746</v>
      </c>
      <c r="C128">
        <v>1.754</v>
      </c>
      <c r="D128">
        <v>1.5820000000000001</v>
      </c>
      <c r="E128">
        <v>1.7130000000000001</v>
      </c>
      <c r="F128">
        <v>3064476.66</v>
      </c>
      <c r="G128">
        <v>1.7130000000000001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0.52325581395348908</v>
      </c>
      <c r="Q128">
        <f t="shared" ref="Q128" si="616">F128*P128</f>
        <v>1603505.2290697696</v>
      </c>
      <c r="R128">
        <f t="shared" ref="R128" si="617">R129+Q128</f>
        <v>-497047340.46838778</v>
      </c>
      <c r="S128">
        <f t="shared" ref="S128" si="618">R128/100000</f>
        <v>-4970.4734046838776</v>
      </c>
      <c r="T128">
        <f t="shared" ref="T128" si="619">S128/1000</f>
        <v>-4.9704734046838777</v>
      </c>
    </row>
    <row r="129" spans="1:20" x14ac:dyDescent="0.25">
      <c r="A129" s="5">
        <v>44464</v>
      </c>
      <c r="B129">
        <v>1.802</v>
      </c>
      <c r="C129">
        <v>1.867</v>
      </c>
      <c r="D129">
        <v>1.698</v>
      </c>
      <c r="E129">
        <v>1.748</v>
      </c>
      <c r="F129">
        <v>3593793.7</v>
      </c>
      <c r="G129">
        <v>1.748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-0.40828402366863864</v>
      </c>
      <c r="Q129">
        <f t="shared" ref="Q129" si="621">F129*P129</f>
        <v>-1467288.5520710044</v>
      </c>
      <c r="R129">
        <f t="shared" ref="R129" si="622">R130+Q129</f>
        <v>-498650845.69745755</v>
      </c>
      <c r="S129">
        <f t="shared" ref="S129" si="623">R129/100000</f>
        <v>-4986.5084569745759</v>
      </c>
      <c r="T129">
        <f t="shared" ref="T129" si="624">S129/1000</f>
        <v>-4.9865084569745761</v>
      </c>
    </row>
    <row r="130" spans="1:20" x14ac:dyDescent="0.25">
      <c r="A130" s="5">
        <v>44463</v>
      </c>
      <c r="B130">
        <v>1.9370000000000001</v>
      </c>
      <c r="C130">
        <v>1.986</v>
      </c>
      <c r="D130">
        <v>1.69</v>
      </c>
      <c r="E130">
        <v>1.8</v>
      </c>
      <c r="F130">
        <v>5763513.5</v>
      </c>
      <c r="G130">
        <v>1.8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-0.25675675675675619</v>
      </c>
      <c r="Q130">
        <f t="shared" ref="Q130" si="626">F130*P130</f>
        <v>-1479821.0337837804</v>
      </c>
      <c r="R130">
        <f t="shared" ref="R130" si="627">R131+Q130</f>
        <v>-497183557.14538658</v>
      </c>
      <c r="S130">
        <f t="shared" ref="S130" si="628">R130/100000</f>
        <v>-4971.8355714538657</v>
      </c>
      <c r="T130">
        <f t="shared" ref="T130" si="629">S130/1000</f>
        <v>-4.971835571453866</v>
      </c>
    </row>
    <row r="131" spans="1:20" x14ac:dyDescent="0.25">
      <c r="A131" s="5">
        <v>44462</v>
      </c>
      <c r="B131">
        <v>1.96</v>
      </c>
      <c r="C131">
        <v>2.0169999999999999</v>
      </c>
      <c r="D131">
        <v>1.873</v>
      </c>
      <c r="E131">
        <v>1.9359999999999999</v>
      </c>
      <c r="F131">
        <v>4459716.2</v>
      </c>
      <c r="G131">
        <v>1.9359999999999999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-0.12500000000000019</v>
      </c>
      <c r="Q131">
        <f t="shared" ref="Q131" si="631">F131*P131</f>
        <v>-557464.52500000084</v>
      </c>
      <c r="R131">
        <f t="shared" ref="R131" si="632">R132+Q131</f>
        <v>-495703736.11160278</v>
      </c>
      <c r="S131">
        <f t="shared" ref="S131" si="633">R131/100000</f>
        <v>-4957.0373611160276</v>
      </c>
      <c r="T131">
        <f t="shared" ref="T131" si="634">S131/1000</f>
        <v>-4.9570373611160274</v>
      </c>
    </row>
    <row r="132" spans="1:20" x14ac:dyDescent="0.25">
      <c r="A132" s="5">
        <v>44461</v>
      </c>
      <c r="B132">
        <v>1.7470000000000001</v>
      </c>
      <c r="C132">
        <v>1.9990000000000001</v>
      </c>
      <c r="D132">
        <v>1.744</v>
      </c>
      <c r="E132">
        <v>1.96</v>
      </c>
      <c r="F132">
        <v>6985387.9000000004</v>
      </c>
      <c r="G132">
        <v>1.96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0.69411764705882251</v>
      </c>
      <c r="Q132">
        <f t="shared" ref="Q132" si="636">F132*P132</f>
        <v>4848681.0129411696</v>
      </c>
      <c r="R132">
        <f t="shared" ref="R132" si="637">R133+Q132</f>
        <v>-495146271.58660281</v>
      </c>
      <c r="S132">
        <f t="shared" ref="S132" si="638">R132/100000</f>
        <v>-4951.4627158660278</v>
      </c>
      <c r="T132">
        <f t="shared" ref="T132" si="639">S132/1000</f>
        <v>-4.951462715866028</v>
      </c>
    </row>
    <row r="133" spans="1:20" x14ac:dyDescent="0.25">
      <c r="A133" s="5">
        <v>44460</v>
      </c>
      <c r="B133">
        <v>1.8420000000000001</v>
      </c>
      <c r="C133">
        <v>1.931</v>
      </c>
      <c r="D133">
        <v>1.7</v>
      </c>
      <c r="E133">
        <v>1.7470000000000001</v>
      </c>
      <c r="F133">
        <v>4457577.4000000004</v>
      </c>
      <c r="G133">
        <v>1.7470000000000001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-0.59307359307359186</v>
      </c>
      <c r="Q133">
        <f t="shared" ref="Q133" si="641">F133*P133</f>
        <v>-2643671.44502164</v>
      </c>
      <c r="R133">
        <f t="shared" ref="R133" si="642">R134+Q133</f>
        <v>-499994952.59954399</v>
      </c>
      <c r="S133">
        <f t="shared" ref="S133" si="643">R133/100000</f>
        <v>-4999.9495259954401</v>
      </c>
      <c r="T133">
        <f t="shared" ref="T133" si="644">S133/1000</f>
        <v>-4.9999495259954401</v>
      </c>
    </row>
    <row r="134" spans="1:20" x14ac:dyDescent="0.25">
      <c r="A134" s="5">
        <v>44459</v>
      </c>
      <c r="B134">
        <v>2.1869999999999998</v>
      </c>
      <c r="C134">
        <v>2.2200000000000002</v>
      </c>
      <c r="D134">
        <v>1.96</v>
      </c>
      <c r="E134">
        <v>1.9850000000000001</v>
      </c>
      <c r="F134">
        <v>3604673.3</v>
      </c>
      <c r="G134">
        <v>1.9850000000000001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-0.80769230769230682</v>
      </c>
      <c r="Q134">
        <f t="shared" ref="Q134" si="646">F134*P134</f>
        <v>-2911466.896153843</v>
      </c>
      <c r="R134">
        <f t="shared" ref="R134" si="647">R135+Q134</f>
        <v>-497351281.15452236</v>
      </c>
      <c r="S134">
        <f t="shared" ref="S134" si="648">R134/100000</f>
        <v>-4973.5128115452235</v>
      </c>
      <c r="T134">
        <f t="shared" ref="T134" si="649">S134/1000</f>
        <v>-4.9735128115452234</v>
      </c>
    </row>
    <row r="135" spans="1:20" x14ac:dyDescent="0.25">
      <c r="A135" s="5">
        <v>44458</v>
      </c>
      <c r="B135">
        <v>2.2210000000000001</v>
      </c>
      <c r="C135">
        <v>2.448</v>
      </c>
      <c r="D135">
        <v>2.141</v>
      </c>
      <c r="E135">
        <v>2.1840000000000002</v>
      </c>
      <c r="F135">
        <v>11872857.300000001</v>
      </c>
      <c r="G135">
        <v>2.1840000000000002</v>
      </c>
      <c r="L135" t="s">
        <v>8</v>
      </c>
      <c r="M135" t="s">
        <v>8</v>
      </c>
      <c r="N135" t="s">
        <v>7</v>
      </c>
      <c r="P135">
        <f t="shared" ref="P135" si="650">IF(C135=D135,0,((E135-D135)-(C135-E135))/(C135-D135))</f>
        <v>-0.71986970684038987</v>
      </c>
      <c r="Q135">
        <f t="shared" ref="Q135" si="651">F135*P135</f>
        <v>-8546910.3039087839</v>
      </c>
      <c r="R135">
        <f t="shared" ref="R135" si="652">R136+Q135</f>
        <v>-494439814.25836849</v>
      </c>
      <c r="S135">
        <f t="shared" ref="S135" si="653">R135/100000</f>
        <v>-4944.3981425836846</v>
      </c>
      <c r="T135">
        <f t="shared" ref="T135" si="654">S135/1000</f>
        <v>-4.9443981425836849</v>
      </c>
    </row>
    <row r="136" spans="1:20" x14ac:dyDescent="0.25">
      <c r="A136" s="5">
        <v>44457</v>
      </c>
      <c r="B136">
        <v>2.0209999999999999</v>
      </c>
      <c r="C136">
        <v>2.2370000000000001</v>
      </c>
      <c r="D136">
        <v>2.0110000000000001</v>
      </c>
      <c r="E136">
        <v>2.2189999999999999</v>
      </c>
      <c r="F136">
        <v>3928975.8</v>
      </c>
      <c r="G136">
        <v>2.2189999999999999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0.84070796460176778</v>
      </c>
      <c r="Q136">
        <f t="shared" ref="Q136" si="656">F136*P136</f>
        <v>3303121.2477876022</v>
      </c>
      <c r="R136">
        <f t="shared" ref="R136" si="657">R137+Q136</f>
        <v>-485892903.95445973</v>
      </c>
      <c r="S136">
        <f t="shared" ref="S136" si="658">R136/100000</f>
        <v>-4858.9290395445969</v>
      </c>
      <c r="T136">
        <f t="shared" ref="T136" si="659">S136/1000</f>
        <v>-4.8589290395445968</v>
      </c>
    </row>
    <row r="137" spans="1:20" x14ac:dyDescent="0.25">
      <c r="A137" s="5">
        <v>44456</v>
      </c>
      <c r="B137">
        <v>2.1339999999999999</v>
      </c>
      <c r="C137">
        <v>2.1680000000000001</v>
      </c>
      <c r="D137">
        <v>2.0019999999999998</v>
      </c>
      <c r="E137">
        <v>2.0219999999999998</v>
      </c>
      <c r="F137">
        <v>2507707.7000000002</v>
      </c>
      <c r="G137">
        <v>2.0219999999999998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-0.75903614457831359</v>
      </c>
      <c r="Q137">
        <f t="shared" ref="Q137" si="661">F137*P137</f>
        <v>-1903440.7843373504</v>
      </c>
      <c r="R137">
        <f t="shared" ref="R137" si="662">R138+Q137</f>
        <v>-489196025.20224732</v>
      </c>
      <c r="S137">
        <f t="shared" ref="S137" si="663">R137/100000</f>
        <v>-4891.9602520224735</v>
      </c>
      <c r="T137">
        <f t="shared" ref="T137" si="664">S137/1000</f>
        <v>-4.8919602520224732</v>
      </c>
    </row>
    <row r="138" spans="1:20" x14ac:dyDescent="0.25">
      <c r="A138" s="5">
        <v>44455</v>
      </c>
      <c r="B138">
        <v>2.1709999999999998</v>
      </c>
      <c r="C138">
        <v>2.2410000000000001</v>
      </c>
      <c r="D138">
        <v>2.0830000000000002</v>
      </c>
      <c r="E138">
        <v>2.1339999999999999</v>
      </c>
      <c r="F138">
        <v>3851598.9</v>
      </c>
      <c r="G138">
        <v>2.1339999999999999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-0.35443037974683878</v>
      </c>
      <c r="Q138">
        <f t="shared" ref="Q138" si="666">F138*P138</f>
        <v>-1365123.6607595065</v>
      </c>
      <c r="R138">
        <f t="shared" ref="R138" si="667">R139+Q138</f>
        <v>-487292584.41790998</v>
      </c>
      <c r="S138">
        <f t="shared" ref="S138" si="668">R138/100000</f>
        <v>-4872.9258441790998</v>
      </c>
      <c r="T138">
        <f t="shared" ref="T138" si="669">S138/1000</f>
        <v>-4.8729258441790995</v>
      </c>
    </row>
    <row r="139" spans="1:20" x14ac:dyDescent="0.25">
      <c r="A139" s="5">
        <v>44454</v>
      </c>
      <c r="B139">
        <v>2.113</v>
      </c>
      <c r="C139">
        <v>2.2160000000000002</v>
      </c>
      <c r="D139">
        <v>2.08</v>
      </c>
      <c r="E139">
        <v>2.1709999999999998</v>
      </c>
      <c r="F139">
        <v>2971666.1</v>
      </c>
      <c r="G139">
        <v>2.1709999999999998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0.33823529411764214</v>
      </c>
      <c r="Q139">
        <f t="shared" ref="Q139" si="671">F139*P139</f>
        <v>1005122.3573529266</v>
      </c>
      <c r="R139">
        <f t="shared" ref="R139" si="672">R140+Q139</f>
        <v>-485927460.75715047</v>
      </c>
      <c r="S139">
        <f t="shared" ref="S139" si="673">R139/100000</f>
        <v>-4859.2746075715049</v>
      </c>
      <c r="T139">
        <f t="shared" ref="T139" si="674">S139/1000</f>
        <v>-4.8592746075715052</v>
      </c>
    </row>
    <row r="140" spans="1:20" x14ac:dyDescent="0.25">
      <c r="A140" s="5">
        <v>44453</v>
      </c>
      <c r="B140">
        <v>2.0409999999999999</v>
      </c>
      <c r="C140">
        <v>2.129</v>
      </c>
      <c r="D140">
        <v>2</v>
      </c>
      <c r="E140">
        <v>2.113</v>
      </c>
      <c r="F140">
        <v>3222840.1</v>
      </c>
      <c r="G140">
        <v>2.113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0.75193798449612381</v>
      </c>
      <c r="Q140">
        <f t="shared" ref="Q140" si="676">F140*P140</f>
        <v>2423375.8891472863</v>
      </c>
      <c r="R140">
        <f t="shared" ref="R140" si="677">R141+Q140</f>
        <v>-486932583.11450338</v>
      </c>
      <c r="S140">
        <f t="shared" ref="S140" si="678">R140/100000</f>
        <v>-4869.3258311450336</v>
      </c>
      <c r="T140">
        <f t="shared" ref="T140" si="679">S140/1000</f>
        <v>-4.8693258311450336</v>
      </c>
    </row>
    <row r="141" spans="1:20" x14ac:dyDescent="0.25">
      <c r="A141" s="5">
        <v>44452</v>
      </c>
      <c r="B141">
        <v>2.165</v>
      </c>
      <c r="C141">
        <v>2.169</v>
      </c>
      <c r="D141">
        <v>1.9510000000000001</v>
      </c>
      <c r="E141">
        <v>2.0409999999999999</v>
      </c>
      <c r="F141">
        <v>5302158.7</v>
      </c>
      <c r="G141">
        <v>2.0409999999999999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-0.17431192660550579</v>
      </c>
      <c r="Q141">
        <f t="shared" ref="Q141" si="681">F141*P141</f>
        <v>-924229.498165144</v>
      </c>
      <c r="R141">
        <f t="shared" ref="R141" si="682">R142+Q141</f>
        <v>-489355959.00365067</v>
      </c>
      <c r="S141">
        <f t="shared" ref="S141" si="683">R141/100000</f>
        <v>-4893.559590036507</v>
      </c>
      <c r="T141">
        <f t="shared" ref="T141" si="684">S141/1000</f>
        <v>-4.8935595900365065</v>
      </c>
    </row>
    <row r="142" spans="1:20" x14ac:dyDescent="0.25">
      <c r="A142" s="5">
        <v>44451</v>
      </c>
      <c r="B142">
        <v>2.113</v>
      </c>
      <c r="C142">
        <v>2.4159999999999999</v>
      </c>
      <c r="D142">
        <v>2.08</v>
      </c>
      <c r="E142">
        <v>2.1659999999999999</v>
      </c>
      <c r="F142">
        <v>8787916.3000000007</v>
      </c>
      <c r="G142">
        <v>2.1659999999999999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-0.48809523809523875</v>
      </c>
      <c r="Q142">
        <f t="shared" ref="Q142" si="686">F142*P142</f>
        <v>-4289340.09880953</v>
      </c>
      <c r="R142">
        <f t="shared" ref="R142" si="687">R143+Q142</f>
        <v>-488431729.50548553</v>
      </c>
      <c r="S142">
        <f t="shared" ref="S142" si="688">R142/100000</f>
        <v>-4884.3172950548551</v>
      </c>
      <c r="T142">
        <f t="shared" ref="T142" si="689">S142/1000</f>
        <v>-4.8843172950548555</v>
      </c>
    </row>
    <row r="143" spans="1:20" x14ac:dyDescent="0.25">
      <c r="A143" s="5">
        <v>44450</v>
      </c>
      <c r="B143">
        <v>2.145</v>
      </c>
      <c r="C143">
        <v>2.21</v>
      </c>
      <c r="D143">
        <v>2.0470000000000002</v>
      </c>
      <c r="E143">
        <v>2.113</v>
      </c>
      <c r="F143">
        <v>4124084.5</v>
      </c>
      <c r="G143">
        <v>2.113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-0.19018404907975567</v>
      </c>
      <c r="Q143">
        <f t="shared" ref="Q143" si="691">F143*P143</f>
        <v>-784335.08895705966</v>
      </c>
      <c r="R143">
        <f t="shared" ref="R143" si="692">R144+Q143</f>
        <v>-484142389.40667599</v>
      </c>
      <c r="S143">
        <f t="shared" ref="S143" si="693">R143/100000</f>
        <v>-4841.4238940667601</v>
      </c>
      <c r="T143">
        <f t="shared" ref="T143" si="694">S143/1000</f>
        <v>-4.84142389406676</v>
      </c>
    </row>
    <row r="144" spans="1:20" x14ac:dyDescent="0.25">
      <c r="A144" s="5">
        <v>44449</v>
      </c>
      <c r="B144">
        <v>2.1349999999999998</v>
      </c>
      <c r="C144">
        <v>2.2320000000000002</v>
      </c>
      <c r="D144">
        <v>2</v>
      </c>
      <c r="E144">
        <v>2.145</v>
      </c>
      <c r="F144">
        <v>5752016.5</v>
      </c>
      <c r="G144">
        <v>2.145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0.24999999999999906</v>
      </c>
      <c r="Q144">
        <f t="shared" ref="Q144" si="696">F144*P144</f>
        <v>1438004.1249999946</v>
      </c>
      <c r="R144">
        <f t="shared" ref="R144" si="697">R145+Q144</f>
        <v>-483358054.31771892</v>
      </c>
      <c r="S144">
        <f t="shared" ref="S144" si="698">R144/100000</f>
        <v>-4833.5805431771896</v>
      </c>
      <c r="T144">
        <f t="shared" ref="T144" si="699">S144/1000</f>
        <v>-4.8335805431771899</v>
      </c>
    </row>
    <row r="145" spans="1:20" x14ac:dyDescent="0.25">
      <c r="A145" s="5">
        <v>44448</v>
      </c>
      <c r="B145">
        <v>2.0720000000000001</v>
      </c>
      <c r="C145">
        <v>2.2549999999999999</v>
      </c>
      <c r="D145">
        <v>1.982</v>
      </c>
      <c r="E145">
        <v>2.1349999999999998</v>
      </c>
      <c r="F145">
        <v>6188821.7000000002</v>
      </c>
      <c r="G145">
        <v>2.1349999999999998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0.12087912087911981</v>
      </c>
      <c r="Q145">
        <f t="shared" ref="Q145" si="701">F145*P145</f>
        <v>748099.32637361984</v>
      </c>
      <c r="R145">
        <f t="shared" ref="R145" si="702">R146+Q145</f>
        <v>-484796058.44271892</v>
      </c>
      <c r="S145">
        <f t="shared" ref="S145" si="703">R145/100000</f>
        <v>-4847.9605844271891</v>
      </c>
      <c r="T145">
        <f t="shared" ref="T145" si="704">S145/1000</f>
        <v>-4.8479605844271889</v>
      </c>
    </row>
    <row r="146" spans="1:20" x14ac:dyDescent="0.25">
      <c r="A146" s="5">
        <v>44447</v>
      </c>
      <c r="B146">
        <v>2.1680000000000001</v>
      </c>
      <c r="C146">
        <v>2.1789999999999998</v>
      </c>
      <c r="D146">
        <v>1.85</v>
      </c>
      <c r="E146">
        <v>2.0680000000000001</v>
      </c>
      <c r="F146">
        <v>7599250.71</v>
      </c>
      <c r="G146">
        <v>2.0680000000000001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0.32522796352583677</v>
      </c>
      <c r="Q146">
        <f t="shared" ref="Q146" si="706">F146*P146</f>
        <v>2471488.8327355692</v>
      </c>
      <c r="R146">
        <f t="shared" ref="R146" si="707">R147+Q146</f>
        <v>-485544157.76909256</v>
      </c>
      <c r="S146">
        <f t="shared" ref="S146" si="708">R146/100000</f>
        <v>-4855.4415776909254</v>
      </c>
      <c r="T146">
        <f t="shared" ref="T146" si="709">S146/1000</f>
        <v>-4.8554415776909252</v>
      </c>
    </row>
    <row r="147" spans="1:20" x14ac:dyDescent="0.25">
      <c r="A147" s="5">
        <v>44446</v>
      </c>
      <c r="B147">
        <v>2.726</v>
      </c>
      <c r="C147">
        <v>2.76</v>
      </c>
      <c r="D147">
        <v>1.92</v>
      </c>
      <c r="E147">
        <v>2.165</v>
      </c>
      <c r="F147">
        <v>12818175.869999999</v>
      </c>
      <c r="G147">
        <v>2.165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-0.4166666666666663</v>
      </c>
      <c r="Q147">
        <f t="shared" ref="Q147" si="711">F147*P147</f>
        <v>-5340906.6124999952</v>
      </c>
      <c r="R147">
        <f t="shared" ref="R147" si="712">R148+Q147</f>
        <v>-488015646.60182816</v>
      </c>
      <c r="S147">
        <f t="shared" ref="S147" si="713">R147/100000</f>
        <v>-4880.1564660182812</v>
      </c>
      <c r="T147">
        <f t="shared" ref="T147" si="714">S147/1000</f>
        <v>-4.8801564660182812</v>
      </c>
    </row>
    <row r="148" spans="1:20" x14ac:dyDescent="0.25">
      <c r="A148" s="5">
        <v>44445</v>
      </c>
      <c r="B148">
        <v>2.734</v>
      </c>
      <c r="C148">
        <v>2.8319999999999999</v>
      </c>
      <c r="D148">
        <v>2.6259999999999999</v>
      </c>
      <c r="E148">
        <v>2.726</v>
      </c>
      <c r="F148">
        <v>8758671.3000000007</v>
      </c>
      <c r="G148">
        <v>2.726</v>
      </c>
      <c r="L148" t="s">
        <v>7</v>
      </c>
      <c r="M148" t="s">
        <v>8</v>
      </c>
      <c r="N148" t="s">
        <v>7</v>
      </c>
      <c r="P148">
        <f t="shared" ref="P148" si="715">IF(C148=D148,0,((E148-D148)-(C148-E148))/(C148-D148))</f>
        <v>-2.9126213592231963E-2</v>
      </c>
      <c r="Q148">
        <f t="shared" ref="Q148" si="716">F148*P148</f>
        <v>-255106.93106795201</v>
      </c>
      <c r="R148">
        <f t="shared" ref="R148" si="717">R149+Q148</f>
        <v>-482674739.98932815</v>
      </c>
      <c r="S148">
        <f t="shared" ref="S148" si="718">R148/100000</f>
        <v>-4826.7473998932819</v>
      </c>
      <c r="T148">
        <f t="shared" ref="T148" si="719">S148/1000</f>
        <v>-4.8267473998932822</v>
      </c>
    </row>
    <row r="149" spans="1:20" x14ac:dyDescent="0.25">
      <c r="A149" s="5">
        <v>44444</v>
      </c>
      <c r="B149">
        <v>2.7120000000000002</v>
      </c>
      <c r="C149">
        <v>2.8</v>
      </c>
      <c r="D149">
        <v>2.6640000000000001</v>
      </c>
      <c r="E149">
        <v>2.7330000000000001</v>
      </c>
      <c r="F149">
        <v>5141767.4000000004</v>
      </c>
      <c r="G149">
        <v>2.7330000000000001</v>
      </c>
      <c r="L149" t="s">
        <v>7</v>
      </c>
      <c r="M149" t="s">
        <v>8</v>
      </c>
      <c r="N149" t="s">
        <v>7</v>
      </c>
      <c r="P149">
        <f t="shared" ref="P149" si="720">IF(C149=D149,0,((E149-D149)-(C149-E149))/(C149-D149))</f>
        <v>1.4705882352942857E-2</v>
      </c>
      <c r="Q149">
        <f t="shared" ref="Q149" si="721">F149*P149</f>
        <v>75614.226470596885</v>
      </c>
      <c r="R149">
        <f t="shared" ref="R149" si="722">R150+Q149</f>
        <v>-482419633.0582602</v>
      </c>
      <c r="S149">
        <f t="shared" ref="S149" si="723">R149/100000</f>
        <v>-4824.1963305826021</v>
      </c>
      <c r="T149">
        <f t="shared" ref="T149" si="724">S149/1000</f>
        <v>-4.8241963305826019</v>
      </c>
    </row>
    <row r="150" spans="1:20" x14ac:dyDescent="0.25">
      <c r="A150" s="5">
        <v>44443</v>
      </c>
      <c r="B150">
        <v>2.6579999999999999</v>
      </c>
      <c r="C150">
        <v>2.95</v>
      </c>
      <c r="D150">
        <v>2.6269999999999998</v>
      </c>
      <c r="E150">
        <v>2.7090000000000001</v>
      </c>
      <c r="F150">
        <v>8490528.5999999996</v>
      </c>
      <c r="G150">
        <v>2.7090000000000001</v>
      </c>
      <c r="L150" t="s">
        <v>8</v>
      </c>
      <c r="M150" t="s">
        <v>8</v>
      </c>
      <c r="N150" t="s">
        <v>7</v>
      </c>
      <c r="P150">
        <f t="shared" ref="P150" si="725">IF(C150=D150,0,((E150-D150)-(C150-E150))/(C150-D150))</f>
        <v>-0.49226006191950344</v>
      </c>
      <c r="Q150">
        <f t="shared" ref="Q150" si="726">F150*P150</f>
        <v>-4179548.1343653146</v>
      </c>
      <c r="R150">
        <f t="shared" ref="R150" si="727">R151+Q150</f>
        <v>-482495247.28473079</v>
      </c>
      <c r="S150">
        <f t="shared" ref="S150" si="728">R150/100000</f>
        <v>-4824.9524728473079</v>
      </c>
      <c r="T150">
        <f t="shared" ref="T150" si="729">S150/1000</f>
        <v>-4.8249524728473077</v>
      </c>
    </row>
    <row r="151" spans="1:20" x14ac:dyDescent="0.25">
      <c r="A151" s="5">
        <v>44442</v>
      </c>
      <c r="B151">
        <v>2.6749999999999998</v>
      </c>
      <c r="C151">
        <v>2.77</v>
      </c>
      <c r="D151">
        <v>2.62</v>
      </c>
      <c r="E151">
        <v>2.6579999999999999</v>
      </c>
      <c r="F151">
        <v>4833271.9000000004</v>
      </c>
      <c r="G151">
        <v>2.6579999999999999</v>
      </c>
      <c r="L151" t="s">
        <v>7</v>
      </c>
      <c r="M151" t="s">
        <v>7</v>
      </c>
      <c r="N151" t="s">
        <v>7</v>
      </c>
      <c r="P151">
        <f t="shared" ref="P151" si="730">IF(C151=D151,0,((E151-D151)-(C151-E151))/(C151-D151))</f>
        <v>-0.49333333333333557</v>
      </c>
      <c r="Q151">
        <f t="shared" ref="Q151" si="731">F151*P151</f>
        <v>-2384414.1373333442</v>
      </c>
      <c r="R151">
        <f t="shared" ref="R151" si="732">R152+Q151</f>
        <v>-478315699.15036547</v>
      </c>
      <c r="S151">
        <f t="shared" ref="S151" si="733">R151/100000</f>
        <v>-4783.1569915036544</v>
      </c>
      <c r="T151">
        <f t="shared" ref="T151" si="734">S151/1000</f>
        <v>-4.7831569915036543</v>
      </c>
    </row>
    <row r="152" spans="1:20" x14ac:dyDescent="0.25">
      <c r="A152" s="5">
        <v>44441</v>
      </c>
      <c r="B152">
        <v>2.722</v>
      </c>
      <c r="C152">
        <v>2.851</v>
      </c>
      <c r="D152">
        <v>2.6589999999999998</v>
      </c>
      <c r="E152">
        <v>2.6739999999999999</v>
      </c>
      <c r="F152">
        <v>6257215</v>
      </c>
      <c r="G152">
        <v>2.6739999999999999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-0.84374999999999889</v>
      </c>
      <c r="Q152">
        <f t="shared" ref="Q152" si="736">F152*P152</f>
        <v>-5279525.1562499935</v>
      </c>
      <c r="R152">
        <f t="shared" ref="R152" si="737">R153+Q152</f>
        <v>-475931285.01303214</v>
      </c>
      <c r="S152">
        <f t="shared" ref="S152" si="738">R152/100000</f>
        <v>-4759.3128501303217</v>
      </c>
      <c r="T152">
        <f t="shared" ref="T152" si="739">S152/1000</f>
        <v>-4.7593128501303221</v>
      </c>
    </row>
    <row r="153" spans="1:20" x14ac:dyDescent="0.25">
      <c r="A153" s="5">
        <v>44440</v>
      </c>
      <c r="B153">
        <v>2.5880000000000001</v>
      </c>
      <c r="C153">
        <v>2.7669999999999999</v>
      </c>
      <c r="D153">
        <v>2.5150000000000001</v>
      </c>
      <c r="E153">
        <v>2.7240000000000002</v>
      </c>
      <c r="F153">
        <v>6637754.6900000004</v>
      </c>
      <c r="G153">
        <v>2.7240000000000002</v>
      </c>
      <c r="L153" t="s">
        <v>7</v>
      </c>
      <c r="M153" t="s">
        <v>7</v>
      </c>
      <c r="N153" t="s">
        <v>7</v>
      </c>
      <c r="P153">
        <f t="shared" ref="P153" si="740">IF(C153=D153,0,((E153-D153)-(C153-E153))/(C153-D153))</f>
        <v>0.65873015873016072</v>
      </c>
      <c r="Q153">
        <f t="shared" ref="Q153" si="741">F153*P153</f>
        <v>4372489.2005555695</v>
      </c>
      <c r="R153">
        <f t="shared" ref="R153" si="742">R154+Q153</f>
        <v>-470651759.85678214</v>
      </c>
      <c r="S153">
        <f t="shared" ref="S153" si="743">R153/100000</f>
        <v>-4706.5175985678216</v>
      </c>
      <c r="T153">
        <f t="shared" ref="T153" si="744">S153/1000</f>
        <v>-4.7065175985678218</v>
      </c>
    </row>
    <row r="154" spans="1:20" x14ac:dyDescent="0.25">
      <c r="A154" s="5">
        <v>44439</v>
      </c>
      <c r="B154">
        <v>2.653</v>
      </c>
      <c r="C154">
        <v>2.85</v>
      </c>
      <c r="D154">
        <v>2.5369999999999999</v>
      </c>
      <c r="E154">
        <v>2.589</v>
      </c>
      <c r="F154">
        <v>8423033.7799999993</v>
      </c>
      <c r="G154">
        <v>2.589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-0.66773162939297115</v>
      </c>
      <c r="Q154">
        <f t="shared" ref="Q154" si="746">F154*P154</f>
        <v>-5624326.0703514367</v>
      </c>
      <c r="R154">
        <f t="shared" ref="R154" si="747">R155+Q154</f>
        <v>-475024249.0573377</v>
      </c>
      <c r="S154">
        <f t="shared" ref="S154" si="748">R154/100000</f>
        <v>-4750.2424905733769</v>
      </c>
      <c r="T154">
        <f t="shared" ref="T154" si="749">S154/1000</f>
        <v>-4.7502424905733767</v>
      </c>
    </row>
    <row r="155" spans="1:20" x14ac:dyDescent="0.25">
      <c r="A155" s="5">
        <v>44438</v>
      </c>
      <c r="B155">
        <v>2.8769999999999998</v>
      </c>
      <c r="C155">
        <v>2.95</v>
      </c>
      <c r="D155">
        <v>2.6240000000000001</v>
      </c>
      <c r="E155">
        <v>2.653</v>
      </c>
      <c r="F155">
        <v>9176080.6999999993</v>
      </c>
      <c r="G155">
        <v>2.653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-0.82208588957055273</v>
      </c>
      <c r="Q155">
        <f t="shared" ref="Q155" si="751">F155*P155</f>
        <v>-7543526.4650306795</v>
      </c>
      <c r="R155">
        <f t="shared" ref="R155" si="752">R156+Q155</f>
        <v>-469399922.98698628</v>
      </c>
      <c r="S155">
        <f t="shared" ref="S155" si="753">R155/100000</f>
        <v>-4693.9992298698626</v>
      </c>
      <c r="T155">
        <f t="shared" ref="T155" si="754">S155/1000</f>
        <v>-4.6939992298698625</v>
      </c>
    </row>
    <row r="156" spans="1:20" x14ac:dyDescent="0.25">
      <c r="A156" s="5">
        <v>44437</v>
      </c>
      <c r="B156">
        <v>3.0409999999999999</v>
      </c>
      <c r="C156">
        <v>3.145</v>
      </c>
      <c r="D156">
        <v>2.847</v>
      </c>
      <c r="E156">
        <v>2.8780000000000001</v>
      </c>
      <c r="F156">
        <v>7623201.5999999996</v>
      </c>
      <c r="G156">
        <v>2.8780000000000001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-0.79194630872483129</v>
      </c>
      <c r="Q156">
        <f t="shared" ref="Q156" si="756">F156*P156</f>
        <v>-6037166.3677852275</v>
      </c>
      <c r="R156">
        <f t="shared" ref="R156" si="757">R157+Q156</f>
        <v>-461856396.52195561</v>
      </c>
      <c r="S156">
        <f t="shared" ref="S156" si="758">R156/100000</f>
        <v>-4618.5639652195559</v>
      </c>
      <c r="T156">
        <f t="shared" ref="T156" si="759">S156/1000</f>
        <v>-4.6185639652195558</v>
      </c>
    </row>
    <row r="157" spans="1:20" x14ac:dyDescent="0.25">
      <c r="A157" s="5">
        <v>44436</v>
      </c>
      <c r="B157">
        <v>3.1379999999999999</v>
      </c>
      <c r="C157">
        <v>3.464</v>
      </c>
      <c r="D157">
        <v>2.96</v>
      </c>
      <c r="E157">
        <v>3.0409999999999999</v>
      </c>
      <c r="F157">
        <v>16326649.68</v>
      </c>
      <c r="G157">
        <v>3.0409999999999999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-0.67857142857142871</v>
      </c>
      <c r="Q157">
        <f t="shared" ref="Q157" si="761">F157*P157</f>
        <v>-11078797.997142859</v>
      </c>
      <c r="R157">
        <f t="shared" ref="R157" si="762">R158+Q157</f>
        <v>-455819230.15417039</v>
      </c>
      <c r="S157">
        <f t="shared" ref="S157" si="763">R157/100000</f>
        <v>-4558.1923015417042</v>
      </c>
      <c r="T157">
        <f t="shared" ref="T157" si="764">S157/1000</f>
        <v>-4.5581923015417045</v>
      </c>
    </row>
    <row r="158" spans="1:20" x14ac:dyDescent="0.25">
      <c r="A158" s="5">
        <v>44435</v>
      </c>
      <c r="B158">
        <v>2.7069999999999999</v>
      </c>
      <c r="C158">
        <v>3.2450000000000001</v>
      </c>
      <c r="D158">
        <v>2.6389999999999998</v>
      </c>
      <c r="E158">
        <v>3.141</v>
      </c>
      <c r="F158">
        <v>23717348.600000001</v>
      </c>
      <c r="G158">
        <v>3.141</v>
      </c>
      <c r="L158" t="s">
        <v>7</v>
      </c>
      <c r="M158" t="s">
        <v>8</v>
      </c>
      <c r="N158" t="s">
        <v>8</v>
      </c>
      <c r="P158">
        <f t="shared" ref="P158" si="765">IF(C158=D158,0,((E158-D158)-(C158-E158))/(C158-D158))</f>
        <v>0.65676567656765661</v>
      </c>
      <c r="Q158">
        <f t="shared" ref="Q158" si="766">F158*P158</f>
        <v>15576740.499669963</v>
      </c>
      <c r="R158">
        <f t="shared" ref="R158" si="767">R159+Q158</f>
        <v>-444740432.15702754</v>
      </c>
      <c r="S158">
        <f t="shared" ref="S158" si="768">R158/100000</f>
        <v>-4447.404321570275</v>
      </c>
      <c r="T158">
        <f t="shared" ref="T158" si="769">S158/1000</f>
        <v>-4.447404321570275</v>
      </c>
    </row>
    <row r="159" spans="1:20" x14ac:dyDescent="0.25">
      <c r="A159" s="5">
        <v>44434</v>
      </c>
      <c r="B159">
        <v>2.9156</v>
      </c>
      <c r="C159">
        <v>3.2480000000000002</v>
      </c>
      <c r="D159">
        <v>2.5272999999999999</v>
      </c>
      <c r="E159">
        <v>2.7050000000000001</v>
      </c>
      <c r="F159">
        <v>33308479.59</v>
      </c>
      <c r="G159">
        <v>2.7050000000000001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-0.5068683224642706</v>
      </c>
      <c r="Q159">
        <f t="shared" ref="Q159" si="771">F159*P159</f>
        <v>-16883013.173618697</v>
      </c>
      <c r="R159">
        <f t="shared" ref="R159" si="772">R160+Q159</f>
        <v>-460317172.65669751</v>
      </c>
      <c r="S159">
        <f t="shared" ref="S159" si="773">R159/100000</f>
        <v>-4603.1717265669749</v>
      </c>
      <c r="T159">
        <f t="shared" ref="T159" si="774">S159/1000</f>
        <v>-4.6031717265669752</v>
      </c>
    </row>
    <row r="160" spans="1:20" x14ac:dyDescent="0.25">
      <c r="A160" s="5">
        <v>44433</v>
      </c>
      <c r="B160">
        <v>2.1905000000000001</v>
      </c>
      <c r="C160">
        <v>3.3298999999999999</v>
      </c>
      <c r="D160">
        <v>2.0680000000000001</v>
      </c>
      <c r="E160">
        <v>2.9159999999999999</v>
      </c>
      <c r="F160">
        <v>40586136.579999998</v>
      </c>
      <c r="G160">
        <v>2.9159999999999999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0.34400507171725175</v>
      </c>
      <c r="Q160">
        <f t="shared" ref="Q160" si="776">F160*P160</f>
        <v>13961836.824929073</v>
      </c>
      <c r="R160">
        <f t="shared" ref="R160" si="777">R161+Q160</f>
        <v>-443434159.48307884</v>
      </c>
      <c r="S160">
        <f t="shared" ref="S160" si="778">R160/100000</f>
        <v>-4434.3415948307884</v>
      </c>
      <c r="T160">
        <f t="shared" ref="T160" si="779">S160/1000</f>
        <v>-4.434341594830788</v>
      </c>
    </row>
    <row r="161" spans="1:20" x14ac:dyDescent="0.25">
      <c r="A161" s="5">
        <v>44432</v>
      </c>
      <c r="B161">
        <v>2.3450000000000002</v>
      </c>
      <c r="C161">
        <v>2.3725999999999998</v>
      </c>
      <c r="D161">
        <v>2.1313</v>
      </c>
      <c r="E161">
        <v>2.1905000000000001</v>
      </c>
      <c r="F161">
        <v>7724593.1699999999</v>
      </c>
      <c r="G161">
        <v>2.1905000000000001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-0.50932449233319366</v>
      </c>
      <c r="Q161">
        <f t="shared" ref="Q161" si="781">F161*P161</f>
        <v>-3934324.4947907049</v>
      </c>
      <c r="R161">
        <f t="shared" ref="R161" si="782">R162+Q161</f>
        <v>-457395996.3080079</v>
      </c>
      <c r="S161">
        <f t="shared" ref="S161" si="783">R161/100000</f>
        <v>-4573.9599630800785</v>
      </c>
      <c r="T161">
        <f t="shared" ref="T161" si="784">S161/1000</f>
        <v>-4.5739599630800782</v>
      </c>
    </row>
    <row r="162" spans="1:20" x14ac:dyDescent="0.25">
      <c r="A162" s="5">
        <v>44431</v>
      </c>
      <c r="B162">
        <v>2.2732999999999999</v>
      </c>
      <c r="C162">
        <v>2.3599000000000001</v>
      </c>
      <c r="D162">
        <v>2.226</v>
      </c>
      <c r="E162">
        <v>2.3473000000000002</v>
      </c>
      <c r="F162">
        <v>7292165.46</v>
      </c>
      <c r="G162">
        <v>2.3473000000000002</v>
      </c>
      <c r="L162" t="s">
        <v>8</v>
      </c>
      <c r="M162" t="s">
        <v>7</v>
      </c>
      <c r="N162" t="s">
        <v>8</v>
      </c>
      <c r="P162">
        <f t="shared" ref="P162" si="785">IF(C162=D162,0,((E162-D162)-(C162-E162))/(C162-D162))</f>
        <v>0.81179985063480309</v>
      </c>
      <c r="Q162">
        <f t="shared" ref="Q162" si="786">F162*P162</f>
        <v>5919778.8312322702</v>
      </c>
      <c r="R162">
        <f t="shared" ref="R162" si="787">R163+Q162</f>
        <v>-453461671.81321716</v>
      </c>
      <c r="S162">
        <f t="shared" ref="S162" si="788">R162/100000</f>
        <v>-4534.6167181321716</v>
      </c>
      <c r="T162">
        <f t="shared" ref="T162" si="789">S162/1000</f>
        <v>-4.5346167181321713</v>
      </c>
    </row>
    <row r="163" spans="1:20" x14ac:dyDescent="0.25">
      <c r="A163" s="5">
        <v>44430</v>
      </c>
      <c r="B163">
        <v>2.2446000000000002</v>
      </c>
      <c r="C163">
        <v>2.3045</v>
      </c>
      <c r="D163">
        <v>2.2307000000000001</v>
      </c>
      <c r="E163">
        <v>2.2904</v>
      </c>
      <c r="F163">
        <v>1306979.01</v>
      </c>
      <c r="G163">
        <v>2.2904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0.61788617886178787</v>
      </c>
      <c r="Q163">
        <f t="shared" ref="Q163" si="791">F163*P163</f>
        <v>807564.2663414625</v>
      </c>
      <c r="R163">
        <f t="shared" ref="R163" si="792">R164+Q163</f>
        <v>-459381450.64444941</v>
      </c>
      <c r="S163">
        <f t="shared" ref="S163" si="793">R163/100000</f>
        <v>-4593.8145064444943</v>
      </c>
      <c r="T163">
        <f t="shared" ref="T163" si="794">S163/1000</f>
        <v>-4.5938145064444944</v>
      </c>
    </row>
    <row r="164" spans="1:20" x14ac:dyDescent="0.25">
      <c r="A164" s="5">
        <v>44429</v>
      </c>
      <c r="B164">
        <v>2.3130000000000002</v>
      </c>
      <c r="C164">
        <v>2.3477999999999999</v>
      </c>
      <c r="D164">
        <v>2.2210999999999999</v>
      </c>
      <c r="E164">
        <v>2.2439</v>
      </c>
      <c r="F164">
        <v>5977729.5999999996</v>
      </c>
      <c r="G164">
        <v>2.2439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-0.64009471191791401</v>
      </c>
      <c r="Q164">
        <f t="shared" ref="Q164" si="796">F164*P164</f>
        <v>-3826313.106235187</v>
      </c>
      <c r="R164">
        <f t="shared" ref="R164" si="797">R165+Q164</f>
        <v>-460189014.91079086</v>
      </c>
      <c r="S164">
        <f t="shared" ref="S164" si="798">R164/100000</f>
        <v>-4601.8901491079087</v>
      </c>
      <c r="T164">
        <f t="shared" ref="T164" si="799">S164/1000</f>
        <v>-4.6018901491079083</v>
      </c>
    </row>
    <row r="165" spans="1:20" x14ac:dyDescent="0.25">
      <c r="A165" s="5">
        <v>44428</v>
      </c>
      <c r="B165">
        <v>2.194</v>
      </c>
      <c r="C165">
        <v>2.3757999999999999</v>
      </c>
      <c r="D165">
        <v>2.1850999999999998</v>
      </c>
      <c r="E165">
        <v>2.3092999999999999</v>
      </c>
      <c r="F165">
        <v>6747671.5300000003</v>
      </c>
      <c r="G165">
        <v>2.3092999999999999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0.3025694808599898</v>
      </c>
      <c r="Q165">
        <f t="shared" ref="Q165" si="801">F165*P165</f>
        <v>2041639.4718458331</v>
      </c>
      <c r="R165">
        <f t="shared" ref="R165" si="802">R166+Q165</f>
        <v>-456362701.80455565</v>
      </c>
      <c r="S165">
        <f t="shared" ref="S165" si="803">R165/100000</f>
        <v>-4563.6270180455567</v>
      </c>
      <c r="T165">
        <f t="shared" ref="T165" si="804">S165/1000</f>
        <v>-4.5636270180455565</v>
      </c>
    </row>
    <row r="166" spans="1:20" x14ac:dyDescent="0.25">
      <c r="A166" s="5">
        <v>44427</v>
      </c>
      <c r="B166">
        <v>2.1326999999999998</v>
      </c>
      <c r="C166">
        <v>2.23</v>
      </c>
      <c r="D166">
        <v>2.0407999999999999</v>
      </c>
      <c r="E166">
        <v>2.1941000000000002</v>
      </c>
      <c r="F166">
        <v>8256083.5700000003</v>
      </c>
      <c r="G166">
        <v>2.1941000000000002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0.62050739957716894</v>
      </c>
      <c r="Q166">
        <f t="shared" ref="Q166" si="806">F166*P166</f>
        <v>5122960.9467124892</v>
      </c>
      <c r="R166">
        <f t="shared" ref="R166" si="807">R167+Q166</f>
        <v>-458404341.27640146</v>
      </c>
      <c r="S166">
        <f t="shared" ref="S166" si="808">R166/100000</f>
        <v>-4584.0434127640146</v>
      </c>
      <c r="T166">
        <f t="shared" ref="T166" si="809">S166/1000</f>
        <v>-4.5840434127640144</v>
      </c>
    </row>
    <row r="167" spans="1:20" x14ac:dyDescent="0.25">
      <c r="A167" s="5">
        <v>44426</v>
      </c>
      <c r="B167">
        <v>2.1920000000000002</v>
      </c>
      <c r="C167">
        <v>2.3491</v>
      </c>
      <c r="D167">
        <v>2.0699999999999998</v>
      </c>
      <c r="E167">
        <v>2.1331000000000002</v>
      </c>
      <c r="F167">
        <v>8858889.5999999996</v>
      </c>
      <c r="G167">
        <v>2.1331000000000002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-0.54783231816552957</v>
      </c>
      <c r="Q167">
        <f t="shared" ref="Q167" si="811">F167*P167</f>
        <v>-4853186.0259405011</v>
      </c>
      <c r="R167">
        <f t="shared" ref="R167" si="812">R168+Q167</f>
        <v>-463527302.22311395</v>
      </c>
      <c r="S167">
        <f t="shared" ref="S167" si="813">R167/100000</f>
        <v>-4635.2730222311393</v>
      </c>
      <c r="T167">
        <f t="shared" ref="T167" si="814">S167/1000</f>
        <v>-4.6352730222311394</v>
      </c>
    </row>
    <row r="168" spans="1:20" x14ac:dyDescent="0.25">
      <c r="A168" s="5">
        <v>44425</v>
      </c>
      <c r="B168">
        <v>2.2532000000000001</v>
      </c>
      <c r="C168">
        <v>2.5198999999999998</v>
      </c>
      <c r="D168">
        <v>2.1124999999999998</v>
      </c>
      <c r="E168">
        <v>2.1920000000000002</v>
      </c>
      <c r="F168">
        <v>18286694.600000001</v>
      </c>
      <c r="G168">
        <v>2.1920000000000002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-0.60972017673048429</v>
      </c>
      <c r="Q168">
        <f t="shared" ref="Q168" si="816">F168*P168</f>
        <v>-11149766.663328394</v>
      </c>
      <c r="R168">
        <f t="shared" ref="R168" si="817">R169+Q168</f>
        <v>-458674116.19717348</v>
      </c>
      <c r="S168">
        <f t="shared" ref="S168" si="818">R168/100000</f>
        <v>-4586.741161971735</v>
      </c>
      <c r="T168">
        <f t="shared" ref="T168" si="819">S168/1000</f>
        <v>-4.5867411619717346</v>
      </c>
    </row>
    <row r="169" spans="1:20" x14ac:dyDescent="0.25">
      <c r="A169" s="5">
        <v>44424</v>
      </c>
      <c r="B169">
        <v>2.0329999999999999</v>
      </c>
      <c r="C169">
        <v>2.2999999999999998</v>
      </c>
      <c r="D169">
        <v>2.0003000000000002</v>
      </c>
      <c r="E169">
        <v>2.2538</v>
      </c>
      <c r="F169">
        <v>14235691.609999999</v>
      </c>
      <c r="G169">
        <v>2.2538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0.69169169169169264</v>
      </c>
      <c r="Q169">
        <f t="shared" ref="Q169" si="821">F169*P169</f>
        <v>9846709.6121221352</v>
      </c>
      <c r="R169">
        <f t="shared" ref="R169" si="822">R170+Q169</f>
        <v>-447524349.53384507</v>
      </c>
      <c r="S169">
        <f t="shared" ref="S169" si="823">R169/100000</f>
        <v>-4475.2434953384509</v>
      </c>
      <c r="T169">
        <f t="shared" ref="T169" si="824">S169/1000</f>
        <v>-4.475243495338451</v>
      </c>
    </row>
    <row r="170" spans="1:20" x14ac:dyDescent="0.25">
      <c r="A170" s="5">
        <v>44423</v>
      </c>
      <c r="B170">
        <v>2.0192999999999999</v>
      </c>
      <c r="C170">
        <v>2.0804999999999998</v>
      </c>
      <c r="D170">
        <v>1.9017999999999999</v>
      </c>
      <c r="E170">
        <v>2.0333000000000001</v>
      </c>
      <c r="F170">
        <v>7148097.6799999997</v>
      </c>
      <c r="G170">
        <v>2.0333000000000001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0.47174034695019895</v>
      </c>
      <c r="Q170">
        <f t="shared" ref="Q170" si="826">F170*P170</f>
        <v>3372046.0795971123</v>
      </c>
      <c r="R170">
        <f t="shared" ref="R170" si="827">R171+Q170</f>
        <v>-457371059.14596719</v>
      </c>
      <c r="S170">
        <f t="shared" ref="S170" si="828">R170/100000</f>
        <v>-4573.7105914596723</v>
      </c>
      <c r="T170">
        <f t="shared" ref="T170" si="829">S170/1000</f>
        <v>-4.5737105914596725</v>
      </c>
    </row>
    <row r="171" spans="1:20" x14ac:dyDescent="0.25">
      <c r="A171" s="5">
        <v>44422</v>
      </c>
      <c r="B171">
        <v>1.9728000000000001</v>
      </c>
      <c r="C171">
        <v>2.2174</v>
      </c>
      <c r="D171">
        <v>1.85</v>
      </c>
      <c r="E171">
        <v>2.0177</v>
      </c>
      <c r="F171">
        <v>16425366.779999999</v>
      </c>
      <c r="G171">
        <v>2.0177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-8.7098530212302752E-2</v>
      </c>
      <c r="Q171">
        <f t="shared" ref="Q171" si="831">F171*P171</f>
        <v>-1430625.304735984</v>
      </c>
      <c r="R171">
        <f t="shared" ref="R171" si="832">R172+Q171</f>
        <v>-460743105.2255643</v>
      </c>
      <c r="S171">
        <f t="shared" ref="S171" si="833">R171/100000</f>
        <v>-4607.4310522556434</v>
      </c>
      <c r="T171">
        <f t="shared" ref="T171" si="834">S171/1000</f>
        <v>-4.6074310522556434</v>
      </c>
    </row>
    <row r="172" spans="1:20" x14ac:dyDescent="0.25">
      <c r="A172" s="5">
        <v>44421</v>
      </c>
      <c r="B172">
        <v>1.8332999999999999</v>
      </c>
      <c r="C172">
        <v>1.98</v>
      </c>
      <c r="D172">
        <v>1.83</v>
      </c>
      <c r="E172">
        <v>1.9728000000000001</v>
      </c>
      <c r="F172">
        <v>4579671.2699999996</v>
      </c>
      <c r="G172">
        <v>1.9728000000000001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0.90400000000000158</v>
      </c>
      <c r="Q172">
        <f t="shared" ref="Q172" si="836">F172*P172</f>
        <v>4140022.8280800069</v>
      </c>
      <c r="R172">
        <f t="shared" ref="R172" si="837">R173+Q172</f>
        <v>-459312479.92082834</v>
      </c>
      <c r="S172">
        <f t="shared" ref="S172" si="838">R172/100000</f>
        <v>-4593.1247992082835</v>
      </c>
      <c r="T172">
        <f t="shared" ref="T172" si="839">S172/1000</f>
        <v>-4.593124799208284</v>
      </c>
    </row>
    <row r="173" spans="1:20" x14ac:dyDescent="0.25">
      <c r="A173" s="5">
        <v>44420</v>
      </c>
      <c r="B173">
        <v>1.9048</v>
      </c>
      <c r="C173">
        <v>1.9809000000000001</v>
      </c>
      <c r="D173">
        <v>1.7705</v>
      </c>
      <c r="E173">
        <v>1.8340000000000001</v>
      </c>
      <c r="F173">
        <v>7130874.0499999998</v>
      </c>
      <c r="G173">
        <v>1.8340000000000001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-0.39638783269961914</v>
      </c>
      <c r="Q173">
        <f t="shared" ref="Q173" si="841">F173*P173</f>
        <v>-2826591.7099334556</v>
      </c>
      <c r="R173">
        <f t="shared" ref="R173" si="842">R174+Q173</f>
        <v>-463452502.74890834</v>
      </c>
      <c r="S173">
        <f t="shared" ref="S173" si="843">R173/100000</f>
        <v>-4634.5250274890832</v>
      </c>
      <c r="T173">
        <f t="shared" ref="T173" si="844">S173/1000</f>
        <v>-4.634525027489083</v>
      </c>
    </row>
    <row r="174" spans="1:20" x14ac:dyDescent="0.25">
      <c r="A174" s="5">
        <v>44419</v>
      </c>
      <c r="B174">
        <v>1.8526</v>
      </c>
      <c r="C174">
        <v>2.06</v>
      </c>
      <c r="D174">
        <v>1.8502000000000001</v>
      </c>
      <c r="E174">
        <v>1.9054</v>
      </c>
      <c r="F174">
        <v>10930697.800000001</v>
      </c>
      <c r="G174">
        <v>1.9054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-0.47378455672068714</v>
      </c>
      <c r="Q174">
        <f t="shared" ref="Q174" si="846">F174*P174</f>
        <v>-5178795.8118207902</v>
      </c>
      <c r="R174">
        <f t="shared" ref="R174" si="847">R175+Q174</f>
        <v>-460625911.03897488</v>
      </c>
      <c r="S174">
        <f t="shared" ref="S174" si="848">R174/100000</f>
        <v>-4606.2591103897485</v>
      </c>
      <c r="T174">
        <f t="shared" ref="T174" si="849">S174/1000</f>
        <v>-4.6062591103897486</v>
      </c>
    </row>
    <row r="175" spans="1:20" x14ac:dyDescent="0.25">
      <c r="A175" s="5">
        <v>44418</v>
      </c>
      <c r="B175">
        <v>1.8480000000000001</v>
      </c>
      <c r="C175">
        <v>1.8774</v>
      </c>
      <c r="D175">
        <v>1.792</v>
      </c>
      <c r="E175">
        <v>1.853</v>
      </c>
      <c r="F175">
        <v>6029391.7300000004</v>
      </c>
      <c r="G175">
        <v>1.853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0.42857142857142855</v>
      </c>
      <c r="Q175">
        <f t="shared" ref="Q175" si="851">F175*P175</f>
        <v>2584025.0271428572</v>
      </c>
      <c r="R175">
        <f t="shared" ref="R175" si="852">R176+Q175</f>
        <v>-455447115.22715408</v>
      </c>
      <c r="S175">
        <f t="shared" ref="S175" si="853">R175/100000</f>
        <v>-4554.4711522715406</v>
      </c>
      <c r="T175">
        <f t="shared" ref="T175" si="854">S175/1000</f>
        <v>-4.5544711522715406</v>
      </c>
    </row>
    <row r="176" spans="1:20" x14ac:dyDescent="0.25">
      <c r="A176" s="5">
        <v>44417</v>
      </c>
      <c r="B176">
        <v>1.7988999999999999</v>
      </c>
      <c r="C176">
        <v>1.8998999999999999</v>
      </c>
      <c r="D176">
        <v>1.7515000000000001</v>
      </c>
      <c r="E176">
        <v>1.8468</v>
      </c>
      <c r="F176">
        <v>4703844.37</v>
      </c>
      <c r="G176">
        <v>1.8468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0.28436657681940736</v>
      </c>
      <c r="Q176">
        <f t="shared" ref="Q176" si="856">F176*P176</f>
        <v>1337616.1213881418</v>
      </c>
      <c r="R176">
        <f t="shared" ref="R176" si="857">R177+Q176</f>
        <v>-458031140.25429696</v>
      </c>
      <c r="S176">
        <f t="shared" ref="S176" si="858">R176/100000</f>
        <v>-4580.3114025429695</v>
      </c>
      <c r="T176">
        <f t="shared" ref="T176" si="859">S176/1000</f>
        <v>-4.5803114025429696</v>
      </c>
    </row>
    <row r="177" spans="1:20" x14ac:dyDescent="0.25">
      <c r="A177" s="5">
        <v>44416</v>
      </c>
      <c r="B177">
        <v>1.9849000000000001</v>
      </c>
      <c r="C177">
        <v>1.9854000000000001</v>
      </c>
      <c r="D177">
        <v>1.75</v>
      </c>
      <c r="E177">
        <v>1.7989999999999999</v>
      </c>
      <c r="F177">
        <v>7576411.46</v>
      </c>
      <c r="G177">
        <v>1.7989999999999999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-0.58368734069668715</v>
      </c>
      <c r="Q177">
        <f t="shared" ref="Q177" si="861">F177*P177</f>
        <v>-4422255.4571113046</v>
      </c>
      <c r="R177">
        <f t="shared" ref="R177" si="862">R178+Q177</f>
        <v>-459368756.3756851</v>
      </c>
      <c r="S177">
        <f t="shared" ref="S177" si="863">R177/100000</f>
        <v>-4593.687563756851</v>
      </c>
      <c r="T177">
        <f t="shared" ref="T177" si="864">S177/1000</f>
        <v>-4.5936875637568511</v>
      </c>
    </row>
    <row r="178" spans="1:20" x14ac:dyDescent="0.25">
      <c r="A178" s="5">
        <v>44415</v>
      </c>
      <c r="B178">
        <v>1.7665999999999999</v>
      </c>
      <c r="C178">
        <v>1.9976</v>
      </c>
      <c r="D178">
        <v>1.7401</v>
      </c>
      <c r="E178">
        <v>1.9849000000000001</v>
      </c>
      <c r="F178">
        <v>16040470.109999999</v>
      </c>
      <c r="G178">
        <v>1.9849000000000001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0.9013592233009714</v>
      </c>
      <c r="Q178">
        <f t="shared" ref="Q178" si="866">F178*P178</f>
        <v>14458225.679732047</v>
      </c>
      <c r="R178">
        <f t="shared" ref="R178" si="867">R179+Q178</f>
        <v>-454946500.9185738</v>
      </c>
      <c r="S178">
        <f t="shared" ref="S178" si="868">R178/100000</f>
        <v>-4549.4650091857384</v>
      </c>
      <c r="T178">
        <f t="shared" ref="T178" si="869">S178/1000</f>
        <v>-4.549465009185738</v>
      </c>
    </row>
    <row r="179" spans="1:20" x14ac:dyDescent="0.25">
      <c r="A179" s="5">
        <v>44414</v>
      </c>
      <c r="B179">
        <v>1.6446000000000001</v>
      </c>
      <c r="C179">
        <v>1.9579</v>
      </c>
      <c r="D179">
        <v>1.6113</v>
      </c>
      <c r="E179">
        <v>1.7675000000000001</v>
      </c>
      <c r="F179">
        <v>22093374.100000001</v>
      </c>
      <c r="G179">
        <v>1.7675000000000001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-9.8672821696479465E-2</v>
      </c>
      <c r="Q179">
        <f t="shared" ref="Q179" si="871">F179*P179</f>
        <v>-2180015.5632429174</v>
      </c>
      <c r="R179">
        <f t="shared" ref="R179" si="872">R180+Q179</f>
        <v>-469404726.59830582</v>
      </c>
      <c r="S179">
        <f t="shared" ref="S179" si="873">R179/100000</f>
        <v>-4694.0472659830584</v>
      </c>
      <c r="T179">
        <f t="shared" ref="T179" si="874">S179/1000</f>
        <v>-4.6940472659830581</v>
      </c>
    </row>
    <row r="180" spans="1:20" x14ac:dyDescent="0.25">
      <c r="A180" s="5">
        <v>44413</v>
      </c>
      <c r="B180">
        <v>1.5861000000000001</v>
      </c>
      <c r="C180">
        <v>1.68</v>
      </c>
      <c r="D180">
        <v>1.5137</v>
      </c>
      <c r="E180">
        <v>1.6435</v>
      </c>
      <c r="F180">
        <v>6130587.4199999999</v>
      </c>
      <c r="G180">
        <v>1.6435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0.56103427540589301</v>
      </c>
      <c r="Q180">
        <f t="shared" ref="Q180" si="876">F180*P180</f>
        <v>3439469.670992183</v>
      </c>
      <c r="R180">
        <f t="shared" ref="R180" si="877">R181+Q180</f>
        <v>-467224711.03506291</v>
      </c>
      <c r="S180">
        <f t="shared" ref="S180" si="878">R180/100000</f>
        <v>-4672.2471103506286</v>
      </c>
      <c r="T180">
        <f t="shared" ref="T180" si="879">S180/1000</f>
        <v>-4.6722471103506287</v>
      </c>
    </row>
    <row r="181" spans="1:20" x14ac:dyDescent="0.25">
      <c r="A181" s="5">
        <v>44412</v>
      </c>
      <c r="B181">
        <v>1.5261</v>
      </c>
      <c r="C181">
        <v>1.5895999999999999</v>
      </c>
      <c r="D181">
        <v>1.492</v>
      </c>
      <c r="E181">
        <v>1.5842000000000001</v>
      </c>
      <c r="F181">
        <v>3079613.2</v>
      </c>
      <c r="G181">
        <v>1.5842000000000001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0.8893442622950849</v>
      </c>
      <c r="Q181">
        <f t="shared" ref="Q181" si="881">F181*P181</f>
        <v>2738836.3295082059</v>
      </c>
      <c r="R181">
        <f t="shared" ref="R181" si="882">R182+Q181</f>
        <v>-470664180.7060551</v>
      </c>
      <c r="S181">
        <f t="shared" ref="S181" si="883">R181/100000</f>
        <v>-4706.6418070605514</v>
      </c>
      <c r="T181">
        <f t="shared" ref="T181" si="884">S181/1000</f>
        <v>-4.7066418070605511</v>
      </c>
    </row>
    <row r="182" spans="1:20" x14ac:dyDescent="0.25">
      <c r="A182" s="5">
        <v>44411</v>
      </c>
      <c r="B182">
        <v>1.5660000000000001</v>
      </c>
      <c r="C182">
        <v>1.5764</v>
      </c>
      <c r="D182">
        <v>1.5004</v>
      </c>
      <c r="E182">
        <v>1.5259</v>
      </c>
      <c r="F182">
        <v>2940125.94</v>
      </c>
      <c r="G182">
        <v>1.5259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-0.32894736842105116</v>
      </c>
      <c r="Q182">
        <f t="shared" ref="Q182" si="886">F182*P182</f>
        <v>-967146.69078946928</v>
      </c>
      <c r="R182">
        <f t="shared" ref="R182" si="887">R183+Q182</f>
        <v>-473403017.03556329</v>
      </c>
      <c r="S182">
        <f t="shared" ref="S182" si="888">R182/100000</f>
        <v>-4734.0301703556333</v>
      </c>
      <c r="T182">
        <f t="shared" ref="T182" si="889">S182/1000</f>
        <v>-4.7340301703556333</v>
      </c>
    </row>
    <row r="183" spans="1:20" x14ac:dyDescent="0.25">
      <c r="A183" s="5">
        <v>44410</v>
      </c>
      <c r="B183">
        <v>1.5729</v>
      </c>
      <c r="C183">
        <v>1.62</v>
      </c>
      <c r="D183">
        <v>1.53</v>
      </c>
      <c r="E183">
        <v>1.5668</v>
      </c>
      <c r="F183">
        <v>2950907.09</v>
      </c>
      <c r="G183">
        <v>1.5668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-0.1822222222222242</v>
      </c>
      <c r="Q183">
        <f t="shared" ref="Q183" si="891">F183*P183</f>
        <v>-537720.84751111688</v>
      </c>
      <c r="R183">
        <f t="shared" ref="R183" si="892">R184+Q183</f>
        <v>-472435870.34477383</v>
      </c>
      <c r="S183">
        <f t="shared" ref="S183" si="893">R183/100000</f>
        <v>-4724.3587034477387</v>
      </c>
      <c r="T183">
        <f t="shared" ref="T183" si="894">S183/1000</f>
        <v>-4.7243587034477388</v>
      </c>
    </row>
    <row r="184" spans="1:20" x14ac:dyDescent="0.25">
      <c r="A184" s="5">
        <v>44409</v>
      </c>
      <c r="B184">
        <v>1.5656000000000001</v>
      </c>
      <c r="C184">
        <v>1.6996</v>
      </c>
      <c r="D184">
        <v>1.5351999999999999</v>
      </c>
      <c r="E184">
        <v>1.5720000000000001</v>
      </c>
      <c r="F184">
        <v>5898445.8399999999</v>
      </c>
      <c r="G184">
        <v>1.5720000000000001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-0.55231143552311257</v>
      </c>
      <c r="Q184">
        <f t="shared" ref="Q184" si="896">F184*P184</f>
        <v>-3257779.0892457315</v>
      </c>
      <c r="R184">
        <f t="shared" ref="R184" si="897">R185+Q184</f>
        <v>-471898149.49726272</v>
      </c>
      <c r="S184">
        <f t="shared" ref="S184" si="898">R184/100000</f>
        <v>-4718.9814949726269</v>
      </c>
      <c r="T184">
        <f t="shared" ref="T184" si="899">S184/1000</f>
        <v>-4.7189814949726268</v>
      </c>
    </row>
    <row r="185" spans="1:20" x14ac:dyDescent="0.25">
      <c r="A185" s="5">
        <v>44408</v>
      </c>
      <c r="B185">
        <v>1.56</v>
      </c>
      <c r="C185">
        <v>1.5888</v>
      </c>
      <c r="D185">
        <v>1.5284</v>
      </c>
      <c r="E185">
        <v>1.5640000000000001</v>
      </c>
      <c r="F185">
        <v>4609161.37</v>
      </c>
      <c r="G185">
        <v>1.5640000000000001</v>
      </c>
      <c r="L185" t="s">
        <v>7</v>
      </c>
      <c r="M185" t="s">
        <v>8</v>
      </c>
      <c r="N185" t="s">
        <v>8</v>
      </c>
      <c r="P185">
        <f t="shared" ref="P185" si="900">IF(C185=D185,0,((E185-D185)-(C185-E185))/(C185-D185))</f>
        <v>0.17880794701986988</v>
      </c>
      <c r="Q185">
        <f t="shared" ref="Q185" si="901">F185*P185</f>
        <v>824154.68205299089</v>
      </c>
      <c r="R185">
        <f t="shared" ref="R185" si="902">R186+Q185</f>
        <v>-468640370.40801698</v>
      </c>
      <c r="S185">
        <f t="shared" ref="S185" si="903">R185/100000</f>
        <v>-4686.4037040801695</v>
      </c>
      <c r="T185">
        <f t="shared" ref="T185" si="904">S185/1000</f>
        <v>-4.6864037040801696</v>
      </c>
    </row>
    <row r="186" spans="1:20" x14ac:dyDescent="0.25">
      <c r="A186" s="5">
        <v>44407</v>
      </c>
      <c r="B186">
        <v>1.5361</v>
      </c>
      <c r="C186">
        <v>1.589</v>
      </c>
      <c r="D186">
        <v>1.4887999999999999</v>
      </c>
      <c r="E186">
        <v>1.56</v>
      </c>
      <c r="F186">
        <v>5073642.32</v>
      </c>
      <c r="G186">
        <v>1.56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0.4211576846307406</v>
      </c>
      <c r="Q186">
        <f t="shared" ref="Q186" si="906">F186*P186</f>
        <v>2136803.4521357394</v>
      </c>
      <c r="R186">
        <f t="shared" ref="R186" si="907">R187+Q186</f>
        <v>-469464525.09006995</v>
      </c>
      <c r="S186">
        <f t="shared" ref="S186" si="908">R186/100000</f>
        <v>-4694.6452509006995</v>
      </c>
      <c r="T186">
        <f t="shared" ref="T186" si="909">S186/1000</f>
        <v>-4.6946452509006997</v>
      </c>
    </row>
    <row r="187" spans="1:20" x14ac:dyDescent="0.25">
      <c r="A187" s="5">
        <v>44406</v>
      </c>
      <c r="B187">
        <v>1.5333000000000001</v>
      </c>
      <c r="C187">
        <v>1.55</v>
      </c>
      <c r="D187">
        <v>1.51</v>
      </c>
      <c r="E187">
        <v>1.5359</v>
      </c>
      <c r="F187">
        <v>3510130.07</v>
      </c>
      <c r="G187">
        <v>1.5359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0.29500000000000054</v>
      </c>
      <c r="Q187">
        <f t="shared" ref="Q187" si="911">F187*P187</f>
        <v>1035488.3706500018</v>
      </c>
      <c r="R187">
        <f t="shared" ref="R187" si="912">R188+Q187</f>
        <v>-471601328.54220569</v>
      </c>
      <c r="S187">
        <f t="shared" ref="S187" si="913">R187/100000</f>
        <v>-4716.0132854220565</v>
      </c>
      <c r="T187">
        <f t="shared" ref="T187" si="914">S187/1000</f>
        <v>-4.7160132854220569</v>
      </c>
    </row>
    <row r="188" spans="1:20" x14ac:dyDescent="0.25">
      <c r="A188" s="5">
        <v>44405</v>
      </c>
      <c r="B188">
        <v>1.5545</v>
      </c>
      <c r="C188">
        <v>1.5858000000000001</v>
      </c>
      <c r="D188">
        <v>1.5089999999999999</v>
      </c>
      <c r="E188">
        <v>1.5349999999999999</v>
      </c>
      <c r="F188">
        <v>5669975.3099999996</v>
      </c>
      <c r="G188">
        <v>1.5349999999999999</v>
      </c>
      <c r="L188" t="s">
        <v>7</v>
      </c>
      <c r="M188" t="s">
        <v>8</v>
      </c>
      <c r="N188" t="s">
        <v>8</v>
      </c>
      <c r="P188">
        <f t="shared" ref="P188" si="915">IF(C188=D188,0,((E188-D188)-(C188-E188))/(C188-D188))</f>
        <v>-0.32291666666666785</v>
      </c>
      <c r="Q188">
        <f t="shared" ref="Q188" si="916">F188*P188</f>
        <v>-1830929.5271875067</v>
      </c>
      <c r="R188">
        <f t="shared" ref="R188" si="917">R189+Q188</f>
        <v>-472636816.91285568</v>
      </c>
      <c r="S188">
        <f t="shared" ref="S188" si="918">R188/100000</f>
        <v>-4726.3681691285565</v>
      </c>
      <c r="T188">
        <f t="shared" ref="T188" si="919">S188/1000</f>
        <v>-4.7263681691285564</v>
      </c>
    </row>
    <row r="189" spans="1:20" x14ac:dyDescent="0.25">
      <c r="A189" s="5">
        <v>44404</v>
      </c>
      <c r="B189">
        <v>1.575</v>
      </c>
      <c r="C189">
        <v>1.6</v>
      </c>
      <c r="D189">
        <v>1.4896</v>
      </c>
      <c r="E189">
        <v>1.5581</v>
      </c>
      <c r="F189">
        <v>7145868.54</v>
      </c>
      <c r="G189">
        <v>1.5581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0.24094202898550673</v>
      </c>
      <c r="Q189">
        <f t="shared" ref="Q189" si="921">F189*P189</f>
        <v>1721740.0648913006</v>
      </c>
      <c r="R189">
        <f t="shared" ref="R189" si="922">R190+Q189</f>
        <v>-470805887.38566816</v>
      </c>
      <c r="S189">
        <f t="shared" ref="S189" si="923">R189/100000</f>
        <v>-4708.0588738566812</v>
      </c>
      <c r="T189">
        <f t="shared" ref="T189" si="924">S189/1000</f>
        <v>-4.7080588738566815</v>
      </c>
    </row>
    <row r="190" spans="1:20" x14ac:dyDescent="0.25">
      <c r="A190" s="5">
        <v>44403</v>
      </c>
      <c r="B190">
        <v>1.6236999999999999</v>
      </c>
      <c r="C190">
        <v>1.7198</v>
      </c>
      <c r="D190">
        <v>1.55</v>
      </c>
      <c r="E190">
        <v>1.577</v>
      </c>
      <c r="F190">
        <v>14022206.720000001</v>
      </c>
      <c r="G190">
        <v>1.577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-0.6819787985865734</v>
      </c>
      <c r="Q190">
        <f t="shared" ref="Q190" si="926">F190*P190</f>
        <v>-9562847.6924381759</v>
      </c>
      <c r="R190">
        <f t="shared" ref="R190" si="927">R191+Q190</f>
        <v>-472527627.45055944</v>
      </c>
      <c r="S190">
        <f t="shared" ref="S190" si="928">R190/100000</f>
        <v>-4725.2762745055943</v>
      </c>
      <c r="T190">
        <f t="shared" ref="T190" si="929">S190/1000</f>
        <v>-4.7252762745055943</v>
      </c>
    </row>
    <row r="191" spans="1:20" x14ac:dyDescent="0.25">
      <c r="A191" s="5">
        <v>44402</v>
      </c>
      <c r="B191">
        <v>1.6339999999999999</v>
      </c>
      <c r="C191">
        <v>1.7</v>
      </c>
      <c r="D191">
        <v>1.4850000000000001</v>
      </c>
      <c r="E191">
        <v>1.6240000000000001</v>
      </c>
      <c r="F191">
        <v>10996908.699999999</v>
      </c>
      <c r="G191">
        <v>1.6240000000000001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0.29302325581395444</v>
      </c>
      <c r="Q191">
        <f t="shared" ref="Q191" si="931">F191*P191</f>
        <v>3222349.9911628012</v>
      </c>
      <c r="R191">
        <f t="shared" ref="R191" si="932">R192+Q191</f>
        <v>-462964779.75812125</v>
      </c>
      <c r="S191">
        <f t="shared" ref="S191" si="933">R191/100000</f>
        <v>-4629.6477975812122</v>
      </c>
      <c r="T191">
        <f t="shared" ref="T191:T197" si="934">S191/1000</f>
        <v>-4.629647797581212</v>
      </c>
    </row>
    <row r="192" spans="1:20" x14ac:dyDescent="0.25">
      <c r="A192" s="5">
        <v>44401</v>
      </c>
      <c r="B192">
        <v>1.5980000000000001</v>
      </c>
      <c r="C192">
        <v>1.7296</v>
      </c>
      <c r="D192">
        <v>1.5105999999999999</v>
      </c>
      <c r="E192">
        <v>1.6351</v>
      </c>
      <c r="F192">
        <v>19392551.600000001</v>
      </c>
      <c r="G192">
        <v>1.6351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0.13698630136986309</v>
      </c>
      <c r="Q192">
        <f t="shared" ref="Q192" si="936">F192*P192</f>
        <v>2656513.9178082207</v>
      </c>
      <c r="R192">
        <f t="shared" ref="R192" si="937">R193+Q192</f>
        <v>-466187129.74928403</v>
      </c>
      <c r="S192">
        <f t="shared" ref="S192" si="938">R192/100000</f>
        <v>-4661.8712974928403</v>
      </c>
      <c r="T192">
        <f t="shared" si="934"/>
        <v>-4.6618712974928407</v>
      </c>
    </row>
    <row r="193" spans="1:20" x14ac:dyDescent="0.25">
      <c r="A193" s="5">
        <v>44400</v>
      </c>
      <c r="B193">
        <v>1.3923000000000001</v>
      </c>
      <c r="C193">
        <v>1.6</v>
      </c>
      <c r="D193">
        <v>1.3824000000000001</v>
      </c>
      <c r="E193">
        <v>1.599</v>
      </c>
      <c r="F193">
        <v>11347933.439999999</v>
      </c>
      <c r="G193">
        <v>1.599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0.99080882352941069</v>
      </c>
      <c r="Q193">
        <f t="shared" ref="Q193" si="940">F193*P193</f>
        <v>11243632.581176458</v>
      </c>
      <c r="R193">
        <f t="shared" ref="R193" si="941">R194+Q193</f>
        <v>-468843643.66709226</v>
      </c>
      <c r="S193">
        <f t="shared" ref="S193" si="942">R193/100000</f>
        <v>-4688.4364366709224</v>
      </c>
      <c r="T193">
        <f t="shared" si="934"/>
        <v>-4.6884364366709228</v>
      </c>
    </row>
    <row r="194" spans="1:20" x14ac:dyDescent="0.25">
      <c r="A194" s="5">
        <v>44399</v>
      </c>
      <c r="B194">
        <v>1.3826000000000001</v>
      </c>
      <c r="C194">
        <v>1.4354</v>
      </c>
      <c r="D194">
        <v>1.353</v>
      </c>
      <c r="E194">
        <v>1.39</v>
      </c>
      <c r="F194">
        <v>5009000.7300000004</v>
      </c>
      <c r="G194">
        <v>1.39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-0.10194174757281775</v>
      </c>
      <c r="Q194">
        <f t="shared" ref="Q194" si="944">F194*P194</f>
        <v>-510626.28800971986</v>
      </c>
      <c r="R194">
        <f t="shared" ref="R194" si="945">R195+Q194</f>
        <v>-480087276.24826872</v>
      </c>
      <c r="S194">
        <f t="shared" ref="S194" si="946">R194/100000</f>
        <v>-4800.872762482687</v>
      </c>
      <c r="T194">
        <f t="shared" si="934"/>
        <v>-4.8008727624826868</v>
      </c>
    </row>
    <row r="195" spans="1:20" x14ac:dyDescent="0.25">
      <c r="A195" s="5">
        <v>44398</v>
      </c>
      <c r="B195">
        <v>1.2841</v>
      </c>
      <c r="C195">
        <v>1.4298</v>
      </c>
      <c r="D195">
        <v>1.2524999999999999</v>
      </c>
      <c r="E195">
        <v>1.3821000000000001</v>
      </c>
      <c r="F195">
        <v>6552850.1200000001</v>
      </c>
      <c r="G195">
        <v>1.3821000000000001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0.461928934010154</v>
      </c>
      <c r="Q195">
        <f t="shared" ref="Q195" si="948">F195*P195</f>
        <v>3026951.0706599099</v>
      </c>
      <c r="R195">
        <f t="shared" ref="R195" si="949">R196+Q195</f>
        <v>-479576649.96025902</v>
      </c>
      <c r="S195">
        <f t="shared" ref="S195" si="950">R195/100000</f>
        <v>-4795.7664996025906</v>
      </c>
      <c r="T195">
        <f t="shared" si="934"/>
        <v>-4.7957664996025908</v>
      </c>
    </row>
    <row r="196" spans="1:20" x14ac:dyDescent="0.25">
      <c r="A196" s="5">
        <v>44397</v>
      </c>
      <c r="B196">
        <v>1.323</v>
      </c>
      <c r="C196">
        <v>1.3541000000000001</v>
      </c>
      <c r="D196">
        <v>1.2</v>
      </c>
      <c r="E196">
        <v>1.2842</v>
      </c>
      <c r="F196">
        <v>6770322.0599999996</v>
      </c>
      <c r="G196">
        <v>1.2842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9.2796885139519586E-2</v>
      </c>
      <c r="Q196">
        <f t="shared" ref="Q196" si="952">F196*P196</f>
        <v>628264.79855937557</v>
      </c>
      <c r="R196">
        <f t="shared" ref="R196" si="953">R197+Q196</f>
        <v>-482603601.03091896</v>
      </c>
      <c r="S196">
        <f t="shared" ref="S196" si="954">R196/100000</f>
        <v>-4826.0360103091898</v>
      </c>
      <c r="T196">
        <f t="shared" si="934"/>
        <v>-4.8260360103091902</v>
      </c>
    </row>
    <row r="197" spans="1:20" x14ac:dyDescent="0.25">
      <c r="A197" s="5">
        <v>44396</v>
      </c>
      <c r="B197">
        <v>1.5256000000000001</v>
      </c>
      <c r="C197">
        <v>1.5369999999999999</v>
      </c>
      <c r="D197">
        <v>1.2944</v>
      </c>
      <c r="E197">
        <v>1.3197000000000001</v>
      </c>
      <c r="F197">
        <v>10318376.92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-0.7914262159934039</v>
      </c>
      <c r="Q197">
        <f t="shared" ref="Q197" si="956">F197*P197</f>
        <v>-8166234.0009892732</v>
      </c>
      <c r="R197">
        <f t="shared" ref="R197" si="957">R198+Q197</f>
        <v>-483231865.82947832</v>
      </c>
      <c r="S197">
        <f t="shared" ref="S197" si="958">R197/100000</f>
        <v>-4832.3186582947828</v>
      </c>
      <c r="T197">
        <f t="shared" si="934"/>
        <v>-4.832318658294783</v>
      </c>
    </row>
    <row r="198" spans="1:20" x14ac:dyDescent="0.25">
      <c r="A198" s="5">
        <v>44395</v>
      </c>
      <c r="B198">
        <v>1.5867</v>
      </c>
      <c r="C198">
        <v>1.6473</v>
      </c>
      <c r="D198">
        <v>1.4641999999999999</v>
      </c>
      <c r="E198">
        <v>1.5241</v>
      </c>
      <c r="F198">
        <v>7585221.3700000001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59">IF(C198=D198,0,((E198-D198)-(C198-E198))/(C198-D198))</f>
        <v>-0.34571272528672803</v>
      </c>
      <c r="Q198">
        <f t="shared" ref="Q198:Q261" si="960">F198*P198</f>
        <v>-2622307.551725829</v>
      </c>
      <c r="R198">
        <f t="shared" ref="R198:R261" si="961">R199+Q198</f>
        <v>-475065631.82848907</v>
      </c>
      <c r="S198">
        <f t="shared" ref="S198:S261" si="962">R198/100000</f>
        <v>-4750.6563182848904</v>
      </c>
      <c r="T198">
        <f t="shared" ref="T198:T261" si="963">S198/1000</f>
        <v>-4.7506563182848902</v>
      </c>
    </row>
    <row r="199" spans="1:20" x14ac:dyDescent="0.25">
      <c r="A199" s="5">
        <v>44394</v>
      </c>
      <c r="B199">
        <v>1.7117</v>
      </c>
      <c r="C199">
        <v>1.7594000000000001</v>
      </c>
      <c r="D199">
        <v>1.5084</v>
      </c>
      <c r="E199">
        <v>1.587</v>
      </c>
      <c r="F199">
        <v>14798477.800000001</v>
      </c>
      <c r="G199">
        <v>0</v>
      </c>
      <c r="L199" t="s">
        <v>8</v>
      </c>
      <c r="M199" t="s">
        <v>8</v>
      </c>
      <c r="N199" t="s">
        <v>8</v>
      </c>
      <c r="P199">
        <f t="shared" si="959"/>
        <v>-0.37370517928286878</v>
      </c>
      <c r="Q199">
        <f t="shared" si="960"/>
        <v>-5530267.7993625542</v>
      </c>
      <c r="R199">
        <f t="shared" si="961"/>
        <v>-472443324.27676326</v>
      </c>
      <c r="S199">
        <f t="shared" si="962"/>
        <v>-4724.4332427676327</v>
      </c>
      <c r="T199">
        <f t="shared" si="963"/>
        <v>-4.724433242767633</v>
      </c>
    </row>
    <row r="200" spans="1:20" x14ac:dyDescent="0.25">
      <c r="A200" s="5">
        <v>44393</v>
      </c>
      <c r="B200">
        <v>1.4931000000000001</v>
      </c>
      <c r="C200">
        <v>1.8660000000000001</v>
      </c>
      <c r="D200">
        <v>1.4193</v>
      </c>
      <c r="E200">
        <v>1.7117</v>
      </c>
      <c r="F200">
        <v>27122473.190000001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0.30915603313185552</v>
      </c>
      <c r="Q200">
        <f t="shared" si="960"/>
        <v>8385076.220145504</v>
      </c>
      <c r="R200">
        <f t="shared" si="961"/>
        <v>-466913056.47740072</v>
      </c>
      <c r="S200">
        <f t="shared" si="962"/>
        <v>-4669.1305647740073</v>
      </c>
      <c r="T200">
        <f t="shared" si="963"/>
        <v>-4.6691305647740071</v>
      </c>
    </row>
    <row r="201" spans="1:20" x14ac:dyDescent="0.25">
      <c r="A201" s="5">
        <v>44392</v>
      </c>
      <c r="B201">
        <v>1.6279999999999999</v>
      </c>
      <c r="C201">
        <v>1.89</v>
      </c>
      <c r="D201">
        <v>1.458</v>
      </c>
      <c r="E201">
        <v>1.4917</v>
      </c>
      <c r="F201">
        <v>26762466.940000001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-0.84398148148148122</v>
      </c>
      <c r="Q201">
        <f t="shared" si="960"/>
        <v>-22587026.496120363</v>
      </c>
      <c r="R201">
        <f t="shared" si="961"/>
        <v>-475298132.69754624</v>
      </c>
      <c r="S201">
        <f t="shared" si="962"/>
        <v>-4752.9813269754623</v>
      </c>
      <c r="T201">
        <f t="shared" si="963"/>
        <v>-4.7529813269754619</v>
      </c>
    </row>
    <row r="202" spans="1:20" x14ac:dyDescent="0.25">
      <c r="A202" s="5">
        <v>44391</v>
      </c>
      <c r="B202">
        <v>1.3673999999999999</v>
      </c>
      <c r="C202">
        <v>1.7595000000000001</v>
      </c>
      <c r="D202">
        <v>1.2825</v>
      </c>
      <c r="E202">
        <v>1.6281000000000001</v>
      </c>
      <c r="F202">
        <v>13850083.82</v>
      </c>
      <c r="G202">
        <v>0</v>
      </c>
      <c r="L202" t="s">
        <v>7</v>
      </c>
      <c r="M202" t="s">
        <v>8</v>
      </c>
      <c r="N202" t="s">
        <v>8</v>
      </c>
      <c r="P202">
        <f t="shared" si="959"/>
        <v>0.44905660377358519</v>
      </c>
      <c r="Q202">
        <f t="shared" si="960"/>
        <v>6219471.6021886831</v>
      </c>
      <c r="R202">
        <f t="shared" si="961"/>
        <v>-452711106.20142585</v>
      </c>
      <c r="S202">
        <f t="shared" si="962"/>
        <v>-4527.1110620142581</v>
      </c>
      <c r="T202">
        <f t="shared" si="963"/>
        <v>-4.5271110620142583</v>
      </c>
    </row>
    <row r="203" spans="1:20" x14ac:dyDescent="0.25">
      <c r="A203" s="5">
        <v>44390</v>
      </c>
      <c r="B203">
        <v>1.3640000000000001</v>
      </c>
      <c r="C203">
        <v>1.375</v>
      </c>
      <c r="D203">
        <v>1.329</v>
      </c>
      <c r="E203">
        <v>1.3660000000000001</v>
      </c>
      <c r="F203">
        <v>2123647.1800000002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0.60869565217391786</v>
      </c>
      <c r="Q203">
        <f t="shared" si="960"/>
        <v>1292654.8052174016</v>
      </c>
      <c r="R203">
        <f t="shared" si="961"/>
        <v>-458930577.80361456</v>
      </c>
      <c r="S203">
        <f t="shared" si="962"/>
        <v>-4589.305778036146</v>
      </c>
      <c r="T203">
        <f t="shared" si="963"/>
        <v>-4.5893057780361461</v>
      </c>
    </row>
    <row r="204" spans="1:20" x14ac:dyDescent="0.25">
      <c r="A204" s="5">
        <v>44389</v>
      </c>
      <c r="B204">
        <v>1.4040999999999999</v>
      </c>
      <c r="C204">
        <v>1.4555</v>
      </c>
      <c r="D204">
        <v>1.3297000000000001</v>
      </c>
      <c r="E204">
        <v>1.3636999999999999</v>
      </c>
      <c r="F204">
        <v>3103830.68</v>
      </c>
      <c r="G204">
        <v>0</v>
      </c>
      <c r="L204" t="s">
        <v>8</v>
      </c>
      <c r="M204" t="s">
        <v>7</v>
      </c>
      <c r="N204" t="s">
        <v>7</v>
      </c>
      <c r="P204">
        <f t="shared" si="959"/>
        <v>-0.45945945945946215</v>
      </c>
      <c r="Q204">
        <f t="shared" si="960"/>
        <v>-1426084.3664864949</v>
      </c>
      <c r="R204">
        <f t="shared" si="961"/>
        <v>-460223232.60883194</v>
      </c>
      <c r="S204">
        <f t="shared" si="962"/>
        <v>-4602.2323260883195</v>
      </c>
      <c r="T204">
        <f t="shared" si="963"/>
        <v>-4.6022323260883198</v>
      </c>
    </row>
    <row r="205" spans="1:20" x14ac:dyDescent="0.25">
      <c r="A205" s="5">
        <v>44388</v>
      </c>
      <c r="B205">
        <v>1.3586</v>
      </c>
      <c r="C205">
        <v>1.41</v>
      </c>
      <c r="D205">
        <v>1.3465</v>
      </c>
      <c r="E205">
        <v>1.403</v>
      </c>
      <c r="F205">
        <v>1908426.98</v>
      </c>
      <c r="G205">
        <v>0</v>
      </c>
      <c r="L205" t="s">
        <v>8</v>
      </c>
      <c r="M205" t="s">
        <v>7</v>
      </c>
      <c r="N205" t="s">
        <v>7</v>
      </c>
      <c r="P205">
        <f t="shared" si="959"/>
        <v>0.77952755905512106</v>
      </c>
      <c r="Q205">
        <f t="shared" si="960"/>
        <v>1487671.4253543364</v>
      </c>
      <c r="R205">
        <f t="shared" si="961"/>
        <v>-458797148.24234545</v>
      </c>
      <c r="S205">
        <f t="shared" si="962"/>
        <v>-4587.9714824234543</v>
      </c>
      <c r="T205">
        <f t="shared" si="963"/>
        <v>-4.5879714824234545</v>
      </c>
    </row>
    <row r="206" spans="1:20" x14ac:dyDescent="0.25">
      <c r="A206" s="5">
        <v>44387</v>
      </c>
      <c r="B206">
        <v>1.3982000000000001</v>
      </c>
      <c r="C206">
        <v>1.427</v>
      </c>
      <c r="D206">
        <v>1.3368</v>
      </c>
      <c r="E206">
        <v>1.3573999999999999</v>
      </c>
      <c r="F206">
        <v>1759456.73</v>
      </c>
      <c r="G206">
        <v>0</v>
      </c>
      <c r="L206" t="s">
        <v>8</v>
      </c>
      <c r="M206" t="s">
        <v>7</v>
      </c>
      <c r="N206" t="s">
        <v>7</v>
      </c>
      <c r="P206">
        <f t="shared" si="959"/>
        <v>-0.54323725055432504</v>
      </c>
      <c r="Q206">
        <f t="shared" si="960"/>
        <v>-955802.43647450337</v>
      </c>
      <c r="R206">
        <f t="shared" si="961"/>
        <v>-460284819.66769981</v>
      </c>
      <c r="S206">
        <f t="shared" si="962"/>
        <v>-4602.8481966769978</v>
      </c>
      <c r="T206">
        <f t="shared" si="963"/>
        <v>-4.6028481966769981</v>
      </c>
    </row>
    <row r="207" spans="1:20" x14ac:dyDescent="0.25">
      <c r="A207" s="5">
        <v>44386</v>
      </c>
      <c r="B207">
        <v>1.3392999999999999</v>
      </c>
      <c r="C207">
        <v>1.41</v>
      </c>
      <c r="D207">
        <v>1.3</v>
      </c>
      <c r="E207">
        <v>1.3982000000000001</v>
      </c>
      <c r="F207">
        <v>2114678.9500000002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0.78545454545454862</v>
      </c>
      <c r="Q207">
        <f t="shared" si="960"/>
        <v>1660984.1934545522</v>
      </c>
      <c r="R207">
        <f t="shared" si="961"/>
        <v>-459329017.23122531</v>
      </c>
      <c r="S207">
        <f t="shared" si="962"/>
        <v>-4593.2901723122532</v>
      </c>
      <c r="T207">
        <f t="shared" si="963"/>
        <v>-4.593290172312253</v>
      </c>
    </row>
    <row r="208" spans="1:20" x14ac:dyDescent="0.25">
      <c r="A208" s="5">
        <v>44385</v>
      </c>
      <c r="B208">
        <v>1.4595</v>
      </c>
      <c r="C208">
        <v>1.4602999999999999</v>
      </c>
      <c r="D208">
        <v>1.3247</v>
      </c>
      <c r="E208">
        <v>1.3425</v>
      </c>
      <c r="F208">
        <v>4072722.45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-0.73746312684365711</v>
      </c>
      <c r="Q208">
        <f t="shared" si="960"/>
        <v>-3003482.63274336</v>
      </c>
      <c r="R208">
        <f t="shared" si="961"/>
        <v>-460990001.42467988</v>
      </c>
      <c r="S208">
        <f t="shared" si="962"/>
        <v>-4609.9000142467985</v>
      </c>
      <c r="T208">
        <f t="shared" si="963"/>
        <v>-4.6099000142467981</v>
      </c>
    </row>
    <row r="209" spans="1:20" x14ac:dyDescent="0.25">
      <c r="A209" s="5">
        <v>44384</v>
      </c>
      <c r="B209">
        <v>1.4184000000000001</v>
      </c>
      <c r="C209">
        <v>1.5859000000000001</v>
      </c>
      <c r="D209">
        <v>1.4092</v>
      </c>
      <c r="E209">
        <v>1.4617</v>
      </c>
      <c r="F209">
        <v>6622226.0899999999</v>
      </c>
      <c r="G209">
        <v>0</v>
      </c>
      <c r="L209" t="s">
        <v>8</v>
      </c>
      <c r="M209" t="s">
        <v>8</v>
      </c>
      <c r="N209" t="s">
        <v>7</v>
      </c>
      <c r="P209">
        <f t="shared" si="959"/>
        <v>-0.40577249575551821</v>
      </c>
      <c r="Q209">
        <f t="shared" si="960"/>
        <v>-2687117.2079966068</v>
      </c>
      <c r="R209">
        <f t="shared" si="961"/>
        <v>-457986518.79193652</v>
      </c>
      <c r="S209">
        <f t="shared" si="962"/>
        <v>-4579.8651879193649</v>
      </c>
      <c r="T209">
        <f t="shared" si="963"/>
        <v>-4.5798651879193653</v>
      </c>
    </row>
    <row r="210" spans="1:20" x14ac:dyDescent="0.25">
      <c r="A210" s="5">
        <v>44383</v>
      </c>
      <c r="B210">
        <v>1.357</v>
      </c>
      <c r="C210">
        <v>1.4850000000000001</v>
      </c>
      <c r="D210">
        <v>1.34</v>
      </c>
      <c r="E210">
        <v>1.4185000000000001</v>
      </c>
      <c r="F210">
        <v>3836402.05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8.2758620689655241E-2</v>
      </c>
      <c r="Q210">
        <f t="shared" si="960"/>
        <v>317495.34206896578</v>
      </c>
      <c r="R210">
        <f t="shared" si="961"/>
        <v>-455299401.58393991</v>
      </c>
      <c r="S210">
        <f t="shared" si="962"/>
        <v>-4552.9940158393993</v>
      </c>
      <c r="T210">
        <f t="shared" si="963"/>
        <v>-4.5529940158393991</v>
      </c>
    </row>
    <row r="211" spans="1:20" x14ac:dyDescent="0.25">
      <c r="A211" s="5">
        <v>44382</v>
      </c>
      <c r="B211">
        <v>1.4217</v>
      </c>
      <c r="C211">
        <v>1.4242999999999999</v>
      </c>
      <c r="D211">
        <v>1.335</v>
      </c>
      <c r="E211">
        <v>1.3592</v>
      </c>
      <c r="F211">
        <v>2495264.8199999998</v>
      </c>
      <c r="G211">
        <v>0</v>
      </c>
      <c r="L211" t="s">
        <v>7</v>
      </c>
      <c r="M211" t="s">
        <v>7</v>
      </c>
      <c r="N211" t="s">
        <v>7</v>
      </c>
      <c r="P211">
        <f t="shared" si="959"/>
        <v>-0.45800671892497163</v>
      </c>
      <c r="Q211">
        <f t="shared" si="960"/>
        <v>-1142848.0530571099</v>
      </c>
      <c r="R211">
        <f t="shared" si="961"/>
        <v>-455616896.92600888</v>
      </c>
      <c r="S211">
        <f t="shared" si="962"/>
        <v>-4556.1689692600885</v>
      </c>
      <c r="T211">
        <f t="shared" si="963"/>
        <v>-4.5561689692600886</v>
      </c>
    </row>
    <row r="212" spans="1:20" x14ac:dyDescent="0.25">
      <c r="A212" s="5">
        <v>44381</v>
      </c>
      <c r="B212">
        <v>1.3940999999999999</v>
      </c>
      <c r="C212">
        <v>1.4689000000000001</v>
      </c>
      <c r="D212">
        <v>1.36</v>
      </c>
      <c r="E212">
        <v>1.4217</v>
      </c>
      <c r="F212">
        <v>2955021.28</v>
      </c>
      <c r="G212">
        <v>0</v>
      </c>
      <c r="L212" t="s">
        <v>8</v>
      </c>
      <c r="M212" t="s">
        <v>7</v>
      </c>
      <c r="N212" t="s">
        <v>7</v>
      </c>
      <c r="P212">
        <f t="shared" si="959"/>
        <v>0.13314967860422164</v>
      </c>
      <c r="Q212">
        <f t="shared" si="960"/>
        <v>393460.13370063563</v>
      </c>
      <c r="R212">
        <f t="shared" si="961"/>
        <v>-454474048.87295175</v>
      </c>
      <c r="S212">
        <f t="shared" si="962"/>
        <v>-4544.7404887295179</v>
      </c>
      <c r="T212">
        <f t="shared" si="963"/>
        <v>-4.5447404887295182</v>
      </c>
    </row>
    <row r="213" spans="1:20" x14ac:dyDescent="0.25">
      <c r="A213" s="5">
        <v>44380</v>
      </c>
      <c r="B213">
        <v>1.3212999999999999</v>
      </c>
      <c r="C213">
        <v>1.413</v>
      </c>
      <c r="D213">
        <v>1.3061</v>
      </c>
      <c r="E213">
        <v>1.3938999999999999</v>
      </c>
      <c r="F213">
        <v>2203953.12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0.64265668849391733</v>
      </c>
      <c r="Q213">
        <f t="shared" si="960"/>
        <v>1416385.2136950372</v>
      </c>
      <c r="R213">
        <f t="shared" si="961"/>
        <v>-454867509.00665236</v>
      </c>
      <c r="S213">
        <f t="shared" si="962"/>
        <v>-4548.6750900665238</v>
      </c>
      <c r="T213">
        <f t="shared" si="963"/>
        <v>-4.5486750900665234</v>
      </c>
    </row>
    <row r="214" spans="1:20" x14ac:dyDescent="0.25">
      <c r="A214" s="5">
        <v>44379</v>
      </c>
      <c r="B214">
        <v>1.3270999999999999</v>
      </c>
      <c r="C214">
        <v>1.3378000000000001</v>
      </c>
      <c r="D214">
        <v>1.2858000000000001</v>
      </c>
      <c r="E214">
        <v>1.3204</v>
      </c>
      <c r="F214">
        <v>1485270.18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0.33076923076922821</v>
      </c>
      <c r="Q214">
        <f t="shared" si="960"/>
        <v>491281.67492307309</v>
      </c>
      <c r="R214">
        <f t="shared" si="961"/>
        <v>-456283894.2203474</v>
      </c>
      <c r="S214">
        <f t="shared" si="962"/>
        <v>-4562.8389422034743</v>
      </c>
      <c r="T214">
        <f t="shared" si="963"/>
        <v>-4.5628389422034745</v>
      </c>
    </row>
    <row r="215" spans="1:20" x14ac:dyDescent="0.25">
      <c r="A215" s="5">
        <v>44378</v>
      </c>
      <c r="B215">
        <v>1.3915</v>
      </c>
      <c r="C215">
        <v>1.3917999999999999</v>
      </c>
      <c r="D215">
        <v>1.3</v>
      </c>
      <c r="E215">
        <v>1.3283</v>
      </c>
      <c r="F215">
        <v>2275990.85</v>
      </c>
      <c r="G215">
        <v>0</v>
      </c>
      <c r="L215" t="s">
        <v>8</v>
      </c>
      <c r="M215" t="s">
        <v>7</v>
      </c>
      <c r="N215" t="s">
        <v>7</v>
      </c>
      <c r="P215">
        <f t="shared" si="959"/>
        <v>-0.38344226579520635</v>
      </c>
      <c r="Q215">
        <f t="shared" si="960"/>
        <v>-872711.08845315769</v>
      </c>
      <c r="R215">
        <f t="shared" si="961"/>
        <v>-456775175.89527047</v>
      </c>
      <c r="S215">
        <f t="shared" si="962"/>
        <v>-4567.7517589527042</v>
      </c>
      <c r="T215">
        <f t="shared" si="963"/>
        <v>-4.5677517589527046</v>
      </c>
    </row>
    <row r="216" spans="1:20" x14ac:dyDescent="0.25">
      <c r="A216" s="5">
        <v>44377</v>
      </c>
      <c r="B216">
        <v>1.4382999999999999</v>
      </c>
      <c r="C216">
        <v>1.4558</v>
      </c>
      <c r="D216">
        <v>1.27</v>
      </c>
      <c r="E216">
        <v>1.3933</v>
      </c>
      <c r="F216">
        <v>3814780.96</v>
      </c>
      <c r="G216">
        <v>0</v>
      </c>
      <c r="L216" t="s">
        <v>7</v>
      </c>
      <c r="M216" t="s">
        <v>7</v>
      </c>
      <c r="N216" t="s">
        <v>7</v>
      </c>
      <c r="P216">
        <f t="shared" si="959"/>
        <v>0.32723358449946166</v>
      </c>
      <c r="Q216">
        <f t="shared" si="960"/>
        <v>1248324.4476210976</v>
      </c>
      <c r="R216">
        <f t="shared" si="961"/>
        <v>-455902464.80681729</v>
      </c>
      <c r="S216">
        <f t="shared" si="962"/>
        <v>-4559.0246480681726</v>
      </c>
      <c r="T216">
        <f t="shared" si="963"/>
        <v>-4.5590246480681724</v>
      </c>
    </row>
    <row r="217" spans="1:20" x14ac:dyDescent="0.25">
      <c r="A217" s="5">
        <v>44376</v>
      </c>
      <c r="B217">
        <v>1.4193</v>
      </c>
      <c r="C217">
        <v>1.5001</v>
      </c>
      <c r="D217">
        <v>1.4</v>
      </c>
      <c r="E217">
        <v>1.4403999999999999</v>
      </c>
      <c r="F217">
        <v>3446256.05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-0.19280719280719361</v>
      </c>
      <c r="Q217">
        <f t="shared" si="960"/>
        <v>-664462.95469530742</v>
      </c>
      <c r="R217">
        <f t="shared" si="961"/>
        <v>-457150789.2544384</v>
      </c>
      <c r="S217">
        <f t="shared" si="962"/>
        <v>-4571.507892544384</v>
      </c>
      <c r="T217">
        <f t="shared" si="963"/>
        <v>-4.5715078925443837</v>
      </c>
    </row>
    <row r="218" spans="1:20" x14ac:dyDescent="0.25">
      <c r="A218" s="5">
        <v>44375</v>
      </c>
      <c r="B218">
        <v>1.3808</v>
      </c>
      <c r="C218">
        <v>1.452</v>
      </c>
      <c r="D218">
        <v>1.3512999999999999</v>
      </c>
      <c r="E218">
        <v>1.4176</v>
      </c>
      <c r="F218">
        <v>3797190.44</v>
      </c>
      <c r="G218">
        <v>0</v>
      </c>
      <c r="L218" t="s">
        <v>8</v>
      </c>
      <c r="M218" t="s">
        <v>7</v>
      </c>
      <c r="N218" t="s">
        <v>7</v>
      </c>
      <c r="P218">
        <f t="shared" si="959"/>
        <v>0.31678252234359516</v>
      </c>
      <c r="Q218">
        <f t="shared" si="960"/>
        <v>1202883.565402186</v>
      </c>
      <c r="R218">
        <f t="shared" si="961"/>
        <v>-456486326.29974312</v>
      </c>
      <c r="S218">
        <f t="shared" si="962"/>
        <v>-4564.8632629974309</v>
      </c>
      <c r="T218">
        <f t="shared" si="963"/>
        <v>-4.5648632629974308</v>
      </c>
    </row>
    <row r="219" spans="1:20" x14ac:dyDescent="0.25">
      <c r="A219" s="5">
        <v>44374</v>
      </c>
      <c r="B219">
        <v>1.3322000000000001</v>
      </c>
      <c r="C219">
        <v>1.3826000000000001</v>
      </c>
      <c r="D219">
        <v>1.302</v>
      </c>
      <c r="E219">
        <v>1.3794</v>
      </c>
      <c r="F219">
        <v>2839907.41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0.920595533498757</v>
      </c>
      <c r="Q219">
        <f t="shared" si="960"/>
        <v>2614406.0771960234</v>
      </c>
      <c r="R219">
        <f t="shared" si="961"/>
        <v>-457689209.86514533</v>
      </c>
      <c r="S219">
        <f t="shared" si="962"/>
        <v>-4576.8920986514531</v>
      </c>
      <c r="T219">
        <f t="shared" si="963"/>
        <v>-4.5768920986514532</v>
      </c>
    </row>
    <row r="220" spans="1:20" x14ac:dyDescent="0.25">
      <c r="A220" s="5">
        <v>44373</v>
      </c>
      <c r="B220">
        <v>1.3501000000000001</v>
      </c>
      <c r="C220">
        <v>1.3911</v>
      </c>
      <c r="D220">
        <v>1.262</v>
      </c>
      <c r="E220">
        <v>1.3322000000000001</v>
      </c>
      <c r="F220">
        <v>3219266.18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8.7529047250194336E-2</v>
      </c>
      <c r="Q220">
        <f t="shared" si="960"/>
        <v>281779.30158017261</v>
      </c>
      <c r="R220">
        <f t="shared" si="961"/>
        <v>-460303615.94234133</v>
      </c>
      <c r="S220">
        <f t="shared" si="962"/>
        <v>-4603.0361594234137</v>
      </c>
      <c r="T220">
        <f t="shared" si="963"/>
        <v>-4.6030361594234135</v>
      </c>
    </row>
    <row r="221" spans="1:20" x14ac:dyDescent="0.25">
      <c r="A221" s="5">
        <v>44372</v>
      </c>
      <c r="B221">
        <v>1.4564999999999999</v>
      </c>
      <c r="C221">
        <v>1.5</v>
      </c>
      <c r="D221">
        <v>1.3206</v>
      </c>
      <c r="E221">
        <v>1.3516999999999999</v>
      </c>
      <c r="F221">
        <v>3662433.67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-0.65328874024526307</v>
      </c>
      <c r="Q221">
        <f t="shared" si="960"/>
        <v>-2392626.6785061355</v>
      </c>
      <c r="R221">
        <f t="shared" si="961"/>
        <v>-460585395.24392152</v>
      </c>
      <c r="S221">
        <f t="shared" si="962"/>
        <v>-4605.8539524392154</v>
      </c>
      <c r="T221">
        <f t="shared" si="963"/>
        <v>-4.6058539524392152</v>
      </c>
    </row>
    <row r="222" spans="1:20" x14ac:dyDescent="0.25">
      <c r="A222" s="5">
        <v>44371</v>
      </c>
      <c r="B222">
        <v>1.468</v>
      </c>
      <c r="C222">
        <v>1.4912000000000001</v>
      </c>
      <c r="D222">
        <v>1.3511</v>
      </c>
      <c r="E222">
        <v>1.4553</v>
      </c>
      <c r="F222">
        <v>4364792.78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0.48750892219842951</v>
      </c>
      <c r="Q222">
        <f t="shared" si="960"/>
        <v>2127875.423797287</v>
      </c>
      <c r="R222">
        <f t="shared" si="961"/>
        <v>-458192768.56541538</v>
      </c>
      <c r="S222">
        <f t="shared" si="962"/>
        <v>-4581.9276856541537</v>
      </c>
      <c r="T222">
        <f t="shared" si="963"/>
        <v>-4.5819276856541533</v>
      </c>
    </row>
    <row r="223" spans="1:20" x14ac:dyDescent="0.25">
      <c r="A223" s="5">
        <v>44370</v>
      </c>
      <c r="B223">
        <v>1.3187</v>
      </c>
      <c r="C223">
        <v>1.5731999999999999</v>
      </c>
      <c r="D223">
        <v>1.2721</v>
      </c>
      <c r="E223">
        <v>1.4675</v>
      </c>
      <c r="F223">
        <v>6808436.0199999996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0.29790767186981115</v>
      </c>
      <c r="Q223">
        <f t="shared" si="960"/>
        <v>2028285.3237927628</v>
      </c>
      <c r="R223">
        <f t="shared" si="961"/>
        <v>-460320643.98921269</v>
      </c>
      <c r="S223">
        <f t="shared" si="962"/>
        <v>-4603.2064398921266</v>
      </c>
      <c r="T223">
        <f t="shared" si="963"/>
        <v>-4.6032064398921264</v>
      </c>
    </row>
    <row r="224" spans="1:20" x14ac:dyDescent="0.25">
      <c r="A224" s="5">
        <v>44369</v>
      </c>
      <c r="B224">
        <v>1.3069</v>
      </c>
      <c r="C224">
        <v>1.4510000000000001</v>
      </c>
      <c r="D224">
        <v>1.1516999999999999</v>
      </c>
      <c r="E224">
        <v>1.3144</v>
      </c>
      <c r="F224">
        <v>9240974.5500000007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8.720347477447378E-2</v>
      </c>
      <c r="Q224">
        <f t="shared" si="960"/>
        <v>805845.0910624793</v>
      </c>
      <c r="R224">
        <f t="shared" si="961"/>
        <v>-462348929.31300545</v>
      </c>
      <c r="S224">
        <f t="shared" si="962"/>
        <v>-4623.4892931300546</v>
      </c>
      <c r="T224">
        <f t="shared" si="963"/>
        <v>-4.6234892931300546</v>
      </c>
    </row>
    <row r="225" spans="1:20" x14ac:dyDescent="0.25">
      <c r="A225" s="5">
        <v>44368</v>
      </c>
      <c r="B225">
        <v>1.7034</v>
      </c>
      <c r="C225">
        <v>1.7236</v>
      </c>
      <c r="D225">
        <v>1.3002</v>
      </c>
      <c r="E225">
        <v>1.3089</v>
      </c>
      <c r="F225">
        <v>7613133.4400000004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-0.95890410958904138</v>
      </c>
      <c r="Q225">
        <f t="shared" si="960"/>
        <v>-7300264.9424657561</v>
      </c>
      <c r="R225">
        <f t="shared" si="961"/>
        <v>-463154774.40406793</v>
      </c>
      <c r="S225">
        <f t="shared" si="962"/>
        <v>-4631.5477440406794</v>
      </c>
      <c r="T225">
        <f t="shared" si="963"/>
        <v>-4.6315477440406791</v>
      </c>
    </row>
    <row r="226" spans="1:20" x14ac:dyDescent="0.25">
      <c r="A226" s="5">
        <v>44367</v>
      </c>
      <c r="B226">
        <v>1.6959</v>
      </c>
      <c r="C226">
        <v>1.7609999999999999</v>
      </c>
      <c r="D226">
        <v>1.5896999999999999</v>
      </c>
      <c r="E226">
        <v>1.7024999999999999</v>
      </c>
      <c r="F226">
        <v>5105792.17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0.31698774080560427</v>
      </c>
      <c r="Q226">
        <f t="shared" si="960"/>
        <v>1618473.5249912438</v>
      </c>
      <c r="R226">
        <f t="shared" si="961"/>
        <v>-455854509.46160215</v>
      </c>
      <c r="S226">
        <f t="shared" si="962"/>
        <v>-4558.5450946160217</v>
      </c>
      <c r="T226">
        <f t="shared" si="963"/>
        <v>-4.5585450946160213</v>
      </c>
    </row>
    <row r="227" spans="1:20" x14ac:dyDescent="0.25">
      <c r="A227" s="5">
        <v>44366</v>
      </c>
      <c r="B227">
        <v>1.7337</v>
      </c>
      <c r="C227">
        <v>1.7547999999999999</v>
      </c>
      <c r="D227">
        <v>1.6440999999999999</v>
      </c>
      <c r="E227">
        <v>1.6955</v>
      </c>
      <c r="F227">
        <v>3411198.36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-7.1364046973801221E-2</v>
      </c>
      <c r="Q227">
        <f t="shared" si="960"/>
        <v>-243436.91999999367</v>
      </c>
      <c r="R227">
        <f t="shared" si="961"/>
        <v>-457472982.98659337</v>
      </c>
      <c r="S227">
        <f t="shared" si="962"/>
        <v>-4574.7298298659334</v>
      </c>
      <c r="T227">
        <f t="shared" si="963"/>
        <v>-4.5747298298659338</v>
      </c>
    </row>
    <row r="228" spans="1:20" x14ac:dyDescent="0.25">
      <c r="A228" s="5">
        <v>44365</v>
      </c>
      <c r="B228">
        <v>1.8307</v>
      </c>
      <c r="C228">
        <v>1.8345</v>
      </c>
      <c r="D228">
        <v>1.6733</v>
      </c>
      <c r="E228">
        <v>1.73</v>
      </c>
      <c r="F228">
        <v>3424664.66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-0.29652605459057108</v>
      </c>
      <c r="Q228">
        <f t="shared" si="960"/>
        <v>-1015502.2999255595</v>
      </c>
      <c r="R228">
        <f t="shared" si="961"/>
        <v>-457229546.06659335</v>
      </c>
      <c r="S228">
        <f t="shared" si="962"/>
        <v>-4572.2954606659332</v>
      </c>
      <c r="T228">
        <f t="shared" si="963"/>
        <v>-4.5722954606659334</v>
      </c>
    </row>
    <row r="229" spans="1:20" x14ac:dyDescent="0.25">
      <c r="A229" s="5">
        <v>44364</v>
      </c>
      <c r="B229">
        <v>1.8369</v>
      </c>
      <c r="C229">
        <v>1.9277</v>
      </c>
      <c r="D229">
        <v>1.798</v>
      </c>
      <c r="E229">
        <v>1.8311999999999999</v>
      </c>
      <c r="F229">
        <v>3243240.3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-0.48804934464148164</v>
      </c>
      <c r="Q229">
        <f t="shared" si="960"/>
        <v>-1582861.3029298421</v>
      </c>
      <c r="R229">
        <f t="shared" si="961"/>
        <v>-456214043.76666778</v>
      </c>
      <c r="S229">
        <f t="shared" si="962"/>
        <v>-4562.1404376666778</v>
      </c>
      <c r="T229">
        <f t="shared" si="963"/>
        <v>-4.5621404376666774</v>
      </c>
    </row>
    <row r="230" spans="1:20" x14ac:dyDescent="0.25">
      <c r="A230" s="5">
        <v>44363</v>
      </c>
      <c r="B230">
        <v>1.9725999999999999</v>
      </c>
      <c r="C230">
        <v>1.9775</v>
      </c>
      <c r="D230">
        <v>1.8150999999999999</v>
      </c>
      <c r="E230">
        <v>1.8363</v>
      </c>
      <c r="F230">
        <v>4614969.3099999996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-0.73891625615763434</v>
      </c>
      <c r="Q230">
        <f t="shared" si="960"/>
        <v>-3410075.8448275807</v>
      </c>
      <c r="R230">
        <f t="shared" si="961"/>
        <v>-454631182.46373796</v>
      </c>
      <c r="S230">
        <f t="shared" si="962"/>
        <v>-4546.3118246373797</v>
      </c>
      <c r="T230">
        <f t="shared" si="963"/>
        <v>-4.5463118246373799</v>
      </c>
    </row>
    <row r="231" spans="1:20" x14ac:dyDescent="0.25">
      <c r="A231" s="5">
        <v>44362</v>
      </c>
      <c r="B231">
        <v>2.0253999999999999</v>
      </c>
      <c r="C231">
        <v>2.0699999999999998</v>
      </c>
      <c r="D231">
        <v>1.946</v>
      </c>
      <c r="E231">
        <v>1.9732000000000001</v>
      </c>
      <c r="F231">
        <v>4642399.5599999996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-0.56129032258064293</v>
      </c>
      <c r="Q231">
        <f t="shared" si="960"/>
        <v>-2605733.9465806345</v>
      </c>
      <c r="R231">
        <f t="shared" si="961"/>
        <v>-451221106.61891037</v>
      </c>
      <c r="S231">
        <f t="shared" si="962"/>
        <v>-4512.2110661891038</v>
      </c>
      <c r="T231">
        <f t="shared" si="963"/>
        <v>-4.5122110661891037</v>
      </c>
    </row>
    <row r="232" spans="1:20" x14ac:dyDescent="0.25">
      <c r="A232" s="5">
        <v>44361</v>
      </c>
      <c r="B232">
        <v>2.0682</v>
      </c>
      <c r="C232">
        <v>2.0989</v>
      </c>
      <c r="D232">
        <v>1.9503999999999999</v>
      </c>
      <c r="E232">
        <v>2.0232999999999999</v>
      </c>
      <c r="F232">
        <v>5745229.1100000003</v>
      </c>
      <c r="G232">
        <v>0</v>
      </c>
      <c r="L232" t="s">
        <v>7</v>
      </c>
      <c r="M232" t="s">
        <v>8</v>
      </c>
      <c r="N232" t="s">
        <v>7</v>
      </c>
      <c r="P232">
        <f t="shared" si="959"/>
        <v>-1.8181818181819159E-2</v>
      </c>
      <c r="Q232">
        <f t="shared" si="960"/>
        <v>-104458.71109091472</v>
      </c>
      <c r="R232">
        <f t="shared" si="961"/>
        <v>-448615372.67232972</v>
      </c>
      <c r="S232">
        <f t="shared" si="962"/>
        <v>-4486.153726723297</v>
      </c>
      <c r="T232">
        <f t="shared" si="963"/>
        <v>-4.4861537267232974</v>
      </c>
    </row>
    <row r="233" spans="1:20" x14ac:dyDescent="0.25">
      <c r="A233" s="5">
        <v>44360</v>
      </c>
      <c r="B233">
        <v>1.9056999999999999</v>
      </c>
      <c r="C233">
        <v>2.1</v>
      </c>
      <c r="D233">
        <v>1.837</v>
      </c>
      <c r="E233">
        <v>2.0682</v>
      </c>
      <c r="F233">
        <v>4572729.7300000004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0.75817490494296547</v>
      </c>
      <c r="Q233">
        <f t="shared" si="960"/>
        <v>3466928.9283726225</v>
      </c>
      <c r="R233">
        <f t="shared" si="961"/>
        <v>-448510913.9612388</v>
      </c>
      <c r="S233">
        <f t="shared" si="962"/>
        <v>-4485.1091396123884</v>
      </c>
      <c r="T233">
        <f t="shared" si="963"/>
        <v>-4.4851091396123888</v>
      </c>
    </row>
    <row r="234" spans="1:20" x14ac:dyDescent="0.25">
      <c r="A234" s="5">
        <v>44359</v>
      </c>
      <c r="B234">
        <v>1.9469000000000001</v>
      </c>
      <c r="C234">
        <v>1.9629000000000001</v>
      </c>
      <c r="D234">
        <v>1.79</v>
      </c>
      <c r="E234">
        <v>1.9067000000000001</v>
      </c>
      <c r="F234">
        <v>4666516.6399999997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0.34991324465008666</v>
      </c>
      <c r="Q234">
        <f t="shared" si="960"/>
        <v>1632875.9787160202</v>
      </c>
      <c r="R234">
        <f t="shared" si="961"/>
        <v>-451977842.88961142</v>
      </c>
      <c r="S234">
        <f t="shared" si="962"/>
        <v>-4519.7784288961138</v>
      </c>
      <c r="T234">
        <f t="shared" si="963"/>
        <v>-4.5197784288961138</v>
      </c>
    </row>
    <row r="235" spans="1:20" x14ac:dyDescent="0.25">
      <c r="A235" s="5">
        <v>44358</v>
      </c>
      <c r="B235">
        <v>1.9878</v>
      </c>
      <c r="C235">
        <v>2.1892</v>
      </c>
      <c r="D235">
        <v>1.9</v>
      </c>
      <c r="E235">
        <v>1.946</v>
      </c>
      <c r="F235">
        <v>8208820.3200000003</v>
      </c>
      <c r="G235">
        <v>0</v>
      </c>
      <c r="L235" t="s">
        <v>7</v>
      </c>
      <c r="M235" t="s">
        <v>8</v>
      </c>
      <c r="N235" t="s">
        <v>7</v>
      </c>
      <c r="P235">
        <f t="shared" si="959"/>
        <v>-0.68188105117565678</v>
      </c>
      <c r="Q235">
        <f t="shared" si="960"/>
        <v>-5597439.028713691</v>
      </c>
      <c r="R235">
        <f t="shared" si="961"/>
        <v>-453610718.86832744</v>
      </c>
      <c r="S235">
        <f t="shared" si="962"/>
        <v>-4536.1071886832742</v>
      </c>
      <c r="T235">
        <f t="shared" si="963"/>
        <v>-4.5361071886832738</v>
      </c>
    </row>
    <row r="236" spans="1:20" x14ac:dyDescent="0.25">
      <c r="A236" s="5">
        <v>44357</v>
      </c>
      <c r="B236">
        <v>2.2732000000000001</v>
      </c>
      <c r="C236">
        <v>2.2799999999999998</v>
      </c>
      <c r="D236">
        <v>1.95</v>
      </c>
      <c r="E236">
        <v>1.9918</v>
      </c>
      <c r="F236">
        <v>8547723.6400000006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-0.74666666666666615</v>
      </c>
      <c r="Q236">
        <f t="shared" si="960"/>
        <v>-6382300.3178666625</v>
      </c>
      <c r="R236">
        <f t="shared" si="961"/>
        <v>-448013279.83961374</v>
      </c>
      <c r="S236">
        <f t="shared" si="962"/>
        <v>-4480.1327983961373</v>
      </c>
      <c r="T236">
        <f t="shared" si="963"/>
        <v>-4.480132798396137</v>
      </c>
    </row>
    <row r="237" spans="1:20" x14ac:dyDescent="0.25">
      <c r="A237" s="5">
        <v>44356</v>
      </c>
      <c r="B237">
        <v>2.0453000000000001</v>
      </c>
      <c r="C237">
        <v>2.2822</v>
      </c>
      <c r="D237">
        <v>1.8716999999999999</v>
      </c>
      <c r="E237">
        <v>2.2732000000000001</v>
      </c>
      <c r="F237">
        <v>12318339.699999999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0.95615103532277756</v>
      </c>
      <c r="Q237">
        <f t="shared" si="960"/>
        <v>11778193.257612672</v>
      </c>
      <c r="R237">
        <f t="shared" si="961"/>
        <v>-441630979.52174705</v>
      </c>
      <c r="S237">
        <f t="shared" si="962"/>
        <v>-4416.3097952174703</v>
      </c>
      <c r="T237">
        <f t="shared" si="963"/>
        <v>-4.4163097952174706</v>
      </c>
    </row>
    <row r="238" spans="1:20" x14ac:dyDescent="0.25">
      <c r="A238" s="5">
        <v>44355</v>
      </c>
      <c r="B238">
        <v>2.1484000000000001</v>
      </c>
      <c r="C238">
        <v>2.25</v>
      </c>
      <c r="D238">
        <v>1.7866</v>
      </c>
      <c r="E238">
        <v>2.0453000000000001</v>
      </c>
      <c r="F238">
        <v>14037641.289999999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0.11652999568407481</v>
      </c>
      <c r="Q238">
        <f t="shared" si="960"/>
        <v>1635806.2789382902</v>
      </c>
      <c r="R238">
        <f t="shared" si="961"/>
        <v>-453409172.7793597</v>
      </c>
      <c r="S238">
        <f t="shared" si="962"/>
        <v>-4534.0917277935969</v>
      </c>
      <c r="T238">
        <f t="shared" si="963"/>
        <v>-4.534091727793597</v>
      </c>
    </row>
    <row r="239" spans="1:20" x14ac:dyDescent="0.25">
      <c r="A239" s="5">
        <v>44354</v>
      </c>
      <c r="B239">
        <v>2.3895</v>
      </c>
      <c r="C239">
        <v>2.5282</v>
      </c>
      <c r="D239">
        <v>2.1</v>
      </c>
      <c r="E239">
        <v>2.1472000000000002</v>
      </c>
      <c r="F239">
        <v>7710470.0899999999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-0.77954226996730436</v>
      </c>
      <c r="Q239">
        <f t="shared" si="960"/>
        <v>-6010637.3564736051</v>
      </c>
      <c r="R239">
        <f t="shared" si="961"/>
        <v>-455044979.05829799</v>
      </c>
      <c r="S239">
        <f t="shared" si="962"/>
        <v>-4550.4497905829803</v>
      </c>
      <c r="T239">
        <f t="shared" si="963"/>
        <v>-4.5504497905829799</v>
      </c>
    </row>
    <row r="240" spans="1:20" x14ac:dyDescent="0.25">
      <c r="A240" s="5">
        <v>44353</v>
      </c>
      <c r="B240">
        <v>2.3935</v>
      </c>
      <c r="C240">
        <v>2.5101</v>
      </c>
      <c r="D240">
        <v>2.2999999999999998</v>
      </c>
      <c r="E240">
        <v>2.3896999999999999</v>
      </c>
      <c r="F240">
        <v>7230576.0300000003</v>
      </c>
      <c r="G240">
        <v>0</v>
      </c>
      <c r="L240" t="s">
        <v>7</v>
      </c>
      <c r="M240" t="s">
        <v>8</v>
      </c>
      <c r="N240" t="s">
        <v>7</v>
      </c>
      <c r="P240">
        <f t="shared" si="959"/>
        <v>-0.14612089481199392</v>
      </c>
      <c r="Q240">
        <f t="shared" si="960"/>
        <v>-1056538.2395097546</v>
      </c>
      <c r="R240">
        <f t="shared" si="961"/>
        <v>-449034341.70182437</v>
      </c>
      <c r="S240">
        <f t="shared" si="962"/>
        <v>-4490.3434170182436</v>
      </c>
      <c r="T240">
        <f t="shared" si="963"/>
        <v>-4.4903434170182432</v>
      </c>
    </row>
    <row r="241" spans="1:20" x14ac:dyDescent="0.25">
      <c r="A241" s="5">
        <v>44352</v>
      </c>
      <c r="B241">
        <v>2.3033000000000001</v>
      </c>
      <c r="C241">
        <v>2.7458999999999998</v>
      </c>
      <c r="D241">
        <v>2.2711999999999999</v>
      </c>
      <c r="E241">
        <v>2.3975</v>
      </c>
      <c r="F241">
        <v>17647352.739999998</v>
      </c>
      <c r="G241">
        <v>0</v>
      </c>
      <c r="L241" t="s">
        <v>8</v>
      </c>
      <c r="M241" t="s">
        <v>8</v>
      </c>
      <c r="N241" t="s">
        <v>7</v>
      </c>
      <c r="P241">
        <f t="shared" si="959"/>
        <v>-0.46787444701916958</v>
      </c>
      <c r="Q241">
        <f t="shared" si="960"/>
        <v>-8256745.404579726</v>
      </c>
      <c r="R241">
        <f t="shared" si="961"/>
        <v>-447977803.46231461</v>
      </c>
      <c r="S241">
        <f t="shared" si="962"/>
        <v>-4479.7780346231457</v>
      </c>
      <c r="T241">
        <f t="shared" si="963"/>
        <v>-4.4797780346231457</v>
      </c>
    </row>
    <row r="242" spans="1:20" x14ac:dyDescent="0.25">
      <c r="A242" s="5">
        <v>44351</v>
      </c>
      <c r="B242">
        <v>2.6806000000000001</v>
      </c>
      <c r="C242">
        <v>2.6838000000000002</v>
      </c>
      <c r="D242">
        <v>2.1267</v>
      </c>
      <c r="E242">
        <v>2.3031000000000001</v>
      </c>
      <c r="F242">
        <v>18006698.440000001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-0.36672051696284308</v>
      </c>
      <c r="Q242">
        <f t="shared" si="960"/>
        <v>-6603425.7607108206</v>
      </c>
      <c r="R242">
        <f t="shared" si="961"/>
        <v>-439721058.05773491</v>
      </c>
      <c r="S242">
        <f t="shared" si="962"/>
        <v>-4397.210580577349</v>
      </c>
      <c r="T242">
        <f t="shared" si="963"/>
        <v>-4.3972105805773491</v>
      </c>
    </row>
    <row r="243" spans="1:20" x14ac:dyDescent="0.25">
      <c r="A243" s="5">
        <v>44350</v>
      </c>
      <c r="B243">
        <v>2.4098999999999999</v>
      </c>
      <c r="C243">
        <v>2.879</v>
      </c>
      <c r="D243">
        <v>2.36</v>
      </c>
      <c r="E243">
        <v>2.6810999999999998</v>
      </c>
      <c r="F243">
        <v>21983657.120000001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0.23737957610789928</v>
      </c>
      <c r="Q243">
        <f t="shared" si="960"/>
        <v>5218471.2084470019</v>
      </c>
      <c r="R243">
        <f t="shared" si="961"/>
        <v>-433117632.29702407</v>
      </c>
      <c r="S243">
        <f t="shared" si="962"/>
        <v>-4331.176322970241</v>
      </c>
      <c r="T243">
        <f t="shared" si="963"/>
        <v>-4.3311763229702409</v>
      </c>
    </row>
    <row r="244" spans="1:20" x14ac:dyDescent="0.25">
      <c r="A244" s="5">
        <v>44349</v>
      </c>
      <c r="B244">
        <v>2.0282</v>
      </c>
      <c r="C244">
        <v>2.5310999999999999</v>
      </c>
      <c r="D244">
        <v>1.9209000000000001</v>
      </c>
      <c r="E244">
        <v>2.4098999999999999</v>
      </c>
      <c r="F244">
        <v>28196835.309999999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0.60275319567354968</v>
      </c>
      <c r="Q244">
        <f t="shared" si="960"/>
        <v>16995732.590983283</v>
      </c>
      <c r="R244">
        <f t="shared" si="961"/>
        <v>-438336103.50547105</v>
      </c>
      <c r="S244">
        <f t="shared" si="962"/>
        <v>-4383.3610350547106</v>
      </c>
      <c r="T244">
        <f t="shared" si="963"/>
        <v>-4.383361035054711</v>
      </c>
    </row>
    <row r="245" spans="1:20" x14ac:dyDescent="0.25">
      <c r="A245" s="5">
        <v>44348</v>
      </c>
      <c r="B245">
        <v>1.6601999999999999</v>
      </c>
      <c r="C245">
        <v>2.2492999999999999</v>
      </c>
      <c r="D245">
        <v>1.6372</v>
      </c>
      <c r="E245">
        <v>2.0284</v>
      </c>
      <c r="F245">
        <v>41794216.789999999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0.27822251266133008</v>
      </c>
      <c r="Q245">
        <f t="shared" si="960"/>
        <v>11628092.010026149</v>
      </c>
      <c r="R245">
        <f t="shared" si="961"/>
        <v>-455331836.09645432</v>
      </c>
      <c r="S245">
        <f t="shared" si="962"/>
        <v>-4553.318360964543</v>
      </c>
      <c r="T245">
        <f t="shared" si="963"/>
        <v>-4.5533183609645427</v>
      </c>
    </row>
    <row r="246" spans="1:20" x14ac:dyDescent="0.25">
      <c r="A246" s="5">
        <v>44347</v>
      </c>
      <c r="B246">
        <v>1.5302</v>
      </c>
      <c r="C246">
        <v>1.6740999999999999</v>
      </c>
      <c r="D246">
        <v>1.4360999999999999</v>
      </c>
      <c r="E246">
        <v>1.6612</v>
      </c>
      <c r="F246">
        <v>5359868.12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0.8915966386554629</v>
      </c>
      <c r="Q246">
        <f t="shared" si="960"/>
        <v>4778840.3994285753</v>
      </c>
      <c r="R246">
        <f t="shared" si="961"/>
        <v>-466959928.10648048</v>
      </c>
      <c r="S246">
        <f t="shared" si="962"/>
        <v>-4669.5992810648049</v>
      </c>
      <c r="T246">
        <f t="shared" si="963"/>
        <v>-4.669599281064805</v>
      </c>
    </row>
    <row r="247" spans="1:20" x14ac:dyDescent="0.25">
      <c r="A247" s="5">
        <v>44346</v>
      </c>
      <c r="B247">
        <v>1.4560999999999999</v>
      </c>
      <c r="C247">
        <v>1.6146</v>
      </c>
      <c r="D247">
        <v>1.3769</v>
      </c>
      <c r="E247">
        <v>1.5337000000000001</v>
      </c>
      <c r="F247">
        <v>4082733.87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0.31931005469078699</v>
      </c>
      <c r="Q247">
        <f t="shared" si="960"/>
        <v>1303657.9753176284</v>
      </c>
      <c r="R247">
        <f t="shared" si="961"/>
        <v>-471738768.50590903</v>
      </c>
      <c r="S247">
        <f t="shared" si="962"/>
        <v>-4717.3876850590905</v>
      </c>
      <c r="T247">
        <f t="shared" si="963"/>
        <v>-4.7173876850590908</v>
      </c>
    </row>
    <row r="248" spans="1:20" x14ac:dyDescent="0.25">
      <c r="A248" s="5">
        <v>44345</v>
      </c>
      <c r="B248">
        <v>1.5841000000000001</v>
      </c>
      <c r="C248">
        <v>1.6294</v>
      </c>
      <c r="D248">
        <v>1.3677999999999999</v>
      </c>
      <c r="E248">
        <v>1.4567000000000001</v>
      </c>
      <c r="F248">
        <v>4702018.32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-0.32033639143730747</v>
      </c>
      <c r="Q248">
        <f t="shared" si="960"/>
        <v>-1506227.5811009109</v>
      </c>
      <c r="R248">
        <f t="shared" si="961"/>
        <v>-473042426.48122668</v>
      </c>
      <c r="S248">
        <f t="shared" si="962"/>
        <v>-4730.4242648122672</v>
      </c>
      <c r="T248">
        <f t="shared" si="963"/>
        <v>-4.7304242648122674</v>
      </c>
    </row>
    <row r="249" spans="1:20" x14ac:dyDescent="0.25">
      <c r="A249" s="5">
        <v>44344</v>
      </c>
      <c r="B249">
        <v>1.8201000000000001</v>
      </c>
      <c r="C249">
        <v>1.8306</v>
      </c>
      <c r="D249">
        <v>1.4692000000000001</v>
      </c>
      <c r="E249">
        <v>1.5853999999999999</v>
      </c>
      <c r="F249">
        <v>7551063.6799999997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-0.35694521306032168</v>
      </c>
      <c r="Q249">
        <f t="shared" si="960"/>
        <v>-2695316.0340896565</v>
      </c>
      <c r="R249">
        <f t="shared" si="961"/>
        <v>-471536198.90012574</v>
      </c>
      <c r="S249">
        <f t="shared" si="962"/>
        <v>-4715.3619890012578</v>
      </c>
      <c r="T249">
        <f t="shared" si="963"/>
        <v>-4.7153619890012575</v>
      </c>
    </row>
    <row r="250" spans="1:20" x14ac:dyDescent="0.25">
      <c r="A250" s="5">
        <v>44343</v>
      </c>
      <c r="B250">
        <v>1.9140999999999999</v>
      </c>
      <c r="C250">
        <v>1.95</v>
      </c>
      <c r="D250">
        <v>1.6668000000000001</v>
      </c>
      <c r="E250">
        <v>1.8152999999999999</v>
      </c>
      <c r="F250">
        <v>8335430.0999999996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4.8728813559321391E-2</v>
      </c>
      <c r="Q250">
        <f t="shared" si="960"/>
        <v>406175.61927965563</v>
      </c>
      <c r="R250">
        <f t="shared" si="961"/>
        <v>-468840882.86603606</v>
      </c>
      <c r="S250">
        <f t="shared" si="962"/>
        <v>-4688.408828660361</v>
      </c>
      <c r="T250">
        <f t="shared" si="963"/>
        <v>-4.6884088286603607</v>
      </c>
    </row>
    <row r="251" spans="1:20" x14ac:dyDescent="0.25">
      <c r="A251" s="5">
        <v>44342</v>
      </c>
      <c r="B251">
        <v>1.6231</v>
      </c>
      <c r="C251">
        <v>1.9259999999999999</v>
      </c>
      <c r="D251">
        <v>1.5721000000000001</v>
      </c>
      <c r="E251">
        <v>1.9113</v>
      </c>
      <c r="F251">
        <v>8206248.1600000001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0.91692568522181439</v>
      </c>
      <c r="Q251">
        <f t="shared" si="960"/>
        <v>7524519.7172082532</v>
      </c>
      <c r="R251">
        <f t="shared" si="961"/>
        <v>-469247058.48531574</v>
      </c>
      <c r="S251">
        <f t="shared" si="962"/>
        <v>-4692.4705848531576</v>
      </c>
      <c r="T251">
        <f t="shared" si="963"/>
        <v>-4.6924705848531572</v>
      </c>
    </row>
    <row r="252" spans="1:20" x14ac:dyDescent="0.25">
      <c r="A252" s="5">
        <v>44341</v>
      </c>
      <c r="B252">
        <v>1.6890000000000001</v>
      </c>
      <c r="C252">
        <v>1.86</v>
      </c>
      <c r="D252">
        <v>1.379</v>
      </c>
      <c r="E252">
        <v>1.6234999999999999</v>
      </c>
      <c r="F252">
        <v>10175798.57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1.6632016632016182E-2</v>
      </c>
      <c r="Q252">
        <f t="shared" si="960"/>
        <v>169244.0510602865</v>
      </c>
      <c r="R252">
        <f t="shared" si="961"/>
        <v>-476771578.20252401</v>
      </c>
      <c r="S252">
        <f t="shared" si="962"/>
        <v>-4767.7157820252405</v>
      </c>
      <c r="T252">
        <f t="shared" si="963"/>
        <v>-4.7677157820252409</v>
      </c>
    </row>
    <row r="253" spans="1:20" x14ac:dyDescent="0.25">
      <c r="A253" s="5">
        <v>44340</v>
      </c>
      <c r="B253">
        <v>1.2802</v>
      </c>
      <c r="C253">
        <v>1.7</v>
      </c>
      <c r="D253">
        <v>1.1986000000000001</v>
      </c>
      <c r="E253">
        <v>1.6889000000000001</v>
      </c>
      <c r="F253">
        <v>12028165.960000001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0.95572397287594779</v>
      </c>
      <c r="Q253">
        <f t="shared" si="960"/>
        <v>11495606.557702439</v>
      </c>
      <c r="R253">
        <f t="shared" si="961"/>
        <v>-476940822.25358427</v>
      </c>
      <c r="S253">
        <f t="shared" si="962"/>
        <v>-4769.4082225358425</v>
      </c>
      <c r="T253">
        <f t="shared" si="963"/>
        <v>-4.7694082225358425</v>
      </c>
    </row>
    <row r="254" spans="1:20" x14ac:dyDescent="0.25">
      <c r="A254" s="5">
        <v>44339</v>
      </c>
      <c r="B254">
        <v>1.5052000000000001</v>
      </c>
      <c r="C254">
        <v>1.55</v>
      </c>
      <c r="D254">
        <v>1.002</v>
      </c>
      <c r="E254">
        <v>1.2806</v>
      </c>
      <c r="F254">
        <v>16121661.07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1.6788321167882984E-2</v>
      </c>
      <c r="Q254">
        <f t="shared" si="960"/>
        <v>270655.62380291603</v>
      </c>
      <c r="R254">
        <f t="shared" si="961"/>
        <v>-488436428.81128669</v>
      </c>
      <c r="S254">
        <f t="shared" si="962"/>
        <v>-4884.3642881128671</v>
      </c>
      <c r="T254">
        <f t="shared" si="963"/>
        <v>-4.8843642881128675</v>
      </c>
    </row>
    <row r="255" spans="1:20" x14ac:dyDescent="0.25">
      <c r="A255" s="5">
        <v>44338</v>
      </c>
      <c r="B255">
        <v>1.7513000000000001</v>
      </c>
      <c r="C255">
        <v>1.7951999999999999</v>
      </c>
      <c r="D255">
        <v>1.4775</v>
      </c>
      <c r="E255">
        <v>1.5052000000000001</v>
      </c>
      <c r="F255">
        <v>8361772.3399999999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-0.8256216556499838</v>
      </c>
      <c r="Q255">
        <f t="shared" si="960"/>
        <v>-6903660.323519039</v>
      </c>
      <c r="R255">
        <f t="shared" si="961"/>
        <v>-488707084.43508959</v>
      </c>
      <c r="S255">
        <f t="shared" si="962"/>
        <v>-4887.0708443508956</v>
      </c>
      <c r="T255">
        <f t="shared" si="963"/>
        <v>-4.8870708443508954</v>
      </c>
    </row>
    <row r="256" spans="1:20" x14ac:dyDescent="0.25">
      <c r="A256" s="5">
        <v>44337</v>
      </c>
      <c r="B256">
        <v>2.0914999999999999</v>
      </c>
      <c r="C256">
        <v>2.25</v>
      </c>
      <c r="D256">
        <v>1.5057</v>
      </c>
      <c r="E256">
        <v>1.7512000000000001</v>
      </c>
      <c r="F256">
        <v>12289805.050000001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-0.34031976353620835</v>
      </c>
      <c r="Q256">
        <f t="shared" si="960"/>
        <v>-4182463.5485220994</v>
      </c>
      <c r="R256">
        <f t="shared" si="961"/>
        <v>-481803424.11157054</v>
      </c>
      <c r="S256">
        <f t="shared" si="962"/>
        <v>-4818.0342411157053</v>
      </c>
      <c r="T256">
        <f t="shared" si="963"/>
        <v>-4.8180342411157051</v>
      </c>
    </row>
    <row r="257" spans="1:20" x14ac:dyDescent="0.25">
      <c r="A257" s="5">
        <v>44336</v>
      </c>
      <c r="B257">
        <v>1.8867</v>
      </c>
      <c r="C257">
        <v>2.29</v>
      </c>
      <c r="D257">
        <v>1.6667000000000001</v>
      </c>
      <c r="E257">
        <v>2.0935000000000001</v>
      </c>
      <c r="F257">
        <v>14507062.09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0.36948499919781835</v>
      </c>
      <c r="Q257">
        <f t="shared" si="960"/>
        <v>5360141.8246863512</v>
      </c>
      <c r="R257">
        <f t="shared" si="961"/>
        <v>-477620960.56304842</v>
      </c>
      <c r="S257">
        <f t="shared" si="962"/>
        <v>-4776.2096056304845</v>
      </c>
      <c r="T257">
        <f t="shared" si="963"/>
        <v>-4.7762096056304841</v>
      </c>
    </row>
    <row r="258" spans="1:20" x14ac:dyDescent="0.25">
      <c r="A258" s="5">
        <v>44335</v>
      </c>
      <c r="B258">
        <v>2.9584999999999999</v>
      </c>
      <c r="C258">
        <v>3.0362</v>
      </c>
      <c r="D258">
        <v>1.49</v>
      </c>
      <c r="E258">
        <v>1.8809</v>
      </c>
      <c r="F258">
        <v>20230063.690000001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-0.4943733022894839</v>
      </c>
      <c r="Q258">
        <f t="shared" si="960"/>
        <v>-10001203.391951883</v>
      </c>
      <c r="R258">
        <f t="shared" si="961"/>
        <v>-482981102.38773477</v>
      </c>
      <c r="S258">
        <f t="shared" si="962"/>
        <v>-4829.8110238773479</v>
      </c>
      <c r="T258">
        <f t="shared" si="963"/>
        <v>-4.8298110238773475</v>
      </c>
    </row>
    <row r="259" spans="1:20" x14ac:dyDescent="0.25">
      <c r="A259" s="5">
        <v>44334</v>
      </c>
      <c r="B259">
        <v>2.7052</v>
      </c>
      <c r="C259">
        <v>3.1766000000000001</v>
      </c>
      <c r="D259">
        <v>2.6808000000000001</v>
      </c>
      <c r="E259">
        <v>2.9559000000000002</v>
      </c>
      <c r="F259">
        <v>17123935.710000001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0.10972166196046838</v>
      </c>
      <c r="Q259">
        <f t="shared" si="960"/>
        <v>1878866.6854054132</v>
      </c>
      <c r="R259">
        <f t="shared" si="961"/>
        <v>-472979898.99578291</v>
      </c>
      <c r="S259">
        <f t="shared" si="962"/>
        <v>-4729.7989899578288</v>
      </c>
      <c r="T259">
        <f t="shared" si="963"/>
        <v>-4.7297989899578292</v>
      </c>
    </row>
    <row r="260" spans="1:20" x14ac:dyDescent="0.25">
      <c r="A260" s="5">
        <v>44333</v>
      </c>
      <c r="B260">
        <v>2.9499</v>
      </c>
      <c r="C260">
        <v>3.1301000000000001</v>
      </c>
      <c r="D260">
        <v>2.5</v>
      </c>
      <c r="E260">
        <v>2.7080000000000002</v>
      </c>
      <c r="F260">
        <v>12086310.76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-0.33978733534359579</v>
      </c>
      <c r="Q260">
        <f t="shared" si="960"/>
        <v>-4106775.3272750298</v>
      </c>
      <c r="R260">
        <f t="shared" si="961"/>
        <v>-474858765.68118834</v>
      </c>
      <c r="S260">
        <f t="shared" si="962"/>
        <v>-4748.5876568118838</v>
      </c>
      <c r="T260">
        <f t="shared" si="963"/>
        <v>-4.7485876568118837</v>
      </c>
    </row>
    <row r="261" spans="1:20" x14ac:dyDescent="0.25">
      <c r="A261" s="5">
        <v>44332</v>
      </c>
      <c r="B261">
        <v>2.8279000000000001</v>
      </c>
      <c r="C261">
        <v>3.2290000000000001</v>
      </c>
      <c r="D261">
        <v>2.8</v>
      </c>
      <c r="E261">
        <v>2.9481000000000002</v>
      </c>
      <c r="F261">
        <v>11138416.689999999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-0.30955710955710841</v>
      </c>
      <c r="Q261">
        <f t="shared" si="960"/>
        <v>-3447976.0755990548</v>
      </c>
      <c r="R261">
        <f t="shared" si="961"/>
        <v>-470751990.35391331</v>
      </c>
      <c r="S261">
        <f t="shared" si="962"/>
        <v>-4707.5199035391333</v>
      </c>
      <c r="T261">
        <f t="shared" si="963"/>
        <v>-4.7075199035391337</v>
      </c>
    </row>
    <row r="262" spans="1:20" x14ac:dyDescent="0.25">
      <c r="A262" s="5">
        <v>44331</v>
      </c>
      <c r="B262">
        <v>3.0979999999999999</v>
      </c>
      <c r="C262">
        <v>3.1568000000000001</v>
      </c>
      <c r="D262">
        <v>2.8109000000000002</v>
      </c>
      <c r="E262">
        <v>2.8323999999999998</v>
      </c>
      <c r="F262">
        <v>9402868.0800000001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-0.87568661462850739</v>
      </c>
      <c r="Q262">
        <f t="shared" ref="Q262:Q325" si="965">F262*P262</f>
        <v>-8233965.7167736534</v>
      </c>
      <c r="R262">
        <f t="shared" ref="R262:R325" si="966">R263+Q262</f>
        <v>-467304014.27831423</v>
      </c>
      <c r="S262">
        <f t="shared" ref="S262:S325" si="967">R262/100000</f>
        <v>-4673.0401427831421</v>
      </c>
      <c r="T262">
        <f t="shared" ref="T262:T325" si="968">S262/1000</f>
        <v>-4.6730401427831421</v>
      </c>
    </row>
    <row r="263" spans="1:20" x14ac:dyDescent="0.25">
      <c r="A263" s="5">
        <v>44330</v>
      </c>
      <c r="B263">
        <v>2.9649000000000001</v>
      </c>
      <c r="C263">
        <v>3.3113999999999999</v>
      </c>
      <c r="D263">
        <v>2.9123999999999999</v>
      </c>
      <c r="E263">
        <v>3.0977000000000001</v>
      </c>
      <c r="F263">
        <v>10539306.49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-7.117794486215423E-2</v>
      </c>
      <c r="Q263">
        <f t="shared" si="965"/>
        <v>-750166.17623056425</v>
      </c>
      <c r="R263">
        <f t="shared" si="966"/>
        <v>-459070048.5615406</v>
      </c>
      <c r="S263">
        <f t="shared" si="967"/>
        <v>-4590.7004856154063</v>
      </c>
      <c r="T263">
        <f t="shared" si="968"/>
        <v>-4.5907004856154066</v>
      </c>
    </row>
    <row r="264" spans="1:20" x14ac:dyDescent="0.25">
      <c r="A264" s="5">
        <v>44329</v>
      </c>
      <c r="B264">
        <v>3.0882999999999998</v>
      </c>
      <c r="C264">
        <v>3.3231999999999999</v>
      </c>
      <c r="D264">
        <v>2.81</v>
      </c>
      <c r="E264">
        <v>2.9649000000000001</v>
      </c>
      <c r="F264">
        <v>15456739.210000001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-0.39633671083398259</v>
      </c>
      <c r="Q264">
        <f t="shared" si="965"/>
        <v>-6126073.1787100509</v>
      </c>
      <c r="R264">
        <f t="shared" si="966"/>
        <v>-458319882.38531005</v>
      </c>
      <c r="S264">
        <f t="shared" si="967"/>
        <v>-4583.1988238531003</v>
      </c>
      <c r="T264">
        <f t="shared" si="968"/>
        <v>-4.5831988238531007</v>
      </c>
    </row>
    <row r="265" spans="1:20" x14ac:dyDescent="0.25">
      <c r="A265" s="5">
        <v>44328</v>
      </c>
      <c r="B265">
        <v>3.7002000000000002</v>
      </c>
      <c r="C265">
        <v>3.79</v>
      </c>
      <c r="D265">
        <v>3.0750000000000002</v>
      </c>
      <c r="E265">
        <v>3.0769000000000002</v>
      </c>
      <c r="F265">
        <v>14540985.49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-0.99468531468531463</v>
      </c>
      <c r="Q265">
        <f t="shared" si="965"/>
        <v>-14463704.727955244</v>
      </c>
      <c r="R265">
        <f t="shared" si="966"/>
        <v>-452193809.20660001</v>
      </c>
      <c r="S265">
        <f t="shared" si="967"/>
        <v>-4521.9380920660005</v>
      </c>
      <c r="T265">
        <f t="shared" si="968"/>
        <v>-4.5219380920660006</v>
      </c>
    </row>
    <row r="266" spans="1:20" x14ac:dyDescent="0.25">
      <c r="A266" s="5">
        <v>44327</v>
      </c>
      <c r="B266">
        <v>3.2557999999999998</v>
      </c>
      <c r="C266">
        <v>3.8492000000000002</v>
      </c>
      <c r="D266">
        <v>3.11</v>
      </c>
      <c r="E266">
        <v>3.7067000000000001</v>
      </c>
      <c r="F266">
        <v>21463032.440000001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0.61444805194805197</v>
      </c>
      <c r="Q266">
        <f t="shared" si="965"/>
        <v>13187918.471655846</v>
      </c>
      <c r="R266">
        <f t="shared" si="966"/>
        <v>-437730104.47864479</v>
      </c>
      <c r="S266">
        <f t="shared" si="967"/>
        <v>-4377.3010447864481</v>
      </c>
      <c r="T266">
        <f t="shared" si="968"/>
        <v>-4.3773010447864484</v>
      </c>
    </row>
    <row r="267" spans="1:20" x14ac:dyDescent="0.25">
      <c r="A267" s="5">
        <v>44326</v>
      </c>
      <c r="B267">
        <v>3.5327999999999999</v>
      </c>
      <c r="C267">
        <v>3.88</v>
      </c>
      <c r="D267">
        <v>3.1</v>
      </c>
      <c r="E267">
        <v>3.2494999999999998</v>
      </c>
      <c r="F267">
        <v>17974822.82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-0.61666666666666725</v>
      </c>
      <c r="Q267">
        <f t="shared" si="965"/>
        <v>-11084474.072333343</v>
      </c>
      <c r="R267">
        <f t="shared" si="966"/>
        <v>-450918022.95030063</v>
      </c>
      <c r="S267">
        <f t="shared" si="967"/>
        <v>-4509.1802295030066</v>
      </c>
      <c r="T267">
        <f t="shared" si="968"/>
        <v>-4.5091802295030066</v>
      </c>
    </row>
    <row r="268" spans="1:20" x14ac:dyDescent="0.25">
      <c r="A268" s="5">
        <v>44325</v>
      </c>
      <c r="B268">
        <v>3.7425999999999999</v>
      </c>
      <c r="C268">
        <v>3.75</v>
      </c>
      <c r="D268">
        <v>3.39</v>
      </c>
      <c r="E268">
        <v>3.5327999999999999</v>
      </c>
      <c r="F268">
        <v>12139795.15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-0.20666666666666741</v>
      </c>
      <c r="Q268">
        <f t="shared" si="965"/>
        <v>-2508890.9976666756</v>
      </c>
      <c r="R268">
        <f t="shared" si="966"/>
        <v>-439833548.8779673</v>
      </c>
      <c r="S268">
        <f t="shared" si="967"/>
        <v>-4398.3354887796731</v>
      </c>
      <c r="T268">
        <f t="shared" si="968"/>
        <v>-4.3983354887796731</v>
      </c>
    </row>
    <row r="269" spans="1:20" x14ac:dyDescent="0.25">
      <c r="A269" s="5">
        <v>44324</v>
      </c>
      <c r="B269">
        <v>3.5185</v>
      </c>
      <c r="C269">
        <v>4.1399999999999997</v>
      </c>
      <c r="D269">
        <v>3.4508999999999999</v>
      </c>
      <c r="E269">
        <v>3.7425999999999999</v>
      </c>
      <c r="F269">
        <v>19745149.390000001</v>
      </c>
      <c r="G269">
        <v>0</v>
      </c>
      <c r="L269" t="s">
        <v>8</v>
      </c>
      <c r="M269" t="s">
        <v>8</v>
      </c>
      <c r="N269" t="s">
        <v>7</v>
      </c>
      <c r="P269">
        <f t="shared" si="964"/>
        <v>-0.15338847772456785</v>
      </c>
      <c r="Q269">
        <f t="shared" si="965"/>
        <v>-3028678.4073762796</v>
      </c>
      <c r="R269">
        <f t="shared" si="966"/>
        <v>-437324657.88030064</v>
      </c>
      <c r="S269">
        <f t="shared" si="967"/>
        <v>-4373.2465788030067</v>
      </c>
      <c r="T269">
        <f t="shared" si="968"/>
        <v>-4.3732465788030064</v>
      </c>
    </row>
    <row r="270" spans="1:20" x14ac:dyDescent="0.25">
      <c r="A270" s="5">
        <v>44323</v>
      </c>
      <c r="B270">
        <v>3.6638999999999999</v>
      </c>
      <c r="C270">
        <v>3.85</v>
      </c>
      <c r="D270">
        <v>3.38</v>
      </c>
      <c r="E270">
        <v>3.5182000000000002</v>
      </c>
      <c r="F270">
        <v>16620660.890000001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-0.41191489361702016</v>
      </c>
      <c r="Q270">
        <f t="shared" si="965"/>
        <v>-6846297.7623489182</v>
      </c>
      <c r="R270">
        <f t="shared" si="966"/>
        <v>-434295979.47292435</v>
      </c>
      <c r="S270">
        <f t="shared" si="967"/>
        <v>-4342.9597947292432</v>
      </c>
      <c r="T270">
        <f t="shared" si="968"/>
        <v>-4.3429597947292429</v>
      </c>
    </row>
    <row r="271" spans="1:20" x14ac:dyDescent="0.25">
      <c r="A271" s="5">
        <v>44322</v>
      </c>
      <c r="B271">
        <v>3.9923000000000002</v>
      </c>
      <c r="C271">
        <v>4.1649000000000003</v>
      </c>
      <c r="D271">
        <v>3.6</v>
      </c>
      <c r="E271">
        <v>3.6650999999999998</v>
      </c>
      <c r="F271">
        <v>21472476.129999999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-0.76951672862453635</v>
      </c>
      <c r="Q271">
        <f t="shared" si="965"/>
        <v>-16523429.587026043</v>
      </c>
      <c r="R271">
        <f t="shared" si="966"/>
        <v>-427449681.71057546</v>
      </c>
      <c r="S271">
        <f t="shared" si="967"/>
        <v>-4274.4968171057544</v>
      </c>
      <c r="T271">
        <f t="shared" si="968"/>
        <v>-4.2744968171057547</v>
      </c>
    </row>
    <row r="272" spans="1:20" x14ac:dyDescent="0.25">
      <c r="A272" s="5">
        <v>44321</v>
      </c>
      <c r="B272">
        <v>3.6223999999999998</v>
      </c>
      <c r="C272">
        <v>4.3654999999999999</v>
      </c>
      <c r="D272">
        <v>3.5790000000000002</v>
      </c>
      <c r="E272">
        <v>3.9967999999999999</v>
      </c>
      <c r="F272">
        <v>27839969.199999999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6.2428480610298431E-2</v>
      </c>
      <c r="Q272">
        <f t="shared" si="965"/>
        <v>1738006.9773935054</v>
      </c>
      <c r="R272">
        <f t="shared" si="966"/>
        <v>-410926252.1235494</v>
      </c>
      <c r="S272">
        <f t="shared" si="967"/>
        <v>-4109.2625212354942</v>
      </c>
      <c r="T272">
        <f t="shared" si="968"/>
        <v>-4.1092625212354941</v>
      </c>
    </row>
    <row r="273" spans="1:20" x14ac:dyDescent="0.25">
      <c r="A273" s="5">
        <v>44320</v>
      </c>
      <c r="B273">
        <v>4.2557</v>
      </c>
      <c r="C273">
        <v>4.3</v>
      </c>
      <c r="D273">
        <v>3.6</v>
      </c>
      <c r="E273">
        <v>3.6200999999999999</v>
      </c>
      <c r="F273">
        <v>35684512.909999996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-0.94257142857142917</v>
      </c>
      <c r="Q273">
        <f t="shared" si="965"/>
        <v>-33635202.311454304</v>
      </c>
      <c r="R273">
        <f t="shared" si="966"/>
        <v>-412664259.10094291</v>
      </c>
      <c r="S273">
        <f t="shared" si="967"/>
        <v>-4126.6425910094295</v>
      </c>
      <c r="T273">
        <f t="shared" si="968"/>
        <v>-4.1266425910094293</v>
      </c>
    </row>
    <row r="274" spans="1:20" x14ac:dyDescent="0.25">
      <c r="A274" s="5">
        <v>44319</v>
      </c>
      <c r="B274">
        <v>4.4623999999999997</v>
      </c>
      <c r="C274">
        <v>4.99</v>
      </c>
      <c r="D274">
        <v>4.0334000000000003</v>
      </c>
      <c r="E274">
        <v>4.2556000000000003</v>
      </c>
      <c r="F274">
        <v>70258766.400000006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-0.53543800961739496</v>
      </c>
      <c r="Q274">
        <f t="shared" si="965"/>
        <v>-37619214.039389506</v>
      </c>
      <c r="R274">
        <f t="shared" si="966"/>
        <v>-379029056.78948861</v>
      </c>
      <c r="S274">
        <f t="shared" si="967"/>
        <v>-3790.290567894886</v>
      </c>
      <c r="T274">
        <f t="shared" si="968"/>
        <v>-3.7902905678948859</v>
      </c>
    </row>
    <row r="275" spans="1:20" x14ac:dyDescent="0.25">
      <c r="A275" s="5">
        <v>44318</v>
      </c>
      <c r="B275">
        <v>3.1917</v>
      </c>
      <c r="C275">
        <v>4.6519000000000004</v>
      </c>
      <c r="D275">
        <v>2.9022999999999999</v>
      </c>
      <c r="E275">
        <v>4.4668000000000001</v>
      </c>
      <c r="F275">
        <v>67647132.319999993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0.78840877914951968</v>
      </c>
      <c r="Q275">
        <f t="shared" si="965"/>
        <v>53333593.005377211</v>
      </c>
      <c r="R275">
        <f t="shared" si="966"/>
        <v>-341409842.75009912</v>
      </c>
      <c r="S275">
        <f t="shared" si="967"/>
        <v>-3414.0984275009914</v>
      </c>
      <c r="T275">
        <f t="shared" si="968"/>
        <v>-3.4140984275009916</v>
      </c>
    </row>
    <row r="276" spans="1:20" x14ac:dyDescent="0.25">
      <c r="A276" s="5">
        <v>44317</v>
      </c>
      <c r="B276">
        <v>3.5406</v>
      </c>
      <c r="C276">
        <v>3.5510000000000002</v>
      </c>
      <c r="D276">
        <v>3.15</v>
      </c>
      <c r="E276">
        <v>3.1917</v>
      </c>
      <c r="F276">
        <v>17854014.879999999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-0.79201995012468807</v>
      </c>
      <c r="Q276">
        <f t="shared" si="965"/>
        <v>-14140735.974783037</v>
      </c>
      <c r="R276">
        <f t="shared" si="966"/>
        <v>-394743435.75547636</v>
      </c>
      <c r="S276">
        <f t="shared" si="967"/>
        <v>-3947.4343575547637</v>
      </c>
      <c r="T276">
        <f t="shared" si="968"/>
        <v>-3.9474343575547635</v>
      </c>
    </row>
    <row r="277" spans="1:20" x14ac:dyDescent="0.25">
      <c r="A277" s="5">
        <v>44316</v>
      </c>
      <c r="B277">
        <v>2.9740000000000002</v>
      </c>
      <c r="C277">
        <v>3.58</v>
      </c>
      <c r="D277">
        <v>2.9491999999999998</v>
      </c>
      <c r="E277">
        <v>3.5308999999999999</v>
      </c>
      <c r="F277">
        <v>39458394.390000001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0.8443246670894099</v>
      </c>
      <c r="Q277">
        <f t="shared" si="965"/>
        <v>33315695.707219388</v>
      </c>
      <c r="R277">
        <f t="shared" si="966"/>
        <v>-380602699.78069329</v>
      </c>
      <c r="S277">
        <f t="shared" si="967"/>
        <v>-3806.0269978069327</v>
      </c>
      <c r="T277">
        <f t="shared" si="968"/>
        <v>-3.8060269978069328</v>
      </c>
    </row>
    <row r="278" spans="1:20" x14ac:dyDescent="0.25">
      <c r="A278" s="5">
        <v>44315</v>
      </c>
      <c r="B278">
        <v>2.8331</v>
      </c>
      <c r="C278">
        <v>3.1314000000000002</v>
      </c>
      <c r="D278">
        <v>2.6633</v>
      </c>
      <c r="E278">
        <v>2.9716</v>
      </c>
      <c r="F278">
        <v>28152883.390000001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0.3172399060029904</v>
      </c>
      <c r="Q278">
        <f t="shared" si="965"/>
        <v>8931218.0803567506</v>
      </c>
      <c r="R278">
        <f t="shared" si="966"/>
        <v>-413918395.48791265</v>
      </c>
      <c r="S278">
        <f t="shared" si="967"/>
        <v>-4139.1839548791268</v>
      </c>
      <c r="T278">
        <f t="shared" si="968"/>
        <v>-4.1391839548791269</v>
      </c>
    </row>
    <row r="279" spans="1:20" x14ac:dyDescent="0.25">
      <c r="A279" s="5">
        <v>44314</v>
      </c>
      <c r="B279">
        <v>2.75</v>
      </c>
      <c r="C279">
        <v>3.1738</v>
      </c>
      <c r="D279">
        <v>2.58</v>
      </c>
      <c r="E279">
        <v>2.8331</v>
      </c>
      <c r="F279">
        <v>31783543.800000001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-0.14752441899629529</v>
      </c>
      <c r="Q279">
        <f t="shared" si="965"/>
        <v>-4688848.8327383036</v>
      </c>
      <c r="R279">
        <f t="shared" si="966"/>
        <v>-422849613.56826943</v>
      </c>
      <c r="S279">
        <f t="shared" si="967"/>
        <v>-4228.4961356826943</v>
      </c>
      <c r="T279">
        <f t="shared" si="968"/>
        <v>-4.2284961356826942</v>
      </c>
    </row>
    <row r="280" spans="1:20" x14ac:dyDescent="0.25">
      <c r="A280" s="5">
        <v>44313</v>
      </c>
      <c r="B280">
        <v>2.4567999999999999</v>
      </c>
      <c r="C280">
        <v>2.89</v>
      </c>
      <c r="D280">
        <v>2.33</v>
      </c>
      <c r="E280">
        <v>2.7549999999999999</v>
      </c>
      <c r="F280">
        <v>25165755.609999999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0.51785714285714213</v>
      </c>
      <c r="Q280">
        <f t="shared" si="965"/>
        <v>13032266.298035696</v>
      </c>
      <c r="R280">
        <f t="shared" si="966"/>
        <v>-418160764.73553115</v>
      </c>
      <c r="S280">
        <f t="shared" si="967"/>
        <v>-4181.6076473553112</v>
      </c>
      <c r="T280">
        <f t="shared" si="968"/>
        <v>-4.1816076473553112</v>
      </c>
    </row>
    <row r="281" spans="1:20" x14ac:dyDescent="0.25">
      <c r="A281" s="5">
        <v>44312</v>
      </c>
      <c r="B281">
        <v>2.2949999999999999</v>
      </c>
      <c r="C281">
        <v>2.5499000000000001</v>
      </c>
      <c r="D281">
        <v>2.2713999999999999</v>
      </c>
      <c r="E281">
        <v>2.4567999999999999</v>
      </c>
      <c r="F281">
        <v>15215678.27</v>
      </c>
      <c r="G281">
        <v>0</v>
      </c>
      <c r="L281" t="s">
        <v>7</v>
      </c>
      <c r="M281" t="s">
        <v>8</v>
      </c>
      <c r="N281" t="s">
        <v>7</v>
      </c>
      <c r="P281">
        <f t="shared" si="964"/>
        <v>0.3314183123877909</v>
      </c>
      <c r="Q281">
        <f t="shared" si="965"/>
        <v>5042754.4140789816</v>
      </c>
      <c r="R281">
        <f t="shared" si="966"/>
        <v>-431193031.03356683</v>
      </c>
      <c r="S281">
        <f t="shared" si="967"/>
        <v>-4311.9303103356688</v>
      </c>
      <c r="T281">
        <f t="shared" si="968"/>
        <v>-4.3119303103356685</v>
      </c>
    </row>
    <row r="282" spans="1:20" x14ac:dyDescent="0.25">
      <c r="A282" s="5">
        <v>44311</v>
      </c>
      <c r="B282">
        <v>2.2566000000000002</v>
      </c>
      <c r="C282">
        <v>2.5598999999999998</v>
      </c>
      <c r="D282">
        <v>2.1461000000000001</v>
      </c>
      <c r="E282">
        <v>2.2949999999999999</v>
      </c>
      <c r="F282">
        <v>18831085.239999998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-0.28032866118898064</v>
      </c>
      <c r="Q282">
        <f t="shared" si="965"/>
        <v>-5278892.9140647734</v>
      </c>
      <c r="R282">
        <f t="shared" si="966"/>
        <v>-436235785.44764584</v>
      </c>
      <c r="S282">
        <f t="shared" si="967"/>
        <v>-4362.3578544764587</v>
      </c>
      <c r="T282">
        <f t="shared" si="968"/>
        <v>-4.3623578544764587</v>
      </c>
    </row>
    <row r="283" spans="1:20" x14ac:dyDescent="0.25">
      <c r="A283" s="5">
        <v>44310</v>
      </c>
      <c r="B283">
        <v>2.2157</v>
      </c>
      <c r="C283">
        <v>2.4500000000000002</v>
      </c>
      <c r="D283">
        <v>2.0063</v>
      </c>
      <c r="E283">
        <v>2.2566999999999999</v>
      </c>
      <c r="F283">
        <v>21111330.449999999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0.12869055668244236</v>
      </c>
      <c r="Q283">
        <f t="shared" si="965"/>
        <v>2716828.8679174962</v>
      </c>
      <c r="R283">
        <f t="shared" si="966"/>
        <v>-430956892.53358108</v>
      </c>
      <c r="S283">
        <f t="shared" si="967"/>
        <v>-4309.5689253358105</v>
      </c>
      <c r="T283">
        <f t="shared" si="968"/>
        <v>-4.3095689253358103</v>
      </c>
    </row>
    <row r="284" spans="1:20" x14ac:dyDescent="0.25">
      <c r="A284" s="5">
        <v>44309</v>
      </c>
      <c r="B284">
        <v>2.1223000000000001</v>
      </c>
      <c r="C284">
        <v>2.31</v>
      </c>
      <c r="D284">
        <v>1.78</v>
      </c>
      <c r="E284">
        <v>2.2200000000000002</v>
      </c>
      <c r="F284">
        <v>23271737.280000001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0.66037735849056656</v>
      </c>
      <c r="Q284">
        <f t="shared" si="965"/>
        <v>15368128.392452843</v>
      </c>
      <c r="R284">
        <f t="shared" si="966"/>
        <v>-433673721.40149856</v>
      </c>
      <c r="S284">
        <f t="shared" si="967"/>
        <v>-4336.7372140149855</v>
      </c>
      <c r="T284">
        <f t="shared" si="968"/>
        <v>-4.3367372140149856</v>
      </c>
    </row>
    <row r="285" spans="1:20" x14ac:dyDescent="0.25">
      <c r="A285" s="5">
        <v>44308</v>
      </c>
      <c r="B285">
        <v>2.41</v>
      </c>
      <c r="C285">
        <v>2.57</v>
      </c>
      <c r="D285">
        <v>2.12</v>
      </c>
      <c r="E285">
        <v>2.1257000000000001</v>
      </c>
      <c r="F285">
        <v>23063308.800000001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-0.97466666666666646</v>
      </c>
      <c r="Q285">
        <f t="shared" si="965"/>
        <v>-22479038.310399994</v>
      </c>
      <c r="R285">
        <f t="shared" si="966"/>
        <v>-449041849.79395139</v>
      </c>
      <c r="S285">
        <f t="shared" si="967"/>
        <v>-4490.4184979395141</v>
      </c>
      <c r="T285">
        <f t="shared" si="968"/>
        <v>-4.4904184979395136</v>
      </c>
    </row>
    <row r="286" spans="1:20" x14ac:dyDescent="0.25">
      <c r="A286" s="5">
        <v>44307</v>
      </c>
      <c r="B286">
        <v>2.4394</v>
      </c>
      <c r="C286">
        <v>2.94</v>
      </c>
      <c r="D286">
        <v>2.3748</v>
      </c>
      <c r="E286">
        <v>2.4087999999999998</v>
      </c>
      <c r="F286">
        <v>30888491.440000001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-0.87968860580325614</v>
      </c>
      <c r="Q286">
        <f t="shared" si="965"/>
        <v>-27172253.970219411</v>
      </c>
      <c r="R286">
        <f t="shared" si="966"/>
        <v>-426562811.48355138</v>
      </c>
      <c r="S286">
        <f t="shared" si="967"/>
        <v>-4265.6281148355138</v>
      </c>
      <c r="T286">
        <f t="shared" si="968"/>
        <v>-4.265628114835514</v>
      </c>
    </row>
    <row r="287" spans="1:20" x14ac:dyDescent="0.25">
      <c r="A287" s="5">
        <v>44306</v>
      </c>
      <c r="B287">
        <v>2.7482000000000002</v>
      </c>
      <c r="C287">
        <v>3.1315</v>
      </c>
      <c r="D287">
        <v>2.3887999999999998</v>
      </c>
      <c r="E287">
        <v>2.4338000000000002</v>
      </c>
      <c r="F287">
        <v>59490970.969999999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-0.87882051972532549</v>
      </c>
      <c r="Q287">
        <f t="shared" si="965"/>
        <v>-52281886.026819646</v>
      </c>
      <c r="R287">
        <f t="shared" si="966"/>
        <v>-399390557.51333195</v>
      </c>
      <c r="S287">
        <f t="shared" si="967"/>
        <v>-3993.9055751333194</v>
      </c>
      <c r="T287">
        <f t="shared" si="968"/>
        <v>-3.9939055751333195</v>
      </c>
    </row>
    <row r="288" spans="1:20" x14ac:dyDescent="0.25">
      <c r="A288" s="5">
        <v>44305</v>
      </c>
      <c r="B288">
        <v>2.9333999999999998</v>
      </c>
      <c r="C288">
        <v>3.7940999999999998</v>
      </c>
      <c r="D288">
        <v>2.7000999999999999</v>
      </c>
      <c r="E288">
        <v>2.7515000000000001</v>
      </c>
      <c r="F288">
        <v>156541723.78999999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-0.90603290676416792</v>
      </c>
      <c r="Q288">
        <f t="shared" si="965"/>
        <v>-141831953.0353272</v>
      </c>
      <c r="R288">
        <f t="shared" si="966"/>
        <v>-347108671.4865123</v>
      </c>
      <c r="S288">
        <f t="shared" si="967"/>
        <v>-3471.0867148651232</v>
      </c>
      <c r="T288">
        <f t="shared" si="968"/>
        <v>-3.4710867148651232</v>
      </c>
    </row>
    <row r="289" spans="1:20" x14ac:dyDescent="0.25">
      <c r="A289" s="5">
        <v>44304</v>
      </c>
      <c r="B289">
        <v>2.0476000000000001</v>
      </c>
      <c r="C289">
        <v>3.4815</v>
      </c>
      <c r="D289">
        <v>1.851</v>
      </c>
      <c r="E289">
        <v>2.9251</v>
      </c>
      <c r="F289">
        <v>159620851.81999999</v>
      </c>
      <c r="G289">
        <v>0</v>
      </c>
      <c r="L289" t="s">
        <v>8</v>
      </c>
      <c r="M289" t="s">
        <v>8</v>
      </c>
      <c r="N289" t="s">
        <v>8</v>
      </c>
      <c r="P289">
        <f t="shared" si="964"/>
        <v>0.31750996626801598</v>
      </c>
      <c r="Q289">
        <f t="shared" si="965"/>
        <v>50681211.277040176</v>
      </c>
      <c r="R289">
        <f t="shared" si="966"/>
        <v>-205276718.45118508</v>
      </c>
      <c r="S289">
        <f t="shared" si="967"/>
        <v>-2052.7671845118507</v>
      </c>
      <c r="T289">
        <f t="shared" si="968"/>
        <v>-2.0527671845118509</v>
      </c>
    </row>
    <row r="290" spans="1:20" x14ac:dyDescent="0.25">
      <c r="A290" s="5">
        <v>44303</v>
      </c>
      <c r="B290">
        <v>1.7410000000000001</v>
      </c>
      <c r="C290">
        <v>2.117</v>
      </c>
      <c r="D290">
        <v>1.7291000000000001</v>
      </c>
      <c r="E290">
        <v>2.0419999999999998</v>
      </c>
      <c r="F290">
        <v>24913764.550000001</v>
      </c>
      <c r="G290">
        <v>0</v>
      </c>
      <c r="L290" t="s">
        <v>8</v>
      </c>
      <c r="M290" t="s">
        <v>8</v>
      </c>
      <c r="N290" t="s">
        <v>7</v>
      </c>
      <c r="P290">
        <f t="shared" si="964"/>
        <v>0.61330239752513438</v>
      </c>
      <c r="Q290">
        <f t="shared" si="965"/>
        <v>15279671.529891701</v>
      </c>
      <c r="R290">
        <f t="shared" si="966"/>
        <v>-255957929.72822526</v>
      </c>
      <c r="S290">
        <f t="shared" si="967"/>
        <v>-2559.5792972822528</v>
      </c>
      <c r="T290">
        <f t="shared" si="968"/>
        <v>-2.5595792972822529</v>
      </c>
    </row>
    <row r="291" spans="1:20" x14ac:dyDescent="0.25">
      <c r="A291" s="5">
        <v>44302</v>
      </c>
      <c r="B291">
        <v>2.0346000000000002</v>
      </c>
      <c r="C291">
        <v>2.0417000000000001</v>
      </c>
      <c r="D291">
        <v>1.6879999999999999</v>
      </c>
      <c r="E291">
        <v>1.7412000000000001</v>
      </c>
      <c r="F291">
        <v>19020116.329999998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-0.69918009612666032</v>
      </c>
      <c r="Q291">
        <f t="shared" si="965"/>
        <v>-13298486.763949661</v>
      </c>
      <c r="R291">
        <f t="shared" si="966"/>
        <v>-271237601.25811696</v>
      </c>
      <c r="S291">
        <f t="shared" si="967"/>
        <v>-2712.3760125811696</v>
      </c>
      <c r="T291">
        <f t="shared" si="968"/>
        <v>-2.7123760125811698</v>
      </c>
    </row>
    <row r="292" spans="1:20" x14ac:dyDescent="0.25">
      <c r="A292" s="5">
        <v>44301</v>
      </c>
      <c r="B292">
        <v>2.0480999999999998</v>
      </c>
      <c r="C292">
        <v>2.1949999999999998</v>
      </c>
      <c r="D292">
        <v>1.9901</v>
      </c>
      <c r="E292">
        <v>2.0347</v>
      </c>
      <c r="F292">
        <v>13979888.15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-0.5646656905807711</v>
      </c>
      <c r="Q292">
        <f t="shared" si="965"/>
        <v>-7893963.1964616887</v>
      </c>
      <c r="R292">
        <f t="shared" si="966"/>
        <v>-257939114.4941673</v>
      </c>
      <c r="S292">
        <f t="shared" si="967"/>
        <v>-2579.3911449416728</v>
      </c>
      <c r="T292">
        <f t="shared" si="968"/>
        <v>-2.5793911449416727</v>
      </c>
    </row>
    <row r="293" spans="1:20" x14ac:dyDescent="0.25">
      <c r="A293" s="5">
        <v>44300</v>
      </c>
      <c r="B293">
        <v>2.1419000000000001</v>
      </c>
      <c r="C293">
        <v>2.2200000000000002</v>
      </c>
      <c r="D293">
        <v>1.97</v>
      </c>
      <c r="E293">
        <v>2.0508999999999999</v>
      </c>
      <c r="F293">
        <v>18898422.239999998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-0.35280000000000078</v>
      </c>
      <c r="Q293">
        <f t="shared" si="965"/>
        <v>-6667363.3662720146</v>
      </c>
      <c r="R293">
        <f t="shared" si="966"/>
        <v>-250045151.29770562</v>
      </c>
      <c r="S293">
        <f t="shared" si="967"/>
        <v>-2500.4515129770562</v>
      </c>
      <c r="T293">
        <f t="shared" si="968"/>
        <v>-2.5004515129770564</v>
      </c>
    </row>
    <row r="294" spans="1:20" x14ac:dyDescent="0.25">
      <c r="A294" s="5">
        <v>44299</v>
      </c>
      <c r="B294">
        <v>2.3831000000000002</v>
      </c>
      <c r="C294">
        <v>2.44</v>
      </c>
      <c r="D294">
        <v>2</v>
      </c>
      <c r="E294">
        <v>2.1419000000000001</v>
      </c>
      <c r="F294">
        <v>21983209.010000002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-0.35499999999999932</v>
      </c>
      <c r="Q294">
        <f t="shared" si="965"/>
        <v>-7804039.1985499859</v>
      </c>
      <c r="R294">
        <f t="shared" si="966"/>
        <v>-243377787.93143362</v>
      </c>
      <c r="S294">
        <f t="shared" si="967"/>
        <v>-2433.7778793143361</v>
      </c>
      <c r="T294">
        <f t="shared" si="968"/>
        <v>-2.4337778793143361</v>
      </c>
    </row>
    <row r="295" spans="1:20" x14ac:dyDescent="0.25">
      <c r="A295" s="5">
        <v>44298</v>
      </c>
      <c r="B295">
        <v>2.3045</v>
      </c>
      <c r="C295">
        <v>2.64</v>
      </c>
      <c r="D295">
        <v>2.2200000000000002</v>
      </c>
      <c r="E295">
        <v>2.3864999999999998</v>
      </c>
      <c r="F295">
        <v>22305335.010000002</v>
      </c>
      <c r="G295">
        <v>0</v>
      </c>
      <c r="L295" t="s">
        <v>8</v>
      </c>
      <c r="M295" t="s">
        <v>7</v>
      </c>
      <c r="N295" t="s">
        <v>7</v>
      </c>
      <c r="P295">
        <f t="shared" si="964"/>
        <v>-0.20714285714285868</v>
      </c>
      <c r="Q295">
        <f t="shared" si="965"/>
        <v>-4620390.8235000344</v>
      </c>
      <c r="R295">
        <f t="shared" si="966"/>
        <v>-235573748.73288363</v>
      </c>
      <c r="S295">
        <f t="shared" si="967"/>
        <v>-2355.7374873288363</v>
      </c>
      <c r="T295">
        <f t="shared" si="968"/>
        <v>-2.3557374873288364</v>
      </c>
    </row>
    <row r="296" spans="1:20" x14ac:dyDescent="0.25">
      <c r="A296" s="5">
        <v>44297</v>
      </c>
      <c r="B296">
        <v>2.3491</v>
      </c>
      <c r="C296">
        <v>2.4</v>
      </c>
      <c r="D296">
        <v>2.2000000000000002</v>
      </c>
      <c r="E296">
        <v>2.3031999999999999</v>
      </c>
      <c r="F296">
        <v>12930783.9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3.1999999999998738E-2</v>
      </c>
      <c r="Q296">
        <f t="shared" si="965"/>
        <v>413785.08479998371</v>
      </c>
      <c r="R296">
        <f t="shared" si="966"/>
        <v>-230953357.90938359</v>
      </c>
      <c r="S296">
        <f t="shared" si="967"/>
        <v>-2309.5335790938361</v>
      </c>
      <c r="T296">
        <f t="shared" si="968"/>
        <v>-2.3095335790938361</v>
      </c>
    </row>
    <row r="297" spans="1:20" x14ac:dyDescent="0.25">
      <c r="A297" s="5">
        <v>44296</v>
      </c>
      <c r="B297">
        <v>2.2772999999999999</v>
      </c>
      <c r="C297">
        <v>2.7688999999999999</v>
      </c>
      <c r="D297">
        <v>2.25</v>
      </c>
      <c r="E297">
        <v>2.3496999999999999</v>
      </c>
      <c r="F297">
        <v>31585295.66</v>
      </c>
      <c r="G297">
        <v>0</v>
      </c>
      <c r="L297" t="s">
        <v>8</v>
      </c>
      <c r="M297" t="s">
        <v>8</v>
      </c>
      <c r="N297" t="s">
        <v>7</v>
      </c>
      <c r="P297">
        <f t="shared" si="964"/>
        <v>-0.61572557332819455</v>
      </c>
      <c r="Q297">
        <f t="shared" si="965"/>
        <v>-19447874.278994035</v>
      </c>
      <c r="R297">
        <f t="shared" si="966"/>
        <v>-231367142.99418357</v>
      </c>
      <c r="S297">
        <f t="shared" si="967"/>
        <v>-2313.6714299418359</v>
      </c>
      <c r="T297">
        <f t="shared" si="968"/>
        <v>-2.3136714299418357</v>
      </c>
    </row>
    <row r="298" spans="1:20" x14ac:dyDescent="0.25">
      <c r="A298" s="5">
        <v>44295</v>
      </c>
      <c r="B298">
        <v>2.3881000000000001</v>
      </c>
      <c r="C298">
        <v>2.5564</v>
      </c>
      <c r="D298">
        <v>2.101</v>
      </c>
      <c r="E298">
        <v>2.2719</v>
      </c>
      <c r="F298">
        <v>35034291.57</v>
      </c>
      <c r="G298">
        <v>0</v>
      </c>
      <c r="L298" t="s">
        <v>7</v>
      </c>
      <c r="M298" t="s">
        <v>7</v>
      </c>
      <c r="N298" t="s">
        <v>7</v>
      </c>
      <c r="P298">
        <f t="shared" si="964"/>
        <v>-0.24945103205972752</v>
      </c>
      <c r="Q298">
        <f t="shared" si="965"/>
        <v>-8739340.1896179114</v>
      </c>
      <c r="R298">
        <f t="shared" si="966"/>
        <v>-211919268.71518955</v>
      </c>
      <c r="S298">
        <f t="shared" si="967"/>
        <v>-2119.1926871518954</v>
      </c>
      <c r="T298">
        <f t="shared" si="968"/>
        <v>-2.1191926871518953</v>
      </c>
    </row>
    <row r="299" spans="1:20" x14ac:dyDescent="0.25">
      <c r="A299" s="5">
        <v>44294</v>
      </c>
      <c r="B299">
        <v>2.9857</v>
      </c>
      <c r="C299">
        <v>3.2</v>
      </c>
      <c r="D299">
        <v>2.3064</v>
      </c>
      <c r="E299">
        <v>2.3877000000000002</v>
      </c>
      <c r="F299">
        <v>80960060.75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-0.81803939122649927</v>
      </c>
      <c r="Q299">
        <f t="shared" si="965"/>
        <v>-66228518.809590399</v>
      </c>
      <c r="R299">
        <f t="shared" si="966"/>
        <v>-203179928.52557164</v>
      </c>
      <c r="S299">
        <f t="shared" si="967"/>
        <v>-2031.7992852557165</v>
      </c>
      <c r="T299">
        <f t="shared" si="968"/>
        <v>-2.0317992852557167</v>
      </c>
    </row>
    <row r="300" spans="1:20" x14ac:dyDescent="0.25">
      <c r="A300" s="5">
        <v>44293</v>
      </c>
      <c r="B300">
        <v>0.1</v>
      </c>
      <c r="C300">
        <v>10</v>
      </c>
      <c r="D300">
        <v>0.1</v>
      </c>
      <c r="E300">
        <v>2.9857</v>
      </c>
      <c r="F300">
        <v>328396782.49000001</v>
      </c>
      <c r="G300">
        <v>0</v>
      </c>
      <c r="P300">
        <f t="shared" si="964"/>
        <v>-0.41703030303030308</v>
      </c>
      <c r="Q300">
        <f t="shared" si="965"/>
        <v>-136951409.71598125</v>
      </c>
      <c r="R300">
        <f t="shared" si="966"/>
        <v>-136951409.71598125</v>
      </c>
      <c r="S300">
        <f t="shared" si="967"/>
        <v>-1369.5140971598125</v>
      </c>
      <c r="T300">
        <f t="shared" si="968"/>
        <v>-1.3695140971598125</v>
      </c>
    </row>
    <row r="301" spans="1:20" x14ac:dyDescent="0.25">
      <c r="A301" s="5"/>
      <c r="B301" s="1"/>
      <c r="C301" s="2"/>
      <c r="D301" s="2"/>
      <c r="E301" s="1"/>
      <c r="F301" s="1"/>
      <c r="P301">
        <f t="shared" si="964"/>
        <v>0</v>
      </c>
      <c r="Q301">
        <f t="shared" si="965"/>
        <v>0</v>
      </c>
      <c r="R301">
        <f t="shared" si="966"/>
        <v>0</v>
      </c>
      <c r="S301">
        <f t="shared" si="967"/>
        <v>0</v>
      </c>
      <c r="T301">
        <f t="shared" si="968"/>
        <v>0</v>
      </c>
    </row>
    <row r="302" spans="1:20" x14ac:dyDescent="0.25">
      <c r="A302" s="5"/>
      <c r="B302" s="1"/>
      <c r="C302" s="2"/>
      <c r="D302" s="2"/>
      <c r="E302" s="1"/>
      <c r="F302" s="1"/>
      <c r="P302">
        <f t="shared" si="964"/>
        <v>0</v>
      </c>
      <c r="Q302">
        <f t="shared" si="965"/>
        <v>0</v>
      </c>
      <c r="R302">
        <f t="shared" si="966"/>
        <v>0</v>
      </c>
      <c r="S302">
        <f t="shared" si="967"/>
        <v>0</v>
      </c>
      <c r="T302">
        <f t="shared" si="968"/>
        <v>0</v>
      </c>
    </row>
    <row r="303" spans="1:20" x14ac:dyDescent="0.25">
      <c r="A303" s="5"/>
      <c r="B303" s="1"/>
      <c r="C303" s="2"/>
      <c r="D303" s="2"/>
      <c r="E303" s="1"/>
      <c r="F303" s="1"/>
      <c r="P303">
        <f t="shared" si="964"/>
        <v>0</v>
      </c>
      <c r="Q303">
        <f t="shared" si="965"/>
        <v>0</v>
      </c>
      <c r="R303">
        <f t="shared" si="966"/>
        <v>0</v>
      </c>
      <c r="S303">
        <f t="shared" si="967"/>
        <v>0</v>
      </c>
      <c r="T303">
        <f t="shared" si="968"/>
        <v>0</v>
      </c>
    </row>
    <row r="304" spans="1:20" x14ac:dyDescent="0.25">
      <c r="A304" s="5"/>
      <c r="B304" s="1"/>
      <c r="C304" s="2"/>
      <c r="D304" s="2"/>
      <c r="E304" s="1"/>
      <c r="F304" s="1"/>
      <c r="P304">
        <f t="shared" si="964"/>
        <v>0</v>
      </c>
      <c r="Q304">
        <f t="shared" si="965"/>
        <v>0</v>
      </c>
      <c r="R304">
        <f t="shared" si="966"/>
        <v>0</v>
      </c>
      <c r="S304">
        <f t="shared" si="967"/>
        <v>0</v>
      </c>
      <c r="T304">
        <f t="shared" si="968"/>
        <v>0</v>
      </c>
    </row>
    <row r="305" spans="1:20" x14ac:dyDescent="0.25">
      <c r="A305" s="5"/>
      <c r="B305" s="1"/>
      <c r="C305" s="2"/>
      <c r="D305" s="2"/>
      <c r="E305" s="1"/>
      <c r="F305" s="1"/>
      <c r="P305">
        <f t="shared" si="964"/>
        <v>0</v>
      </c>
      <c r="Q305">
        <f t="shared" si="965"/>
        <v>0</v>
      </c>
      <c r="R305">
        <f t="shared" si="966"/>
        <v>0</v>
      </c>
      <c r="S305">
        <f t="shared" si="967"/>
        <v>0</v>
      </c>
      <c r="T305">
        <f t="shared" si="968"/>
        <v>0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EZ603" sqref="EZ603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$A$602</v>
      </c>
      <c r="D111" s="1" t="str">
        <f>ADDRESS(C121-1,D121,1,1)</f>
        <v>$EZ$602</v>
      </c>
      <c r="E111"/>
    </row>
    <row r="112" spans="1:5" x14ac:dyDescent="0.25">
      <c r="A112" s="7">
        <v>12164.144957890772</v>
      </c>
      <c r="C112" s="1" t="str">
        <f>ADDRESS(C121,1,1,1)</f>
        <v>$A$603</v>
      </c>
      <c r="D112" s="1" t="str">
        <f>ADDRESS(C121,D121-1,1,1)</f>
        <v>$EY$603</v>
      </c>
      <c r="E112"/>
    </row>
    <row r="113" spans="1:5" x14ac:dyDescent="0.25">
      <c r="A113" s="7">
        <v>11925.63231165762</v>
      </c>
      <c r="C113" s="1" t="str">
        <f>ADDRESS(C121+1,1,1,1)</f>
        <v>$A$604</v>
      </c>
      <c r="D113" s="1" t="str">
        <f>ADDRESS(C121-1,D121+1,1,1)</f>
        <v>$FA$602</v>
      </c>
    </row>
    <row r="114" spans="1:5" x14ac:dyDescent="0.25">
      <c r="A114" s="7">
        <v>11691.796383978059</v>
      </c>
      <c r="C114" s="1" t="str">
        <f>ADDRESS(C121,D121,1,1)</f>
        <v>$EZ$603</v>
      </c>
      <c r="D114" s="1" t="str">
        <f>ADDRESS(C121+1,D121+1,1,1)</f>
        <v>$FA$604</v>
      </c>
    </row>
    <row r="115" spans="1:5" x14ac:dyDescent="0.25">
      <c r="A115" s="7">
        <v>11462.545474488292</v>
      </c>
      <c r="C115" s="1" t="str">
        <f>ADDRESS(C121+1,D121,1,1)</f>
        <v>$EZ$604</v>
      </c>
    </row>
    <row r="116" spans="1:5" x14ac:dyDescent="0.25">
      <c r="A116" s="7">
        <v>11237.789680870874</v>
      </c>
      <c r="C116" s="1">
        <f>C117-1</f>
        <v>602</v>
      </c>
    </row>
    <row r="117" spans="1:5" x14ac:dyDescent="0.25">
      <c r="A117" s="7">
        <v>11017.440863598895</v>
      </c>
      <c r="C117" s="1">
        <f>C121</f>
        <v>603</v>
      </c>
      <c r="D117" s="1">
        <f>D121</f>
        <v>156</v>
      </c>
    </row>
    <row r="118" spans="1:5" x14ac:dyDescent="0.25">
      <c r="A118" s="7">
        <v>10801.412611371465</v>
      </c>
      <c r="C118" s="1">
        <f>C117+1</f>
        <v>604</v>
      </c>
      <c r="D118" s="1">
        <f>D117+1</f>
        <v>157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603</v>
      </c>
      <c r="D121" s="19">
        <v>156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R603</v>
      </c>
      <c r="D123" s="1" t="str">
        <f>"C"&amp;D121</f>
        <v>C156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0.72844581371423456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24" x14ac:dyDescent="0.25">
      <c r="A497" s="7">
        <v>5.9431331263054545</v>
      </c>
      <c r="B497"/>
      <c r="C497"/>
      <c r="D497"/>
      <c r="E497"/>
    </row>
    <row r="498" spans="1:24" x14ac:dyDescent="0.25">
      <c r="A498" s="7">
        <v>5.8266011042210337</v>
      </c>
      <c r="B498"/>
      <c r="C498"/>
      <c r="D498"/>
      <c r="E498"/>
    </row>
    <row r="499" spans="1:24" x14ac:dyDescent="0.25">
      <c r="A499" s="7">
        <v>5.7123540237461112</v>
      </c>
      <c r="B499"/>
      <c r="C499"/>
      <c r="D499"/>
      <c r="E499"/>
    </row>
    <row r="500" spans="1:24" x14ac:dyDescent="0.25">
      <c r="A500" s="7">
        <v>5.6003470821040304</v>
      </c>
      <c r="B500"/>
      <c r="C500"/>
      <c r="D500"/>
      <c r="E500"/>
    </row>
    <row r="501" spans="1:24" x14ac:dyDescent="0.25">
      <c r="A501" s="7">
        <v>5.4905363550039512</v>
      </c>
      <c r="B501"/>
      <c r="C501"/>
      <c r="D501"/>
      <c r="E501"/>
    </row>
    <row r="502" spans="1:24" x14ac:dyDescent="0.25">
      <c r="A502" s="7">
        <v>5.3828787794156385</v>
      </c>
      <c r="B502"/>
      <c r="C502"/>
      <c r="D502"/>
      <c r="E502"/>
    </row>
    <row r="503" spans="1:24" x14ac:dyDescent="0.25">
      <c r="A503" s="7">
        <v>5.2773321366819985</v>
      </c>
      <c r="B503"/>
      <c r="C503"/>
      <c r="D503"/>
      <c r="E503"/>
    </row>
    <row r="504" spans="1:24" x14ac:dyDescent="0.25">
      <c r="A504" s="7">
        <v>5.1738550359627435</v>
      </c>
      <c r="B504"/>
      <c r="C504"/>
      <c r="D504"/>
      <c r="E504"/>
    </row>
    <row r="505" spans="1:24" x14ac:dyDescent="0.25">
      <c r="A505" s="7">
        <v>5.07240689800269</v>
      </c>
      <c r="B505"/>
      <c r="C505"/>
      <c r="D505"/>
      <c r="E505"/>
    </row>
    <row r="506" spans="1:24" x14ac:dyDescent="0.25">
      <c r="A506" s="7">
        <v>4.9729479392183231</v>
      </c>
      <c r="B506"/>
      <c r="C506"/>
      <c r="D506"/>
      <c r="E506"/>
      <c r="W506" s="27" t="s">
        <v>8</v>
      </c>
    </row>
    <row r="507" spans="1:24" x14ac:dyDescent="0.25">
      <c r="A507" s="7">
        <v>4.8754391560963954</v>
      </c>
      <c r="B507"/>
      <c r="C507"/>
      <c r="D507"/>
      <c r="E507"/>
      <c r="W507" s="27" t="s">
        <v>8</v>
      </c>
      <c r="X507" s="27" t="s">
        <v>7</v>
      </c>
    </row>
    <row r="508" spans="1:24" x14ac:dyDescent="0.25">
      <c r="A508" s="7">
        <v>4.7798423098984264</v>
      </c>
      <c r="B508"/>
      <c r="C508"/>
      <c r="D508"/>
      <c r="E508"/>
      <c r="W508" s="27" t="s">
        <v>8</v>
      </c>
      <c r="X508" s="27" t="s">
        <v>7</v>
      </c>
    </row>
    <row r="509" spans="1:24" x14ac:dyDescent="0.25">
      <c r="A509" s="7">
        <v>4.6861199116651235</v>
      </c>
      <c r="B509"/>
      <c r="C509"/>
      <c r="D509"/>
      <c r="E509"/>
      <c r="W509" s="27" t="s">
        <v>8</v>
      </c>
      <c r="X509" s="27" t="s">
        <v>7</v>
      </c>
    </row>
    <row r="510" spans="1:24" x14ac:dyDescent="0.25">
      <c r="A510" s="7">
        <v>4.5942352075148269</v>
      </c>
      <c r="B510"/>
      <c r="C510"/>
      <c r="D510"/>
      <c r="E510"/>
      <c r="W510" s="27" t="s">
        <v>8</v>
      </c>
      <c r="X510" s="27" t="s">
        <v>7</v>
      </c>
    </row>
    <row r="511" spans="1:24" x14ac:dyDescent="0.25">
      <c r="A511" s="7">
        <v>4.5041521642302227</v>
      </c>
      <c r="B511"/>
      <c r="C511"/>
      <c r="D511"/>
      <c r="E511"/>
      <c r="W511" s="27" t="s">
        <v>8</v>
      </c>
      <c r="X511" s="27" t="s">
        <v>7</v>
      </c>
    </row>
    <row r="512" spans="1:24" x14ac:dyDescent="0.25">
      <c r="A512" s="7">
        <v>4.4158354551276693</v>
      </c>
      <c r="B512"/>
      <c r="C512"/>
      <c r="D512"/>
      <c r="E512"/>
      <c r="W512" s="27" t="s">
        <v>8</v>
      </c>
      <c r="X512" s="27" t="s">
        <v>7</v>
      </c>
    </row>
    <row r="513" spans="1:82" x14ac:dyDescent="0.25">
      <c r="A513" s="7">
        <v>4.3292504462035977</v>
      </c>
      <c r="B513"/>
      <c r="C513"/>
      <c r="D513"/>
      <c r="E513"/>
      <c r="W513" s="27" t="s">
        <v>8</v>
      </c>
      <c r="X513" s="27" t="s">
        <v>7</v>
      </c>
      <c r="Y513" s="27" t="s">
        <v>8</v>
      </c>
    </row>
    <row r="514" spans="1:82" x14ac:dyDescent="0.25">
      <c r="A514" s="7">
        <v>4.2443631825525463</v>
      </c>
      <c r="B514"/>
      <c r="C514"/>
      <c r="D514"/>
      <c r="E514"/>
      <c r="W514" s="27" t="s">
        <v>8</v>
      </c>
      <c r="X514" s="27" t="s">
        <v>7</v>
      </c>
      <c r="Y514" s="27" t="s">
        <v>8</v>
      </c>
      <c r="Z514" s="27" t="s">
        <v>7</v>
      </c>
    </row>
    <row r="515" spans="1:82" x14ac:dyDescent="0.25">
      <c r="A515" s="7">
        <v>4.1611403750515157</v>
      </c>
      <c r="B515"/>
      <c r="C515"/>
      <c r="D515"/>
      <c r="E515"/>
      <c r="W515" s="27" t="s">
        <v>8</v>
      </c>
      <c r="X515" s="27" t="s">
        <v>7</v>
      </c>
      <c r="Y515" s="27" t="s">
        <v>8</v>
      </c>
      <c r="Z515" s="27" t="s">
        <v>7</v>
      </c>
    </row>
    <row r="516" spans="1:82" x14ac:dyDescent="0.25">
      <c r="A516" s="7">
        <v>4.0795493873054074</v>
      </c>
      <c r="B516"/>
      <c r="C516"/>
      <c r="D516"/>
      <c r="E516"/>
      <c r="W516" s="27" t="s">
        <v>8</v>
      </c>
      <c r="X516" s="27" t="s">
        <v>7</v>
      </c>
      <c r="Y516" s="27" t="s">
        <v>8</v>
      </c>
      <c r="Z516" s="27" t="s">
        <v>7</v>
      </c>
      <c r="AA516" s="27" t="s">
        <v>8</v>
      </c>
    </row>
    <row r="517" spans="1:82" x14ac:dyDescent="0.25">
      <c r="A517" s="7">
        <v>3.9995582228484383</v>
      </c>
      <c r="B517"/>
      <c r="C517"/>
      <c r="D517"/>
      <c r="E517"/>
      <c r="W517" s="27" t="s">
        <v>8</v>
      </c>
      <c r="X517" s="27" t="s">
        <v>7</v>
      </c>
      <c r="Y517" s="27" t="s">
        <v>8</v>
      </c>
      <c r="Z517" s="27" t="s">
        <v>7</v>
      </c>
      <c r="AA517" s="27" t="s">
        <v>8</v>
      </c>
      <c r="AB517" s="27" t="s">
        <v>7</v>
      </c>
    </row>
    <row r="518" spans="1:82" x14ac:dyDescent="0.25">
      <c r="A518" s="7">
        <v>3.9211355125965079</v>
      </c>
      <c r="B518"/>
      <c r="C518"/>
      <c r="D518"/>
      <c r="E518"/>
      <c r="W518" s="27" t="s">
        <v>8</v>
      </c>
      <c r="X518" s="27" t="s">
        <v>7</v>
      </c>
      <c r="Y518" s="27" t="s">
        <v>8</v>
      </c>
      <c r="Z518" s="27" t="s">
        <v>7</v>
      </c>
      <c r="AA518" s="27" t="s">
        <v>8</v>
      </c>
      <c r="AB518" s="27" t="s">
        <v>7</v>
      </c>
    </row>
    <row r="519" spans="1:82" x14ac:dyDescent="0.25">
      <c r="A519" s="7">
        <v>3.844250502545596</v>
      </c>
      <c r="B519"/>
      <c r="C519"/>
      <c r="D519"/>
      <c r="E519"/>
      <c r="W519" s="27" t="s">
        <v>8</v>
      </c>
      <c r="X519" s="27" t="s">
        <v>7</v>
      </c>
      <c r="Y519" s="27" t="s">
        <v>8</v>
      </c>
      <c r="Z519" s="27" t="s">
        <v>7</v>
      </c>
      <c r="AA519" s="27" t="s">
        <v>8</v>
      </c>
      <c r="AB519" s="27" t="s">
        <v>7</v>
      </c>
      <c r="AC519" s="27" t="s">
        <v>8</v>
      </c>
    </row>
    <row r="520" spans="1:82" x14ac:dyDescent="0.25">
      <c r="A520" s="7">
        <v>3.7688730417113687</v>
      </c>
      <c r="B520"/>
      <c r="C520"/>
      <c r="D520"/>
      <c r="E520"/>
      <c r="M520" s="27" t="s">
        <v>8</v>
      </c>
      <c r="W520" s="27" t="s">
        <v>8</v>
      </c>
      <c r="X520" s="27" t="s">
        <v>7</v>
      </c>
      <c r="Y520" s="27" t="s">
        <v>8</v>
      </c>
      <c r="Z520" s="27" t="s">
        <v>7</v>
      </c>
      <c r="AA520" s="27" t="s">
        <v>8</v>
      </c>
      <c r="AB520" s="27" t="s">
        <v>7</v>
      </c>
      <c r="AC520" s="27" t="s">
        <v>8</v>
      </c>
      <c r="AD520" s="27" t="s">
        <v>7</v>
      </c>
    </row>
    <row r="521" spans="1:82" x14ac:dyDescent="0.25">
      <c r="A521" s="7">
        <v>3.6949735703052635</v>
      </c>
      <c r="B521"/>
      <c r="C521"/>
      <c r="D521"/>
      <c r="E521"/>
      <c r="M521" s="27" t="s">
        <v>8</v>
      </c>
      <c r="N521" s="27" t="s">
        <v>7</v>
      </c>
      <c r="W521" s="27" t="s">
        <v>8</v>
      </c>
      <c r="X521" s="27" t="s">
        <v>7</v>
      </c>
      <c r="Y521" s="27" t="s">
        <v>8</v>
      </c>
      <c r="Z521" s="27" t="s">
        <v>7</v>
      </c>
      <c r="AA521" s="27" t="s">
        <v>8</v>
      </c>
      <c r="AB521" s="27" t="s">
        <v>7</v>
      </c>
      <c r="AC521" s="27" t="s">
        <v>8</v>
      </c>
      <c r="AD521" s="27" t="s">
        <v>7</v>
      </c>
    </row>
    <row r="522" spans="1:82" x14ac:dyDescent="0.25">
      <c r="A522" s="7">
        <v>3.6225231081424152</v>
      </c>
      <c r="B522"/>
      <c r="C522"/>
      <c r="D522"/>
      <c r="E522"/>
      <c r="M522" s="27" t="s">
        <v>8</v>
      </c>
      <c r="N522" s="27" t="s">
        <v>7</v>
      </c>
      <c r="W522" s="27" t="s">
        <v>8</v>
      </c>
      <c r="X522" s="27" t="s">
        <v>7</v>
      </c>
      <c r="Z522" s="27" t="s">
        <v>7</v>
      </c>
      <c r="AA522" s="27" t="s">
        <v>8</v>
      </c>
      <c r="AB522" s="27" t="s">
        <v>7</v>
      </c>
      <c r="AC522" s="27" t="s">
        <v>8</v>
      </c>
      <c r="AD522" s="27" t="s">
        <v>7</v>
      </c>
    </row>
    <row r="523" spans="1:82" x14ac:dyDescent="0.25">
      <c r="A523" s="7">
        <v>3.5514932432768775</v>
      </c>
      <c r="B523"/>
      <c r="C523"/>
      <c r="D523"/>
      <c r="E523"/>
      <c r="M523" s="27" t="s">
        <v>8</v>
      </c>
      <c r="N523" s="27" t="s">
        <v>7</v>
      </c>
      <c r="U523" s="27" t="s">
        <v>8</v>
      </c>
      <c r="W523" s="27" t="s">
        <v>8</v>
      </c>
      <c r="Z523" s="27" t="s">
        <v>7</v>
      </c>
      <c r="AA523" s="27" t="s">
        <v>8</v>
      </c>
      <c r="AB523" s="27" t="s">
        <v>7</v>
      </c>
      <c r="AC523" s="27" t="s">
        <v>8</v>
      </c>
      <c r="AD523" s="27" t="s">
        <v>7</v>
      </c>
    </row>
    <row r="524" spans="1:82" x14ac:dyDescent="0.25">
      <c r="A524" s="7">
        <v>3.4818561208596837</v>
      </c>
      <c r="B524"/>
      <c r="C524"/>
      <c r="D524"/>
      <c r="E524"/>
      <c r="M524" s="27" t="s">
        <v>8</v>
      </c>
      <c r="N524" s="27" t="s">
        <v>7</v>
      </c>
      <c r="U524" s="27" t="s">
        <v>8</v>
      </c>
      <c r="V524" s="27" t="s">
        <v>7</v>
      </c>
      <c r="W524" s="27" t="s">
        <v>8</v>
      </c>
      <c r="Z524" s="27" t="s">
        <v>7</v>
      </c>
      <c r="AA524" s="27" t="s">
        <v>8</v>
      </c>
      <c r="AB524" s="27" t="s">
        <v>7</v>
      </c>
      <c r="AC524" s="27" t="s">
        <v>8</v>
      </c>
      <c r="AD524" s="27" t="s">
        <v>7</v>
      </c>
    </row>
    <row r="525" spans="1:82" x14ac:dyDescent="0.25">
      <c r="A525" s="7">
        <v>3.4135844322153761</v>
      </c>
      <c r="B525"/>
      <c r="C525"/>
      <c r="D525"/>
      <c r="E525"/>
      <c r="M525" s="27" t="s">
        <v>8</v>
      </c>
      <c r="N525" s="27" t="s">
        <v>7</v>
      </c>
      <c r="U525" s="27" t="s">
        <v>8</v>
      </c>
      <c r="V525" s="27" t="s">
        <v>7</v>
      </c>
      <c r="W525" s="27" t="s">
        <v>8</v>
      </c>
      <c r="Z525" s="27" t="s">
        <v>7</v>
      </c>
      <c r="AB525" s="27" t="s">
        <v>7</v>
      </c>
      <c r="AC525" s="27" t="s">
        <v>8</v>
      </c>
      <c r="AD525" s="27" t="s">
        <v>7</v>
      </c>
      <c r="CC525" s="27" t="s">
        <v>8</v>
      </c>
    </row>
    <row r="526" spans="1:82" x14ac:dyDescent="0.25">
      <c r="A526" s="7">
        <v>3.3466514041327216</v>
      </c>
      <c r="B526"/>
      <c r="C526"/>
      <c r="D526"/>
      <c r="E526"/>
      <c r="M526" s="27" t="s">
        <v>8</v>
      </c>
      <c r="N526" s="27" t="s">
        <v>7</v>
      </c>
      <c r="U526" s="27" t="s">
        <v>8</v>
      </c>
      <c r="V526" s="27" t="s">
        <v>7</v>
      </c>
      <c r="W526" s="27" t="s">
        <v>8</v>
      </c>
      <c r="AB526" s="27" t="s">
        <v>7</v>
      </c>
      <c r="AC526" s="27" t="s">
        <v>8</v>
      </c>
      <c r="AD526" s="27" t="s">
        <v>7</v>
      </c>
      <c r="CC526" s="27" t="s">
        <v>8</v>
      </c>
      <c r="CD526" s="27" t="s">
        <v>7</v>
      </c>
    </row>
    <row r="527" spans="1:82" x14ac:dyDescent="0.25">
      <c r="A527" s="7">
        <v>3.2810307883654133</v>
      </c>
      <c r="B527"/>
      <c r="C527"/>
      <c r="D527"/>
      <c r="E527"/>
      <c r="M527" s="27" t="s">
        <v>8</v>
      </c>
      <c r="N527" s="27" t="s">
        <v>7</v>
      </c>
      <c r="U527" s="27" t="s">
        <v>8</v>
      </c>
      <c r="V527" s="27" t="s">
        <v>7</v>
      </c>
      <c r="W527" s="27" t="s">
        <v>8</v>
      </c>
      <c r="AB527" s="27" t="s">
        <v>7</v>
      </c>
      <c r="AC527" s="27" t="s">
        <v>8</v>
      </c>
      <c r="AD527" s="27" t="s">
        <v>7</v>
      </c>
      <c r="AE527" s="27" t="s">
        <v>8</v>
      </c>
      <c r="CC527" s="27" t="s">
        <v>8</v>
      </c>
      <c r="CD527" s="27" t="s">
        <v>7</v>
      </c>
    </row>
    <row r="528" spans="1:82" x14ac:dyDescent="0.25">
      <c r="A528" s="7">
        <v>3.2166968513386403</v>
      </c>
      <c r="B528"/>
      <c r="C528"/>
      <c r="D528"/>
      <c r="E528"/>
      <c r="M528" s="27" t="s">
        <v>8</v>
      </c>
      <c r="N528" s="27" t="s">
        <v>7</v>
      </c>
      <c r="U528" s="27" t="s">
        <v>8</v>
      </c>
      <c r="V528" s="27" t="s">
        <v>7</v>
      </c>
      <c r="W528" s="27" t="s">
        <v>8</v>
      </c>
      <c r="AB528" s="27" t="s">
        <v>7</v>
      </c>
      <c r="AC528" s="27" t="s">
        <v>8</v>
      </c>
      <c r="AD528" s="27" t="s">
        <v>7</v>
      </c>
      <c r="AE528" s="27" t="s">
        <v>8</v>
      </c>
      <c r="AF528" s="27" t="s">
        <v>7</v>
      </c>
      <c r="CA528" s="27" t="s">
        <v>8</v>
      </c>
      <c r="CC528" s="27" t="s">
        <v>8</v>
      </c>
      <c r="CD528" s="27" t="s">
        <v>7</v>
      </c>
    </row>
    <row r="529" spans="1:115" x14ac:dyDescent="0.25">
      <c r="A529" s="7">
        <v>3.1536243640574906</v>
      </c>
      <c r="B529"/>
      <c r="C529"/>
      <c r="D529"/>
      <c r="E529" t="s">
        <v>8</v>
      </c>
      <c r="M529" s="27" t="s">
        <v>8</v>
      </c>
      <c r="N529" s="27" t="s">
        <v>7</v>
      </c>
      <c r="S529" s="27" t="s">
        <v>8</v>
      </c>
      <c r="U529" s="27" t="s">
        <v>8</v>
      </c>
      <c r="V529" s="27" t="s">
        <v>7</v>
      </c>
      <c r="W529" s="27" t="s">
        <v>8</v>
      </c>
      <c r="AB529" s="27" t="s">
        <v>7</v>
      </c>
      <c r="AD529" s="27" t="s">
        <v>7</v>
      </c>
      <c r="AE529" s="27" t="s">
        <v>8</v>
      </c>
      <c r="AF529" s="27" t="s">
        <v>7</v>
      </c>
      <c r="AG529" s="27" t="s">
        <v>8</v>
      </c>
      <c r="CA529" s="27" t="s">
        <v>8</v>
      </c>
      <c r="CB529" s="27" t="s">
        <v>7</v>
      </c>
      <c r="CC529" s="27" t="s">
        <v>8</v>
      </c>
      <c r="CD529" s="27" t="s">
        <v>7</v>
      </c>
    </row>
    <row r="530" spans="1:115" x14ac:dyDescent="0.25">
      <c r="A530" s="7">
        <v>3.0917885922132262</v>
      </c>
      <c r="B530"/>
      <c r="C530"/>
      <c r="D530"/>
      <c r="E530" t="s">
        <v>8</v>
      </c>
      <c r="F530" s="27" t="s">
        <v>7</v>
      </c>
      <c r="M530" s="27" t="s">
        <v>8</v>
      </c>
      <c r="N530" s="27" t="s">
        <v>7</v>
      </c>
      <c r="S530" s="27" t="s">
        <v>8</v>
      </c>
      <c r="T530" s="27" t="s">
        <v>7</v>
      </c>
      <c r="U530" s="27" t="s">
        <v>8</v>
      </c>
      <c r="V530" s="27" t="s">
        <v>7</v>
      </c>
      <c r="W530" s="27" t="s">
        <v>8</v>
      </c>
      <c r="AD530" s="27" t="s">
        <v>7</v>
      </c>
      <c r="AE530" s="27" t="s">
        <v>8</v>
      </c>
      <c r="AF530" s="27" t="s">
        <v>7</v>
      </c>
      <c r="AG530" s="27" t="s">
        <v>8</v>
      </c>
      <c r="AH530" s="27" t="s">
        <v>7</v>
      </c>
      <c r="CA530" s="27" t="s">
        <v>8</v>
      </c>
      <c r="CB530" s="27" t="s">
        <v>7</v>
      </c>
      <c r="CC530" s="27" t="s">
        <v>8</v>
      </c>
      <c r="CD530" s="27" t="s">
        <v>7</v>
      </c>
    </row>
    <row r="531" spans="1:115" x14ac:dyDescent="0.25">
      <c r="A531" s="7">
        <v>3.0311652864835552</v>
      </c>
      <c r="B531"/>
      <c r="C531"/>
      <c r="D531"/>
      <c r="E531" t="s">
        <v>8</v>
      </c>
      <c r="F531" s="27" t="s">
        <v>7</v>
      </c>
      <c r="M531" s="27" t="s">
        <v>8</v>
      </c>
      <c r="N531" s="27" t="s">
        <v>7</v>
      </c>
      <c r="S531" s="27" t="s">
        <v>8</v>
      </c>
      <c r="T531" s="27" t="s">
        <v>7</v>
      </c>
      <c r="U531" s="27" t="s">
        <v>8</v>
      </c>
      <c r="V531" s="27" t="s">
        <v>7</v>
      </c>
      <c r="W531" s="27" t="s">
        <v>8</v>
      </c>
      <c r="AD531" s="27" t="s">
        <v>7</v>
      </c>
      <c r="AE531" s="27" t="s">
        <v>8</v>
      </c>
      <c r="AF531" s="27" t="s">
        <v>7</v>
      </c>
      <c r="AG531" s="27" t="s">
        <v>8</v>
      </c>
      <c r="AH531" s="27" t="s">
        <v>7</v>
      </c>
      <c r="CA531" s="27" t="s">
        <v>8</v>
      </c>
      <c r="CB531" s="27" t="s">
        <v>7</v>
      </c>
      <c r="CC531" s="27" t="s">
        <v>8</v>
      </c>
      <c r="CD531" s="27" t="s">
        <v>7</v>
      </c>
    </row>
    <row r="532" spans="1:115" x14ac:dyDescent="0.25">
      <c r="A532" s="7">
        <v>2.9717306730230932</v>
      </c>
      <c r="B532"/>
      <c r="C532"/>
      <c r="D532"/>
      <c r="E532" t="s">
        <v>8</v>
      </c>
      <c r="F532" s="27" t="s">
        <v>7</v>
      </c>
      <c r="M532" s="27" t="s">
        <v>8</v>
      </c>
      <c r="N532" s="27" t="s">
        <v>7</v>
      </c>
      <c r="S532" s="27" t="s">
        <v>8</v>
      </c>
      <c r="T532" s="27" t="s">
        <v>7</v>
      </c>
      <c r="U532" s="27" t="s">
        <v>8</v>
      </c>
      <c r="V532" s="27" t="s">
        <v>7</v>
      </c>
      <c r="W532" s="27" t="s">
        <v>8</v>
      </c>
      <c r="AD532" s="27" t="s">
        <v>7</v>
      </c>
      <c r="AE532" s="27" t="s">
        <v>8</v>
      </c>
      <c r="AF532" s="27" t="s">
        <v>7</v>
      </c>
      <c r="AG532" s="27" t="s">
        <v>8</v>
      </c>
      <c r="AH532" s="27" t="s">
        <v>7</v>
      </c>
      <c r="CA532" s="27" t="s">
        <v>8</v>
      </c>
      <c r="CB532" s="27" t="s">
        <v>7</v>
      </c>
      <c r="CC532" s="27" t="s">
        <v>8</v>
      </c>
      <c r="CD532" s="27" t="s">
        <v>7</v>
      </c>
    </row>
    <row r="533" spans="1:115" x14ac:dyDescent="0.25">
      <c r="A533" s="7">
        <v>2.9134614441402875</v>
      </c>
      <c r="B533"/>
      <c r="C533"/>
      <c r="D533"/>
      <c r="E533" t="s">
        <v>8</v>
      </c>
      <c r="F533" s="27" t="s">
        <v>7</v>
      </c>
      <c r="M533" s="27" t="s">
        <v>8</v>
      </c>
      <c r="N533" s="27" t="s">
        <v>7</v>
      </c>
      <c r="O533" s="27" t="s">
        <v>8</v>
      </c>
      <c r="S533" s="27" t="s">
        <v>8</v>
      </c>
      <c r="T533" s="27" t="s">
        <v>7</v>
      </c>
      <c r="U533" s="27" t="s">
        <v>8</v>
      </c>
      <c r="V533" s="27" t="s">
        <v>7</v>
      </c>
      <c r="AD533" s="27" t="s">
        <v>7</v>
      </c>
      <c r="AE533" s="27" t="s">
        <v>8</v>
      </c>
      <c r="AF533" s="27" t="s">
        <v>7</v>
      </c>
      <c r="AG533" s="27" t="s">
        <v>8</v>
      </c>
      <c r="AH533" s="27" t="s">
        <v>7</v>
      </c>
      <c r="CA533" s="27" t="s">
        <v>8</v>
      </c>
      <c r="CB533" s="27" t="s">
        <v>7</v>
      </c>
      <c r="CC533" s="27" t="s">
        <v>8</v>
      </c>
      <c r="CD533" s="27" t="s">
        <v>7</v>
      </c>
      <c r="CG533" s="27" t="s">
        <v>8</v>
      </c>
    </row>
    <row r="534" spans="1:115" x14ac:dyDescent="0.25">
      <c r="A534" s="7">
        <v>2.8563347491571447</v>
      </c>
      <c r="B534"/>
      <c r="C534"/>
      <c r="D534"/>
      <c r="E534" t="s">
        <v>8</v>
      </c>
      <c r="F534" s="27" t="s">
        <v>7</v>
      </c>
      <c r="M534" s="27" t="s">
        <v>8</v>
      </c>
      <c r="N534" s="27" t="s">
        <v>7</v>
      </c>
      <c r="O534" s="27" t="s">
        <v>8</v>
      </c>
      <c r="P534" s="27" t="s">
        <v>7</v>
      </c>
      <c r="S534" s="27" t="s">
        <v>8</v>
      </c>
      <c r="T534" s="27" t="s">
        <v>7</v>
      </c>
      <c r="U534" s="27" t="s">
        <v>8</v>
      </c>
      <c r="AD534" s="27" t="s">
        <v>7</v>
      </c>
      <c r="AF534" s="27" t="s">
        <v>7</v>
      </c>
      <c r="AG534" s="27" t="s">
        <v>8</v>
      </c>
      <c r="AH534" s="27" t="s">
        <v>7</v>
      </c>
      <c r="AM534" s="27" t="s">
        <v>8</v>
      </c>
      <c r="CA534" s="27" t="s">
        <v>8</v>
      </c>
      <c r="CB534" s="27" t="s">
        <v>7</v>
      </c>
      <c r="CC534" s="27" t="s">
        <v>8</v>
      </c>
      <c r="CD534" s="27" t="s">
        <v>7</v>
      </c>
      <c r="CG534" s="27" t="s">
        <v>8</v>
      </c>
      <c r="CH534" s="27" t="s">
        <v>7</v>
      </c>
    </row>
    <row r="535" spans="1:115" x14ac:dyDescent="0.25">
      <c r="A535" s="7">
        <v>2.8003281854481812</v>
      </c>
      <c r="B535"/>
      <c r="C535"/>
      <c r="D535"/>
      <c r="E535" t="s">
        <v>8</v>
      </c>
      <c r="F535" s="27" t="s">
        <v>7</v>
      </c>
      <c r="M535" s="27" t="s">
        <v>8</v>
      </c>
      <c r="N535" s="27" t="s">
        <v>7</v>
      </c>
      <c r="O535" s="27" t="s">
        <v>8</v>
      </c>
      <c r="P535" s="27" t="s">
        <v>7</v>
      </c>
      <c r="S535" s="27" t="s">
        <v>8</v>
      </c>
      <c r="T535" s="27" t="s">
        <v>7</v>
      </c>
      <c r="U535" s="27" t="s">
        <v>8</v>
      </c>
      <c r="AF535" s="27" t="s">
        <v>7</v>
      </c>
      <c r="AG535" s="27" t="s">
        <v>8</v>
      </c>
      <c r="AH535" s="27" t="s">
        <v>7</v>
      </c>
      <c r="AM535" s="27" t="s">
        <v>8</v>
      </c>
      <c r="AN535" s="27" t="s">
        <v>7</v>
      </c>
      <c r="CA535" s="27" t="s">
        <v>8</v>
      </c>
      <c r="CB535" s="27" t="s">
        <v>7</v>
      </c>
      <c r="CC535" s="27" t="s">
        <v>8</v>
      </c>
      <c r="CD535" s="27" t="s">
        <v>7</v>
      </c>
      <c r="CE535" s="27" t="s">
        <v>8</v>
      </c>
      <c r="CG535" s="27" t="s">
        <v>8</v>
      </c>
      <c r="CH535" s="27" t="s">
        <v>7</v>
      </c>
    </row>
    <row r="536" spans="1:115" x14ac:dyDescent="0.25">
      <c r="A536" s="7">
        <v>2.7454197896550796</v>
      </c>
      <c r="B536"/>
      <c r="C536"/>
      <c r="D536"/>
      <c r="E536" t="s">
        <v>8</v>
      </c>
      <c r="F536" s="27" t="s">
        <v>7</v>
      </c>
      <c r="G536" s="27" t="s">
        <v>8</v>
      </c>
      <c r="M536" s="27" t="s">
        <v>8</v>
      </c>
      <c r="N536" s="27" t="s">
        <v>7</v>
      </c>
      <c r="O536" s="27" t="s">
        <v>8</v>
      </c>
      <c r="P536" s="27" t="s">
        <v>7</v>
      </c>
      <c r="S536" s="27" t="s">
        <v>8</v>
      </c>
      <c r="T536" s="27" t="s">
        <v>7</v>
      </c>
      <c r="U536" s="27" t="s">
        <v>8</v>
      </c>
      <c r="AF536" s="27" t="s">
        <v>7</v>
      </c>
      <c r="AG536" s="27" t="s">
        <v>8</v>
      </c>
      <c r="AH536" s="27" t="s">
        <v>7</v>
      </c>
      <c r="AM536" s="27" t="s">
        <v>8</v>
      </c>
      <c r="AN536" s="27" t="s">
        <v>7</v>
      </c>
      <c r="AO536" s="27" t="s">
        <v>8</v>
      </c>
      <c r="CA536" s="27" t="s">
        <v>8</v>
      </c>
      <c r="CB536" s="27" t="s">
        <v>7</v>
      </c>
      <c r="CC536" s="27" t="s">
        <v>8</v>
      </c>
      <c r="CD536" s="27" t="s">
        <v>7</v>
      </c>
      <c r="CE536" s="27" t="s">
        <v>8</v>
      </c>
      <c r="CF536" s="27" t="s">
        <v>7</v>
      </c>
      <c r="CG536" s="27" t="s">
        <v>8</v>
      </c>
      <c r="CH536" s="27" t="s">
        <v>7</v>
      </c>
    </row>
    <row r="537" spans="1:115" x14ac:dyDescent="0.25">
      <c r="A537" s="7">
        <v>2.6915880290736074</v>
      </c>
      <c r="B537"/>
      <c r="C537"/>
      <c r="D537"/>
      <c r="E537" t="s">
        <v>8</v>
      </c>
      <c r="F537" s="27" t="s">
        <v>7</v>
      </c>
      <c r="G537" s="27" t="s">
        <v>8</v>
      </c>
      <c r="H537" s="27" t="s">
        <v>7</v>
      </c>
      <c r="M537" s="27" t="s">
        <v>8</v>
      </c>
      <c r="N537" s="27" t="s">
        <v>7</v>
      </c>
      <c r="O537" s="27" t="s">
        <v>8</v>
      </c>
      <c r="P537" s="27" t="s">
        <v>7</v>
      </c>
      <c r="S537" s="27" t="s">
        <v>8</v>
      </c>
      <c r="T537" s="27" t="s">
        <v>7</v>
      </c>
      <c r="AF537" s="27" t="s">
        <v>7</v>
      </c>
      <c r="AG537" s="27" t="s">
        <v>8</v>
      </c>
      <c r="AH537" s="27" t="s">
        <v>7</v>
      </c>
      <c r="AM537" s="27" t="s">
        <v>8</v>
      </c>
      <c r="AN537" s="27" t="s">
        <v>7</v>
      </c>
      <c r="AO537" s="27" t="s">
        <v>8</v>
      </c>
      <c r="AP537" s="27" t="s">
        <v>7</v>
      </c>
      <c r="CA537" s="27" t="s">
        <v>8</v>
      </c>
      <c r="CB537" s="27" t="s">
        <v>7</v>
      </c>
      <c r="CD537" s="27" t="s">
        <v>7</v>
      </c>
      <c r="CE537" s="27" t="s">
        <v>8</v>
      </c>
      <c r="CF537" s="27" t="s">
        <v>7</v>
      </c>
      <c r="CG537" s="27" t="s">
        <v>8</v>
      </c>
      <c r="CH537" s="27" t="s">
        <v>7</v>
      </c>
    </row>
    <row r="538" spans="1:115" x14ac:dyDescent="0.25">
      <c r="A538" s="7">
        <v>2.6388117932094191</v>
      </c>
      <c r="B538"/>
      <c r="C538"/>
      <c r="D538"/>
      <c r="E538" t="s">
        <v>8</v>
      </c>
      <c r="F538" s="27" t="s">
        <v>7</v>
      </c>
      <c r="G538" s="27" t="s">
        <v>8</v>
      </c>
      <c r="H538" s="27" t="s">
        <v>7</v>
      </c>
      <c r="I538" s="27" t="s">
        <v>8</v>
      </c>
      <c r="M538" s="27" t="s">
        <v>8</v>
      </c>
      <c r="N538" s="27" t="s">
        <v>7</v>
      </c>
      <c r="O538" s="27" t="s">
        <v>8</v>
      </c>
      <c r="P538" s="27" t="s">
        <v>7</v>
      </c>
      <c r="S538" s="27" t="s">
        <v>8</v>
      </c>
      <c r="AF538" s="27" t="s">
        <v>7</v>
      </c>
      <c r="AG538" s="27" t="s">
        <v>8</v>
      </c>
      <c r="AH538" s="27" t="s">
        <v>7</v>
      </c>
      <c r="AM538" s="27" t="s">
        <v>8</v>
      </c>
      <c r="AN538" s="27" t="s">
        <v>7</v>
      </c>
      <c r="AO538" s="27" t="s">
        <v>8</v>
      </c>
      <c r="AP538" s="27" t="s">
        <v>7</v>
      </c>
      <c r="CA538" s="27" t="s">
        <v>8</v>
      </c>
      <c r="CD538" s="27" t="s">
        <v>7</v>
      </c>
      <c r="CE538" s="27" t="s">
        <v>8</v>
      </c>
      <c r="CF538" s="27" t="s">
        <v>7</v>
      </c>
      <c r="CH538" s="27" t="s">
        <v>7</v>
      </c>
    </row>
    <row r="539" spans="1:115" x14ac:dyDescent="0.25">
      <c r="A539" s="7">
        <v>2.5870703854994304</v>
      </c>
      <c r="B539"/>
      <c r="C539"/>
      <c r="D539"/>
      <c r="E539" t="s">
        <v>8</v>
      </c>
      <c r="F539" s="27" t="s">
        <v>7</v>
      </c>
      <c r="G539" s="27" t="s">
        <v>8</v>
      </c>
      <c r="H539" s="27" t="s">
        <v>7</v>
      </c>
      <c r="I539" s="27" t="s">
        <v>8</v>
      </c>
      <c r="J539" s="27" t="s">
        <v>7</v>
      </c>
      <c r="M539" s="27" t="s">
        <v>8</v>
      </c>
      <c r="N539" s="27" t="s">
        <v>7</v>
      </c>
      <c r="O539" s="27" t="s">
        <v>8</v>
      </c>
      <c r="P539" s="27" t="s">
        <v>7</v>
      </c>
      <c r="S539" s="27" t="s">
        <v>8</v>
      </c>
      <c r="AF539" s="27" t="s">
        <v>7</v>
      </c>
      <c r="AG539" s="27" t="s">
        <v>8</v>
      </c>
      <c r="AH539" s="27" t="s">
        <v>7</v>
      </c>
      <c r="AM539" s="27" t="s">
        <v>8</v>
      </c>
      <c r="AN539" s="27" t="s">
        <v>7</v>
      </c>
      <c r="AO539" s="27" t="s">
        <v>8</v>
      </c>
      <c r="AP539" s="27" t="s">
        <v>7</v>
      </c>
      <c r="CA539" s="27" t="s">
        <v>8</v>
      </c>
      <c r="CD539" s="27" t="s">
        <v>7</v>
      </c>
      <c r="CE539" s="27" t="s">
        <v>8</v>
      </c>
      <c r="CH539" s="27" t="s">
        <v>7</v>
      </c>
    </row>
    <row r="540" spans="1:115" x14ac:dyDescent="0.25">
      <c r="A540" s="7">
        <v>2.53634351519552</v>
      </c>
      <c r="B540"/>
      <c r="C540"/>
      <c r="D540"/>
      <c r="E540" t="s">
        <v>8</v>
      </c>
      <c r="F540" s="27" t="s">
        <v>7</v>
      </c>
      <c r="G540" s="27" t="s">
        <v>8</v>
      </c>
      <c r="H540" s="27" t="s">
        <v>7</v>
      </c>
      <c r="I540" s="27" t="s">
        <v>8</v>
      </c>
      <c r="J540" s="27" t="s">
        <v>7</v>
      </c>
      <c r="M540" s="27" t="s">
        <v>8</v>
      </c>
      <c r="N540" s="27" t="s">
        <v>7</v>
      </c>
      <c r="O540" s="27" t="s">
        <v>8</v>
      </c>
      <c r="P540" s="27" t="s">
        <v>7</v>
      </c>
      <c r="Q540" s="27" t="s">
        <v>8</v>
      </c>
      <c r="S540" s="27" t="s">
        <v>8</v>
      </c>
      <c r="AF540" s="27" t="s">
        <v>7</v>
      </c>
      <c r="AH540" s="27" t="s">
        <v>7</v>
      </c>
      <c r="AM540" s="27" t="s">
        <v>8</v>
      </c>
      <c r="AN540" s="27" t="s">
        <v>7</v>
      </c>
      <c r="AO540" s="27" t="s">
        <v>8</v>
      </c>
      <c r="AP540" s="27" t="s">
        <v>7</v>
      </c>
      <c r="CA540" s="27" t="s">
        <v>8</v>
      </c>
      <c r="CD540" s="27" t="s">
        <v>7</v>
      </c>
      <c r="CH540" s="27" t="s">
        <v>7</v>
      </c>
    </row>
    <row r="541" spans="1:115" x14ac:dyDescent="0.25">
      <c r="A541" s="7">
        <v>2.4866112894073726</v>
      </c>
      <c r="B541"/>
      <c r="C541"/>
      <c r="D541"/>
      <c r="E541" t="s">
        <v>8</v>
      </c>
      <c r="F541" s="27" t="s">
        <v>7</v>
      </c>
      <c r="G541" s="27" t="s">
        <v>8</v>
      </c>
      <c r="H541" s="27" t="s">
        <v>7</v>
      </c>
      <c r="I541" s="27" t="s">
        <v>8</v>
      </c>
      <c r="J541" s="27" t="s">
        <v>7</v>
      </c>
      <c r="M541" s="27" t="s">
        <v>8</v>
      </c>
      <c r="N541" s="27" t="s">
        <v>7</v>
      </c>
      <c r="O541" s="27" t="s">
        <v>8</v>
      </c>
      <c r="P541" s="27" t="s">
        <v>7</v>
      </c>
      <c r="Q541" s="27" t="s">
        <v>8</v>
      </c>
      <c r="R541" s="27" t="s">
        <v>7</v>
      </c>
      <c r="S541" s="27" t="s">
        <v>8</v>
      </c>
      <c r="AH541" s="27" t="s">
        <v>7</v>
      </c>
      <c r="AM541" s="27" t="s">
        <v>8</v>
      </c>
      <c r="AN541" s="27" t="s">
        <v>7</v>
      </c>
      <c r="AO541" s="27" t="s">
        <v>8</v>
      </c>
      <c r="AP541" s="27" t="s">
        <v>7</v>
      </c>
      <c r="BW541" s="27" t="s">
        <v>8</v>
      </c>
      <c r="CA541" s="27" t="s">
        <v>8</v>
      </c>
      <c r="CH541" s="27" t="s">
        <v>7</v>
      </c>
    </row>
    <row r="542" spans="1:115" x14ac:dyDescent="0.25">
      <c r="A542" s="7">
        <v>2.4378542053013459</v>
      </c>
      <c r="B542"/>
      <c r="C542"/>
      <c r="D542"/>
      <c r="E542" t="s">
        <v>8</v>
      </c>
      <c r="F542" s="27" t="s">
        <v>7</v>
      </c>
      <c r="G542" s="27" t="s">
        <v>8</v>
      </c>
      <c r="H542" s="27" t="s">
        <v>7</v>
      </c>
      <c r="I542" s="27" t="s">
        <v>8</v>
      </c>
      <c r="J542" s="27" t="s">
        <v>7</v>
      </c>
      <c r="M542" s="27" t="s">
        <v>8</v>
      </c>
      <c r="N542" s="27" t="s">
        <v>7</v>
      </c>
      <c r="O542" s="27" t="s">
        <v>8</v>
      </c>
      <c r="P542" s="27" t="s">
        <v>7</v>
      </c>
      <c r="Q542" s="27" t="s">
        <v>8</v>
      </c>
      <c r="R542" s="27" t="s">
        <v>7</v>
      </c>
      <c r="S542" s="27" t="s">
        <v>8</v>
      </c>
      <c r="AH542" s="27" t="s">
        <v>7</v>
      </c>
      <c r="AM542" s="27" t="s">
        <v>8</v>
      </c>
      <c r="AN542" s="27" t="s">
        <v>7</v>
      </c>
      <c r="AO542" s="27" t="s">
        <v>8</v>
      </c>
      <c r="AP542" s="27" t="s">
        <v>7</v>
      </c>
      <c r="BW542" s="27" t="s">
        <v>8</v>
      </c>
      <c r="BX542" s="27" t="s">
        <v>7</v>
      </c>
      <c r="CA542" s="27" t="s">
        <v>8</v>
      </c>
      <c r="CH542" s="27" t="s">
        <v>7</v>
      </c>
      <c r="CO542" s="27" t="s">
        <v>8</v>
      </c>
    </row>
    <row r="543" spans="1:115" x14ac:dyDescent="0.25">
      <c r="A543" s="7">
        <v>2.3900531424522997</v>
      </c>
      <c r="B543"/>
      <c r="C543"/>
      <c r="D543"/>
      <c r="E543" t="s">
        <v>8</v>
      </c>
      <c r="F543" s="27" t="s">
        <v>7</v>
      </c>
      <c r="G543" s="27" t="s">
        <v>8</v>
      </c>
      <c r="H543" s="27" t="s">
        <v>7</v>
      </c>
      <c r="I543" s="27" t="s">
        <v>8</v>
      </c>
      <c r="J543" s="27" t="s">
        <v>7</v>
      </c>
      <c r="M543" s="27" t="s">
        <v>8</v>
      </c>
      <c r="N543" s="27" t="s">
        <v>7</v>
      </c>
      <c r="P543" s="27" t="s">
        <v>7</v>
      </c>
      <c r="Q543" s="27" t="s">
        <v>8</v>
      </c>
      <c r="R543" s="27" t="s">
        <v>7</v>
      </c>
      <c r="S543" s="27" t="s">
        <v>8</v>
      </c>
      <c r="AH543" s="27" t="s">
        <v>7</v>
      </c>
      <c r="AM543" s="27" t="s">
        <v>8</v>
      </c>
      <c r="AN543" s="27" t="s">
        <v>7</v>
      </c>
      <c r="AO543" s="27" t="s">
        <v>8</v>
      </c>
      <c r="AP543" s="27" t="s">
        <v>7</v>
      </c>
      <c r="BW543" s="27" t="s">
        <v>8</v>
      </c>
      <c r="BX543" s="27" t="s">
        <v>7</v>
      </c>
      <c r="CA543" s="27" t="s">
        <v>8</v>
      </c>
      <c r="CH543" s="27" t="s">
        <v>7</v>
      </c>
      <c r="CK543" s="27" t="s">
        <v>8</v>
      </c>
      <c r="CO543" s="27" t="s">
        <v>8</v>
      </c>
      <c r="CP543" s="27" t="s">
        <v>7</v>
      </c>
    </row>
    <row r="544" spans="1:115" x14ac:dyDescent="0.25">
      <c r="A544" s="7">
        <v>2.343189355345392</v>
      </c>
      <c r="B544"/>
      <c r="C544"/>
      <c r="D544"/>
      <c r="E544" t="s">
        <v>8</v>
      </c>
      <c r="F544" s="27" t="s">
        <v>7</v>
      </c>
      <c r="G544" s="27" t="s">
        <v>8</v>
      </c>
      <c r="H544" s="27" t="s">
        <v>7</v>
      </c>
      <c r="I544" s="27" t="s">
        <v>8</v>
      </c>
      <c r="J544" s="27" t="s">
        <v>7</v>
      </c>
      <c r="M544" s="27" t="s">
        <v>8</v>
      </c>
      <c r="P544" s="27" t="s">
        <v>7</v>
      </c>
      <c r="Q544" s="27" t="s">
        <v>8</v>
      </c>
      <c r="R544" s="27" t="s">
        <v>7</v>
      </c>
      <c r="S544" s="27" t="s">
        <v>8</v>
      </c>
      <c r="AH544" s="27" t="s">
        <v>7</v>
      </c>
      <c r="AM544" s="27" t="s">
        <v>8</v>
      </c>
      <c r="AN544" s="27" t="s">
        <v>7</v>
      </c>
      <c r="AO544" s="27" t="s">
        <v>8</v>
      </c>
      <c r="AP544" s="27" t="s">
        <v>7</v>
      </c>
      <c r="BW544" s="27" t="s">
        <v>8</v>
      </c>
      <c r="BX544" s="27" t="s">
        <v>7</v>
      </c>
      <c r="BY544" s="27" t="s">
        <v>8</v>
      </c>
      <c r="CA544" s="27" t="s">
        <v>8</v>
      </c>
      <c r="CH544" s="27" t="s">
        <v>7</v>
      </c>
      <c r="CK544" s="27" t="s">
        <v>8</v>
      </c>
      <c r="CL544" s="27" t="s">
        <v>7</v>
      </c>
      <c r="CO544" s="27" t="s">
        <v>8</v>
      </c>
      <c r="CP544" s="27" t="s">
        <v>7</v>
      </c>
      <c r="DK544" s="27" t="s">
        <v>8</v>
      </c>
    </row>
    <row r="545" spans="1:130" x14ac:dyDescent="0.25">
      <c r="A545" s="7">
        <v>2.2972444660248938</v>
      </c>
      <c r="B545"/>
      <c r="C545"/>
      <c r="D545"/>
      <c r="E545" t="s">
        <v>8</v>
      </c>
      <c r="F545" s="27" t="s">
        <v>7</v>
      </c>
      <c r="G545" s="27" t="s">
        <v>8</v>
      </c>
      <c r="H545" s="27" t="s">
        <v>7</v>
      </c>
      <c r="I545" s="27" t="s">
        <v>8</v>
      </c>
      <c r="J545" s="27" t="s">
        <v>7</v>
      </c>
      <c r="M545" s="27" t="s">
        <v>8</v>
      </c>
      <c r="P545" s="27" t="s">
        <v>7</v>
      </c>
      <c r="Q545" s="27" t="s">
        <v>8</v>
      </c>
      <c r="R545" s="27" t="s">
        <v>7</v>
      </c>
      <c r="AH545" s="27" t="s">
        <v>7</v>
      </c>
      <c r="AM545" s="27" t="s">
        <v>8</v>
      </c>
      <c r="AN545" s="27" t="s">
        <v>7</v>
      </c>
      <c r="AO545" s="27" t="s">
        <v>8</v>
      </c>
      <c r="AP545" s="27" t="s">
        <v>7</v>
      </c>
      <c r="BW545" s="27" t="s">
        <v>8</v>
      </c>
      <c r="BX545" s="27" t="s">
        <v>7</v>
      </c>
      <c r="BY545" s="27" t="s">
        <v>8</v>
      </c>
      <c r="BZ545" s="27" t="s">
        <v>7</v>
      </c>
      <c r="CA545" s="27" t="s">
        <v>8</v>
      </c>
      <c r="CH545" s="27" t="s">
        <v>7</v>
      </c>
      <c r="CK545" s="27" t="s">
        <v>8</v>
      </c>
      <c r="CL545" s="27" t="s">
        <v>7</v>
      </c>
      <c r="CO545" s="27" t="s">
        <v>8</v>
      </c>
      <c r="CP545" s="27" t="s">
        <v>7</v>
      </c>
      <c r="DA545" s="27" t="s">
        <v>8</v>
      </c>
      <c r="DK545" s="27" t="s">
        <v>8</v>
      </c>
      <c r="DL545" s="27" t="s">
        <v>7</v>
      </c>
    </row>
    <row r="546" spans="1:130" x14ac:dyDescent="0.25">
      <c r="A546" s="7">
        <v>2.252200456887151</v>
      </c>
      <c r="B546"/>
      <c r="C546"/>
      <c r="D546"/>
      <c r="E546" t="s">
        <v>8</v>
      </c>
      <c r="F546" s="27" t="s">
        <v>7</v>
      </c>
      <c r="G546" s="27" t="s">
        <v>8</v>
      </c>
      <c r="H546" s="27" t="s">
        <v>7</v>
      </c>
      <c r="I546" s="27" t="s">
        <v>8</v>
      </c>
      <c r="J546" s="27" t="s">
        <v>7</v>
      </c>
      <c r="M546" s="27" t="s">
        <v>8</v>
      </c>
      <c r="P546" s="27" t="s">
        <v>7</v>
      </c>
      <c r="Q546" s="27" t="s">
        <v>8</v>
      </c>
      <c r="AH546" s="27" t="s">
        <v>7</v>
      </c>
      <c r="AI546" s="27" t="s">
        <v>8</v>
      </c>
      <c r="AM546" s="27" t="s">
        <v>8</v>
      </c>
      <c r="AN546" s="27" t="s">
        <v>7</v>
      </c>
      <c r="AO546" s="27" t="s">
        <v>8</v>
      </c>
      <c r="AP546" s="27" t="s">
        <v>7</v>
      </c>
      <c r="AQ546" s="27" t="s">
        <v>8</v>
      </c>
      <c r="BW546" s="27" t="s">
        <v>8</v>
      </c>
      <c r="BX546" s="27" t="s">
        <v>7</v>
      </c>
      <c r="BY546" s="27" t="s">
        <v>8</v>
      </c>
      <c r="BZ546" s="27" t="s">
        <v>7</v>
      </c>
      <c r="CA546" s="27" t="s">
        <v>8</v>
      </c>
      <c r="CH546" s="27" t="s">
        <v>7</v>
      </c>
      <c r="CI546" s="27" t="s">
        <v>8</v>
      </c>
      <c r="CK546" s="27" t="s">
        <v>8</v>
      </c>
      <c r="CL546" s="27" t="s">
        <v>7</v>
      </c>
      <c r="CO546" s="27" t="s">
        <v>8</v>
      </c>
      <c r="CP546" s="27" t="s">
        <v>7</v>
      </c>
      <c r="DA546" s="27" t="s">
        <v>8</v>
      </c>
      <c r="DB546" s="27" t="s">
        <v>7</v>
      </c>
      <c r="DK546" s="27" t="s">
        <v>8</v>
      </c>
      <c r="DL546" s="27" t="s">
        <v>7</v>
      </c>
    </row>
    <row r="547" spans="1:130" x14ac:dyDescent="0.25">
      <c r="A547" s="7">
        <v>2.208039663614854</v>
      </c>
      <c r="B547"/>
      <c r="C547"/>
      <c r="D547"/>
      <c r="E547" t="s">
        <v>8</v>
      </c>
      <c r="F547" s="27" t="s">
        <v>7</v>
      </c>
      <c r="G547" s="27" t="s">
        <v>8</v>
      </c>
      <c r="H547" s="27" t="s">
        <v>7</v>
      </c>
      <c r="J547" s="27" t="s">
        <v>7</v>
      </c>
      <c r="M547" s="27" t="s">
        <v>8</v>
      </c>
      <c r="P547" s="27" t="s">
        <v>7</v>
      </c>
      <c r="Q547" s="27" t="s">
        <v>8</v>
      </c>
      <c r="AH547" s="27" t="s">
        <v>7</v>
      </c>
      <c r="AI547" s="27" t="s">
        <v>8</v>
      </c>
      <c r="AJ547" s="27" t="s">
        <v>7</v>
      </c>
      <c r="AM547" s="27" t="s">
        <v>8</v>
      </c>
      <c r="AN547" s="27" t="s">
        <v>7</v>
      </c>
      <c r="AO547" s="27" t="s">
        <v>8</v>
      </c>
      <c r="AP547" s="27" t="s">
        <v>7</v>
      </c>
      <c r="AQ547" s="27" t="s">
        <v>8</v>
      </c>
      <c r="AR547" s="27" t="s">
        <v>7</v>
      </c>
      <c r="BU547" s="27" t="s">
        <v>8</v>
      </c>
      <c r="BW547" s="27" t="s">
        <v>8</v>
      </c>
      <c r="BX547" s="27" t="s">
        <v>7</v>
      </c>
      <c r="BY547" s="27" t="s">
        <v>8</v>
      </c>
      <c r="BZ547" s="27" t="s">
        <v>7</v>
      </c>
      <c r="CA547" s="27" t="s">
        <v>8</v>
      </c>
      <c r="CH547" s="27" t="s">
        <v>7</v>
      </c>
      <c r="CI547" s="27" t="s">
        <v>8</v>
      </c>
      <c r="CJ547" s="27" t="s">
        <v>7</v>
      </c>
      <c r="CK547" s="27" t="s">
        <v>8</v>
      </c>
      <c r="CL547" s="27" t="s">
        <v>7</v>
      </c>
      <c r="CM547" s="27" t="s">
        <v>8</v>
      </c>
      <c r="CO547" s="27" t="s">
        <v>8</v>
      </c>
      <c r="CP547" s="27" t="s">
        <v>7</v>
      </c>
      <c r="DA547" s="27" t="s">
        <v>8</v>
      </c>
      <c r="DB547" s="27" t="s">
        <v>7</v>
      </c>
      <c r="DC547" s="27" t="s">
        <v>8</v>
      </c>
      <c r="DE547" s="27" t="s">
        <v>8</v>
      </c>
      <c r="DG547" s="27" t="s">
        <v>8</v>
      </c>
      <c r="DK547" s="27" t="s">
        <v>8</v>
      </c>
      <c r="DL547" s="27" t="s">
        <v>7</v>
      </c>
    </row>
    <row r="548" spans="1:130" x14ac:dyDescent="0.25">
      <c r="A548" s="7">
        <v>2.1647447682498568</v>
      </c>
      <c r="B548"/>
      <c r="C548"/>
      <c r="D548"/>
      <c r="E548" t="s">
        <v>8</v>
      </c>
      <c r="F548" s="27" t="s">
        <v>7</v>
      </c>
      <c r="G548" s="27" t="s">
        <v>8</v>
      </c>
      <c r="J548" s="27" t="s">
        <v>7</v>
      </c>
      <c r="K548" s="27" t="s">
        <v>8</v>
      </c>
      <c r="M548" s="27" t="s">
        <v>8</v>
      </c>
      <c r="P548" s="27" t="s">
        <v>7</v>
      </c>
      <c r="Q548" s="27" t="s">
        <v>8</v>
      </c>
      <c r="AH548" s="27" t="s">
        <v>7</v>
      </c>
      <c r="AI548" s="27" t="s">
        <v>8</v>
      </c>
      <c r="AJ548" s="27" t="s">
        <v>7</v>
      </c>
      <c r="AM548" s="27" t="s">
        <v>8</v>
      </c>
      <c r="AN548" s="27" t="s">
        <v>7</v>
      </c>
      <c r="AP548" s="27" t="s">
        <v>7</v>
      </c>
      <c r="AQ548" s="27" t="s">
        <v>8</v>
      </c>
      <c r="AR548" s="27" t="s">
        <v>7</v>
      </c>
      <c r="BU548" s="27" t="s">
        <v>8</v>
      </c>
      <c r="BV548" s="27" t="s">
        <v>7</v>
      </c>
      <c r="BW548" s="27" t="s">
        <v>8</v>
      </c>
      <c r="BX548" s="27" t="s">
        <v>7</v>
      </c>
      <c r="BY548" s="27" t="s">
        <v>8</v>
      </c>
      <c r="BZ548" s="27" t="s">
        <v>7</v>
      </c>
      <c r="CA548" s="27" t="s">
        <v>8</v>
      </c>
      <c r="CH548" s="27" t="s">
        <v>7</v>
      </c>
      <c r="CI548" s="27" t="s">
        <v>8</v>
      </c>
      <c r="CJ548" s="27" t="s">
        <v>7</v>
      </c>
      <c r="CK548" s="27" t="s">
        <v>8</v>
      </c>
      <c r="CL548" s="27" t="s">
        <v>7</v>
      </c>
      <c r="CM548" s="27" t="s">
        <v>8</v>
      </c>
      <c r="CN548" s="27" t="s">
        <v>7</v>
      </c>
      <c r="CO548" s="27" t="s">
        <v>8</v>
      </c>
      <c r="CP548" s="27" t="s">
        <v>7</v>
      </c>
      <c r="DA548" s="27" t="s">
        <v>8</v>
      </c>
      <c r="DB548" s="27" t="s">
        <v>7</v>
      </c>
      <c r="DC548" s="27" t="s">
        <v>8</v>
      </c>
      <c r="DD548" s="27" t="s">
        <v>7</v>
      </c>
      <c r="DE548" s="27" t="s">
        <v>8</v>
      </c>
      <c r="DF548" s="27" t="s">
        <v>7</v>
      </c>
      <c r="DG548" s="27" t="s">
        <v>8</v>
      </c>
      <c r="DH548" s="27" t="s">
        <v>7</v>
      </c>
      <c r="DK548" s="27" t="s">
        <v>8</v>
      </c>
      <c r="DL548" s="27" t="s">
        <v>7</v>
      </c>
    </row>
    <row r="549" spans="1:130" x14ac:dyDescent="0.25">
      <c r="A549" s="7">
        <v>2.1222987924018204</v>
      </c>
      <c r="B549"/>
      <c r="C549"/>
      <c r="D549"/>
      <c r="E549" t="s">
        <v>8</v>
      </c>
      <c r="F549" s="27" t="s">
        <v>7</v>
      </c>
      <c r="J549" s="27" t="s">
        <v>7</v>
      </c>
      <c r="K549" s="27" t="s">
        <v>8</v>
      </c>
      <c r="L549" s="27" t="s">
        <v>7</v>
      </c>
      <c r="M549" s="27" t="s">
        <v>8</v>
      </c>
      <c r="P549" s="27" t="s">
        <v>7</v>
      </c>
      <c r="Q549" s="27" t="s">
        <v>8</v>
      </c>
      <c r="AH549" s="27" t="s">
        <v>7</v>
      </c>
      <c r="AI549" s="27" t="s">
        <v>8</v>
      </c>
      <c r="AJ549" s="27" t="s">
        <v>7</v>
      </c>
      <c r="AM549" s="27" t="s">
        <v>8</v>
      </c>
      <c r="AP549" s="27" t="s">
        <v>7</v>
      </c>
      <c r="AQ549" s="27" t="s">
        <v>8</v>
      </c>
      <c r="AR549" s="27" t="s">
        <v>7</v>
      </c>
      <c r="BU549" s="27" t="s">
        <v>8</v>
      </c>
      <c r="BV549" s="27" t="s">
        <v>7</v>
      </c>
      <c r="BW549" s="27" t="s">
        <v>8</v>
      </c>
      <c r="BX549" s="27" t="s">
        <v>7</v>
      </c>
      <c r="BY549" s="27" t="s">
        <v>8</v>
      </c>
      <c r="BZ549" s="27" t="s">
        <v>7</v>
      </c>
      <c r="CA549" s="27" t="s">
        <v>8</v>
      </c>
      <c r="CH549" s="27" t="s">
        <v>7</v>
      </c>
      <c r="CI549" s="27" t="s">
        <v>8</v>
      </c>
      <c r="CJ549" s="27" t="s">
        <v>7</v>
      </c>
      <c r="CK549" s="27" t="s">
        <v>8</v>
      </c>
      <c r="CL549" s="27" t="s">
        <v>7</v>
      </c>
      <c r="CM549" s="27" t="s">
        <v>8</v>
      </c>
      <c r="CN549" s="27" t="s">
        <v>7</v>
      </c>
      <c r="CO549" s="27" t="s">
        <v>8</v>
      </c>
      <c r="CP549" s="27" t="s">
        <v>7</v>
      </c>
      <c r="DA549" s="27" t="s">
        <v>8</v>
      </c>
      <c r="DB549" s="27" t="s">
        <v>7</v>
      </c>
      <c r="DC549" s="27" t="s">
        <v>8</v>
      </c>
      <c r="DD549" s="27" t="s">
        <v>7</v>
      </c>
      <c r="DE549" s="27" t="s">
        <v>8</v>
      </c>
      <c r="DF549" s="27" t="s">
        <v>7</v>
      </c>
      <c r="DG549" s="27" t="s">
        <v>8</v>
      </c>
      <c r="DH549" s="27" t="s">
        <v>7</v>
      </c>
      <c r="DK549" s="27" t="s">
        <v>8</v>
      </c>
      <c r="DL549" s="27" t="s">
        <v>7</v>
      </c>
    </row>
    <row r="550" spans="1:130" x14ac:dyDescent="0.25">
      <c r="A550" s="7">
        <v>2.0806850905900198</v>
      </c>
      <c r="B550"/>
      <c r="C550"/>
      <c r="D550"/>
      <c r="E550" t="s">
        <v>8</v>
      </c>
      <c r="J550" s="27" t="s">
        <v>7</v>
      </c>
      <c r="K550" s="27" t="s">
        <v>8</v>
      </c>
      <c r="L550" s="27" t="s">
        <v>7</v>
      </c>
      <c r="M550" s="27" t="s">
        <v>8</v>
      </c>
      <c r="P550" s="27" t="s">
        <v>7</v>
      </c>
      <c r="Q550" s="27" t="s">
        <v>8</v>
      </c>
      <c r="AH550" s="27" t="s">
        <v>7</v>
      </c>
      <c r="AI550" s="27" t="s">
        <v>8</v>
      </c>
      <c r="AJ550" s="27" t="s">
        <v>7</v>
      </c>
      <c r="AM550" s="27" t="s">
        <v>8</v>
      </c>
      <c r="AP550" s="27" t="s">
        <v>7</v>
      </c>
      <c r="AQ550" s="27" t="s">
        <v>8</v>
      </c>
      <c r="AR550" s="27" t="s">
        <v>7</v>
      </c>
      <c r="AS550" s="27" t="s">
        <v>8</v>
      </c>
      <c r="BU550" s="27" t="s">
        <v>8</v>
      </c>
      <c r="BV550" s="27" t="s">
        <v>7</v>
      </c>
      <c r="BW550" s="27" t="s">
        <v>8</v>
      </c>
      <c r="BX550" s="27" t="s">
        <v>7</v>
      </c>
      <c r="BZ550" s="27" t="s">
        <v>7</v>
      </c>
      <c r="CH550" s="27" t="s">
        <v>7</v>
      </c>
      <c r="CI550" s="27" t="s">
        <v>8</v>
      </c>
      <c r="CJ550" s="27" t="s">
        <v>7</v>
      </c>
      <c r="CK550" s="27" t="s">
        <v>8</v>
      </c>
      <c r="CL550" s="27" t="s">
        <v>7</v>
      </c>
      <c r="CM550" s="27" t="s">
        <v>8</v>
      </c>
      <c r="CN550" s="27" t="s">
        <v>7</v>
      </c>
      <c r="CO550" s="27" t="s">
        <v>8</v>
      </c>
      <c r="CP550" s="27" t="s">
        <v>7</v>
      </c>
      <c r="DA550" s="27" t="s">
        <v>8</v>
      </c>
      <c r="DB550" s="27" t="s">
        <v>7</v>
      </c>
      <c r="DC550" s="27" t="s">
        <v>8</v>
      </c>
      <c r="DD550" s="27" t="s">
        <v>7</v>
      </c>
      <c r="DE550" s="27" t="s">
        <v>8</v>
      </c>
      <c r="DF550" s="27" t="s">
        <v>7</v>
      </c>
      <c r="DG550" s="27" t="s">
        <v>8</v>
      </c>
      <c r="DH550" s="27" t="s">
        <v>7</v>
      </c>
      <c r="DK550" s="27" t="s">
        <v>8</v>
      </c>
      <c r="DL550" s="27" t="s">
        <v>7</v>
      </c>
      <c r="DM550" s="27" t="s">
        <v>8</v>
      </c>
    </row>
    <row r="551" spans="1:130" x14ac:dyDescent="0.25">
      <c r="A551" s="7">
        <v>2.0398873437157055</v>
      </c>
      <c r="B551"/>
      <c r="C551"/>
      <c r="D551"/>
      <c r="E551" t="s">
        <v>8</v>
      </c>
      <c r="J551" s="27" t="s">
        <v>7</v>
      </c>
      <c r="K551" s="27" t="s">
        <v>8</v>
      </c>
      <c r="L551" s="27" t="s">
        <v>7</v>
      </c>
      <c r="M551" s="27" t="s">
        <v>8</v>
      </c>
      <c r="P551" s="27" t="s">
        <v>7</v>
      </c>
      <c r="Q551" s="27" t="s">
        <v>8</v>
      </c>
      <c r="AH551" s="27" t="s">
        <v>7</v>
      </c>
      <c r="AI551" s="27" t="s">
        <v>8</v>
      </c>
      <c r="AJ551" s="27" t="s">
        <v>7</v>
      </c>
      <c r="AM551" s="27" t="s">
        <v>8</v>
      </c>
      <c r="AP551" s="27" t="s">
        <v>7</v>
      </c>
      <c r="AQ551" s="27" t="s">
        <v>8</v>
      </c>
      <c r="AR551" s="27" t="s">
        <v>7</v>
      </c>
      <c r="AS551" s="27" t="s">
        <v>8</v>
      </c>
      <c r="AT551" s="27" t="s">
        <v>7</v>
      </c>
      <c r="BS551" s="27" t="s">
        <v>8</v>
      </c>
      <c r="BU551" s="27" t="s">
        <v>8</v>
      </c>
      <c r="BV551" s="27" t="s">
        <v>7</v>
      </c>
      <c r="BW551" s="27" t="s">
        <v>8</v>
      </c>
      <c r="CH551" s="27" t="s">
        <v>7</v>
      </c>
      <c r="CI551" s="27" t="s">
        <v>8</v>
      </c>
      <c r="CJ551" s="27" t="s">
        <v>7</v>
      </c>
      <c r="CL551" s="27" t="s">
        <v>7</v>
      </c>
      <c r="CM551" s="27" t="s">
        <v>8</v>
      </c>
      <c r="CN551" s="27" t="s">
        <v>7</v>
      </c>
      <c r="CP551" s="27" t="s">
        <v>7</v>
      </c>
      <c r="CW551" s="27" t="s">
        <v>8</v>
      </c>
      <c r="DA551" s="27" t="s">
        <v>8</v>
      </c>
      <c r="DB551" s="27" t="s">
        <v>7</v>
      </c>
      <c r="DC551" s="27" t="s">
        <v>8</v>
      </c>
      <c r="DD551" s="27" t="s">
        <v>7</v>
      </c>
      <c r="DE551" s="27" t="s">
        <v>8</v>
      </c>
      <c r="DF551" s="27" t="s">
        <v>7</v>
      </c>
      <c r="DG551" s="27" t="s">
        <v>8</v>
      </c>
      <c r="DH551" s="27" t="s">
        <v>7</v>
      </c>
      <c r="DK551" s="27" t="s">
        <v>8</v>
      </c>
      <c r="DL551" s="27" t="s">
        <v>7</v>
      </c>
      <c r="DM551" s="27" t="s">
        <v>8</v>
      </c>
      <c r="DN551" s="27" t="s">
        <v>7</v>
      </c>
    </row>
    <row r="552" spans="1:130" x14ac:dyDescent="0.25">
      <c r="A552" s="7">
        <v>1.9998895526624565</v>
      </c>
      <c r="B552"/>
      <c r="C552"/>
      <c r="D552"/>
      <c r="E552" t="s">
        <v>8</v>
      </c>
      <c r="J552" s="27" t="s">
        <v>7</v>
      </c>
      <c r="L552" s="27" t="s">
        <v>7</v>
      </c>
      <c r="M552" s="27" t="s">
        <v>8</v>
      </c>
      <c r="P552" s="27" t="s">
        <v>7</v>
      </c>
      <c r="Q552" s="27" t="s">
        <v>8</v>
      </c>
      <c r="AH552" s="27" t="s">
        <v>7</v>
      </c>
      <c r="AI552" s="27" t="s">
        <v>8</v>
      </c>
      <c r="AJ552" s="27" t="s">
        <v>7</v>
      </c>
      <c r="AM552" s="27" t="s">
        <v>8</v>
      </c>
      <c r="AP552" s="27" t="s">
        <v>7</v>
      </c>
      <c r="AQ552" s="27" t="s">
        <v>8</v>
      </c>
      <c r="AR552" s="27" t="s">
        <v>7</v>
      </c>
      <c r="AS552" s="27" t="s">
        <v>8</v>
      </c>
      <c r="AT552" s="27" t="s">
        <v>7</v>
      </c>
      <c r="BS552" s="27" t="s">
        <v>8</v>
      </c>
      <c r="BT552" s="27" t="s">
        <v>7</v>
      </c>
      <c r="BU552" s="27" t="s">
        <v>8</v>
      </c>
      <c r="BV552" s="27" t="s">
        <v>7</v>
      </c>
      <c r="BW552" s="27" t="s">
        <v>8</v>
      </c>
      <c r="CH552" s="27" t="s">
        <v>7</v>
      </c>
      <c r="CI552" s="27" t="s">
        <v>8</v>
      </c>
      <c r="CL552" s="27" t="s">
        <v>7</v>
      </c>
      <c r="CM552" s="27" t="s">
        <v>8</v>
      </c>
      <c r="CP552" s="27" t="s">
        <v>7</v>
      </c>
      <c r="CQ552" s="27" t="s">
        <v>8</v>
      </c>
      <c r="CW552" s="27" t="s">
        <v>8</v>
      </c>
      <c r="CX552" s="27" t="s">
        <v>7</v>
      </c>
      <c r="CY552" s="27" t="s">
        <v>8</v>
      </c>
      <c r="DA552" s="27" t="s">
        <v>8</v>
      </c>
      <c r="DB552" s="27" t="s">
        <v>7</v>
      </c>
      <c r="DC552" s="27" t="s">
        <v>8</v>
      </c>
      <c r="DD552" s="27" t="s">
        <v>7</v>
      </c>
      <c r="DF552" s="27" t="s">
        <v>7</v>
      </c>
      <c r="DG552" s="27" t="s">
        <v>8</v>
      </c>
      <c r="DH552" s="27" t="s">
        <v>7</v>
      </c>
      <c r="DI552" s="27" t="s">
        <v>8</v>
      </c>
      <c r="DK552" s="27" t="s">
        <v>8</v>
      </c>
      <c r="DL552" s="27" t="s">
        <v>7</v>
      </c>
      <c r="DM552" s="27" t="s">
        <v>8</v>
      </c>
      <c r="DN552" s="27" t="s">
        <v>7</v>
      </c>
    </row>
    <row r="553" spans="1:130" x14ac:dyDescent="0.25">
      <c r="A553" s="7">
        <v>1.9606760320220162</v>
      </c>
      <c r="B553"/>
      <c r="C553"/>
      <c r="D553"/>
      <c r="E553" t="s">
        <v>8</v>
      </c>
      <c r="L553" s="27" t="s">
        <v>7</v>
      </c>
      <c r="M553" s="27" t="s">
        <v>8</v>
      </c>
      <c r="P553" s="27" t="s">
        <v>7</v>
      </c>
      <c r="Q553" s="27" t="s">
        <v>8</v>
      </c>
      <c r="AH553" s="27" t="s">
        <v>7</v>
      </c>
      <c r="AI553" s="27" t="s">
        <v>8</v>
      </c>
      <c r="AJ553" s="27" t="s">
        <v>7</v>
      </c>
      <c r="AM553" s="27" t="s">
        <v>8</v>
      </c>
      <c r="AP553" s="27" t="s">
        <v>7</v>
      </c>
      <c r="AQ553" s="27" t="s">
        <v>8</v>
      </c>
      <c r="AR553" s="27" t="s">
        <v>7</v>
      </c>
      <c r="AS553" s="27" t="s">
        <v>8</v>
      </c>
      <c r="AT553" s="27" t="s">
        <v>7</v>
      </c>
      <c r="BQ553" s="27" t="s">
        <v>8</v>
      </c>
      <c r="BS553" s="27" t="s">
        <v>8</v>
      </c>
      <c r="BT553" s="27" t="s">
        <v>7</v>
      </c>
      <c r="BU553" s="27" t="s">
        <v>8</v>
      </c>
      <c r="BV553" s="27" t="s">
        <v>7</v>
      </c>
      <c r="BW553" s="27" t="s">
        <v>8</v>
      </c>
      <c r="CH553" s="27" t="s">
        <v>7</v>
      </c>
      <c r="CI553" s="27" t="s">
        <v>8</v>
      </c>
      <c r="CL553" s="27" t="s">
        <v>7</v>
      </c>
      <c r="CP553" s="27" t="s">
        <v>7</v>
      </c>
      <c r="CQ553" s="27" t="s">
        <v>8</v>
      </c>
      <c r="CR553" s="27" t="s">
        <v>7</v>
      </c>
      <c r="CW553" s="27" t="s">
        <v>8</v>
      </c>
      <c r="CX553" s="27" t="s">
        <v>7</v>
      </c>
      <c r="CY553" s="27" t="s">
        <v>8</v>
      </c>
      <c r="CZ553" s="27" t="s">
        <v>7</v>
      </c>
      <c r="DA553" s="27" t="s">
        <v>8</v>
      </c>
      <c r="DB553" s="27" t="s">
        <v>7</v>
      </c>
      <c r="DC553" s="27" t="s">
        <v>8</v>
      </c>
      <c r="DF553" s="27" t="s">
        <v>7</v>
      </c>
      <c r="DH553" s="27" t="s">
        <v>7</v>
      </c>
      <c r="DI553" s="27" t="s">
        <v>8</v>
      </c>
      <c r="DJ553" s="27" t="s">
        <v>7</v>
      </c>
      <c r="DK553" s="27" t="s">
        <v>8</v>
      </c>
      <c r="DL553" s="27" t="s">
        <v>7</v>
      </c>
      <c r="DN553" s="27" t="s">
        <v>7</v>
      </c>
      <c r="DO553" s="27" t="s">
        <v>8</v>
      </c>
      <c r="DY553" s="27" t="s">
        <v>8</v>
      </c>
    </row>
    <row r="554" spans="1:130" x14ac:dyDescent="0.25">
      <c r="A554" s="7">
        <v>1.9222314039431532</v>
      </c>
      <c r="B554"/>
      <c r="C554"/>
      <c r="D554"/>
      <c r="E554" t="s">
        <v>8</v>
      </c>
      <c r="L554" s="27" t="s">
        <v>7</v>
      </c>
      <c r="M554" s="27" t="s">
        <v>8</v>
      </c>
      <c r="P554" s="27" t="s">
        <v>7</v>
      </c>
      <c r="Q554" s="27" t="s">
        <v>8</v>
      </c>
      <c r="AH554" s="27" t="s">
        <v>7</v>
      </c>
      <c r="AI554" s="27" t="s">
        <v>8</v>
      </c>
      <c r="AJ554" s="27" t="s">
        <v>7</v>
      </c>
      <c r="AK554" s="27" t="s">
        <v>8</v>
      </c>
      <c r="AM554" s="27" t="s">
        <v>8</v>
      </c>
      <c r="AP554" s="27" t="s">
        <v>7</v>
      </c>
      <c r="AQ554" s="27" t="s">
        <v>8</v>
      </c>
      <c r="AR554" s="27" t="s">
        <v>7</v>
      </c>
      <c r="AS554" s="27" t="s">
        <v>8</v>
      </c>
      <c r="AT554" s="27" t="s">
        <v>7</v>
      </c>
      <c r="BQ554" s="27" t="s">
        <v>8</v>
      </c>
      <c r="BR554" s="27" t="s">
        <v>7</v>
      </c>
      <c r="BS554" s="27" t="s">
        <v>8</v>
      </c>
      <c r="BT554" s="27" t="s">
        <v>7</v>
      </c>
      <c r="BU554" s="27" t="s">
        <v>8</v>
      </c>
      <c r="BV554" s="27" t="s">
        <v>7</v>
      </c>
      <c r="CH554" s="27" t="s">
        <v>7</v>
      </c>
      <c r="CI554" s="27" t="s">
        <v>8</v>
      </c>
      <c r="CP554" s="27" t="s">
        <v>7</v>
      </c>
      <c r="CQ554" s="27" t="s">
        <v>8</v>
      </c>
      <c r="CR554" s="27" t="s">
        <v>7</v>
      </c>
      <c r="CW554" s="27" t="s">
        <v>8</v>
      </c>
      <c r="CX554" s="27" t="s">
        <v>7</v>
      </c>
      <c r="CY554" s="27" t="s">
        <v>8</v>
      </c>
      <c r="CZ554" s="27" t="s">
        <v>7</v>
      </c>
      <c r="DA554" s="27" t="s">
        <v>8</v>
      </c>
      <c r="DB554" s="27" t="s">
        <v>7</v>
      </c>
      <c r="DH554" s="27" t="s">
        <v>7</v>
      </c>
      <c r="DI554" s="27" t="s">
        <v>8</v>
      </c>
      <c r="DJ554" s="27" t="s">
        <v>7</v>
      </c>
      <c r="DK554" s="27" t="s">
        <v>8</v>
      </c>
      <c r="DN554" s="27" t="s">
        <v>7</v>
      </c>
      <c r="DO554" s="27" t="s">
        <v>8</v>
      </c>
      <c r="DP554" s="27" t="s">
        <v>7</v>
      </c>
      <c r="DY554" s="27" t="s">
        <v>8</v>
      </c>
      <c r="DZ554" s="27" t="s">
        <v>7</v>
      </c>
    </row>
    <row r="555" spans="1:130" x14ac:dyDescent="0.25">
      <c r="A555" s="7">
        <v>1.8845405921011305</v>
      </c>
      <c r="B555"/>
      <c r="C555"/>
      <c r="D555"/>
      <c r="E555" t="s">
        <v>8</v>
      </c>
      <c r="L555" s="27" t="s">
        <v>7</v>
      </c>
      <c r="M555" s="27" t="s">
        <v>8</v>
      </c>
      <c r="P555" s="27" t="s">
        <v>7</v>
      </c>
      <c r="Q555" s="27" t="s">
        <v>8</v>
      </c>
      <c r="AH555" s="27" t="s">
        <v>7</v>
      </c>
      <c r="AI555" s="27" t="s">
        <v>8</v>
      </c>
      <c r="AJ555" s="27" t="s">
        <v>7</v>
      </c>
      <c r="AK555" s="27" t="s">
        <v>8</v>
      </c>
      <c r="AL555" s="27" t="s">
        <v>7</v>
      </c>
      <c r="AM555" s="27" t="s">
        <v>8</v>
      </c>
      <c r="AP555" s="27" t="s">
        <v>7</v>
      </c>
      <c r="AQ555" s="27" t="s">
        <v>8</v>
      </c>
      <c r="AR555" s="27" t="s">
        <v>7</v>
      </c>
      <c r="AS555" s="27" t="s">
        <v>8</v>
      </c>
      <c r="AT555" s="27" t="s">
        <v>7</v>
      </c>
      <c r="BG555" s="27" t="s">
        <v>8</v>
      </c>
      <c r="BQ555" s="27" t="s">
        <v>8</v>
      </c>
      <c r="BR555" s="27" t="s">
        <v>7</v>
      </c>
      <c r="BS555" s="27" t="s">
        <v>8</v>
      </c>
      <c r="BT555" s="27" t="s">
        <v>7</v>
      </c>
      <c r="BU555" s="27" t="s">
        <v>8</v>
      </c>
      <c r="CH555" s="27" t="s">
        <v>7</v>
      </c>
      <c r="CP555" s="27" t="s">
        <v>7</v>
      </c>
      <c r="CQ555" s="27" t="s">
        <v>8</v>
      </c>
      <c r="CR555" s="27" t="s">
        <v>7</v>
      </c>
      <c r="CW555" s="27" t="s">
        <v>8</v>
      </c>
      <c r="CX555" s="27" t="s">
        <v>7</v>
      </c>
      <c r="CY555" s="27" t="s">
        <v>8</v>
      </c>
      <c r="CZ555" s="27" t="s">
        <v>7</v>
      </c>
      <c r="DA555" s="27" t="s">
        <v>8</v>
      </c>
      <c r="DH555" s="27" t="s">
        <v>7</v>
      </c>
      <c r="DI555" s="27" t="s">
        <v>8</v>
      </c>
      <c r="DJ555" s="27" t="s">
        <v>7</v>
      </c>
      <c r="DN555" s="27" t="s">
        <v>7</v>
      </c>
      <c r="DO555" s="27" t="s">
        <v>8</v>
      </c>
      <c r="DP555" s="27" t="s">
        <v>7</v>
      </c>
      <c r="DQ555" s="27" t="s">
        <v>8</v>
      </c>
      <c r="DY555" s="27" t="s">
        <v>8</v>
      </c>
      <c r="DZ555" s="27" t="s">
        <v>7</v>
      </c>
    </row>
    <row r="556" spans="1:130" x14ac:dyDescent="0.25">
      <c r="A556" s="7">
        <v>1.8475888157854219</v>
      </c>
      <c r="B556"/>
      <c r="C556"/>
      <c r="D556"/>
      <c r="E556" t="s">
        <v>8</v>
      </c>
      <c r="L556" s="27" t="s">
        <v>7</v>
      </c>
      <c r="M556" s="27" t="s">
        <v>8</v>
      </c>
      <c r="P556" s="27" t="s">
        <v>7</v>
      </c>
      <c r="Q556" s="27" t="s">
        <v>8</v>
      </c>
      <c r="AH556" s="27" t="s">
        <v>7</v>
      </c>
      <c r="AI556" s="27" t="s">
        <v>8</v>
      </c>
      <c r="AJ556" s="27" t="s">
        <v>7</v>
      </c>
      <c r="AK556" s="27" t="s">
        <v>8</v>
      </c>
      <c r="AL556" s="27" t="s">
        <v>7</v>
      </c>
      <c r="AM556" s="27" t="s">
        <v>8</v>
      </c>
      <c r="AP556" s="27" t="s">
        <v>7</v>
      </c>
      <c r="AQ556" s="27" t="s">
        <v>8</v>
      </c>
      <c r="AR556" s="27" t="s">
        <v>7</v>
      </c>
      <c r="AS556" s="27" t="s">
        <v>8</v>
      </c>
      <c r="AT556" s="27" t="s">
        <v>7</v>
      </c>
      <c r="BG556" s="27" t="s">
        <v>8</v>
      </c>
      <c r="BH556" s="27" t="s">
        <v>7</v>
      </c>
      <c r="BQ556" s="27" t="s">
        <v>8</v>
      </c>
      <c r="BR556" s="27" t="s">
        <v>7</v>
      </c>
      <c r="BS556" s="27" t="s">
        <v>8</v>
      </c>
      <c r="BT556" s="27" t="s">
        <v>7</v>
      </c>
      <c r="BU556" s="27" t="s">
        <v>8</v>
      </c>
      <c r="CP556" s="27" t="s">
        <v>7</v>
      </c>
      <c r="CQ556" s="27" t="s">
        <v>8</v>
      </c>
      <c r="CR556" s="27" t="s">
        <v>7</v>
      </c>
      <c r="CS556" s="27" t="s">
        <v>8</v>
      </c>
      <c r="CW556" s="27" t="s">
        <v>8</v>
      </c>
      <c r="CX556" s="27" t="s">
        <v>7</v>
      </c>
      <c r="CY556" s="27" t="s">
        <v>8</v>
      </c>
      <c r="CZ556" s="27" t="s">
        <v>7</v>
      </c>
      <c r="DA556" s="27" t="s">
        <v>8</v>
      </c>
      <c r="DH556" s="27" t="s">
        <v>7</v>
      </c>
      <c r="DI556" s="27" t="s">
        <v>8</v>
      </c>
      <c r="DN556" s="27" t="s">
        <v>7</v>
      </c>
      <c r="DP556" s="27" t="s">
        <v>7</v>
      </c>
      <c r="DQ556" s="27" t="s">
        <v>8</v>
      </c>
      <c r="DR556" s="27" t="s">
        <v>7</v>
      </c>
      <c r="DY556" s="27" t="s">
        <v>8</v>
      </c>
      <c r="DZ556" s="27" t="s">
        <v>7</v>
      </c>
    </row>
    <row r="557" spans="1:130" x14ac:dyDescent="0.25">
      <c r="A557" s="7">
        <v>1.8113615841033548</v>
      </c>
      <c r="B557"/>
      <c r="C557"/>
      <c r="D557"/>
      <c r="E557" t="s">
        <v>8</v>
      </c>
      <c r="L557" s="27" t="s">
        <v>7</v>
      </c>
      <c r="M557" s="27" t="s">
        <v>8</v>
      </c>
      <c r="P557" s="27" t="s">
        <v>7</v>
      </c>
      <c r="AH557" s="27" t="s">
        <v>7</v>
      </c>
      <c r="AI557" s="27" t="s">
        <v>8</v>
      </c>
      <c r="AJ557" s="27" t="s">
        <v>7</v>
      </c>
      <c r="AK557" s="27" t="s">
        <v>8</v>
      </c>
      <c r="AL557" s="27" t="s">
        <v>7</v>
      </c>
      <c r="AM557" s="27" t="s">
        <v>8</v>
      </c>
      <c r="AP557" s="27" t="s">
        <v>7</v>
      </c>
      <c r="AR557" s="27" t="s">
        <v>7</v>
      </c>
      <c r="AT557" s="27" t="s">
        <v>7</v>
      </c>
      <c r="BG557" s="27" t="s">
        <v>8</v>
      </c>
      <c r="BH557" s="27" t="s">
        <v>7</v>
      </c>
      <c r="BQ557" s="27" t="s">
        <v>8</v>
      </c>
      <c r="BR557" s="27" t="s">
        <v>7</v>
      </c>
      <c r="BS557" s="27" t="s">
        <v>8</v>
      </c>
      <c r="BT557" s="27" t="s">
        <v>7</v>
      </c>
      <c r="BU557" s="27" t="s">
        <v>8</v>
      </c>
      <c r="CP557" s="27" t="s">
        <v>7</v>
      </c>
      <c r="CQ557" s="27" t="s">
        <v>8</v>
      </c>
      <c r="CR557" s="27" t="s">
        <v>7</v>
      </c>
      <c r="CS557" s="27" t="s">
        <v>8</v>
      </c>
      <c r="CT557" s="27" t="s">
        <v>7</v>
      </c>
      <c r="CW557" s="27" t="s">
        <v>8</v>
      </c>
      <c r="CX557" s="27" t="s">
        <v>7</v>
      </c>
      <c r="CZ557" s="27" t="s">
        <v>7</v>
      </c>
      <c r="DA557" s="27" t="s">
        <v>8</v>
      </c>
      <c r="DH557" s="27" t="s">
        <v>7</v>
      </c>
      <c r="DP557" s="27" t="s">
        <v>7</v>
      </c>
      <c r="DQ557" s="27" t="s">
        <v>8</v>
      </c>
      <c r="DR557" s="27" t="s">
        <v>7</v>
      </c>
      <c r="DS557" s="27" t="s">
        <v>8</v>
      </c>
      <c r="DY557" s="27" t="s">
        <v>8</v>
      </c>
      <c r="DZ557" s="27" t="s">
        <v>7</v>
      </c>
    </row>
    <row r="558" spans="1:130" x14ac:dyDescent="0.25">
      <c r="A558" s="7">
        <v>1.7758446902974065</v>
      </c>
      <c r="B558"/>
      <c r="C558"/>
      <c r="D558"/>
      <c r="E558" t="s">
        <v>8</v>
      </c>
      <c r="L558" s="27" t="s">
        <v>7</v>
      </c>
      <c r="M558" s="27" t="s">
        <v>8</v>
      </c>
      <c r="AH558" s="27" t="s">
        <v>7</v>
      </c>
      <c r="AI558" s="27" t="s">
        <v>8</v>
      </c>
      <c r="AJ558" s="27" t="s">
        <v>7</v>
      </c>
      <c r="AK558" s="27" t="s">
        <v>8</v>
      </c>
      <c r="AL558" s="27" t="s">
        <v>7</v>
      </c>
      <c r="AM558" s="27" t="s">
        <v>8</v>
      </c>
      <c r="AT558" s="27" t="s">
        <v>7</v>
      </c>
      <c r="BG558" s="27" t="s">
        <v>8</v>
      </c>
      <c r="BH558" s="27" t="s">
        <v>7</v>
      </c>
      <c r="BQ558" s="27" t="s">
        <v>8</v>
      </c>
      <c r="BR558" s="27" t="s">
        <v>7</v>
      </c>
      <c r="BT558" s="27" t="s">
        <v>7</v>
      </c>
      <c r="CP558" s="27" t="s">
        <v>7</v>
      </c>
      <c r="CQ558" s="27" t="s">
        <v>8</v>
      </c>
      <c r="CR558" s="27" t="s">
        <v>7</v>
      </c>
      <c r="CS558" s="27" t="s">
        <v>8</v>
      </c>
      <c r="CT558" s="27" t="s">
        <v>7</v>
      </c>
      <c r="CU558" s="27" t="s">
        <v>8</v>
      </c>
      <c r="CW558" s="27" t="s">
        <v>8</v>
      </c>
      <c r="CZ558" s="27" t="s">
        <v>7</v>
      </c>
      <c r="DA558" s="27" t="s">
        <v>8</v>
      </c>
      <c r="DP558" s="27" t="s">
        <v>7</v>
      </c>
      <c r="DQ558" s="27" t="s">
        <v>8</v>
      </c>
      <c r="DR558" s="27" t="s">
        <v>7</v>
      </c>
      <c r="DS558" s="27" t="s">
        <v>8</v>
      </c>
      <c r="DT558" s="27" t="s">
        <v>7</v>
      </c>
      <c r="DY558" s="27" t="s">
        <v>8</v>
      </c>
      <c r="DZ558" s="27" t="s">
        <v>7</v>
      </c>
    </row>
    <row r="559" spans="1:130" x14ac:dyDescent="0.25">
      <c r="A559" s="7">
        <v>1.7410242061739281</v>
      </c>
      <c r="B559"/>
      <c r="C559"/>
      <c r="D559"/>
      <c r="E559" t="s">
        <v>8</v>
      </c>
      <c r="L559" s="27" t="s">
        <v>7</v>
      </c>
      <c r="M559" s="27" t="s">
        <v>8</v>
      </c>
      <c r="AH559" s="27" t="s">
        <v>7</v>
      </c>
      <c r="AI559" s="27" t="s">
        <v>8</v>
      </c>
      <c r="AJ559" s="27" t="s">
        <v>7</v>
      </c>
      <c r="AK559" s="27" t="s">
        <v>8</v>
      </c>
      <c r="AL559" s="27" t="s">
        <v>7</v>
      </c>
      <c r="AM559" s="27" t="s">
        <v>8</v>
      </c>
      <c r="AT559" s="27" t="s">
        <v>7</v>
      </c>
      <c r="BG559" s="27" t="s">
        <v>8</v>
      </c>
      <c r="BH559" s="27" t="s">
        <v>7</v>
      </c>
      <c r="BI559" s="27" t="s">
        <v>8</v>
      </c>
      <c r="BQ559" s="27" t="s">
        <v>8</v>
      </c>
      <c r="CP559" s="27" t="s">
        <v>7</v>
      </c>
      <c r="CQ559" s="27" t="s">
        <v>8</v>
      </c>
      <c r="CR559" s="27" t="s">
        <v>7</v>
      </c>
      <c r="CS559" s="27" t="s">
        <v>8</v>
      </c>
      <c r="CT559" s="27" t="s">
        <v>7</v>
      </c>
      <c r="CU559" s="27" t="s">
        <v>8</v>
      </c>
      <c r="CV559" s="27" t="s">
        <v>7</v>
      </c>
      <c r="CW559" s="27" t="s">
        <v>8</v>
      </c>
      <c r="CZ559" s="27" t="s">
        <v>7</v>
      </c>
      <c r="DP559" s="27" t="s">
        <v>7</v>
      </c>
      <c r="DQ559" s="27" t="s">
        <v>8</v>
      </c>
      <c r="DR559" s="27" t="s">
        <v>7</v>
      </c>
      <c r="DS559" s="27" t="s">
        <v>8</v>
      </c>
      <c r="DT559" s="27" t="s">
        <v>7</v>
      </c>
      <c r="DW559" s="27" t="s">
        <v>8</v>
      </c>
      <c r="DY559" s="27" t="s">
        <v>8</v>
      </c>
      <c r="DZ559" s="27" t="s">
        <v>7</v>
      </c>
    </row>
    <row r="560" spans="1:130" x14ac:dyDescent="0.25">
      <c r="A560" s="7">
        <v>1.7068864766411058</v>
      </c>
      <c r="B560"/>
      <c r="C560"/>
      <c r="D560"/>
      <c r="E560" t="s">
        <v>8</v>
      </c>
      <c r="L560" s="27" t="s">
        <v>7</v>
      </c>
      <c r="AH560" s="27" t="s">
        <v>7</v>
      </c>
      <c r="AI560" s="27" t="s">
        <v>8</v>
      </c>
      <c r="AJ560" s="27" t="s">
        <v>7</v>
      </c>
      <c r="AK560" s="27" t="s">
        <v>8</v>
      </c>
      <c r="AL560" s="27" t="s">
        <v>7</v>
      </c>
      <c r="AM560" s="27" t="s">
        <v>8</v>
      </c>
      <c r="AT560" s="27" t="s">
        <v>7</v>
      </c>
      <c r="BG560" s="27" t="s">
        <v>8</v>
      </c>
      <c r="BH560" s="27" t="s">
        <v>7</v>
      </c>
      <c r="BI560" s="27" t="s">
        <v>8</v>
      </c>
      <c r="BJ560" s="27" t="s">
        <v>7</v>
      </c>
      <c r="BK560" s="27" t="s">
        <v>8</v>
      </c>
      <c r="BM560" s="27" t="s">
        <v>8</v>
      </c>
      <c r="BQ560" s="27" t="s">
        <v>8</v>
      </c>
      <c r="CP560" s="27" t="s">
        <v>7</v>
      </c>
      <c r="CR560" s="27" t="s">
        <v>7</v>
      </c>
      <c r="CT560" s="27" t="s">
        <v>7</v>
      </c>
      <c r="CU560" s="27" t="s">
        <v>8</v>
      </c>
      <c r="CV560" s="27" t="s">
        <v>7</v>
      </c>
      <c r="CW560" s="27" t="s">
        <v>8</v>
      </c>
      <c r="DP560" s="27" t="s">
        <v>7</v>
      </c>
      <c r="DQ560" s="27" t="s">
        <v>8</v>
      </c>
      <c r="DR560" s="27" t="s">
        <v>7</v>
      </c>
      <c r="DS560" s="27" t="s">
        <v>8</v>
      </c>
      <c r="DT560" s="27" t="s">
        <v>7</v>
      </c>
      <c r="DW560" s="27" t="s">
        <v>8</v>
      </c>
      <c r="DX560" s="27" t="s">
        <v>7</v>
      </c>
      <c r="DY560" s="27" t="s">
        <v>8</v>
      </c>
      <c r="DZ560" s="27" t="s">
        <v>7</v>
      </c>
    </row>
    <row r="561" spans="1:148" x14ac:dyDescent="0.25">
      <c r="A561" s="7">
        <v>1.6734181143540252</v>
      </c>
      <c r="B561"/>
      <c r="C561"/>
      <c r="D561"/>
      <c r="E561" t="s">
        <v>8</v>
      </c>
      <c r="AH561" s="27" t="s">
        <v>7</v>
      </c>
      <c r="AI561" s="27" t="s">
        <v>8</v>
      </c>
      <c r="AJ561" s="27" t="s">
        <v>7</v>
      </c>
      <c r="AK561" s="27" t="s">
        <v>8</v>
      </c>
      <c r="AL561" s="27" t="s">
        <v>7</v>
      </c>
      <c r="AM561" s="27" t="s">
        <v>8</v>
      </c>
      <c r="AT561" s="27" t="s">
        <v>7</v>
      </c>
      <c r="BG561" s="27" t="s">
        <v>8</v>
      </c>
      <c r="BH561" s="27" t="s">
        <v>7</v>
      </c>
      <c r="BI561" s="27" t="s">
        <v>8</v>
      </c>
      <c r="BJ561" s="27" t="s">
        <v>7</v>
      </c>
      <c r="BK561" s="27" t="s">
        <v>8</v>
      </c>
      <c r="BL561" s="27" t="s">
        <v>7</v>
      </c>
      <c r="BM561" s="27" t="s">
        <v>8</v>
      </c>
      <c r="BN561" s="27" t="s">
        <v>7</v>
      </c>
      <c r="BO561" s="27" t="s">
        <v>8</v>
      </c>
      <c r="BQ561" s="27" t="s">
        <v>8</v>
      </c>
      <c r="CT561" s="27" t="s">
        <v>7</v>
      </c>
      <c r="CU561" s="27" t="s">
        <v>8</v>
      </c>
      <c r="CV561" s="27" t="s">
        <v>7</v>
      </c>
      <c r="CW561" s="27" t="s">
        <v>8</v>
      </c>
      <c r="DP561" s="27" t="s">
        <v>7</v>
      </c>
      <c r="DQ561" s="27" t="s">
        <v>8</v>
      </c>
      <c r="DR561" s="27" t="s">
        <v>7</v>
      </c>
      <c r="DT561" s="27" t="s">
        <v>7</v>
      </c>
      <c r="DW561" s="27" t="s">
        <v>8</v>
      </c>
      <c r="DX561" s="27" t="s">
        <v>7</v>
      </c>
      <c r="DY561" s="27" t="s">
        <v>8</v>
      </c>
      <c r="DZ561" s="27" t="s">
        <v>7</v>
      </c>
    </row>
    <row r="562" spans="1:148" x14ac:dyDescent="0.25">
      <c r="A562" s="7">
        <v>1.6406059944647307</v>
      </c>
      <c r="B562"/>
      <c r="C562"/>
      <c r="D562"/>
      <c r="E562" t="s">
        <v>8</v>
      </c>
      <c r="AH562" s="27" t="s">
        <v>7</v>
      </c>
      <c r="AI562" s="27" t="s">
        <v>8</v>
      </c>
      <c r="AJ562" s="27" t="s">
        <v>7</v>
      </c>
      <c r="AK562" s="27" t="s">
        <v>8</v>
      </c>
      <c r="AL562" s="27" t="s">
        <v>7</v>
      </c>
      <c r="AM562" s="27" t="s">
        <v>8</v>
      </c>
      <c r="AT562" s="27" t="s">
        <v>7</v>
      </c>
      <c r="BG562" s="27" t="s">
        <v>8</v>
      </c>
      <c r="BH562" s="27" t="s">
        <v>7</v>
      </c>
      <c r="BI562" s="27" t="s">
        <v>8</v>
      </c>
      <c r="BJ562" s="27" t="s">
        <v>7</v>
      </c>
      <c r="BK562" s="27" t="s">
        <v>8</v>
      </c>
      <c r="BL562" s="27" t="s">
        <v>7</v>
      </c>
      <c r="BM562" s="27" t="s">
        <v>8</v>
      </c>
      <c r="BN562" s="27" t="s">
        <v>7</v>
      </c>
      <c r="BO562" s="27" t="s">
        <v>8</v>
      </c>
      <c r="BP562" s="27" t="s">
        <v>7</v>
      </c>
      <c r="BQ562" s="27" t="s">
        <v>8</v>
      </c>
      <c r="CT562" s="27" t="s">
        <v>7</v>
      </c>
      <c r="CU562" s="27" t="s">
        <v>8</v>
      </c>
      <c r="CV562" s="27" t="s">
        <v>7</v>
      </c>
      <c r="CW562" s="27" t="s">
        <v>8</v>
      </c>
      <c r="DP562" s="27" t="s">
        <v>7</v>
      </c>
      <c r="DQ562" s="27" t="s">
        <v>8</v>
      </c>
      <c r="DT562" s="27" t="s">
        <v>7</v>
      </c>
      <c r="DU562" s="27" t="s">
        <v>8</v>
      </c>
      <c r="DW562" s="27" t="s">
        <v>8</v>
      </c>
      <c r="DX562" s="27" t="s">
        <v>7</v>
      </c>
      <c r="DY562" s="27" t="s">
        <v>8</v>
      </c>
      <c r="DZ562" s="27" t="s">
        <v>7</v>
      </c>
    </row>
    <row r="563" spans="1:148" x14ac:dyDescent="0.25">
      <c r="A563" s="7">
        <v>1.6084372494752261</v>
      </c>
      <c r="B563"/>
      <c r="C563"/>
      <c r="D563"/>
      <c r="E563" t="s">
        <v>8</v>
      </c>
      <c r="AH563" s="27" t="s">
        <v>7</v>
      </c>
      <c r="AI563" s="27" t="s">
        <v>8</v>
      </c>
      <c r="AJ563" s="27" t="s">
        <v>7</v>
      </c>
      <c r="AK563" s="27" t="s">
        <v>8</v>
      </c>
      <c r="AL563" s="27" t="s">
        <v>7</v>
      </c>
      <c r="AM563" s="27" t="s">
        <v>8</v>
      </c>
      <c r="AT563" s="27" t="s">
        <v>7</v>
      </c>
      <c r="BG563" s="27" t="s">
        <v>8</v>
      </c>
      <c r="BH563" s="27" t="s">
        <v>7</v>
      </c>
      <c r="BI563" s="27" t="s">
        <v>8</v>
      </c>
      <c r="BJ563" s="27" t="s">
        <v>7</v>
      </c>
      <c r="BK563" s="27" t="s">
        <v>8</v>
      </c>
      <c r="BL563" s="27" t="s">
        <v>7</v>
      </c>
      <c r="BM563" s="27" t="s">
        <v>8</v>
      </c>
      <c r="BN563" s="27" t="s">
        <v>7</v>
      </c>
      <c r="BO563" s="27" t="s">
        <v>8</v>
      </c>
      <c r="BP563" s="27" t="s">
        <v>7</v>
      </c>
      <c r="BQ563" s="27" t="s">
        <v>8</v>
      </c>
      <c r="CT563" s="27" t="s">
        <v>7</v>
      </c>
      <c r="CV563" s="27" t="s">
        <v>7</v>
      </c>
      <c r="DP563" s="27" t="s">
        <v>7</v>
      </c>
      <c r="DQ563" s="27" t="s">
        <v>8</v>
      </c>
      <c r="DT563" s="27" t="s">
        <v>7</v>
      </c>
      <c r="DU563" s="27" t="s">
        <v>8</v>
      </c>
      <c r="DV563" s="27" t="s">
        <v>7</v>
      </c>
      <c r="DW563" s="27" t="s">
        <v>8</v>
      </c>
      <c r="DX563" s="27" t="s">
        <v>7</v>
      </c>
      <c r="DZ563" s="27" t="s">
        <v>7</v>
      </c>
    </row>
    <row r="564" spans="1:148" x14ac:dyDescent="0.25">
      <c r="A564" s="7">
        <v>1.5768992641913981</v>
      </c>
      <c r="B564"/>
      <c r="C564"/>
      <c r="D564"/>
      <c r="E564" t="s">
        <v>8</v>
      </c>
      <c r="AH564" s="27" t="s">
        <v>7</v>
      </c>
      <c r="AI564" s="27" t="s">
        <v>8</v>
      </c>
      <c r="AJ564" s="27" t="s">
        <v>7</v>
      </c>
      <c r="AK564" s="27" t="s">
        <v>8</v>
      </c>
      <c r="AL564" s="27" t="s">
        <v>7</v>
      </c>
      <c r="AM564" s="27" t="s">
        <v>8</v>
      </c>
      <c r="AT564" s="27" t="s">
        <v>7</v>
      </c>
      <c r="BC564" s="27" t="s">
        <v>8</v>
      </c>
      <c r="BG564" s="27" t="s">
        <v>8</v>
      </c>
      <c r="BH564" s="27" t="s">
        <v>7</v>
      </c>
      <c r="BI564" s="27" t="s">
        <v>8</v>
      </c>
      <c r="BJ564" s="27" t="s">
        <v>7</v>
      </c>
      <c r="BK564" s="27" t="s">
        <v>8</v>
      </c>
      <c r="BL564" s="27" t="s">
        <v>7</v>
      </c>
      <c r="BM564" s="27" t="s">
        <v>8</v>
      </c>
      <c r="BN564" s="27" t="s">
        <v>7</v>
      </c>
      <c r="BO564" s="27" t="s">
        <v>8</v>
      </c>
      <c r="BP564" s="27" t="s">
        <v>7</v>
      </c>
      <c r="BQ564" s="27" t="s">
        <v>8</v>
      </c>
      <c r="DP564" s="27" t="s">
        <v>7</v>
      </c>
      <c r="DQ564" s="27" t="s">
        <v>8</v>
      </c>
      <c r="DT564" s="27" t="s">
        <v>7</v>
      </c>
      <c r="DU564" s="27" t="s">
        <v>8</v>
      </c>
      <c r="DV564" s="27" t="s">
        <v>7</v>
      </c>
      <c r="DW564" s="27" t="s">
        <v>8</v>
      </c>
      <c r="DZ564" s="27" t="s">
        <v>7</v>
      </c>
      <c r="EC564" s="27" t="s">
        <v>8</v>
      </c>
      <c r="EI564" s="27" t="s">
        <v>8</v>
      </c>
    </row>
    <row r="565" spans="1:148" x14ac:dyDescent="0.25">
      <c r="A565" s="7">
        <v>1.5459796707758806</v>
      </c>
      <c r="B565"/>
      <c r="C565"/>
      <c r="D565"/>
      <c r="E565" t="s">
        <v>8</v>
      </c>
      <c r="AH565" s="27" t="s">
        <v>7</v>
      </c>
      <c r="AI565" s="27" t="s">
        <v>8</v>
      </c>
      <c r="AJ565" s="27" t="s">
        <v>7</v>
      </c>
      <c r="AK565" s="27" t="s">
        <v>8</v>
      </c>
      <c r="AL565" s="27" t="s">
        <v>7</v>
      </c>
      <c r="AM565" s="27" t="s">
        <v>8</v>
      </c>
      <c r="AT565" s="27" t="s">
        <v>7</v>
      </c>
      <c r="AU565" s="27" t="s">
        <v>8</v>
      </c>
      <c r="BC565" s="27" t="s">
        <v>8</v>
      </c>
      <c r="BD565" s="27" t="s">
        <v>7</v>
      </c>
      <c r="BG565" s="27" t="s">
        <v>8</v>
      </c>
      <c r="BH565" s="27" t="s">
        <v>7</v>
      </c>
      <c r="BI565" s="27" t="s">
        <v>8</v>
      </c>
      <c r="BJ565" s="27" t="s">
        <v>7</v>
      </c>
      <c r="BK565" s="27" t="s">
        <v>8</v>
      </c>
      <c r="BL565" s="27" t="s">
        <v>7</v>
      </c>
      <c r="BM565" s="27" t="s">
        <v>8</v>
      </c>
      <c r="BN565" s="27" t="s">
        <v>7</v>
      </c>
      <c r="BO565" s="27" t="s">
        <v>8</v>
      </c>
      <c r="BP565" s="27" t="s">
        <v>7</v>
      </c>
      <c r="BQ565" s="27" t="s">
        <v>8</v>
      </c>
      <c r="DP565" s="27" t="s">
        <v>7</v>
      </c>
      <c r="DQ565" s="27" t="s">
        <v>8</v>
      </c>
      <c r="DT565" s="27" t="s">
        <v>7</v>
      </c>
      <c r="DV565" s="27" t="s">
        <v>7</v>
      </c>
      <c r="DW565" s="27" t="s">
        <v>8</v>
      </c>
      <c r="DZ565" s="27" t="s">
        <v>7</v>
      </c>
      <c r="EC565" s="27" t="s">
        <v>8</v>
      </c>
      <c r="ED565" s="27" t="s">
        <v>7</v>
      </c>
      <c r="EI565" s="27" t="s">
        <v>8</v>
      </c>
      <c r="EJ565" s="27" t="s">
        <v>7</v>
      </c>
    </row>
    <row r="566" spans="1:148" x14ac:dyDescent="0.25">
      <c r="A566" s="7">
        <v>1.5156663438979221</v>
      </c>
      <c r="B566"/>
      <c r="C566"/>
      <c r="D566"/>
      <c r="E566" t="s">
        <v>8</v>
      </c>
      <c r="AH566" s="27" t="s">
        <v>7</v>
      </c>
      <c r="AJ566" s="27" t="s">
        <v>7</v>
      </c>
      <c r="AK566" s="27" t="s">
        <v>8</v>
      </c>
      <c r="AL566" s="27" t="s">
        <v>7</v>
      </c>
      <c r="AM566" s="27" t="s">
        <v>8</v>
      </c>
      <c r="AT566" s="27" t="s">
        <v>7</v>
      </c>
      <c r="AU566" s="27" t="s">
        <v>8</v>
      </c>
      <c r="AV566" s="27" t="s">
        <v>7</v>
      </c>
      <c r="BC566" s="27" t="s">
        <v>8</v>
      </c>
      <c r="BD566" s="27" t="s">
        <v>7</v>
      </c>
      <c r="BG566" s="27" t="s">
        <v>8</v>
      </c>
      <c r="BH566" s="27" t="s">
        <v>7</v>
      </c>
      <c r="BI566" s="27" t="s">
        <v>8</v>
      </c>
      <c r="BJ566" s="27" t="s">
        <v>7</v>
      </c>
      <c r="BK566" s="27" t="s">
        <v>8</v>
      </c>
      <c r="BL566" s="27" t="s">
        <v>7</v>
      </c>
      <c r="BM566" s="27" t="s">
        <v>8</v>
      </c>
      <c r="BN566" s="27" t="s">
        <v>7</v>
      </c>
      <c r="BP566" s="27" t="s">
        <v>7</v>
      </c>
      <c r="DP566" s="27" t="s">
        <v>7</v>
      </c>
      <c r="DV566" s="27" t="s">
        <v>7</v>
      </c>
      <c r="DZ566" s="27" t="s">
        <v>7</v>
      </c>
      <c r="EC566" s="27" t="s">
        <v>8</v>
      </c>
      <c r="ED566" s="27" t="s">
        <v>7</v>
      </c>
      <c r="EI566" s="27" t="s">
        <v>8</v>
      </c>
      <c r="EJ566" s="27" t="s">
        <v>7</v>
      </c>
    </row>
    <row r="567" spans="1:148" x14ac:dyDescent="0.25">
      <c r="A567" s="7">
        <v>1.4859473959783549</v>
      </c>
      <c r="B567"/>
      <c r="C567"/>
      <c r="D567"/>
      <c r="E567" t="s">
        <v>8</v>
      </c>
      <c r="AJ567" s="27" t="s">
        <v>7</v>
      </c>
      <c r="AK567" s="27" t="s">
        <v>8</v>
      </c>
      <c r="AL567" s="27" t="s">
        <v>7</v>
      </c>
      <c r="AM567" s="27" t="s">
        <v>8</v>
      </c>
      <c r="AT567" s="27" t="s">
        <v>7</v>
      </c>
      <c r="AU567" s="27" t="s">
        <v>8</v>
      </c>
      <c r="AV567" s="27" t="s">
        <v>7</v>
      </c>
      <c r="AW567" s="27" t="s">
        <v>8</v>
      </c>
      <c r="BC567" s="27" t="s">
        <v>8</v>
      </c>
      <c r="BD567" s="27" t="s">
        <v>7</v>
      </c>
      <c r="BG567" s="27" t="s">
        <v>8</v>
      </c>
      <c r="BH567" s="27" t="s">
        <v>7</v>
      </c>
      <c r="BI567" s="27" t="s">
        <v>8</v>
      </c>
      <c r="BJ567" s="27" t="s">
        <v>7</v>
      </c>
      <c r="BK567" s="27" t="s">
        <v>8</v>
      </c>
      <c r="BL567" s="27" t="s">
        <v>7</v>
      </c>
      <c r="DZ567" s="27" t="s">
        <v>7</v>
      </c>
      <c r="EC567" s="27" t="s">
        <v>8</v>
      </c>
      <c r="ED567" s="27" t="s">
        <v>7</v>
      </c>
      <c r="EI567" s="27" t="s">
        <v>8</v>
      </c>
      <c r="EJ567" s="27" t="s">
        <v>7</v>
      </c>
    </row>
    <row r="568" spans="1:148" x14ac:dyDescent="0.25">
      <c r="A568" s="7">
        <v>1.4568111725277988</v>
      </c>
      <c r="B568"/>
      <c r="C568"/>
      <c r="D568"/>
      <c r="E568" t="s">
        <v>8</v>
      </c>
      <c r="AJ568" s="27" t="s">
        <v>7</v>
      </c>
      <c r="AK568" s="27" t="s">
        <v>8</v>
      </c>
      <c r="AL568" s="27" t="s">
        <v>7</v>
      </c>
      <c r="AM568" s="27" t="s">
        <v>8</v>
      </c>
      <c r="AT568" s="27" t="s">
        <v>7</v>
      </c>
      <c r="AU568" s="27" t="s">
        <v>8</v>
      </c>
      <c r="AV568" s="27" t="s">
        <v>7</v>
      </c>
      <c r="AW568" s="27" t="s">
        <v>8</v>
      </c>
      <c r="AX568" s="27" t="s">
        <v>7</v>
      </c>
      <c r="BA568" s="27" t="s">
        <v>8</v>
      </c>
      <c r="BC568" s="27" t="s">
        <v>8</v>
      </c>
      <c r="BD568" s="27" t="s">
        <v>7</v>
      </c>
      <c r="BG568" s="27" t="s">
        <v>8</v>
      </c>
      <c r="BH568" s="27" t="s">
        <v>7</v>
      </c>
      <c r="BI568" s="27" t="s">
        <v>8</v>
      </c>
      <c r="BJ568" s="27" t="s">
        <v>7</v>
      </c>
      <c r="BK568" s="27" t="s">
        <v>8</v>
      </c>
      <c r="DZ568" s="27" t="s">
        <v>7</v>
      </c>
      <c r="EA568" s="27" t="s">
        <v>8</v>
      </c>
      <c r="EC568" s="27" t="s">
        <v>8</v>
      </c>
      <c r="ED568" s="27" t="s">
        <v>7</v>
      </c>
      <c r="EE568" s="27" t="s">
        <v>8</v>
      </c>
      <c r="EI568" s="27" t="s">
        <v>8</v>
      </c>
      <c r="EJ568" s="27" t="s">
        <v>7</v>
      </c>
    </row>
    <row r="569" spans="1:148" x14ac:dyDescent="0.25">
      <c r="A569" s="7">
        <v>1.4282462475762734</v>
      </c>
      <c r="B569"/>
      <c r="C569"/>
      <c r="D569"/>
      <c r="E569" t="s">
        <v>8</v>
      </c>
      <c r="AJ569" s="27" t="s">
        <v>7</v>
      </c>
      <c r="AK569" s="27" t="s">
        <v>8</v>
      </c>
      <c r="AL569" s="27" t="s">
        <v>7</v>
      </c>
      <c r="AM569" s="27" t="s">
        <v>8</v>
      </c>
      <c r="AT569" s="27" t="s">
        <v>7</v>
      </c>
      <c r="AU569" s="27" t="s">
        <v>8</v>
      </c>
      <c r="AV569" s="27" t="s">
        <v>7</v>
      </c>
      <c r="AW569" s="27" t="s">
        <v>8</v>
      </c>
      <c r="AX569" s="27" t="s">
        <v>7</v>
      </c>
      <c r="BA569" s="27" t="s">
        <v>8</v>
      </c>
      <c r="BB569" s="27" t="s">
        <v>7</v>
      </c>
      <c r="BC569" s="27" t="s">
        <v>8</v>
      </c>
      <c r="BD569" s="27" t="s">
        <v>7</v>
      </c>
      <c r="BE569" s="27" t="s">
        <v>8</v>
      </c>
      <c r="BG569" s="27" t="s">
        <v>8</v>
      </c>
      <c r="BH569" s="27" t="s">
        <v>7</v>
      </c>
      <c r="BJ569" s="27" t="s">
        <v>7</v>
      </c>
      <c r="BK569" s="27" t="s">
        <v>8</v>
      </c>
      <c r="DZ569" s="27" t="s">
        <v>7</v>
      </c>
      <c r="EA569" s="27" t="s">
        <v>8</v>
      </c>
      <c r="EB569" s="27" t="s">
        <v>7</v>
      </c>
      <c r="EC569" s="27" t="s">
        <v>8</v>
      </c>
      <c r="ED569" s="27" t="s">
        <v>7</v>
      </c>
      <c r="EE569" s="27" t="s">
        <v>8</v>
      </c>
      <c r="EF569" s="27" t="s">
        <v>7</v>
      </c>
      <c r="EI569" s="27" t="s">
        <v>8</v>
      </c>
      <c r="EJ569" s="27" t="s">
        <v>7</v>
      </c>
    </row>
    <row r="570" spans="1:148" x14ac:dyDescent="0.25">
      <c r="A570" s="7">
        <v>1.4002414191924248</v>
      </c>
      <c r="B570"/>
      <c r="C570"/>
      <c r="D570"/>
      <c r="E570" t="s">
        <v>8</v>
      </c>
      <c r="AJ570" s="27" t="s">
        <v>7</v>
      </c>
      <c r="AK570" s="27" t="s">
        <v>8</v>
      </c>
      <c r="AL570" s="27" t="s">
        <v>7</v>
      </c>
      <c r="AM570" s="27" t="s">
        <v>8</v>
      </c>
      <c r="AT570" s="27" t="s">
        <v>7</v>
      </c>
      <c r="AU570" s="27" t="s">
        <v>8</v>
      </c>
      <c r="AV570" s="27" t="s">
        <v>7</v>
      </c>
      <c r="AW570" s="27" t="s">
        <v>8</v>
      </c>
      <c r="AX570" s="27" t="s">
        <v>7</v>
      </c>
      <c r="BA570" s="27" t="s">
        <v>8</v>
      </c>
      <c r="BB570" s="27" t="s">
        <v>7</v>
      </c>
      <c r="BC570" s="27" t="s">
        <v>8</v>
      </c>
      <c r="BD570" s="27" t="s">
        <v>7</v>
      </c>
      <c r="BE570" s="27" t="s">
        <v>8</v>
      </c>
      <c r="BF570" s="27" t="s">
        <v>7</v>
      </c>
      <c r="BG570" s="27" t="s">
        <v>8</v>
      </c>
      <c r="BJ570" s="27" t="s">
        <v>7</v>
      </c>
      <c r="BK570" s="27" t="s">
        <v>8</v>
      </c>
      <c r="DZ570" s="27" t="s">
        <v>7</v>
      </c>
      <c r="EA570" s="27" t="s">
        <v>8</v>
      </c>
      <c r="EB570" s="27" t="s">
        <v>7</v>
      </c>
      <c r="EC570" s="27" t="s">
        <v>8</v>
      </c>
      <c r="ED570" s="27" t="s">
        <v>7</v>
      </c>
      <c r="EE570" s="27" t="s">
        <v>8</v>
      </c>
      <c r="EF570" s="27" t="s">
        <v>7</v>
      </c>
      <c r="EI570" s="27" t="s">
        <v>8</v>
      </c>
      <c r="EJ570" s="27" t="s">
        <v>7</v>
      </c>
      <c r="EO570" s="27" t="s">
        <v>8</v>
      </c>
    </row>
    <row r="571" spans="1:148" x14ac:dyDescent="0.25">
      <c r="A571" s="7">
        <v>1.3727857050906125</v>
      </c>
      <c r="B571"/>
      <c r="C571"/>
      <c r="D571"/>
      <c r="E571" t="s">
        <v>8</v>
      </c>
      <c r="AJ571" s="27" t="s">
        <v>7</v>
      </c>
      <c r="AK571" s="27" t="s">
        <v>8</v>
      </c>
      <c r="AL571" s="27" t="s">
        <v>7</v>
      </c>
      <c r="AT571" s="27" t="s">
        <v>7</v>
      </c>
      <c r="AU571" s="27" t="s">
        <v>8</v>
      </c>
      <c r="AV571" s="27" t="s">
        <v>7</v>
      </c>
      <c r="AW571" s="27" t="s">
        <v>8</v>
      </c>
      <c r="AX571" s="27" t="s">
        <v>7</v>
      </c>
      <c r="AY571" s="27" t="s">
        <v>8</v>
      </c>
      <c r="BA571" s="27" t="s">
        <v>8</v>
      </c>
      <c r="BB571" s="27" t="s">
        <v>7</v>
      </c>
      <c r="BC571" s="27" t="s">
        <v>8</v>
      </c>
      <c r="BD571" s="27" t="s">
        <v>7</v>
      </c>
      <c r="BE571" s="27" t="s">
        <v>8</v>
      </c>
      <c r="BF571" s="27" t="s">
        <v>7</v>
      </c>
      <c r="BG571" s="27" t="s">
        <v>8</v>
      </c>
      <c r="BJ571" s="27" t="s">
        <v>7</v>
      </c>
      <c r="BK571" s="27" t="s">
        <v>8</v>
      </c>
      <c r="DZ571" s="27" t="s">
        <v>7</v>
      </c>
      <c r="EA571" s="27" t="s">
        <v>8</v>
      </c>
      <c r="EB571" s="27" t="s">
        <v>7</v>
      </c>
      <c r="EC571" s="27" t="s">
        <v>8</v>
      </c>
      <c r="ED571" s="27" t="s">
        <v>7</v>
      </c>
      <c r="EE571" s="27" t="s">
        <v>8</v>
      </c>
      <c r="EF571" s="27" t="s">
        <v>7</v>
      </c>
      <c r="EI571" s="27" t="s">
        <v>8</v>
      </c>
      <c r="EJ571" s="27" t="s">
        <v>7</v>
      </c>
      <c r="EO571" s="27" t="s">
        <v>8</v>
      </c>
      <c r="EP571" s="27" t="s">
        <v>7</v>
      </c>
    </row>
    <row r="572" spans="1:148" x14ac:dyDescent="0.25">
      <c r="A572" s="7">
        <v>1.3458683383241299</v>
      </c>
      <c r="B572"/>
      <c r="C572"/>
      <c r="D572"/>
      <c r="E572" t="s">
        <v>8</v>
      </c>
      <c r="AJ572" s="27" t="s">
        <v>7</v>
      </c>
      <c r="AK572" s="27" t="s">
        <v>8</v>
      </c>
      <c r="AT572" s="27" t="s">
        <v>7</v>
      </c>
      <c r="AU572" s="27" t="s">
        <v>8</v>
      </c>
      <c r="AV572" s="27" t="s">
        <v>7</v>
      </c>
      <c r="AW572" s="27" t="s">
        <v>8</v>
      </c>
      <c r="AX572" s="27" t="s">
        <v>7</v>
      </c>
      <c r="AY572" s="27" t="s">
        <v>8</v>
      </c>
      <c r="AZ572" s="27" t="s">
        <v>7</v>
      </c>
      <c r="BA572" s="27" t="s">
        <v>8</v>
      </c>
      <c r="BB572" s="27" t="s">
        <v>7</v>
      </c>
      <c r="BD572" s="27" t="s">
        <v>7</v>
      </c>
      <c r="BE572" s="27" t="s">
        <v>8</v>
      </c>
      <c r="BF572" s="27" t="s">
        <v>7</v>
      </c>
      <c r="BG572" s="27" t="s">
        <v>8</v>
      </c>
      <c r="BJ572" s="27" t="s">
        <v>7</v>
      </c>
      <c r="BK572" s="27" t="s">
        <v>8</v>
      </c>
      <c r="DZ572" s="27" t="s">
        <v>7</v>
      </c>
      <c r="EA572" s="27" t="s">
        <v>8</v>
      </c>
      <c r="EB572" s="27" t="s">
        <v>7</v>
      </c>
      <c r="EC572" s="27" t="s">
        <v>8</v>
      </c>
      <c r="ED572" s="27" t="s">
        <v>7</v>
      </c>
      <c r="EF572" s="27" t="s">
        <v>7</v>
      </c>
      <c r="EI572" s="27" t="s">
        <v>8</v>
      </c>
      <c r="EJ572" s="27" t="s">
        <v>7</v>
      </c>
      <c r="EK572" s="27" t="s">
        <v>8</v>
      </c>
      <c r="EM572" s="27" t="s">
        <v>8</v>
      </c>
      <c r="EO572" s="27" t="s">
        <v>8</v>
      </c>
      <c r="EP572" s="27" t="s">
        <v>7</v>
      </c>
    </row>
    <row r="573" spans="1:148" x14ac:dyDescent="0.25">
      <c r="A573" s="7">
        <v>1.3194787630628724</v>
      </c>
      <c r="B573"/>
      <c r="C573"/>
      <c r="D573"/>
      <c r="E573" t="s">
        <v>8</v>
      </c>
      <c r="AJ573" s="27" t="s">
        <v>7</v>
      </c>
      <c r="AK573" s="27" t="s">
        <v>8</v>
      </c>
      <c r="AT573" s="27" t="s">
        <v>7</v>
      </c>
      <c r="AU573" s="27" t="s">
        <v>8</v>
      </c>
      <c r="AV573" s="27" t="s">
        <v>7</v>
      </c>
      <c r="AW573" s="27" t="s">
        <v>8</v>
      </c>
      <c r="AX573" s="27" t="s">
        <v>7</v>
      </c>
      <c r="AY573" s="27" t="s">
        <v>8</v>
      </c>
      <c r="AZ573" s="27" t="s">
        <v>7</v>
      </c>
      <c r="BA573" s="27" t="s">
        <v>8</v>
      </c>
      <c r="BD573" s="27" t="s">
        <v>7</v>
      </c>
      <c r="BF573" s="27" t="s">
        <v>7</v>
      </c>
      <c r="BG573" s="27" t="s">
        <v>8</v>
      </c>
      <c r="BJ573" s="18" t="s">
        <v>7</v>
      </c>
      <c r="BK573" s="27" t="s">
        <v>8</v>
      </c>
      <c r="DZ573" s="27" t="s">
        <v>7</v>
      </c>
      <c r="EA573" s="27" t="s">
        <v>8</v>
      </c>
      <c r="EB573" s="27" t="s">
        <v>7</v>
      </c>
      <c r="EC573" s="27" t="s">
        <v>8</v>
      </c>
      <c r="EF573" s="27" t="s">
        <v>7</v>
      </c>
      <c r="EI573" s="27" t="s">
        <v>8</v>
      </c>
      <c r="EJ573" s="27" t="s">
        <v>7</v>
      </c>
      <c r="EK573" s="27" t="s">
        <v>8</v>
      </c>
      <c r="EL573" s="27" t="s">
        <v>7</v>
      </c>
      <c r="EM573" s="27" t="s">
        <v>8</v>
      </c>
      <c r="EN573" s="27" t="s">
        <v>7</v>
      </c>
      <c r="EO573" s="27" t="s">
        <v>8</v>
      </c>
      <c r="EP573" s="27" t="s">
        <v>7</v>
      </c>
    </row>
    <row r="574" spans="1:148" x14ac:dyDescent="0.25">
      <c r="A574" s="7">
        <v>1.2936066304537963</v>
      </c>
      <c r="B574"/>
      <c r="C574"/>
      <c r="D574"/>
      <c r="E574" t="s">
        <v>8</v>
      </c>
      <c r="AJ574" s="27" t="s">
        <v>7</v>
      </c>
      <c r="AK574" s="27" t="s">
        <v>8</v>
      </c>
      <c r="AT574" s="27" t="s">
        <v>7</v>
      </c>
      <c r="AU574" s="27" t="s">
        <v>8</v>
      </c>
      <c r="AV574" s="27" t="s">
        <v>7</v>
      </c>
      <c r="AW574" s="27" t="s">
        <v>8</v>
      </c>
      <c r="AX574" s="27" t="s">
        <v>7</v>
      </c>
      <c r="AZ574" s="27" t="s">
        <v>7</v>
      </c>
      <c r="BF574" s="27" t="s">
        <v>7</v>
      </c>
      <c r="BJ574" s="27" t="s">
        <v>7</v>
      </c>
      <c r="BK574" s="27" t="s">
        <v>8</v>
      </c>
      <c r="DZ574" s="27" t="s">
        <v>7</v>
      </c>
      <c r="EB574" s="27" t="s">
        <v>7</v>
      </c>
      <c r="EF574" s="27" t="s">
        <v>7</v>
      </c>
      <c r="EG574" s="27" t="s">
        <v>8</v>
      </c>
      <c r="EI574" s="27" t="s">
        <v>8</v>
      </c>
      <c r="EJ574" s="27" t="s">
        <v>7</v>
      </c>
      <c r="EK574" s="27" t="s">
        <v>8</v>
      </c>
      <c r="EL574" s="27" t="s">
        <v>7</v>
      </c>
      <c r="EM574" s="27" t="s">
        <v>8</v>
      </c>
      <c r="EN574" s="27" t="s">
        <v>7</v>
      </c>
      <c r="EO574" s="27" t="s">
        <v>8</v>
      </c>
      <c r="EP574" s="27" t="s">
        <v>7</v>
      </c>
      <c r="EQ574" s="27" t="s">
        <v>8</v>
      </c>
    </row>
    <row r="575" spans="1:148" x14ac:dyDescent="0.25">
      <c r="A575" s="7">
        <v>1.2682417945625455</v>
      </c>
      <c r="B575"/>
      <c r="C575"/>
      <c r="D575"/>
      <c r="E575" t="s">
        <v>8</v>
      </c>
      <c r="AJ575" s="27" t="s">
        <v>7</v>
      </c>
      <c r="AK575" s="27" t="s">
        <v>8</v>
      </c>
      <c r="AT575" s="27" t="s">
        <v>7</v>
      </c>
      <c r="AU575" s="27" t="s">
        <v>8</v>
      </c>
      <c r="AV575" s="27" t="s">
        <v>7</v>
      </c>
      <c r="BJ575" s="27" t="s">
        <v>7</v>
      </c>
      <c r="BK575" s="27" t="s">
        <v>8</v>
      </c>
      <c r="EF575" s="27" t="s">
        <v>7</v>
      </c>
      <c r="EG575" s="27" t="s">
        <v>8</v>
      </c>
      <c r="EH575" s="27" t="s">
        <v>7</v>
      </c>
      <c r="EI575" s="27" t="s">
        <v>8</v>
      </c>
      <c r="EJ575" s="27" t="s">
        <v>7</v>
      </c>
      <c r="EK575" s="27" t="s">
        <v>8</v>
      </c>
      <c r="EL575" s="27" t="s">
        <v>7</v>
      </c>
      <c r="EM575" s="27" t="s">
        <v>8</v>
      </c>
      <c r="EN575" s="27" t="s">
        <v>7</v>
      </c>
      <c r="EP575" s="27" t="s">
        <v>7</v>
      </c>
      <c r="EQ575" s="27" t="s">
        <v>8</v>
      </c>
      <c r="ER575" s="27" t="s">
        <v>7</v>
      </c>
    </row>
    <row r="576" spans="1:148" x14ac:dyDescent="0.25">
      <c r="A576" s="7">
        <v>1.2433743083946525</v>
      </c>
      <c r="B576"/>
      <c r="C576"/>
      <c r="D576"/>
      <c r="E576" t="s">
        <v>8</v>
      </c>
      <c r="AJ576" s="27" t="s">
        <v>7</v>
      </c>
      <c r="AK576" s="27" t="s">
        <v>8</v>
      </c>
      <c r="AT576" s="27" t="s">
        <v>7</v>
      </c>
      <c r="AU576" s="27" t="s">
        <v>8</v>
      </c>
      <c r="BJ576" s="27" t="s">
        <v>7</v>
      </c>
      <c r="BK576" s="27" t="s">
        <v>8</v>
      </c>
      <c r="EF576" s="27" t="s">
        <v>7</v>
      </c>
      <c r="EG576" s="27" t="s">
        <v>8</v>
      </c>
      <c r="EH576" s="27" t="s">
        <v>7</v>
      </c>
      <c r="EI576" s="27" t="s">
        <v>8</v>
      </c>
      <c r="EJ576" s="27" t="s">
        <v>7</v>
      </c>
      <c r="EK576" s="27" t="s">
        <v>8</v>
      </c>
      <c r="EL576" s="27" t="s">
        <v>7</v>
      </c>
      <c r="EP576" s="27" t="s">
        <v>7</v>
      </c>
      <c r="EQ576" s="27" t="s">
        <v>8</v>
      </c>
      <c r="ER576" s="27" t="s">
        <v>7</v>
      </c>
    </row>
    <row r="577" spans="1:152" x14ac:dyDescent="0.25">
      <c r="A577" s="7">
        <v>1.2189944199947573</v>
      </c>
      <c r="B577"/>
      <c r="C577"/>
      <c r="D577"/>
      <c r="E577" t="s">
        <v>8</v>
      </c>
      <c r="AJ577" s="27" t="s">
        <v>7</v>
      </c>
      <c r="AK577" s="27" t="s">
        <v>8</v>
      </c>
      <c r="AT577" s="27" t="s">
        <v>7</v>
      </c>
      <c r="AU577" s="27" t="s">
        <v>8</v>
      </c>
      <c r="BJ577" s="27" t="s">
        <v>7</v>
      </c>
      <c r="EF577" s="27" t="s">
        <v>7</v>
      </c>
      <c r="EG577" s="27" t="s">
        <v>8</v>
      </c>
      <c r="EH577" s="27" t="s">
        <v>7</v>
      </c>
      <c r="EI577" s="27" t="s">
        <v>8</v>
      </c>
      <c r="EJ577" s="27" t="s">
        <v>7</v>
      </c>
      <c r="EK577" s="27" t="s">
        <v>8</v>
      </c>
      <c r="EP577" s="27" t="s">
        <v>7</v>
      </c>
      <c r="ER577" s="27" t="s">
        <v>7</v>
      </c>
    </row>
    <row r="578" spans="1:152" x14ac:dyDescent="0.25">
      <c r="A578" s="7">
        <v>1.1950925686223111</v>
      </c>
      <c r="B578"/>
      <c r="C578"/>
      <c r="D578"/>
      <c r="E578" t="s">
        <v>8</v>
      </c>
      <c r="AJ578" s="27" t="s">
        <v>7</v>
      </c>
      <c r="AK578" s="27" t="s">
        <v>8</v>
      </c>
      <c r="AT578" s="27" t="s">
        <v>7</v>
      </c>
      <c r="AU578" s="27" t="s">
        <v>8</v>
      </c>
      <c r="EF578" s="27" t="s">
        <v>7</v>
      </c>
      <c r="EH578" s="27" t="s">
        <v>7</v>
      </c>
      <c r="EI578" s="27" t="s">
        <v>8</v>
      </c>
      <c r="EJ578" s="27" t="s">
        <v>7</v>
      </c>
      <c r="EK578" s="27" t="s">
        <v>8</v>
      </c>
      <c r="ER578" s="27" t="s">
        <v>7</v>
      </c>
    </row>
    <row r="579" spans="1:152" x14ac:dyDescent="0.25">
      <c r="A579" s="7">
        <v>1.1716593810022657</v>
      </c>
      <c r="B579"/>
      <c r="C579"/>
      <c r="D579"/>
      <c r="E579" t="s">
        <v>8</v>
      </c>
      <c r="AJ579" s="27" t="s">
        <v>7</v>
      </c>
      <c r="AK579" s="27" t="s">
        <v>8</v>
      </c>
      <c r="AT579" s="27" t="s">
        <v>7</v>
      </c>
      <c r="EH579" s="27" t="s">
        <v>7</v>
      </c>
      <c r="EJ579" s="27" t="s">
        <v>7</v>
      </c>
      <c r="ER579" s="27" t="s">
        <v>7</v>
      </c>
    </row>
    <row r="580" spans="1:152" x14ac:dyDescent="0.25">
      <c r="A580" s="7">
        <v>1.14868566764928</v>
      </c>
      <c r="B580"/>
      <c r="C580"/>
      <c r="D580"/>
      <c r="E580" t="s">
        <v>8</v>
      </c>
      <c r="AJ580" s="27" t="s">
        <v>7</v>
      </c>
      <c r="AK580" s="27" t="s">
        <v>8</v>
      </c>
      <c r="ER580" s="27" t="s">
        <v>7</v>
      </c>
    </row>
    <row r="581" spans="1:152" x14ac:dyDescent="0.25">
      <c r="A581" s="7">
        <v>1.1261624192640001</v>
      </c>
      <c r="B581"/>
      <c r="C581"/>
      <c r="D581"/>
      <c r="E581" t="s">
        <v>8</v>
      </c>
      <c r="AJ581" s="27" t="s">
        <v>7</v>
      </c>
      <c r="AK581" s="27" t="s">
        <v>8</v>
      </c>
      <c r="ER581" s="27" t="s">
        <v>7</v>
      </c>
    </row>
    <row r="582" spans="1:152" x14ac:dyDescent="0.25">
      <c r="A582" s="7">
        <v>1.1040808032</v>
      </c>
      <c r="B582"/>
      <c r="C582"/>
      <c r="D582"/>
      <c r="E582" t="s">
        <v>8</v>
      </c>
      <c r="AJ582" s="27" t="s">
        <v>7</v>
      </c>
      <c r="AK582" s="27" t="s">
        <v>8</v>
      </c>
      <c r="ER582" s="27" t="s">
        <v>7</v>
      </c>
      <c r="ES582" s="27" t="s">
        <v>8</v>
      </c>
    </row>
    <row r="583" spans="1:152" x14ac:dyDescent="0.25">
      <c r="A583" s="7">
        <v>1.08243216</v>
      </c>
      <c r="B583"/>
      <c r="C583"/>
      <c r="D583"/>
      <c r="E583" t="s">
        <v>8</v>
      </c>
      <c r="AJ583" s="27" t="s">
        <v>7</v>
      </c>
      <c r="AK583" s="27" t="s">
        <v>8</v>
      </c>
      <c r="ER583" s="27" t="s">
        <v>7</v>
      </c>
      <c r="ES583" s="27" t="s">
        <v>8</v>
      </c>
      <c r="ET583" s="27" t="s">
        <v>7</v>
      </c>
      <c r="EU583" s="27" t="s">
        <v>8</v>
      </c>
    </row>
    <row r="584" spans="1:152" x14ac:dyDescent="0.25">
      <c r="A584" s="7">
        <v>1.0612079999999999</v>
      </c>
      <c r="B584"/>
      <c r="C584"/>
      <c r="D584"/>
      <c r="E584" t="s">
        <v>8</v>
      </c>
      <c r="AJ584" s="27" t="s">
        <v>7</v>
      </c>
      <c r="AK584" s="27" t="s">
        <v>8</v>
      </c>
      <c r="ER584" s="27" t="s">
        <v>7</v>
      </c>
      <c r="ES584" s="27" t="s">
        <v>8</v>
      </c>
      <c r="ET584" s="27" t="s">
        <v>7</v>
      </c>
      <c r="EU584" s="27" t="s">
        <v>8</v>
      </c>
      <c r="EV584" s="27" t="s">
        <v>7</v>
      </c>
    </row>
    <row r="585" spans="1:152" x14ac:dyDescent="0.25">
      <c r="A585" s="7">
        <v>1.0404</v>
      </c>
      <c r="B585"/>
      <c r="C585"/>
      <c r="D585"/>
      <c r="E585" t="s">
        <v>8</v>
      </c>
      <c r="AJ585" s="27" t="s">
        <v>7</v>
      </c>
      <c r="AK585" s="27" t="s">
        <v>8</v>
      </c>
      <c r="ER585" s="27" t="s">
        <v>7</v>
      </c>
      <c r="ES585" s="27" t="s">
        <v>8</v>
      </c>
      <c r="ET585" s="27" t="s">
        <v>7</v>
      </c>
      <c r="EU585" s="27" t="s">
        <v>8</v>
      </c>
      <c r="EV585" s="27" t="s">
        <v>7</v>
      </c>
    </row>
    <row r="586" spans="1:152" x14ac:dyDescent="0.25">
      <c r="A586" s="7">
        <v>1.02</v>
      </c>
      <c r="B586"/>
      <c r="C586"/>
      <c r="D586"/>
      <c r="E586" t="s">
        <v>8</v>
      </c>
      <c r="AJ586" s="27" t="s">
        <v>7</v>
      </c>
      <c r="ER586" s="27" t="s">
        <v>7</v>
      </c>
      <c r="ES586" s="27" t="s">
        <v>8</v>
      </c>
      <c r="ET586" s="27" t="s">
        <v>7</v>
      </c>
      <c r="EV586" s="27" t="s">
        <v>7</v>
      </c>
    </row>
    <row r="587" spans="1:152" x14ac:dyDescent="0.25">
      <c r="A587" s="7">
        <v>1</v>
      </c>
      <c r="B587"/>
      <c r="C587"/>
      <c r="D587"/>
      <c r="E587" s="29" t="s">
        <v>8</v>
      </c>
      <c r="ER587" s="27" t="s">
        <v>7</v>
      </c>
      <c r="ES587" s="27" t="s">
        <v>8</v>
      </c>
      <c r="EV587" s="27" t="s">
        <v>7</v>
      </c>
    </row>
    <row r="588" spans="1:152" x14ac:dyDescent="0.25">
      <c r="A588" s="7">
        <v>0.98039215686274506</v>
      </c>
      <c r="B588"/>
      <c r="C588"/>
      <c r="D588"/>
      <c r="E588"/>
      <c r="ER588" s="27" t="s">
        <v>7</v>
      </c>
      <c r="EV588" s="27" t="s">
        <v>7</v>
      </c>
    </row>
    <row r="589" spans="1:152" x14ac:dyDescent="0.25">
      <c r="A589" s="7">
        <v>0.96116878123798544</v>
      </c>
      <c r="B589"/>
      <c r="C589"/>
      <c r="D589"/>
      <c r="E589"/>
      <c r="EV589" s="27" t="s">
        <v>7</v>
      </c>
    </row>
    <row r="590" spans="1:152" x14ac:dyDescent="0.25">
      <c r="A590" s="7">
        <v>0.94232233454704462</v>
      </c>
      <c r="B590"/>
      <c r="C590"/>
      <c r="D590"/>
      <c r="E590"/>
      <c r="EV590" s="27" t="s">
        <v>7</v>
      </c>
    </row>
    <row r="591" spans="1:152" x14ac:dyDescent="0.25">
      <c r="A591" s="7">
        <v>0.92384542602651432</v>
      </c>
      <c r="B591"/>
      <c r="C591"/>
      <c r="D591"/>
      <c r="E591"/>
      <c r="EV591" s="27" t="s">
        <v>7</v>
      </c>
    </row>
    <row r="592" spans="1:152" x14ac:dyDescent="0.25">
      <c r="A592" s="7">
        <v>0.90573080982991594</v>
      </c>
      <c r="B592"/>
      <c r="C592"/>
      <c r="D592"/>
      <c r="E592"/>
      <c r="EV592" s="27" t="s">
        <v>7</v>
      </c>
    </row>
    <row r="593" spans="1:156" x14ac:dyDescent="0.25">
      <c r="A593" s="7">
        <v>0.8879713821861922</v>
      </c>
      <c r="B593"/>
      <c r="C593"/>
      <c r="D593"/>
      <c r="E593"/>
      <c r="EV593" s="27" t="s">
        <v>7</v>
      </c>
    </row>
    <row r="594" spans="1:156" x14ac:dyDescent="0.25">
      <c r="A594" s="7">
        <v>0.87056017861391399</v>
      </c>
      <c r="B594"/>
      <c r="C594"/>
      <c r="D594"/>
      <c r="E594"/>
      <c r="EV594" s="27" t="s">
        <v>7</v>
      </c>
    </row>
    <row r="595" spans="1:156" x14ac:dyDescent="0.25">
      <c r="A595" s="7">
        <v>0.85349037119011173</v>
      </c>
      <c r="B595"/>
      <c r="C595"/>
      <c r="D595"/>
      <c r="E595"/>
      <c r="EV595" s="27" t="s">
        <v>7</v>
      </c>
    </row>
    <row r="596" spans="1:156" x14ac:dyDescent="0.25">
      <c r="A596" s="7">
        <v>0.83675526587265858</v>
      </c>
      <c r="B596"/>
      <c r="C596"/>
      <c r="D596"/>
      <c r="E596"/>
      <c r="EV596" s="27" t="s">
        <v>7</v>
      </c>
    </row>
    <row r="597" spans="1:156" x14ac:dyDescent="0.25">
      <c r="A597" s="7">
        <v>0.82034829987515545</v>
      </c>
      <c r="B597"/>
      <c r="C597"/>
      <c r="D597"/>
      <c r="E597"/>
      <c r="EV597" s="27" t="s">
        <v>7</v>
      </c>
      <c r="EY597" s="27" t="s">
        <v>8</v>
      </c>
    </row>
    <row r="598" spans="1:156" x14ac:dyDescent="0.25">
      <c r="A598" s="7">
        <v>0.80426303909328967</v>
      </c>
      <c r="B598"/>
      <c r="C598"/>
      <c r="D598"/>
      <c r="E598"/>
      <c r="EV598" s="27" t="s">
        <v>7</v>
      </c>
      <c r="EY598" s="27" t="s">
        <v>8</v>
      </c>
      <c r="EZ598" s="27" t="s">
        <v>7</v>
      </c>
    </row>
    <row r="599" spans="1:156" x14ac:dyDescent="0.25">
      <c r="A599" s="7">
        <v>0.78849317558165644</v>
      </c>
      <c r="B599"/>
      <c r="C599"/>
      <c r="D599"/>
      <c r="E599"/>
      <c r="EV599" s="27" t="s">
        <v>7</v>
      </c>
      <c r="EW599" s="27" t="s">
        <v>8</v>
      </c>
      <c r="EY599" s="27" t="s">
        <v>8</v>
      </c>
      <c r="EZ599" s="27" t="s">
        <v>7</v>
      </c>
    </row>
    <row r="600" spans="1:156" x14ac:dyDescent="0.25">
      <c r="A600" s="7">
        <v>0.77303252508005538</v>
      </c>
      <c r="B600"/>
      <c r="C600"/>
      <c r="D600"/>
      <c r="E600"/>
      <c r="EV600" s="27" t="s">
        <v>7</v>
      </c>
      <c r="EW600" s="27" t="s">
        <v>8</v>
      </c>
      <c r="EX600" s="27" t="s">
        <v>7</v>
      </c>
      <c r="EY600" s="27" t="s">
        <v>8</v>
      </c>
      <c r="EZ600" s="27" t="s">
        <v>7</v>
      </c>
    </row>
    <row r="601" spans="1:156" x14ac:dyDescent="0.25">
      <c r="A601" s="7">
        <v>0.75787502458828959</v>
      </c>
      <c r="B601"/>
      <c r="C601"/>
      <c r="D601"/>
      <c r="E601"/>
      <c r="EV601" s="27" t="s">
        <v>7</v>
      </c>
      <c r="EW601" s="27" t="s">
        <v>8</v>
      </c>
      <c r="EX601" s="27" t="s">
        <v>7</v>
      </c>
      <c r="EY601" s="27" t="s">
        <v>8</v>
      </c>
      <c r="EZ601" s="27" t="s">
        <v>7</v>
      </c>
    </row>
    <row r="602" spans="1:156" x14ac:dyDescent="0.25">
      <c r="A602" s="7">
        <v>0.74301472998851925</v>
      </c>
      <c r="B602"/>
      <c r="C602"/>
      <c r="D602"/>
      <c r="E602"/>
      <c r="EV602" s="27" t="s">
        <v>7</v>
      </c>
      <c r="EW602" s="27" t="s">
        <v>8</v>
      </c>
      <c r="EX602" s="27" t="s">
        <v>7</v>
      </c>
      <c r="EY602" s="27" t="s">
        <v>8</v>
      </c>
      <c r="EZ602" s="27" t="s">
        <v>7</v>
      </c>
    </row>
    <row r="603" spans="1:156" x14ac:dyDescent="0.25">
      <c r="A603" s="7">
        <v>0.72844581371423456</v>
      </c>
      <c r="B603"/>
      <c r="C603"/>
      <c r="D603"/>
      <c r="E603"/>
      <c r="EV603" s="27" t="s">
        <v>7</v>
      </c>
      <c r="EW603" s="27" t="s">
        <v>8</v>
      </c>
      <c r="EX603" s="27" t="s">
        <v>7</v>
      </c>
      <c r="EY603" s="27" t="s">
        <v>8</v>
      </c>
      <c r="EZ603" s="27" t="s">
        <v>7</v>
      </c>
    </row>
    <row r="604" spans="1:156" x14ac:dyDescent="0.25">
      <c r="A604" s="7">
        <v>0.71416256246493581</v>
      </c>
      <c r="B604"/>
      <c r="C604"/>
      <c r="D604"/>
      <c r="E604"/>
      <c r="EV604" s="27" t="s">
        <v>7</v>
      </c>
      <c r="EW604" s="27" t="s">
        <v>8</v>
      </c>
      <c r="EX604" s="27" t="s">
        <v>7</v>
      </c>
      <c r="EY604" s="27" t="s">
        <v>8</v>
      </c>
    </row>
    <row r="605" spans="1:156" x14ac:dyDescent="0.25">
      <c r="A605" s="7">
        <v>0.7001593749656233</v>
      </c>
      <c r="B605"/>
      <c r="C605"/>
      <c r="D605"/>
      <c r="E605"/>
      <c r="EV605" s="27" t="s">
        <v>7</v>
      </c>
      <c r="EW605" s="27" t="s">
        <v>8</v>
      </c>
      <c r="EX605" s="27" t="s">
        <v>7</v>
      </c>
      <c r="EY605" s="27" t="s">
        <v>8</v>
      </c>
    </row>
    <row r="606" spans="1:156" x14ac:dyDescent="0.25">
      <c r="A606" s="7">
        <v>0.68643075977021883</v>
      </c>
      <c r="B606"/>
      <c r="C606"/>
      <c r="D606"/>
      <c r="E606"/>
      <c r="EV606" s="27" t="s">
        <v>7</v>
      </c>
      <c r="EW606" s="27" t="s">
        <v>8</v>
      </c>
      <c r="EX606" s="27" t="s">
        <v>7</v>
      </c>
      <c r="EY606" s="27" t="s">
        <v>8</v>
      </c>
    </row>
    <row r="607" spans="1:156" x14ac:dyDescent="0.25">
      <c r="A607" s="7">
        <v>0.67297133310805768</v>
      </c>
      <c r="B607"/>
      <c r="C607"/>
      <c r="D607"/>
      <c r="E607"/>
      <c r="EV607" s="27" t="s">
        <v>7</v>
      </c>
      <c r="EW607" s="27" t="s">
        <v>8</v>
      </c>
      <c r="EX607" s="27" t="s">
        <v>7</v>
      </c>
      <c r="EY607" s="27" t="s">
        <v>8</v>
      </c>
    </row>
    <row r="608" spans="1:156" x14ac:dyDescent="0.25">
      <c r="A608" s="7">
        <v>0.65977581677260566</v>
      </c>
      <c r="B608"/>
      <c r="C608"/>
      <c r="D608"/>
      <c r="E608"/>
      <c r="EV608" s="27" t="s">
        <v>7</v>
      </c>
      <c r="EX608" s="27" t="s">
        <v>7</v>
      </c>
      <c r="EY608" s="27" t="s">
        <v>8</v>
      </c>
    </row>
    <row r="609" spans="1:155" x14ac:dyDescent="0.25">
      <c r="A609" s="7">
        <v>0.64683903605157422</v>
      </c>
      <c r="B609"/>
      <c r="C609"/>
      <c r="D609"/>
      <c r="E609"/>
      <c r="EX609" s="27" t="s">
        <v>7</v>
      </c>
      <c r="EY609" s="27" t="s">
        <v>8</v>
      </c>
    </row>
    <row r="610" spans="1:155" x14ac:dyDescent="0.25">
      <c r="A610" s="7">
        <v>0.63415591769762181</v>
      </c>
      <c r="B610"/>
      <c r="C610"/>
      <c r="D610"/>
      <c r="E610"/>
      <c r="EX610" s="27" t="s">
        <v>7</v>
      </c>
    </row>
    <row r="611" spans="1:155" x14ac:dyDescent="0.25">
      <c r="A611" s="7">
        <v>0.62172148793884496</v>
      </c>
      <c r="B611"/>
      <c r="C611"/>
      <c r="D611"/>
      <c r="E611"/>
    </row>
    <row r="612" spans="1:155" x14ac:dyDescent="0.25">
      <c r="A612" s="7">
        <v>0.60953087052827937</v>
      </c>
      <c r="B612"/>
      <c r="C612"/>
      <c r="D612"/>
      <c r="E612"/>
    </row>
    <row r="613" spans="1:155" x14ac:dyDescent="0.25">
      <c r="A613" s="7">
        <v>0.59757928483164646</v>
      </c>
      <c r="B613"/>
      <c r="C613"/>
      <c r="D613"/>
      <c r="E613"/>
    </row>
    <row r="614" spans="1:155" x14ac:dyDescent="0.25">
      <c r="A614" s="7">
        <v>0.58586204395259456</v>
      </c>
      <c r="B614"/>
      <c r="C614"/>
      <c r="D614"/>
      <c r="E614"/>
    </row>
    <row r="615" spans="1:155" x14ac:dyDescent="0.25">
      <c r="A615" s="7">
        <v>0.57437455289470052</v>
      </c>
      <c r="B615"/>
      <c r="C615"/>
      <c r="D615"/>
      <c r="E615"/>
    </row>
    <row r="616" spans="1:155" x14ac:dyDescent="0.25">
      <c r="A616" s="7">
        <v>0.56311230675951029</v>
      </c>
      <c r="B616"/>
      <c r="C616"/>
      <c r="D616"/>
      <c r="E616"/>
    </row>
    <row r="617" spans="1:155" x14ac:dyDescent="0.25">
      <c r="A617" s="7">
        <v>0.55207088897991208</v>
      </c>
      <c r="B617"/>
      <c r="C617"/>
      <c r="D617"/>
      <c r="E617"/>
    </row>
    <row r="618" spans="1:155" x14ac:dyDescent="0.25">
      <c r="A618" s="7">
        <v>0.54124596958814908</v>
      </c>
      <c r="B618"/>
      <c r="C618"/>
      <c r="D618"/>
      <c r="E618"/>
    </row>
    <row r="619" spans="1:155" x14ac:dyDescent="0.25">
      <c r="A619" s="7">
        <v>0.53063330351779314</v>
      </c>
      <c r="B619"/>
      <c r="C619"/>
      <c r="D619"/>
      <c r="E619"/>
    </row>
    <row r="620" spans="1:155" x14ac:dyDescent="0.25">
      <c r="A620" s="7">
        <v>0.52022872893901284</v>
      </c>
      <c r="B620"/>
      <c r="C620"/>
      <c r="D620"/>
      <c r="E620"/>
    </row>
    <row r="621" spans="1:155" x14ac:dyDescent="0.25">
      <c r="A621" s="7">
        <v>0.51002816562648323</v>
      </c>
      <c r="B621"/>
      <c r="C621"/>
      <c r="D621"/>
      <c r="E621"/>
    </row>
    <row r="622" spans="1:155" x14ac:dyDescent="0.25">
      <c r="A622" s="7">
        <v>0.50002761335929735</v>
      </c>
      <c r="B622"/>
      <c r="C622"/>
      <c r="D622"/>
      <c r="E622"/>
    </row>
    <row r="623" spans="1:155" x14ac:dyDescent="0.25">
      <c r="A623" s="7">
        <v>0.49022315035225228</v>
      </c>
      <c r="B623"/>
      <c r="C623"/>
      <c r="D623"/>
      <c r="E623"/>
    </row>
    <row r="624" spans="1:15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01" operator="equal">
      <formula>$U$1</formula>
    </cfRule>
    <cfRule type="cellIs" dxfId="89" priority="702" operator="equal">
      <formula>$S$1</formula>
    </cfRule>
  </conditionalFormatting>
  <conditionalFormatting sqref="D27">
    <cfRule type="cellIs" dxfId="88" priority="699" operator="equal">
      <formula>$S$1</formula>
    </cfRule>
    <cfRule type="cellIs" dxfId="87" priority="700" operator="equal">
      <formula>$U$1</formula>
    </cfRule>
  </conditionalFormatting>
  <conditionalFormatting sqref="C164">
    <cfRule type="cellIs" dxfId="86" priority="697" operator="equal">
      <formula>$U$1</formula>
    </cfRule>
    <cfRule type="cellIs" dxfId="85" priority="698" operator="equal">
      <formula>$S$1</formula>
    </cfRule>
  </conditionalFormatting>
  <conditionalFormatting sqref="D164">
    <cfRule type="cellIs" dxfId="84" priority="695" operator="equal">
      <formula>$S$1</formula>
    </cfRule>
    <cfRule type="cellIs" dxfId="83" priority="696" operator="equal">
      <formula>$U$1</formula>
    </cfRule>
  </conditionalFormatting>
  <conditionalFormatting sqref="C55">
    <cfRule type="cellIs" dxfId="82" priority="693" operator="equal">
      <formula>$U$1</formula>
    </cfRule>
    <cfRule type="cellIs" dxfId="81" priority="694" operator="equal">
      <formula>$S$1</formula>
    </cfRule>
  </conditionalFormatting>
  <conditionalFormatting sqref="D55">
    <cfRule type="cellIs" dxfId="80" priority="691" operator="equal">
      <formula>$S$1</formula>
    </cfRule>
    <cfRule type="cellIs" dxfId="79" priority="692" operator="equal">
      <formula>$U$1</formula>
    </cfRule>
  </conditionalFormatting>
  <conditionalFormatting sqref="C89">
    <cfRule type="cellIs" dxfId="78" priority="689" operator="equal">
      <formula>$U$1</formula>
    </cfRule>
    <cfRule type="cellIs" dxfId="77" priority="690" operator="equal">
      <formula>$S$1</formula>
    </cfRule>
  </conditionalFormatting>
  <conditionalFormatting sqref="D89">
    <cfRule type="cellIs" dxfId="76" priority="687" operator="equal">
      <formula>$S$1</formula>
    </cfRule>
    <cfRule type="cellIs" dxfId="75" priority="688" operator="equal">
      <formula>$U$1</formula>
    </cfRule>
  </conditionalFormatting>
  <conditionalFormatting sqref="C136">
    <cfRule type="cellIs" dxfId="74" priority="685" operator="equal">
      <formula>$U$1</formula>
    </cfRule>
    <cfRule type="cellIs" dxfId="73" priority="686" operator="equal">
      <formula>$S$1</formula>
    </cfRule>
  </conditionalFormatting>
  <conditionalFormatting sqref="D136">
    <cfRule type="cellIs" dxfId="72" priority="683" operator="equal">
      <formula>$S$1</formula>
    </cfRule>
    <cfRule type="cellIs" dxfId="71" priority="684" operator="equal">
      <formula>$U$1</formula>
    </cfRule>
  </conditionalFormatting>
  <conditionalFormatting sqref="C1">
    <cfRule type="cellIs" dxfId="70" priority="682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BY244" sqref="BY244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$A$243</v>
      </c>
      <c r="D111" s="1" t="str">
        <f>ADDRESS(C121-1,D121,1,1)</f>
        <v>$BY$243</v>
      </c>
      <c r="E111"/>
    </row>
    <row r="112" spans="1:5" x14ac:dyDescent="0.25">
      <c r="A112" s="30">
        <v>515.50191262726139</v>
      </c>
      <c r="C112" s="1" t="str">
        <f>ADDRESS(C121,1,1,1)</f>
        <v>$A$244</v>
      </c>
      <c r="D112" s="1" t="str">
        <f>ADDRESS(C121,D121-1,1,1)</f>
        <v>$BX$244</v>
      </c>
      <c r="E112"/>
    </row>
    <row r="113" spans="1:5" x14ac:dyDescent="0.25">
      <c r="A113" s="30">
        <v>490.95420250215363</v>
      </c>
      <c r="C113" s="1" t="str">
        <f>ADDRESS(C121+1,1,1,1)</f>
        <v>$A$245</v>
      </c>
      <c r="D113" s="1" t="str">
        <f>ADDRESS(C121-1,D121+1,1,1)</f>
        <v>$BZ$243</v>
      </c>
    </row>
    <row r="114" spans="1:5" x14ac:dyDescent="0.25">
      <c r="A114" s="30">
        <v>467.57543095443202</v>
      </c>
      <c r="C114" s="1" t="str">
        <f>ADDRESS(C121,D121,1,1)</f>
        <v>$BY$244</v>
      </c>
      <c r="D114" s="1" t="str">
        <f>ADDRESS(C121+1,D121+1,1,1)</f>
        <v>$BZ$245</v>
      </c>
    </row>
    <row r="115" spans="1:5" x14ac:dyDescent="0.25">
      <c r="A115" s="30">
        <v>445.30993424231622</v>
      </c>
      <c r="C115" s="1" t="str">
        <f>ADDRESS(C121+1,D121,1,1)</f>
        <v>$BY$245</v>
      </c>
    </row>
    <row r="116" spans="1:5" x14ac:dyDescent="0.25">
      <c r="A116" s="30">
        <v>424.10469927839637</v>
      </c>
      <c r="C116" s="1">
        <f>C117-1</f>
        <v>243</v>
      </c>
    </row>
    <row r="117" spans="1:5" x14ac:dyDescent="0.25">
      <c r="A117" s="30">
        <v>403.9092374079965</v>
      </c>
      <c r="C117" s="1">
        <f>C121</f>
        <v>244</v>
      </c>
      <c r="D117" s="1">
        <f>D121</f>
        <v>77</v>
      </c>
    </row>
    <row r="118" spans="1:5" x14ac:dyDescent="0.25">
      <c r="A118" s="30">
        <v>384.6754641980919</v>
      </c>
      <c r="C118" s="1">
        <f>C117+1</f>
        <v>245</v>
      </c>
      <c r="D118" s="1">
        <f>D117+1</f>
        <v>78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244</v>
      </c>
      <c r="D121" s="19">
        <v>77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R244</v>
      </c>
      <c r="D123" s="1" t="str">
        <f>"C"&amp;D121</f>
        <v>C77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0.82270247479188063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13" x14ac:dyDescent="0.25">
      <c r="A193" s="30">
        <v>9.9059710923258422</v>
      </c>
      <c r="E193"/>
    </row>
    <row r="194" spans="1:13" x14ac:dyDescent="0.25">
      <c r="A194" s="30">
        <v>9.4342581831674686</v>
      </c>
      <c r="E194"/>
    </row>
    <row r="195" spans="1:13" x14ac:dyDescent="0.25">
      <c r="A195" s="30">
        <v>8.9850077934928265</v>
      </c>
      <c r="E195"/>
    </row>
    <row r="196" spans="1:13" x14ac:dyDescent="0.25">
      <c r="A196" s="30">
        <v>8.5571502795169767</v>
      </c>
      <c r="E196"/>
    </row>
    <row r="197" spans="1:13" x14ac:dyDescent="0.25">
      <c r="A197" s="30">
        <v>8.1496669328733109</v>
      </c>
      <c r="E197"/>
    </row>
    <row r="198" spans="1:13" x14ac:dyDescent="0.25">
      <c r="A198" s="30">
        <v>7.7615875551174378</v>
      </c>
      <c r="E198"/>
    </row>
    <row r="199" spans="1:13" x14ac:dyDescent="0.25">
      <c r="A199" s="30">
        <v>7.3919881477308929</v>
      </c>
      <c r="E199"/>
    </row>
    <row r="200" spans="1:13" x14ac:dyDescent="0.25">
      <c r="A200" s="30">
        <v>7.0399887121246598</v>
      </c>
      <c r="E200"/>
    </row>
    <row r="201" spans="1:13" x14ac:dyDescent="0.25">
      <c r="A201" s="30">
        <v>6.7047511544044376</v>
      </c>
      <c r="E201"/>
    </row>
    <row r="202" spans="1:13" x14ac:dyDescent="0.25">
      <c r="A202" s="30">
        <v>6.3854772899089882</v>
      </c>
      <c r="E202"/>
    </row>
    <row r="203" spans="1:13" x14ac:dyDescent="0.25">
      <c r="A203" s="30">
        <v>6.0814069427704647</v>
      </c>
      <c r="C203" s="7"/>
      <c r="D203"/>
      <c r="E203"/>
    </row>
    <row r="204" spans="1:13" x14ac:dyDescent="0.25">
      <c r="A204" s="30">
        <v>5.7918161359718709</v>
      </c>
      <c r="E204"/>
    </row>
    <row r="205" spans="1:13" x14ac:dyDescent="0.25">
      <c r="A205" s="30">
        <v>5.5160153675922574</v>
      </c>
      <c r="E205"/>
    </row>
    <row r="206" spans="1:13" x14ac:dyDescent="0.25">
      <c r="A206" s="30">
        <v>5.2533479691354827</v>
      </c>
      <c r="C206"/>
      <c r="D206"/>
      <c r="E206"/>
    </row>
    <row r="207" spans="1:13" x14ac:dyDescent="0.25">
      <c r="A207" s="30">
        <v>5.0031885420337927</v>
      </c>
      <c r="E207"/>
    </row>
    <row r="208" spans="1:13" x14ac:dyDescent="0.25">
      <c r="A208" s="30">
        <v>4.7649414686036122</v>
      </c>
      <c r="E208"/>
      <c r="M208" s="27" t="s">
        <v>8</v>
      </c>
    </row>
    <row r="209" spans="1:62" x14ac:dyDescent="0.25">
      <c r="A209" s="30">
        <v>4.5380394939082018</v>
      </c>
      <c r="E209"/>
      <c r="M209" s="27" t="s">
        <v>8</v>
      </c>
      <c r="N209" s="27" t="s">
        <v>7</v>
      </c>
    </row>
    <row r="210" spans="1:62" x14ac:dyDescent="0.25">
      <c r="A210" s="30">
        <v>4.3219423751506678</v>
      </c>
      <c r="C210"/>
      <c r="E210"/>
      <c r="M210" s="27" t="s">
        <v>8</v>
      </c>
      <c r="N210" s="27" t="s">
        <v>7</v>
      </c>
      <c r="O210" s="27" t="s">
        <v>8</v>
      </c>
    </row>
    <row r="211" spans="1:62" x14ac:dyDescent="0.25">
      <c r="A211" s="30">
        <v>4.1161355953815884</v>
      </c>
      <c r="E211"/>
      <c r="M211" s="27" t="s">
        <v>8</v>
      </c>
      <c r="N211" s="27" t="s">
        <v>7</v>
      </c>
      <c r="O211" s="27" t="s">
        <v>8</v>
      </c>
      <c r="P211" s="27" t="s">
        <v>7</v>
      </c>
      <c r="Q211" s="27" t="s">
        <v>8</v>
      </c>
    </row>
    <row r="212" spans="1:62" x14ac:dyDescent="0.25">
      <c r="A212" s="30">
        <v>3.9201291384586554</v>
      </c>
      <c r="E212"/>
      <c r="M212" s="27" t="s">
        <v>8</v>
      </c>
      <c r="N212" s="27" t="s">
        <v>7</v>
      </c>
      <c r="O212" s="27" t="s">
        <v>8</v>
      </c>
      <c r="P212" s="27" t="s">
        <v>7</v>
      </c>
      <c r="Q212" s="27" t="s">
        <v>8</v>
      </c>
      <c r="R212" s="27" t="s">
        <v>7</v>
      </c>
    </row>
    <row r="213" spans="1:62" x14ac:dyDescent="0.25">
      <c r="A213" s="30">
        <v>3.7334563223415764</v>
      </c>
      <c r="E213"/>
      <c r="I213" s="27" t="s">
        <v>8</v>
      </c>
      <c r="M213" s="27" t="s">
        <v>8</v>
      </c>
      <c r="N213" s="27" t="s">
        <v>7</v>
      </c>
      <c r="P213" s="27" t="s">
        <v>7</v>
      </c>
      <c r="Q213" s="27" t="s">
        <v>8</v>
      </c>
      <c r="R213" s="27" t="s">
        <v>7</v>
      </c>
      <c r="S213" s="27" t="s">
        <v>8</v>
      </c>
    </row>
    <row r="214" spans="1:62" x14ac:dyDescent="0.25">
      <c r="A214" s="30">
        <v>3.5556726879443583</v>
      </c>
      <c r="E214"/>
      <c r="I214" s="27" t="s">
        <v>8</v>
      </c>
      <c r="J214" s="27" t="s">
        <v>7</v>
      </c>
      <c r="M214" s="27" t="s">
        <v>8</v>
      </c>
      <c r="P214" s="27" t="s">
        <v>7</v>
      </c>
      <c r="Q214" s="27" t="s">
        <v>8</v>
      </c>
      <c r="R214" s="27" t="s">
        <v>7</v>
      </c>
      <c r="S214" s="27" t="s">
        <v>8</v>
      </c>
      <c r="T214" s="27" t="s">
        <v>7</v>
      </c>
    </row>
    <row r="215" spans="1:62" x14ac:dyDescent="0.25">
      <c r="A215" s="30">
        <v>3.3863549408993889</v>
      </c>
      <c r="E215"/>
      <c r="I215" s="27" t="s">
        <v>8</v>
      </c>
      <c r="J215" s="27" t="s">
        <v>7</v>
      </c>
      <c r="M215" s="27" t="s">
        <v>8</v>
      </c>
      <c r="P215" s="27" t="s">
        <v>7</v>
      </c>
      <c r="R215" s="27" t="s">
        <v>7</v>
      </c>
      <c r="S215" s="27" t="s">
        <v>8</v>
      </c>
      <c r="T215" s="27" t="s">
        <v>7</v>
      </c>
      <c r="AW215" s="27" t="s">
        <v>8</v>
      </c>
    </row>
    <row r="216" spans="1:62" x14ac:dyDescent="0.25">
      <c r="A216" s="30">
        <v>3.2250999437137038</v>
      </c>
      <c r="E216"/>
      <c r="I216" s="27" t="s">
        <v>8</v>
      </c>
      <c r="J216" s="27" t="s">
        <v>7</v>
      </c>
      <c r="M216" s="27" t="s">
        <v>8</v>
      </c>
      <c r="R216" s="27" t="s">
        <v>7</v>
      </c>
      <c r="T216" s="27" t="s">
        <v>7</v>
      </c>
      <c r="AU216" s="27" t="s">
        <v>8</v>
      </c>
      <c r="AW216" s="27" t="s">
        <v>8</v>
      </c>
      <c r="AX216" s="27" t="s">
        <v>7</v>
      </c>
    </row>
    <row r="217" spans="1:62" x14ac:dyDescent="0.25">
      <c r="A217" s="30">
        <v>3.0715237559178128</v>
      </c>
      <c r="E217" t="s">
        <v>8</v>
      </c>
      <c r="I217" s="27" t="s">
        <v>8</v>
      </c>
      <c r="J217" s="27" t="s">
        <v>7</v>
      </c>
      <c r="M217" s="27" t="s">
        <v>8</v>
      </c>
      <c r="T217" s="27" t="s">
        <v>7</v>
      </c>
      <c r="U217" s="27" t="s">
        <v>8</v>
      </c>
      <c r="AU217" s="27" t="s">
        <v>8</v>
      </c>
      <c r="AV217" s="27" t="s">
        <v>7</v>
      </c>
      <c r="AW217" s="27" t="s">
        <v>8</v>
      </c>
      <c r="AX217" s="27" t="s">
        <v>7</v>
      </c>
    </row>
    <row r="218" spans="1:62" x14ac:dyDescent="0.25">
      <c r="A218" s="30">
        <v>2.9252607199217264</v>
      </c>
      <c r="E218" t="s">
        <v>8</v>
      </c>
      <c r="F218" s="27" t="s">
        <v>7</v>
      </c>
      <c r="I218" s="27" t="s">
        <v>8</v>
      </c>
      <c r="J218" s="27" t="s">
        <v>7</v>
      </c>
      <c r="K218" s="27" t="s">
        <v>8</v>
      </c>
      <c r="M218" s="27" t="s">
        <v>8</v>
      </c>
      <c r="T218" s="27" t="s">
        <v>7</v>
      </c>
      <c r="U218" s="27" t="s">
        <v>8</v>
      </c>
      <c r="V218" s="27" t="s">
        <v>7</v>
      </c>
      <c r="AU218" s="27" t="s">
        <v>8</v>
      </c>
      <c r="AV218" s="27" t="s">
        <v>7</v>
      </c>
      <c r="AW218" s="27" t="s">
        <v>8</v>
      </c>
      <c r="AX218" s="27" t="s">
        <v>7</v>
      </c>
      <c r="AY218" s="27" t="s">
        <v>8</v>
      </c>
    </row>
    <row r="219" spans="1:62" x14ac:dyDescent="0.25">
      <c r="A219" s="30">
        <v>2.7859625904016441</v>
      </c>
      <c r="E219" t="s">
        <v>8</v>
      </c>
      <c r="F219" s="27" t="s">
        <v>7</v>
      </c>
      <c r="I219" s="27" t="s">
        <v>8</v>
      </c>
      <c r="J219" s="27" t="s">
        <v>7</v>
      </c>
      <c r="K219" s="27" t="s">
        <v>8</v>
      </c>
      <c r="L219" s="27" t="s">
        <v>7</v>
      </c>
      <c r="M219" s="27" t="s">
        <v>8</v>
      </c>
      <c r="T219" s="27" t="s">
        <v>7</v>
      </c>
      <c r="U219" s="27" t="s">
        <v>8</v>
      </c>
      <c r="V219" s="27" t="s">
        <v>7</v>
      </c>
      <c r="AA219" s="27" t="s">
        <v>8</v>
      </c>
      <c r="AU219" s="27" t="s">
        <v>8</v>
      </c>
      <c r="AV219" s="27" t="s">
        <v>7</v>
      </c>
      <c r="AW219" s="27" t="s">
        <v>8</v>
      </c>
      <c r="AX219" s="27" t="s">
        <v>7</v>
      </c>
      <c r="AY219" s="27" t="s">
        <v>8</v>
      </c>
      <c r="AZ219" s="27" t="s">
        <v>7</v>
      </c>
    </row>
    <row r="220" spans="1:62" x14ac:dyDescent="0.25">
      <c r="A220" s="30">
        <v>2.6532977051444226</v>
      </c>
      <c r="E220" t="s">
        <v>8</v>
      </c>
      <c r="F220" s="27" t="s">
        <v>7</v>
      </c>
      <c r="G220" s="27" t="s">
        <v>8</v>
      </c>
      <c r="I220" s="27" t="s">
        <v>8</v>
      </c>
      <c r="J220" s="27" t="s">
        <v>7</v>
      </c>
      <c r="K220" s="27" t="s">
        <v>8</v>
      </c>
      <c r="L220" s="27" t="s">
        <v>7</v>
      </c>
      <c r="M220" s="27" t="s">
        <v>8</v>
      </c>
      <c r="T220" s="27" t="s">
        <v>7</v>
      </c>
      <c r="U220" s="27" t="s">
        <v>8</v>
      </c>
      <c r="V220" s="27" t="s">
        <v>7</v>
      </c>
      <c r="AA220" s="27" t="s">
        <v>8</v>
      </c>
      <c r="AB220" s="27" t="s">
        <v>7</v>
      </c>
      <c r="AC220" s="27" t="s">
        <v>8</v>
      </c>
      <c r="AU220" s="27" t="s">
        <v>8</v>
      </c>
      <c r="AV220" s="27" t="s">
        <v>7</v>
      </c>
      <c r="AX220" s="27" t="s">
        <v>7</v>
      </c>
      <c r="AY220" s="27" t="s">
        <v>8</v>
      </c>
      <c r="AZ220" s="27" t="s">
        <v>7</v>
      </c>
    </row>
    <row r="221" spans="1:62" x14ac:dyDescent="0.25">
      <c r="A221" s="30">
        <v>2.5269501953756404</v>
      </c>
      <c r="E221" t="s">
        <v>8</v>
      </c>
      <c r="F221" s="27" t="s">
        <v>7</v>
      </c>
      <c r="G221" s="27" t="s">
        <v>8</v>
      </c>
      <c r="H221" s="27" t="s">
        <v>7</v>
      </c>
      <c r="I221" s="27" t="s">
        <v>8</v>
      </c>
      <c r="J221" s="27" t="s">
        <v>7</v>
      </c>
      <c r="K221" s="27" t="s">
        <v>8</v>
      </c>
      <c r="L221" s="27" t="s">
        <v>7</v>
      </c>
      <c r="M221" s="27" t="s">
        <v>8</v>
      </c>
      <c r="T221" s="27" t="s">
        <v>7</v>
      </c>
      <c r="V221" s="27" t="s">
        <v>7</v>
      </c>
      <c r="AA221" s="27" t="s">
        <v>8</v>
      </c>
      <c r="AB221" s="27" t="s">
        <v>7</v>
      </c>
      <c r="AC221" s="27" t="s">
        <v>8</v>
      </c>
      <c r="AD221" s="27" t="s">
        <v>7</v>
      </c>
      <c r="AU221" s="27" t="s">
        <v>8</v>
      </c>
      <c r="AX221" s="27" t="s">
        <v>7</v>
      </c>
      <c r="AZ221" s="27" t="s">
        <v>7</v>
      </c>
    </row>
    <row r="222" spans="1:62" x14ac:dyDescent="0.25">
      <c r="A222" s="30">
        <v>2.4066192336910861</v>
      </c>
      <c r="E222" t="s">
        <v>8</v>
      </c>
      <c r="F222" s="27" t="s">
        <v>7</v>
      </c>
      <c r="G222" s="27" t="s">
        <v>8</v>
      </c>
      <c r="H222" s="27" t="s">
        <v>7</v>
      </c>
      <c r="I222" s="27" t="s">
        <v>8</v>
      </c>
      <c r="J222" s="27" t="s">
        <v>7</v>
      </c>
      <c r="L222" s="27" t="s">
        <v>7</v>
      </c>
      <c r="M222" s="27" t="s">
        <v>8</v>
      </c>
      <c r="V222" s="27" t="s">
        <v>7</v>
      </c>
      <c r="AA222" s="27" t="s">
        <v>8</v>
      </c>
      <c r="AB222" s="27" t="s">
        <v>7</v>
      </c>
      <c r="AC222" s="27" t="s">
        <v>8</v>
      </c>
      <c r="AD222" s="27" t="s">
        <v>7</v>
      </c>
      <c r="AS222" s="27" t="s">
        <v>8</v>
      </c>
      <c r="AU222" s="27" t="s">
        <v>8</v>
      </c>
      <c r="AZ222" s="27" t="s">
        <v>7</v>
      </c>
      <c r="BA222" s="27" t="s">
        <v>8</v>
      </c>
      <c r="BC222" s="27" t="s">
        <v>8</v>
      </c>
    </row>
    <row r="223" spans="1:62" x14ac:dyDescent="0.25">
      <c r="A223" s="30">
        <v>2.2920183178010345</v>
      </c>
      <c r="E223" t="s">
        <v>8</v>
      </c>
      <c r="F223" s="27" t="s">
        <v>7</v>
      </c>
      <c r="G223" s="27" t="s">
        <v>8</v>
      </c>
      <c r="H223" s="27" t="s">
        <v>7</v>
      </c>
      <c r="I223" s="27" t="s">
        <v>8</v>
      </c>
      <c r="L223" s="27" t="s">
        <v>7</v>
      </c>
      <c r="M223" s="27" t="s">
        <v>8</v>
      </c>
      <c r="V223" s="27" t="s">
        <v>7</v>
      </c>
      <c r="AA223" s="27" t="s">
        <v>8</v>
      </c>
      <c r="AB223" s="27" t="s">
        <v>7</v>
      </c>
      <c r="AC223" s="27" t="s">
        <v>8</v>
      </c>
      <c r="AD223" s="27" t="s">
        <v>7</v>
      </c>
      <c r="AS223" s="27" t="s">
        <v>8</v>
      </c>
      <c r="AT223" s="27" t="s">
        <v>7</v>
      </c>
      <c r="AU223" s="27" t="s">
        <v>8</v>
      </c>
      <c r="AZ223" s="27" t="s">
        <v>7</v>
      </c>
      <c r="BA223" s="27" t="s">
        <v>8</v>
      </c>
      <c r="BB223" s="27" t="s">
        <v>7</v>
      </c>
      <c r="BC223" s="27" t="s">
        <v>8</v>
      </c>
      <c r="BD223" s="27" t="s">
        <v>7</v>
      </c>
      <c r="BG223" s="27" t="s">
        <v>8</v>
      </c>
      <c r="BI223" s="27" t="s">
        <v>8</v>
      </c>
    </row>
    <row r="224" spans="1:62" x14ac:dyDescent="0.25">
      <c r="A224" s="30">
        <v>2.1828745883819374</v>
      </c>
      <c r="E224" t="s">
        <v>8</v>
      </c>
      <c r="F224" s="27" t="s">
        <v>7</v>
      </c>
      <c r="H224" s="27" t="s">
        <v>7</v>
      </c>
      <c r="I224" s="27" t="s">
        <v>8</v>
      </c>
      <c r="L224" s="27" t="s">
        <v>7</v>
      </c>
      <c r="M224" s="27" t="s">
        <v>8</v>
      </c>
      <c r="V224" s="27" t="s">
        <v>7</v>
      </c>
      <c r="W224" s="27" t="s">
        <v>8</v>
      </c>
      <c r="AA224" s="27" t="s">
        <v>8</v>
      </c>
      <c r="AB224" s="27" t="s">
        <v>7</v>
      </c>
      <c r="AD224" s="27" t="s">
        <v>7</v>
      </c>
      <c r="AE224" s="27" t="s">
        <v>8</v>
      </c>
      <c r="AS224" s="27" t="s">
        <v>8</v>
      </c>
      <c r="AT224" s="27" t="s">
        <v>7</v>
      </c>
      <c r="AU224" s="27" t="s">
        <v>8</v>
      </c>
      <c r="AZ224" s="27" t="s">
        <v>7</v>
      </c>
      <c r="BA224" s="27" t="s">
        <v>8</v>
      </c>
      <c r="BB224" s="27" t="s">
        <v>7</v>
      </c>
      <c r="BC224" s="27" t="s">
        <v>8</v>
      </c>
      <c r="BD224" s="27" t="s">
        <v>7</v>
      </c>
      <c r="BG224" s="27" t="s">
        <v>8</v>
      </c>
      <c r="BH224" s="27" t="s">
        <v>7</v>
      </c>
      <c r="BI224" s="27" t="s">
        <v>8</v>
      </c>
      <c r="BJ224" s="27" t="s">
        <v>7</v>
      </c>
    </row>
    <row r="225" spans="1:74" x14ac:dyDescent="0.25">
      <c r="A225" s="30">
        <v>2.0789281794113688</v>
      </c>
      <c r="E225" t="s">
        <v>8</v>
      </c>
      <c r="H225" s="27" t="s">
        <v>7</v>
      </c>
      <c r="I225" s="27" t="s">
        <v>8</v>
      </c>
      <c r="L225" s="27" t="s">
        <v>7</v>
      </c>
      <c r="M225" s="27" t="s">
        <v>8</v>
      </c>
      <c r="V225" s="27" t="s">
        <v>7</v>
      </c>
      <c r="W225" s="27" t="s">
        <v>8</v>
      </c>
      <c r="X225" s="27" t="s">
        <v>7</v>
      </c>
      <c r="AA225" s="27" t="s">
        <v>8</v>
      </c>
      <c r="AD225" s="27" t="s">
        <v>7</v>
      </c>
      <c r="AE225" s="27" t="s">
        <v>8</v>
      </c>
      <c r="AF225" s="27" t="s">
        <v>7</v>
      </c>
      <c r="AG225" s="27" t="s">
        <v>8</v>
      </c>
      <c r="AS225" s="27" t="s">
        <v>8</v>
      </c>
      <c r="AT225" s="27" t="s">
        <v>7</v>
      </c>
      <c r="AZ225" s="27" t="s">
        <v>7</v>
      </c>
      <c r="BA225" s="27" t="s">
        <v>8</v>
      </c>
      <c r="BB225" s="27" t="s">
        <v>7</v>
      </c>
      <c r="BC225" s="27" t="s">
        <v>8</v>
      </c>
      <c r="BD225" s="27" t="s">
        <v>7</v>
      </c>
      <c r="BG225" s="27" t="s">
        <v>8</v>
      </c>
      <c r="BH225" s="27" t="s">
        <v>7</v>
      </c>
      <c r="BI225" s="27" t="s">
        <v>8</v>
      </c>
      <c r="BJ225" s="27" t="s">
        <v>7</v>
      </c>
    </row>
    <row r="226" spans="1:74" x14ac:dyDescent="0.25">
      <c r="A226" s="30">
        <v>1.9799315994393987</v>
      </c>
      <c r="E226" t="s">
        <v>8</v>
      </c>
      <c r="H226" s="27" t="s">
        <v>7</v>
      </c>
      <c r="I226" s="27" t="s">
        <v>8</v>
      </c>
      <c r="L226" s="27" t="s">
        <v>7</v>
      </c>
      <c r="M226" s="27" t="s">
        <v>8</v>
      </c>
      <c r="V226" s="27" t="s">
        <v>7</v>
      </c>
      <c r="W226" s="27" t="s">
        <v>8</v>
      </c>
      <c r="X226" s="27" t="s">
        <v>7</v>
      </c>
      <c r="AA226" s="27" t="s">
        <v>8</v>
      </c>
      <c r="AD226" s="27" t="s">
        <v>7</v>
      </c>
      <c r="AE226" s="27" t="s">
        <v>8</v>
      </c>
      <c r="AF226" s="27" t="s">
        <v>7</v>
      </c>
      <c r="AG226" s="27" t="s">
        <v>8</v>
      </c>
      <c r="AH226" s="27" t="s">
        <v>7</v>
      </c>
      <c r="AS226" s="27" t="s">
        <v>8</v>
      </c>
      <c r="AZ226" s="27" t="s">
        <v>7</v>
      </c>
      <c r="BA226" s="27" t="s">
        <v>8</v>
      </c>
      <c r="BB226" s="27" t="s">
        <v>7</v>
      </c>
      <c r="BD226" s="27" t="s">
        <v>7</v>
      </c>
      <c r="BE226" s="27" t="s">
        <v>8</v>
      </c>
      <c r="BG226" s="27" t="s">
        <v>8</v>
      </c>
      <c r="BH226" s="27" t="s">
        <v>7</v>
      </c>
      <c r="BI226" s="27" t="s">
        <v>8</v>
      </c>
      <c r="BJ226" s="27" t="s">
        <v>7</v>
      </c>
      <c r="BM226" s="27" t="s">
        <v>8</v>
      </c>
    </row>
    <row r="227" spans="1:74" x14ac:dyDescent="0.25">
      <c r="A227" s="30">
        <v>1.8856491423232367</v>
      </c>
      <c r="E227" t="s">
        <v>8</v>
      </c>
      <c r="H227" s="27" t="s">
        <v>7</v>
      </c>
      <c r="I227" s="27" t="s">
        <v>8</v>
      </c>
      <c r="L227" s="27" t="s">
        <v>7</v>
      </c>
      <c r="M227" s="27" t="s">
        <v>8</v>
      </c>
      <c r="V227" s="27" t="s">
        <v>7</v>
      </c>
      <c r="W227" s="27" t="s">
        <v>8</v>
      </c>
      <c r="X227" s="27" t="s">
        <v>7</v>
      </c>
      <c r="Y227" s="27" t="s">
        <v>8</v>
      </c>
      <c r="AA227" s="27" t="s">
        <v>8</v>
      </c>
      <c r="AD227" s="27" t="s">
        <v>7</v>
      </c>
      <c r="AE227" s="27" t="s">
        <v>8</v>
      </c>
      <c r="AF227" s="27" t="s">
        <v>7</v>
      </c>
      <c r="AG227" s="27" t="s">
        <v>8</v>
      </c>
      <c r="AH227" s="27" t="s">
        <v>7</v>
      </c>
      <c r="AO227" s="27" t="s">
        <v>8</v>
      </c>
      <c r="AS227" s="27" t="s">
        <v>8</v>
      </c>
      <c r="AZ227" s="27" t="s">
        <v>7</v>
      </c>
      <c r="BD227" s="27" t="s">
        <v>7</v>
      </c>
      <c r="BE227" s="27" t="s">
        <v>8</v>
      </c>
      <c r="BF227" s="27" t="s">
        <v>7</v>
      </c>
      <c r="BG227" s="27" t="s">
        <v>8</v>
      </c>
      <c r="BH227" s="27" t="s">
        <v>7</v>
      </c>
      <c r="BI227" s="27" t="s">
        <v>8</v>
      </c>
      <c r="BJ227" s="27" t="s">
        <v>7</v>
      </c>
      <c r="BK227" s="27" t="s">
        <v>8</v>
      </c>
      <c r="BM227" s="27" t="s">
        <v>8</v>
      </c>
      <c r="BN227" s="27" t="s">
        <v>7</v>
      </c>
    </row>
    <row r="228" spans="1:74" x14ac:dyDescent="0.25">
      <c r="A228" s="30">
        <v>1.7958563260221301</v>
      </c>
      <c r="C228" s="7"/>
      <c r="D228"/>
      <c r="E228" t="s">
        <v>8</v>
      </c>
      <c r="H228" s="27" t="s">
        <v>7</v>
      </c>
      <c r="I228" s="27" t="s">
        <v>8</v>
      </c>
      <c r="L228" s="27" t="s">
        <v>7</v>
      </c>
      <c r="V228" s="27" t="s">
        <v>7</v>
      </c>
      <c r="W228" s="27" t="s">
        <v>8</v>
      </c>
      <c r="X228" s="27" t="s">
        <v>7</v>
      </c>
      <c r="Y228" s="27" t="s">
        <v>8</v>
      </c>
      <c r="Z228" s="27" t="s">
        <v>7</v>
      </c>
      <c r="AA228" s="27" t="s">
        <v>8</v>
      </c>
      <c r="AD228" s="27" t="s">
        <v>7</v>
      </c>
      <c r="AF228" s="27" t="s">
        <v>7</v>
      </c>
      <c r="AH228" s="27" t="s">
        <v>7</v>
      </c>
      <c r="AO228" s="27" t="s">
        <v>8</v>
      </c>
      <c r="AP228" s="27" t="s">
        <v>7</v>
      </c>
      <c r="AS228" s="27" t="s">
        <v>8</v>
      </c>
      <c r="BD228" s="27" t="s">
        <v>7</v>
      </c>
      <c r="BE228" s="27" t="s">
        <v>8</v>
      </c>
      <c r="BF228" s="27" t="s">
        <v>7</v>
      </c>
      <c r="BG228" s="27" t="s">
        <v>8</v>
      </c>
      <c r="BH228" s="27" t="s">
        <v>7</v>
      </c>
      <c r="BJ228" s="27" t="s">
        <v>7</v>
      </c>
      <c r="BK228" s="27" t="s">
        <v>8</v>
      </c>
      <c r="BL228" s="27" t="s">
        <v>7</v>
      </c>
      <c r="BM228" s="27" t="s">
        <v>8</v>
      </c>
      <c r="BN228" s="27" t="s">
        <v>7</v>
      </c>
    </row>
    <row r="229" spans="1:74" x14ac:dyDescent="0.25">
      <c r="A229" s="30">
        <v>1.7103393581163142</v>
      </c>
      <c r="E229" t="s">
        <v>8</v>
      </c>
      <c r="H229" s="27" t="s">
        <v>7</v>
      </c>
      <c r="V229" s="27" t="s">
        <v>7</v>
      </c>
      <c r="W229" s="27" t="s">
        <v>8</v>
      </c>
      <c r="X229" s="27" t="s">
        <v>7</v>
      </c>
      <c r="Y229" s="27" t="s">
        <v>8</v>
      </c>
      <c r="Z229" s="27" t="s">
        <v>7</v>
      </c>
      <c r="AA229" s="27" t="s">
        <v>8</v>
      </c>
      <c r="AH229" s="27" t="s">
        <v>7</v>
      </c>
      <c r="AO229" s="27" t="s">
        <v>8</v>
      </c>
      <c r="AP229" s="27" t="s">
        <v>7</v>
      </c>
      <c r="AQ229" s="27" t="s">
        <v>8</v>
      </c>
      <c r="AS229" s="27" t="s">
        <v>8</v>
      </c>
      <c r="BD229" s="27" t="s">
        <v>7</v>
      </c>
      <c r="BF229" s="27" t="s">
        <v>7</v>
      </c>
      <c r="BG229" s="27" t="s">
        <v>8</v>
      </c>
      <c r="BJ229" s="27" t="s">
        <v>7</v>
      </c>
      <c r="BK229" s="27" t="s">
        <v>8</v>
      </c>
      <c r="BL229" s="27" t="s">
        <v>7</v>
      </c>
      <c r="BM229" s="27" t="s">
        <v>8</v>
      </c>
      <c r="BN229" s="27" t="s">
        <v>7</v>
      </c>
    </row>
    <row r="230" spans="1:74" x14ac:dyDescent="0.25">
      <c r="A230" s="30">
        <v>1.628894626777442</v>
      </c>
      <c r="E230" t="s">
        <v>8</v>
      </c>
      <c r="V230" s="27" t="s">
        <v>7</v>
      </c>
      <c r="W230" s="27" t="s">
        <v>8</v>
      </c>
      <c r="X230" s="27" t="s">
        <v>7</v>
      </c>
      <c r="Y230" s="27" t="s">
        <v>8</v>
      </c>
      <c r="Z230" s="27" t="s">
        <v>7</v>
      </c>
      <c r="AA230" s="27" t="s">
        <v>8</v>
      </c>
      <c r="AH230" s="27" t="s">
        <v>7</v>
      </c>
      <c r="AO230" s="27" t="s">
        <v>8</v>
      </c>
      <c r="AP230" s="27" t="s">
        <v>7</v>
      </c>
      <c r="AQ230" s="27" t="s">
        <v>8</v>
      </c>
      <c r="AR230" s="27" t="s">
        <v>7</v>
      </c>
      <c r="AS230" s="27" t="s">
        <v>8</v>
      </c>
      <c r="BF230" s="27" t="s">
        <v>7</v>
      </c>
      <c r="BJ230" s="27" t="s">
        <v>7</v>
      </c>
      <c r="BK230" s="27" t="s">
        <v>8</v>
      </c>
      <c r="BL230" s="27" t="s">
        <v>7</v>
      </c>
      <c r="BM230" s="27" t="s">
        <v>8</v>
      </c>
      <c r="BN230" s="27" t="s">
        <v>7</v>
      </c>
    </row>
    <row r="231" spans="1:74" x14ac:dyDescent="0.25">
      <c r="A231" s="30">
        <v>1.5513282159785162</v>
      </c>
      <c r="C231"/>
      <c r="D231"/>
      <c r="E231" t="s">
        <v>8</v>
      </c>
      <c r="V231" s="27" t="s">
        <v>7</v>
      </c>
      <c r="X231" s="27" t="s">
        <v>7</v>
      </c>
      <c r="Y231" s="27" t="s">
        <v>8</v>
      </c>
      <c r="Z231" s="27" t="s">
        <v>7</v>
      </c>
      <c r="AA231" s="27" t="s">
        <v>8</v>
      </c>
      <c r="AH231" s="27" t="s">
        <v>7</v>
      </c>
      <c r="AI231" s="27" t="s">
        <v>8</v>
      </c>
      <c r="AM231" s="27" t="s">
        <v>8</v>
      </c>
      <c r="AO231" s="27" t="s">
        <v>8</v>
      </c>
      <c r="AP231" s="27" t="s">
        <v>7</v>
      </c>
      <c r="AQ231" s="27" t="s">
        <v>8</v>
      </c>
      <c r="AR231" s="27" t="s">
        <v>7</v>
      </c>
      <c r="AS231" s="27" t="s">
        <v>8</v>
      </c>
      <c r="BJ231" s="27" t="s">
        <v>7</v>
      </c>
      <c r="BL231" s="27" t="s">
        <v>7</v>
      </c>
      <c r="BN231" s="27" t="s">
        <v>7</v>
      </c>
      <c r="BO231" s="27" t="s">
        <v>8</v>
      </c>
      <c r="BQ231" s="27" t="s">
        <v>8</v>
      </c>
    </row>
    <row r="232" spans="1:74" x14ac:dyDescent="0.25">
      <c r="A232" s="30">
        <v>1.477455443789063</v>
      </c>
      <c r="E232" t="s">
        <v>8</v>
      </c>
      <c r="X232" s="27" t="s">
        <v>7</v>
      </c>
      <c r="Y232" s="27" t="s">
        <v>8</v>
      </c>
      <c r="Z232" s="27" t="s">
        <v>7</v>
      </c>
      <c r="AA232" s="27" t="s">
        <v>8</v>
      </c>
      <c r="AH232" s="27" t="s">
        <v>7</v>
      </c>
      <c r="AI232" s="27" t="s">
        <v>8</v>
      </c>
      <c r="AJ232" s="27" t="s">
        <v>7</v>
      </c>
      <c r="AK232" s="27" t="s">
        <v>8</v>
      </c>
      <c r="AM232" s="27" t="s">
        <v>8</v>
      </c>
      <c r="AN232" s="27" t="s">
        <v>7</v>
      </c>
      <c r="AO232" s="27" t="s">
        <v>8</v>
      </c>
      <c r="AP232" s="27" t="s">
        <v>7</v>
      </c>
      <c r="AR232" s="27" t="s">
        <v>7</v>
      </c>
      <c r="AS232" s="27" t="s">
        <v>8</v>
      </c>
      <c r="BN232" s="27" t="s">
        <v>7</v>
      </c>
      <c r="BO232" s="27" t="s">
        <v>8</v>
      </c>
      <c r="BP232" s="27" t="s">
        <v>7</v>
      </c>
      <c r="BQ232" s="27" t="s">
        <v>8</v>
      </c>
      <c r="BR232" s="27" t="s">
        <v>7</v>
      </c>
    </row>
    <row r="233" spans="1:74" x14ac:dyDescent="0.25">
      <c r="A233" s="30">
        <v>1.4071004226562505</v>
      </c>
      <c r="E233" t="s">
        <v>8</v>
      </c>
      <c r="X233" s="27" t="s">
        <v>7</v>
      </c>
      <c r="Y233" s="27" t="s">
        <v>8</v>
      </c>
      <c r="Z233" s="27" t="s">
        <v>7</v>
      </c>
      <c r="AH233" s="27" t="s">
        <v>7</v>
      </c>
      <c r="AI233" s="27" t="s">
        <v>8</v>
      </c>
      <c r="AJ233" s="27" t="s">
        <v>7</v>
      </c>
      <c r="AK233" s="27" t="s">
        <v>8</v>
      </c>
      <c r="AL233" s="27" t="s">
        <v>7</v>
      </c>
      <c r="AM233" s="27" t="s">
        <v>8</v>
      </c>
      <c r="AN233" s="27" t="s">
        <v>7</v>
      </c>
      <c r="AO233" s="27" t="s">
        <v>8</v>
      </c>
      <c r="AR233" s="27" t="s">
        <v>7</v>
      </c>
      <c r="AS233" s="27" t="s">
        <v>8</v>
      </c>
      <c r="BN233" s="27" t="s">
        <v>7</v>
      </c>
      <c r="BO233" s="27" t="s">
        <v>8</v>
      </c>
      <c r="BP233" s="27" t="s">
        <v>7</v>
      </c>
      <c r="BQ233" s="27" t="s">
        <v>8</v>
      </c>
      <c r="BR233" s="27" t="s">
        <v>7</v>
      </c>
      <c r="BS233" s="27" t="s">
        <v>8</v>
      </c>
    </row>
    <row r="234" spans="1:74" x14ac:dyDescent="0.25">
      <c r="A234" s="30">
        <v>1.3400956406250004</v>
      </c>
      <c r="E234" t="s">
        <v>8</v>
      </c>
      <c r="X234" s="27" t="s">
        <v>7</v>
      </c>
      <c r="Y234" s="27" t="s">
        <v>8</v>
      </c>
      <c r="AH234" s="27" t="s">
        <v>7</v>
      </c>
      <c r="AI234" s="27" t="s">
        <v>8</v>
      </c>
      <c r="AJ234" s="27" t="s">
        <v>7</v>
      </c>
      <c r="AK234" s="27" t="s">
        <v>8</v>
      </c>
      <c r="AL234" s="27" t="s">
        <v>7</v>
      </c>
      <c r="AM234" s="27" t="s">
        <v>8</v>
      </c>
      <c r="AN234" s="27" t="s">
        <v>7</v>
      </c>
      <c r="AR234" s="18" t="s">
        <v>7</v>
      </c>
      <c r="AS234" s="27" t="s">
        <v>8</v>
      </c>
      <c r="BN234" s="27" t="s">
        <v>7</v>
      </c>
      <c r="BO234" s="27" t="s">
        <v>8</v>
      </c>
      <c r="BP234" s="27" t="s">
        <v>7</v>
      </c>
      <c r="BQ234" s="27" t="s">
        <v>8</v>
      </c>
      <c r="BR234" s="27" t="s">
        <v>7</v>
      </c>
      <c r="BS234" s="27" t="s">
        <v>8</v>
      </c>
      <c r="BT234" s="27" t="s">
        <v>7</v>
      </c>
    </row>
    <row r="235" spans="1:74" x14ac:dyDescent="0.25">
      <c r="A235" s="30">
        <v>1.2762815625000004</v>
      </c>
      <c r="C235"/>
      <c r="E235" t="s">
        <v>8</v>
      </c>
      <c r="X235" s="27" t="s">
        <v>7</v>
      </c>
      <c r="Y235" s="27" t="s">
        <v>8</v>
      </c>
      <c r="AH235" s="27" t="s">
        <v>7</v>
      </c>
      <c r="AI235" s="27" t="s">
        <v>8</v>
      </c>
      <c r="AJ235" s="27" t="s">
        <v>7</v>
      </c>
      <c r="AL235" s="27" t="s">
        <v>7</v>
      </c>
      <c r="AR235" s="27" t="s">
        <v>7</v>
      </c>
      <c r="AS235" s="27" t="s">
        <v>8</v>
      </c>
      <c r="BN235" s="27" t="s">
        <v>7</v>
      </c>
      <c r="BP235" s="27" t="s">
        <v>7</v>
      </c>
      <c r="BQ235" s="27" t="s">
        <v>8</v>
      </c>
      <c r="BR235" s="27" t="s">
        <v>7</v>
      </c>
      <c r="BS235" s="27" t="s">
        <v>8</v>
      </c>
      <c r="BT235" s="27" t="s">
        <v>7</v>
      </c>
    </row>
    <row r="236" spans="1:74" x14ac:dyDescent="0.25">
      <c r="A236" s="30">
        <v>1.2155062500000002</v>
      </c>
      <c r="E236" t="s">
        <v>8</v>
      </c>
      <c r="X236" s="27" t="s">
        <v>7</v>
      </c>
      <c r="Y236" s="27" t="s">
        <v>8</v>
      </c>
      <c r="AH236" s="27" t="s">
        <v>7</v>
      </c>
      <c r="AI236" s="27" t="s">
        <v>8</v>
      </c>
      <c r="AR236" s="27" t="s">
        <v>7</v>
      </c>
      <c r="BP236" s="27" t="s">
        <v>7</v>
      </c>
      <c r="BR236" s="27" t="s">
        <v>7</v>
      </c>
      <c r="BT236" s="27" t="s">
        <v>7</v>
      </c>
    </row>
    <row r="237" spans="1:74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X237" s="27" t="s">
        <v>7</v>
      </c>
      <c r="Y237" s="27" t="s">
        <v>8</v>
      </c>
      <c r="AH237" s="27" t="s">
        <v>7</v>
      </c>
      <c r="BT237" s="27" t="s">
        <v>7</v>
      </c>
      <c r="BU237" s="27" t="s">
        <v>8</v>
      </c>
    </row>
    <row r="238" spans="1:74" x14ac:dyDescent="0.25">
      <c r="A238" s="30">
        <v>1.1025</v>
      </c>
      <c r="E238" t="s">
        <v>8</v>
      </c>
      <c r="X238" s="27" t="s">
        <v>7</v>
      </c>
      <c r="Y238" s="27" t="s">
        <v>8</v>
      </c>
      <c r="BT238" s="27" t="s">
        <v>7</v>
      </c>
      <c r="BU238" s="27" t="s">
        <v>8</v>
      </c>
      <c r="BV238" s="27" t="s">
        <v>7</v>
      </c>
    </row>
    <row r="239" spans="1:74" x14ac:dyDescent="0.25">
      <c r="A239" s="30">
        <v>1.05</v>
      </c>
      <c r="E239" t="s">
        <v>8</v>
      </c>
      <c r="X239" s="27" t="s">
        <v>7</v>
      </c>
      <c r="BT239" s="27" t="s">
        <v>7</v>
      </c>
      <c r="BU239" s="27" t="s">
        <v>8</v>
      </c>
      <c r="BV239" s="27" t="s">
        <v>7</v>
      </c>
    </row>
    <row r="240" spans="1:74" x14ac:dyDescent="0.25">
      <c r="A240" s="30">
        <v>1</v>
      </c>
      <c r="E240" s="29" t="s">
        <v>8</v>
      </c>
      <c r="BT240" s="27" t="s">
        <v>7</v>
      </c>
      <c r="BV240" s="27" t="s">
        <v>7</v>
      </c>
    </row>
    <row r="241" spans="1:77" x14ac:dyDescent="0.25">
      <c r="A241" s="30">
        <v>0.952380952380952</v>
      </c>
      <c r="B241"/>
      <c r="C241"/>
      <c r="D241"/>
      <c r="E241"/>
      <c r="BV241" s="27" t="s">
        <v>7</v>
      </c>
    </row>
    <row r="242" spans="1:77" x14ac:dyDescent="0.25">
      <c r="A242" s="30">
        <v>0.90702947845804915</v>
      </c>
      <c r="B242"/>
      <c r="C242"/>
      <c r="D242"/>
      <c r="E242"/>
      <c r="BV242" s="27" t="s">
        <v>7</v>
      </c>
    </row>
    <row r="243" spans="1:77" x14ac:dyDescent="0.25">
      <c r="A243" s="30">
        <v>0.86383759853147501</v>
      </c>
      <c r="B243"/>
      <c r="C243"/>
      <c r="D243"/>
      <c r="E243"/>
      <c r="BV243" s="27" t="s">
        <v>7</v>
      </c>
    </row>
    <row r="244" spans="1:77" x14ac:dyDescent="0.25">
      <c r="A244" s="30">
        <v>0.82270247479188063</v>
      </c>
      <c r="B244"/>
      <c r="C244"/>
      <c r="D244"/>
      <c r="E244"/>
      <c r="BV244" s="27" t="s">
        <v>7</v>
      </c>
      <c r="BY244" s="27" t="s">
        <v>8</v>
      </c>
    </row>
    <row r="245" spans="1:77" x14ac:dyDescent="0.25">
      <c r="A245" s="30">
        <v>0.78352616646845741</v>
      </c>
      <c r="B245"/>
      <c r="C245"/>
      <c r="D245"/>
      <c r="E245"/>
      <c r="BV245" s="27" t="s">
        <v>7</v>
      </c>
      <c r="BW245" s="27" t="s">
        <v>8</v>
      </c>
      <c r="BY245" s="27" t="s">
        <v>8</v>
      </c>
    </row>
    <row r="246" spans="1:77" x14ac:dyDescent="0.25">
      <c r="A246" s="30">
        <v>0.74621539663662584</v>
      </c>
      <c r="B246"/>
      <c r="C246"/>
      <c r="D246"/>
      <c r="E246"/>
      <c r="BV246" s="27" t="s">
        <v>7</v>
      </c>
      <c r="BW246" s="27" t="s">
        <v>8</v>
      </c>
      <c r="BX246" s="27" t="s">
        <v>7</v>
      </c>
      <c r="BY246" s="27" t="s">
        <v>8</v>
      </c>
    </row>
    <row r="247" spans="1:77" x14ac:dyDescent="0.25">
      <c r="A247" s="30">
        <v>0.71068133013011958</v>
      </c>
      <c r="B247"/>
      <c r="C247"/>
      <c r="D247"/>
      <c r="E247"/>
      <c r="BV247" s="27" t="s">
        <v>7</v>
      </c>
      <c r="BW247" s="27" t="s">
        <v>8</v>
      </c>
      <c r="BX247" s="27" t="s">
        <v>7</v>
      </c>
      <c r="BY247" s="27" t="s">
        <v>8</v>
      </c>
    </row>
    <row r="248" spans="1:77" x14ac:dyDescent="0.25">
      <c r="A248" s="30">
        <v>0.676839362028685</v>
      </c>
      <c r="B248"/>
      <c r="C248"/>
      <c r="D248"/>
      <c r="E248"/>
      <c r="BV248" s="27" t="s">
        <v>7</v>
      </c>
      <c r="BX248" s="27" t="s">
        <v>7</v>
      </c>
      <c r="BY248" s="27" t="s">
        <v>8</v>
      </c>
    </row>
    <row r="249" spans="1:77" x14ac:dyDescent="0.25">
      <c r="A249" s="30">
        <v>0.64460891621779492</v>
      </c>
      <c r="B249"/>
      <c r="C249"/>
      <c r="D249"/>
      <c r="E249"/>
      <c r="BX249" s="27" t="s">
        <v>7</v>
      </c>
    </row>
    <row r="250" spans="1:77" x14ac:dyDescent="0.25">
      <c r="A250" s="30">
        <v>0.61391325354075688</v>
      </c>
      <c r="B250"/>
      <c r="C250"/>
      <c r="D250"/>
      <c r="E250"/>
    </row>
    <row r="251" spans="1:77" x14ac:dyDescent="0.25">
      <c r="A251" s="30">
        <v>0.58467928908643485</v>
      </c>
      <c r="B251"/>
      <c r="C251"/>
      <c r="D251"/>
      <c r="E251"/>
    </row>
    <row r="252" spans="1:77" x14ac:dyDescent="0.25">
      <c r="A252" s="30">
        <v>0.55683741817755672</v>
      </c>
      <c r="B252"/>
      <c r="C252"/>
      <c r="D252"/>
      <c r="E252"/>
    </row>
    <row r="253" spans="1:77" x14ac:dyDescent="0.25">
      <c r="A253" s="30">
        <v>0.53032135064529184</v>
      </c>
      <c r="B253"/>
      <c r="C253"/>
      <c r="D253"/>
      <c r="E253"/>
    </row>
    <row r="254" spans="1:77" x14ac:dyDescent="0.25">
      <c r="A254" s="30">
        <v>0.50506795299551588</v>
      </c>
      <c r="B254"/>
      <c r="C254"/>
      <c r="D254"/>
      <c r="E254"/>
    </row>
    <row r="255" spans="1:77" x14ac:dyDescent="0.25">
      <c r="A255" s="30">
        <v>0.48101709809096732</v>
      </c>
      <c r="E255"/>
    </row>
    <row r="256" spans="1:77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16" operator="equal">
      <formula>$U$1</formula>
    </cfRule>
    <cfRule type="cellIs" dxfId="67" priority="717" operator="equal">
      <formula>$S$1</formula>
    </cfRule>
  </conditionalFormatting>
  <conditionalFormatting sqref="D136">
    <cfRule type="cellIs" dxfId="66" priority="714" operator="equal">
      <formula>$S$1</formula>
    </cfRule>
    <cfRule type="cellIs" dxfId="65" priority="715" operator="equal">
      <formula>$U$1</formula>
    </cfRule>
  </conditionalFormatting>
  <conditionalFormatting sqref="C162">
    <cfRule type="cellIs" dxfId="64" priority="712" operator="equal">
      <formula>$U$1</formula>
    </cfRule>
    <cfRule type="cellIs" dxfId="63" priority="713" operator="equal">
      <formula>$S$1</formula>
    </cfRule>
  </conditionalFormatting>
  <conditionalFormatting sqref="D162">
    <cfRule type="cellIs" dxfId="62" priority="710" operator="equal">
      <formula>$S$1</formula>
    </cfRule>
    <cfRule type="cellIs" dxfId="61" priority="711" operator="equal">
      <formula>$U$1</formula>
    </cfRule>
  </conditionalFormatting>
  <conditionalFormatting sqref="C187">
    <cfRule type="cellIs" dxfId="60" priority="708" operator="equal">
      <formula>$U$1</formula>
    </cfRule>
    <cfRule type="cellIs" dxfId="59" priority="709" operator="equal">
      <formula>$S$1</formula>
    </cfRule>
  </conditionalFormatting>
  <conditionalFormatting sqref="D187">
    <cfRule type="cellIs" dxfId="58" priority="706" operator="equal">
      <formula>$S$1</formula>
    </cfRule>
    <cfRule type="cellIs" dxfId="57" priority="707" operator="equal">
      <formula>$U$1</formula>
    </cfRule>
  </conditionalFormatting>
  <conditionalFormatting sqref="C212">
    <cfRule type="cellIs" dxfId="56" priority="704" operator="equal">
      <formula>$U$1</formula>
    </cfRule>
    <cfRule type="cellIs" dxfId="55" priority="705" operator="equal">
      <formula>$S$1</formula>
    </cfRule>
  </conditionalFormatting>
  <conditionalFormatting sqref="D212">
    <cfRule type="cellIs" dxfId="54" priority="702" operator="equal">
      <formula>$S$1</formula>
    </cfRule>
    <cfRule type="cellIs" dxfId="53" priority="703" operator="equal">
      <formula>$U$1</formula>
    </cfRule>
  </conditionalFormatting>
  <conditionalFormatting sqref="C237">
    <cfRule type="cellIs" dxfId="52" priority="700" operator="equal">
      <formula>$U$1</formula>
    </cfRule>
    <cfRule type="cellIs" dxfId="51" priority="701" operator="equal">
      <formula>$S$1</formula>
    </cfRule>
  </conditionalFormatting>
  <conditionalFormatting sqref="D237">
    <cfRule type="cellIs" dxfId="50" priority="698" operator="equal">
      <formula>$S$1</formula>
    </cfRule>
    <cfRule type="cellIs" dxfId="49" priority="699" operator="equal">
      <formula>$U$1</formula>
    </cfRule>
  </conditionalFormatting>
  <conditionalFormatting sqref="C106">
    <cfRule type="cellIs" dxfId="48" priority="696" operator="equal">
      <formula>$U$1</formula>
    </cfRule>
    <cfRule type="cellIs" dxfId="47" priority="697" operator="equal">
      <formula>$S$1</formula>
    </cfRule>
  </conditionalFormatting>
  <conditionalFormatting sqref="D106">
    <cfRule type="cellIs" dxfId="46" priority="694" operator="equal">
      <formula>$S$1</formula>
    </cfRule>
    <cfRule type="cellIs" dxfId="45" priority="695" operator="equal">
      <formula>$U$1</formula>
    </cfRule>
  </conditionalFormatting>
  <conditionalFormatting sqref="C81">
    <cfRule type="cellIs" dxfId="44" priority="692" operator="equal">
      <formula>$U$1</formula>
    </cfRule>
    <cfRule type="cellIs" dxfId="43" priority="693" operator="equal">
      <formula>$S$1</formula>
    </cfRule>
  </conditionalFormatting>
  <conditionalFormatting sqref="D81">
    <cfRule type="cellIs" dxfId="42" priority="690" operator="equal">
      <formula>$S$1</formula>
    </cfRule>
    <cfRule type="cellIs" dxfId="41" priority="691" operator="equal">
      <formula>$U$1</formula>
    </cfRule>
  </conditionalFormatting>
  <conditionalFormatting sqref="C56">
    <cfRule type="cellIs" dxfId="40" priority="688" operator="equal">
      <formula>$U$1</formula>
    </cfRule>
    <cfRule type="cellIs" dxfId="39" priority="689" operator="equal">
      <formula>$S$1</formula>
    </cfRule>
  </conditionalFormatting>
  <conditionalFormatting sqref="D56">
    <cfRule type="cellIs" dxfId="38" priority="686" operator="equal">
      <formula>$S$1</formula>
    </cfRule>
    <cfRule type="cellIs" dxfId="37" priority="687" operator="equal">
      <formula>$U$1</formula>
    </cfRule>
  </conditionalFormatting>
  <conditionalFormatting sqref="C31">
    <cfRule type="cellIs" dxfId="36" priority="684" operator="equal">
      <formula>$U$1</formula>
    </cfRule>
    <cfRule type="cellIs" dxfId="35" priority="685" operator="equal">
      <formula>$S$1</formula>
    </cfRule>
  </conditionalFormatting>
  <conditionalFormatting sqref="D31">
    <cfRule type="cellIs" dxfId="34" priority="682" operator="equal">
      <formula>$S$1</formula>
    </cfRule>
    <cfRule type="cellIs" dxfId="33" priority="68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V125" sqref="V125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20" x14ac:dyDescent="0.25">
      <c r="A97" s="30">
        <v>9.849732675807628</v>
      </c>
      <c r="E97"/>
    </row>
    <row r="98" spans="1:20" x14ac:dyDescent="0.25">
      <c r="A98" s="30">
        <v>8.9543024325523888</v>
      </c>
      <c r="C98" s="1" t="s">
        <v>13</v>
      </c>
      <c r="E98"/>
    </row>
    <row r="99" spans="1:20" x14ac:dyDescent="0.25">
      <c r="A99" s="30">
        <v>8.140274938683989</v>
      </c>
      <c r="C99" s="1">
        <f>C88</f>
        <v>0</v>
      </c>
      <c r="E99"/>
    </row>
    <row r="100" spans="1:20" x14ac:dyDescent="0.25">
      <c r="A100" s="30">
        <v>7.4002499442581717</v>
      </c>
      <c r="C100"/>
      <c r="D100"/>
      <c r="E100"/>
    </row>
    <row r="101" spans="1:20" x14ac:dyDescent="0.25">
      <c r="A101" s="30">
        <v>6.72749994932561</v>
      </c>
      <c r="C101" s="1" t="s">
        <v>14</v>
      </c>
      <c r="E101"/>
    </row>
    <row r="102" spans="1:20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20" x14ac:dyDescent="0.25">
      <c r="A103" s="30">
        <v>5.5599173134922388</v>
      </c>
      <c r="E103"/>
    </row>
    <row r="104" spans="1:20" x14ac:dyDescent="0.25">
      <c r="A104" s="30">
        <v>5.0544702849929442</v>
      </c>
      <c r="E104"/>
    </row>
    <row r="105" spans="1:20" x14ac:dyDescent="0.25">
      <c r="A105" s="30">
        <v>4.594972986357222</v>
      </c>
      <c r="E105"/>
      <c r="I105" s="27" t="s">
        <v>8</v>
      </c>
    </row>
    <row r="106" spans="1:20" x14ac:dyDescent="0.25">
      <c r="A106" s="30">
        <v>4.1772481694156562</v>
      </c>
      <c r="E106"/>
      <c r="I106" s="27" t="s">
        <v>8</v>
      </c>
      <c r="J106" s="27" t="s">
        <v>7</v>
      </c>
    </row>
    <row r="107" spans="1:20" x14ac:dyDescent="0.25">
      <c r="A107" s="30">
        <v>3.7974983358324148</v>
      </c>
      <c r="E107"/>
      <c r="I107" s="27" t="s">
        <v>8</v>
      </c>
      <c r="J107" s="27" t="s">
        <v>7</v>
      </c>
    </row>
    <row r="108" spans="1:20" x14ac:dyDescent="0.25">
      <c r="A108" s="30">
        <v>3.4522712143931042</v>
      </c>
      <c r="E108"/>
      <c r="G108" s="27" t="s">
        <v>8</v>
      </c>
      <c r="I108" s="27" t="s">
        <v>8</v>
      </c>
      <c r="J108" s="27" t="s">
        <v>7</v>
      </c>
      <c r="S108" s="27" t="s">
        <v>8</v>
      </c>
    </row>
    <row r="109" spans="1:20" x14ac:dyDescent="0.25">
      <c r="A109" s="30">
        <v>3.1384283767210035</v>
      </c>
      <c r="E109" t="s">
        <v>8</v>
      </c>
      <c r="G109" s="27" t="s">
        <v>8</v>
      </c>
      <c r="H109" s="27" t="s">
        <v>7</v>
      </c>
      <c r="I109" s="27" t="s">
        <v>8</v>
      </c>
      <c r="J109" s="27" t="s">
        <v>7</v>
      </c>
      <c r="S109" s="27" t="s">
        <v>8</v>
      </c>
      <c r="T109" s="27" t="s">
        <v>7</v>
      </c>
    </row>
    <row r="110" spans="1:20" x14ac:dyDescent="0.25">
      <c r="A110" s="30">
        <v>2.8531167061100029</v>
      </c>
      <c r="E110" t="s">
        <v>8</v>
      </c>
      <c r="F110" s="27" t="s">
        <v>7</v>
      </c>
      <c r="G110" s="27" t="s">
        <v>8</v>
      </c>
      <c r="H110" s="27" t="s">
        <v>7</v>
      </c>
      <c r="I110" s="27" t="s">
        <v>8</v>
      </c>
      <c r="J110" s="27" t="s">
        <v>7</v>
      </c>
      <c r="O110" s="27" t="s">
        <v>8</v>
      </c>
      <c r="S110" s="27" t="s">
        <v>8</v>
      </c>
      <c r="T110" s="27" t="s">
        <v>7</v>
      </c>
    </row>
    <row r="111" spans="1:20" x14ac:dyDescent="0.25">
      <c r="A111" s="30">
        <v>2.5937424601000023</v>
      </c>
      <c r="C111" s="1" t="str">
        <f>ADDRESS(C121-1,1,1,1)</f>
        <v>$A$124</v>
      </c>
      <c r="D111" s="1" t="str">
        <f>ADDRESS(C121-1,D121,1,1)</f>
        <v>$V$124</v>
      </c>
      <c r="E111" t="s">
        <v>8</v>
      </c>
      <c r="F111" s="27" t="s">
        <v>7</v>
      </c>
      <c r="G111" s="27" t="s">
        <v>8</v>
      </c>
      <c r="H111" s="27" t="s">
        <v>7</v>
      </c>
      <c r="I111" s="27" t="s">
        <v>8</v>
      </c>
      <c r="J111" s="27" t="s">
        <v>7</v>
      </c>
      <c r="O111" s="27" t="s">
        <v>8</v>
      </c>
      <c r="P111" s="27" t="s">
        <v>7</v>
      </c>
      <c r="S111" s="27" t="s">
        <v>8</v>
      </c>
      <c r="T111" s="27" t="s">
        <v>7</v>
      </c>
    </row>
    <row r="112" spans="1:20" x14ac:dyDescent="0.25">
      <c r="A112" s="30">
        <v>2.3579476910000019</v>
      </c>
      <c r="C112" s="1" t="str">
        <f>ADDRESS(C121,1,1,1)</f>
        <v>$A$125</v>
      </c>
      <c r="D112" s="1" t="str">
        <f>ADDRESS(C121,D121-1,1,1)</f>
        <v>$U$125</v>
      </c>
      <c r="E112" t="s">
        <v>8</v>
      </c>
      <c r="F112" s="27" t="s">
        <v>7</v>
      </c>
      <c r="G112" s="27" t="s">
        <v>8</v>
      </c>
      <c r="H112" s="27" t="s">
        <v>7</v>
      </c>
      <c r="I112" s="27" t="s">
        <v>8</v>
      </c>
      <c r="J112" s="27" t="s">
        <v>7</v>
      </c>
      <c r="O112" s="27" t="s">
        <v>8</v>
      </c>
      <c r="P112" s="27" t="s">
        <v>7</v>
      </c>
      <c r="S112" s="27" t="s">
        <v>8</v>
      </c>
      <c r="T112" s="27" t="s">
        <v>7</v>
      </c>
    </row>
    <row r="113" spans="1:22" x14ac:dyDescent="0.25">
      <c r="A113" s="30">
        <v>2.1435888100000016</v>
      </c>
      <c r="C113" s="1" t="str">
        <f>ADDRESS(C121+1,1,1,1)</f>
        <v>$A$126</v>
      </c>
      <c r="D113" s="1" t="str">
        <f>ADDRESS(C121-1,D121+1,1,1)</f>
        <v>$W$124</v>
      </c>
      <c r="E113" s="1" t="s">
        <v>8</v>
      </c>
      <c r="F113" s="27" t="s">
        <v>7</v>
      </c>
      <c r="G113" s="27" t="s">
        <v>8</v>
      </c>
      <c r="H113" s="27" t="s">
        <v>7</v>
      </c>
      <c r="I113" s="27" t="s">
        <v>8</v>
      </c>
      <c r="J113" s="27" t="s">
        <v>7</v>
      </c>
      <c r="K113" s="27" t="s">
        <v>8</v>
      </c>
      <c r="O113" s="27" t="s">
        <v>8</v>
      </c>
      <c r="P113" s="27" t="s">
        <v>7</v>
      </c>
      <c r="S113" s="27" t="s">
        <v>8</v>
      </c>
      <c r="T113" s="27" t="s">
        <v>7</v>
      </c>
      <c r="U113" s="27" t="s">
        <v>8</v>
      </c>
    </row>
    <row r="114" spans="1:22" x14ac:dyDescent="0.25">
      <c r="A114" s="30">
        <v>1.9487171000000014</v>
      </c>
      <c r="C114" s="1" t="str">
        <f>ADDRESS(C121,D121,1,1)</f>
        <v>$V$125</v>
      </c>
      <c r="D114" s="1" t="str">
        <f>ADDRESS(C121+1,D121+1,1,1)</f>
        <v>$W$126</v>
      </c>
      <c r="E114" s="1" t="s">
        <v>8</v>
      </c>
      <c r="F114" s="27" t="s">
        <v>7</v>
      </c>
      <c r="G114" s="27" t="s">
        <v>8</v>
      </c>
      <c r="H114" s="27" t="s">
        <v>7</v>
      </c>
      <c r="J114" s="27" t="s">
        <v>7</v>
      </c>
      <c r="K114" s="27" t="s">
        <v>8</v>
      </c>
      <c r="L114" s="27" t="s">
        <v>7</v>
      </c>
      <c r="M114" s="27" t="s">
        <v>8</v>
      </c>
      <c r="O114" s="27" t="s">
        <v>8</v>
      </c>
      <c r="P114" s="27" t="s">
        <v>7</v>
      </c>
      <c r="S114" s="27" t="s">
        <v>8</v>
      </c>
      <c r="T114" s="27" t="s">
        <v>7</v>
      </c>
      <c r="U114" s="27" t="s">
        <v>8</v>
      </c>
      <c r="V114" s="27" t="s">
        <v>7</v>
      </c>
    </row>
    <row r="115" spans="1:22" x14ac:dyDescent="0.25">
      <c r="A115" s="30">
        <v>1.7715610000000011</v>
      </c>
      <c r="C115" s="1" t="str">
        <f>ADDRESS(C121+1,D121,1,1)</f>
        <v>$V$126</v>
      </c>
      <c r="E115" s="1" t="s">
        <v>8</v>
      </c>
      <c r="F115" s="27" t="s">
        <v>7</v>
      </c>
      <c r="J115" s="27" t="s">
        <v>7</v>
      </c>
      <c r="K115" s="27" t="s">
        <v>8</v>
      </c>
      <c r="L115" s="27" t="s">
        <v>7</v>
      </c>
      <c r="M115" s="27" t="s">
        <v>8</v>
      </c>
      <c r="N115" s="27" t="s">
        <v>7</v>
      </c>
      <c r="O115" s="27" t="s">
        <v>8</v>
      </c>
      <c r="P115" s="27" t="s">
        <v>7</v>
      </c>
      <c r="Q115" s="27" t="s">
        <v>8</v>
      </c>
      <c r="S115" s="27" t="s">
        <v>8</v>
      </c>
      <c r="T115" s="27" t="s">
        <v>7</v>
      </c>
      <c r="U115" s="27" t="s">
        <v>8</v>
      </c>
      <c r="V115" s="27" t="s">
        <v>7</v>
      </c>
    </row>
    <row r="116" spans="1:22" x14ac:dyDescent="0.25">
      <c r="A116" s="30">
        <v>1.6105100000000008</v>
      </c>
      <c r="C116" s="1">
        <f>C117-1</f>
        <v>124</v>
      </c>
      <c r="E116" s="1" t="s">
        <v>8</v>
      </c>
      <c r="J116" s="27" t="s">
        <v>7</v>
      </c>
      <c r="L116" s="27" t="s">
        <v>7</v>
      </c>
      <c r="M116" s="27" t="s">
        <v>8</v>
      </c>
      <c r="N116" s="27" t="s">
        <v>7</v>
      </c>
      <c r="O116" s="27" t="s">
        <v>8</v>
      </c>
      <c r="P116" s="27" t="s">
        <v>7</v>
      </c>
      <c r="Q116" s="27" t="s">
        <v>8</v>
      </c>
      <c r="R116" s="27" t="s">
        <v>7</v>
      </c>
      <c r="S116" s="27" t="s">
        <v>8</v>
      </c>
      <c r="T116" s="27" t="s">
        <v>7</v>
      </c>
      <c r="V116" s="27" t="s">
        <v>7</v>
      </c>
    </row>
    <row r="117" spans="1:22" x14ac:dyDescent="0.25">
      <c r="A117" s="30">
        <v>1.4641000000000006</v>
      </c>
      <c r="C117" s="1">
        <f>C121</f>
        <v>125</v>
      </c>
      <c r="D117" s="1">
        <f>D121</f>
        <v>22</v>
      </c>
      <c r="E117" s="1" t="s">
        <v>8</v>
      </c>
      <c r="L117" s="27" t="s">
        <v>7</v>
      </c>
      <c r="M117" s="27" t="s">
        <v>8</v>
      </c>
      <c r="N117" s="27" t="s">
        <v>7</v>
      </c>
      <c r="P117" s="27" t="s">
        <v>7</v>
      </c>
      <c r="Q117" s="27" t="s">
        <v>8</v>
      </c>
      <c r="R117" s="27" t="s">
        <v>7</v>
      </c>
      <c r="S117" s="27" t="s">
        <v>8</v>
      </c>
      <c r="V117" s="27" t="s">
        <v>7</v>
      </c>
    </row>
    <row r="118" spans="1:22" x14ac:dyDescent="0.25">
      <c r="A118" s="30">
        <v>1.3310000000000004</v>
      </c>
      <c r="C118" s="1">
        <f>C117+1</f>
        <v>126</v>
      </c>
      <c r="D118" s="1">
        <f>D117+1</f>
        <v>23</v>
      </c>
      <c r="E118" s="1" t="s">
        <v>8</v>
      </c>
      <c r="L118" s="27" t="s">
        <v>7</v>
      </c>
      <c r="M118" s="27" t="s">
        <v>8</v>
      </c>
      <c r="P118" s="27" t="s">
        <v>7</v>
      </c>
      <c r="Q118" s="27" t="s">
        <v>8</v>
      </c>
      <c r="R118" s="18" t="s">
        <v>7</v>
      </c>
      <c r="S118" s="27" t="s">
        <v>8</v>
      </c>
      <c r="V118" s="27" t="s">
        <v>7</v>
      </c>
    </row>
    <row r="119" spans="1:22" x14ac:dyDescent="0.25">
      <c r="A119" s="30">
        <v>1.2100000000000002</v>
      </c>
      <c r="E119" s="1" t="s">
        <v>8</v>
      </c>
      <c r="L119" s="27" t="s">
        <v>7</v>
      </c>
      <c r="M119" s="27" t="s">
        <v>8</v>
      </c>
      <c r="P119" s="27" t="s">
        <v>7</v>
      </c>
      <c r="R119" s="27" t="s">
        <v>7</v>
      </c>
      <c r="V119" s="27" t="s">
        <v>7</v>
      </c>
    </row>
    <row r="120" spans="1:22" x14ac:dyDescent="0.25">
      <c r="A120" s="30">
        <v>1.1000000000000001</v>
      </c>
      <c r="C120" s="1" t="s">
        <v>9</v>
      </c>
      <c r="E120" s="1" t="s">
        <v>8</v>
      </c>
      <c r="L120" s="27" t="s">
        <v>7</v>
      </c>
      <c r="V120" s="27" t="s">
        <v>7</v>
      </c>
    </row>
    <row r="121" spans="1:22" x14ac:dyDescent="0.25">
      <c r="A121" s="30">
        <v>1</v>
      </c>
      <c r="C121" s="18">
        <v>125</v>
      </c>
      <c r="D121" s="19">
        <v>22</v>
      </c>
      <c r="E121" s="18" t="s">
        <v>8</v>
      </c>
      <c r="V121" s="27" t="s">
        <v>7</v>
      </c>
    </row>
    <row r="122" spans="1:22" x14ac:dyDescent="0.25">
      <c r="A122" s="30">
        <v>0.90909090909090895</v>
      </c>
      <c r="C122" s="1" t="str">
        <f>INDEX(1:1048576,C117,D117)</f>
        <v>O</v>
      </c>
      <c r="V122" s="27" t="s">
        <v>7</v>
      </c>
    </row>
    <row r="123" spans="1:22" x14ac:dyDescent="0.25">
      <c r="A123" s="30">
        <v>0.82644628099173523</v>
      </c>
      <c r="C123" s="1" t="str">
        <f>"R"&amp;C121</f>
        <v>R125</v>
      </c>
      <c r="D123" s="1" t="str">
        <f>"C"&amp;D121</f>
        <v>C22</v>
      </c>
      <c r="V123" s="27" t="s">
        <v>7</v>
      </c>
    </row>
    <row r="124" spans="1:22" x14ac:dyDescent="0.25">
      <c r="A124" s="30">
        <v>0.75131480090157732</v>
      </c>
      <c r="C124" s="1">
        <f>SUM(C130:D130)</f>
        <v>0</v>
      </c>
      <c r="D124" s="1">
        <f>IF(C124=0,0,1)</f>
        <v>0</v>
      </c>
      <c r="V124" s="27" t="s">
        <v>7</v>
      </c>
    </row>
    <row r="125" spans="1:22" x14ac:dyDescent="0.25">
      <c r="A125" s="30">
        <v>0.68301345536507019</v>
      </c>
      <c r="V125" s="27" t="s">
        <v>7</v>
      </c>
    </row>
    <row r="126" spans="1:22" x14ac:dyDescent="0.25">
      <c r="A126" s="30">
        <v>0.6209213230591546</v>
      </c>
      <c r="C126" s="1" t="s">
        <v>10</v>
      </c>
    </row>
    <row r="127" spans="1:22" x14ac:dyDescent="0.25">
      <c r="A127" s="30">
        <v>0.56447393005377677</v>
      </c>
      <c r="C127" s="30">
        <v>0.68301345536507019</v>
      </c>
      <c r="D127"/>
    </row>
    <row r="128" spans="1:22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00" operator="equal">
      <formula>$U$1</formula>
    </cfRule>
    <cfRule type="cellIs" dxfId="30" priority="701" operator="equal">
      <formula>$S$1</formula>
    </cfRule>
  </conditionalFormatting>
  <conditionalFormatting sqref="D136">
    <cfRule type="cellIs" dxfId="29" priority="698" operator="equal">
      <formula>$S$1</formula>
    </cfRule>
    <cfRule type="cellIs" dxfId="28" priority="699" operator="equal">
      <formula>$U$1</formula>
    </cfRule>
  </conditionalFormatting>
  <conditionalFormatting sqref="C102">
    <cfRule type="cellIs" dxfId="27" priority="696" operator="equal">
      <formula>$U$1</formula>
    </cfRule>
    <cfRule type="cellIs" dxfId="26" priority="697" operator="equal">
      <formula>$S$1</formula>
    </cfRule>
  </conditionalFormatting>
  <conditionalFormatting sqref="D102">
    <cfRule type="cellIs" dxfId="25" priority="694" operator="equal">
      <formula>$S$1</formula>
    </cfRule>
    <cfRule type="cellIs" dxfId="24" priority="695" operator="equal">
      <formula>$U$1</formula>
    </cfRule>
  </conditionalFormatting>
  <conditionalFormatting sqref="C77">
    <cfRule type="cellIs" dxfId="23" priority="692" operator="equal">
      <formula>$U$1</formula>
    </cfRule>
    <cfRule type="cellIs" dxfId="22" priority="693" operator="equal">
      <formula>$S$1</formula>
    </cfRule>
  </conditionalFormatting>
  <conditionalFormatting sqref="D77">
    <cfRule type="cellIs" dxfId="21" priority="690" operator="equal">
      <formula>$S$1</formula>
    </cfRule>
    <cfRule type="cellIs" dxfId="20" priority="691" operator="equal">
      <formula>$U$1</formula>
    </cfRule>
  </conditionalFormatting>
  <conditionalFormatting sqref="C52">
    <cfRule type="cellIs" dxfId="19" priority="688" operator="equal">
      <formula>$U$1</formula>
    </cfRule>
    <cfRule type="cellIs" dxfId="18" priority="689" operator="equal">
      <formula>$S$1</formula>
    </cfRule>
  </conditionalFormatting>
  <conditionalFormatting sqref="D52">
    <cfRule type="cellIs" dxfId="17" priority="686" operator="equal">
      <formula>$S$1</formula>
    </cfRule>
    <cfRule type="cellIs" dxfId="16" priority="687" operator="equal">
      <formula>$U$1</formula>
    </cfRule>
  </conditionalFormatting>
  <conditionalFormatting sqref="C26">
    <cfRule type="cellIs" dxfId="15" priority="684" operator="equal">
      <formula>$U$1</formula>
    </cfRule>
    <cfRule type="cellIs" dxfId="14" priority="685" operator="equal">
      <formula>$S$1</formula>
    </cfRule>
  </conditionalFormatting>
  <conditionalFormatting sqref="D26">
    <cfRule type="cellIs" dxfId="13" priority="682" operator="equal">
      <formula>$S$1</formula>
    </cfRule>
    <cfRule type="cellIs" dxfId="12" priority="683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2022-01-28T01:22:05Z</dcterms:modified>
</cp:coreProperties>
</file>