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729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CRYPTO\BCCHARTS\"/>
    </mc:Choice>
  </mc:AlternateContent>
  <xr:revisionPtr revIDLastSave="0" documentId="13_ncr:1_{8F7B30E7-5652-4846-A8F0-D69E45281151}" xr6:coauthVersionLast="47" xr6:coauthVersionMax="47" xr10:uidLastSave="{00000000-0000-0000-0000-000000000000}"/>
  <bookViews>
    <workbookView xWindow="9315" yWindow="5820" windowWidth="21015" windowHeight="14595" xr2:uid="{00000000-000D-0000-FFFF-FFFF00000000}"/>
  </bookViews>
  <sheets>
    <sheet name="table (1)" sheetId="1" r:id="rId1"/>
    <sheet name="1%" sheetId="2" r:id="rId2"/>
    <sheet name="2%" sheetId="3" r:id="rId3"/>
    <sheet name="5%" sheetId="4" r:id="rId4"/>
    <sheet name="10%" sheetId="5" r:id="rId5"/>
    <sheet name="INVEST" sheetId="6" r:id="rId6"/>
    <sheet name="TEMP" sheetId="7" r:id="rId7"/>
    <sheet name="Chart1" sheetId="8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P5" i="1" l="1"/>
  <c r="Q5" i="1" s="1"/>
  <c r="R5" i="1" s="1"/>
  <c r="S5" i="1" s="1"/>
  <c r="T5" i="1" s="1"/>
  <c r="P6" i="1"/>
  <c r="Q6" i="1" s="1"/>
  <c r="P7" i="1"/>
  <c r="Q7" i="1" s="1"/>
  <c r="P8" i="1"/>
  <c r="Q8" i="1" s="1"/>
  <c r="P9" i="1"/>
  <c r="Q9" i="1" s="1"/>
  <c r="P10" i="1"/>
  <c r="Q10" i="1" s="1"/>
  <c r="P11" i="1"/>
  <c r="Q11" i="1" s="1"/>
  <c r="P12" i="1"/>
  <c r="Q12" i="1" s="1"/>
  <c r="P13" i="1"/>
  <c r="Q13" i="1" s="1"/>
  <c r="P14" i="1"/>
  <c r="Q14" i="1" s="1"/>
  <c r="P15" i="1"/>
  <c r="Q15" i="1" s="1"/>
  <c r="P16" i="1"/>
  <c r="Q16" i="1" s="1"/>
  <c r="P17" i="1"/>
  <c r="Q17" i="1" s="1"/>
  <c r="P18" i="1"/>
  <c r="Q18" i="1" s="1"/>
  <c r="P19" i="1"/>
  <c r="Q19" i="1" s="1"/>
  <c r="P20" i="1"/>
  <c r="Q20" i="1" s="1"/>
  <c r="P21" i="1"/>
  <c r="Q21" i="1" s="1"/>
  <c r="P22" i="1"/>
  <c r="Q22" i="1" s="1"/>
  <c r="P23" i="1"/>
  <c r="Q23" i="1" s="1"/>
  <c r="P766" i="1"/>
  <c r="Q766" i="1" s="1"/>
  <c r="R766" i="1" s="1"/>
  <c r="P765" i="1"/>
  <c r="Q765" i="1" s="1"/>
  <c r="P764" i="1"/>
  <c r="Q764" i="1" s="1"/>
  <c r="P763" i="1"/>
  <c r="Q763" i="1" s="1"/>
  <c r="P762" i="1"/>
  <c r="Q762" i="1" s="1"/>
  <c r="P761" i="1"/>
  <c r="Q761" i="1" s="1"/>
  <c r="P760" i="1"/>
  <c r="Q760" i="1" s="1"/>
  <c r="P759" i="1"/>
  <c r="Q759" i="1" s="1"/>
  <c r="P758" i="1"/>
  <c r="Q758" i="1" s="1"/>
  <c r="P757" i="1"/>
  <c r="Q757" i="1" s="1"/>
  <c r="P756" i="1"/>
  <c r="Q756" i="1" s="1"/>
  <c r="P755" i="1"/>
  <c r="Q755" i="1" s="1"/>
  <c r="P754" i="1"/>
  <c r="Q754" i="1" s="1"/>
  <c r="P753" i="1"/>
  <c r="Q753" i="1" s="1"/>
  <c r="P752" i="1"/>
  <c r="Q752" i="1" s="1"/>
  <c r="P751" i="1"/>
  <c r="Q751" i="1" s="1"/>
  <c r="P750" i="1"/>
  <c r="Q750" i="1" s="1"/>
  <c r="P749" i="1"/>
  <c r="Q749" i="1" s="1"/>
  <c r="P748" i="1"/>
  <c r="Q748" i="1" s="1"/>
  <c r="P747" i="1"/>
  <c r="Q747" i="1" s="1"/>
  <c r="P746" i="1"/>
  <c r="Q746" i="1" s="1"/>
  <c r="P745" i="1"/>
  <c r="Q745" i="1" s="1"/>
  <c r="P744" i="1"/>
  <c r="Q744" i="1" s="1"/>
  <c r="P743" i="1"/>
  <c r="Q743" i="1" s="1"/>
  <c r="P742" i="1"/>
  <c r="Q742" i="1" s="1"/>
  <c r="P741" i="1"/>
  <c r="Q741" i="1" s="1"/>
  <c r="P740" i="1"/>
  <c r="Q740" i="1" s="1"/>
  <c r="P739" i="1"/>
  <c r="Q739" i="1" s="1"/>
  <c r="P738" i="1"/>
  <c r="Q738" i="1" s="1"/>
  <c r="P737" i="1"/>
  <c r="Q737" i="1" s="1"/>
  <c r="P736" i="1"/>
  <c r="Q736" i="1" s="1"/>
  <c r="P735" i="1"/>
  <c r="Q735" i="1" s="1"/>
  <c r="P734" i="1"/>
  <c r="Q734" i="1" s="1"/>
  <c r="P733" i="1"/>
  <c r="Q733" i="1" s="1"/>
  <c r="P732" i="1"/>
  <c r="Q732" i="1" s="1"/>
  <c r="P731" i="1"/>
  <c r="Q731" i="1" s="1"/>
  <c r="P730" i="1"/>
  <c r="Q730" i="1" s="1"/>
  <c r="P729" i="1"/>
  <c r="Q729" i="1" s="1"/>
  <c r="P728" i="1"/>
  <c r="Q728" i="1" s="1"/>
  <c r="P727" i="1"/>
  <c r="Q727" i="1" s="1"/>
  <c r="P726" i="1"/>
  <c r="Q726" i="1" s="1"/>
  <c r="P725" i="1"/>
  <c r="Q725" i="1" s="1"/>
  <c r="P724" i="1"/>
  <c r="Q724" i="1" s="1"/>
  <c r="P723" i="1"/>
  <c r="Q723" i="1" s="1"/>
  <c r="P722" i="1"/>
  <c r="Q722" i="1" s="1"/>
  <c r="P721" i="1"/>
  <c r="Q721" i="1" s="1"/>
  <c r="P720" i="1"/>
  <c r="Q720" i="1" s="1"/>
  <c r="P719" i="1"/>
  <c r="Q719" i="1" s="1"/>
  <c r="P718" i="1"/>
  <c r="Q718" i="1" s="1"/>
  <c r="P717" i="1"/>
  <c r="Q717" i="1" s="1"/>
  <c r="P716" i="1"/>
  <c r="Q716" i="1" s="1"/>
  <c r="P715" i="1"/>
  <c r="Q715" i="1" s="1"/>
  <c r="P714" i="1"/>
  <c r="Q714" i="1" s="1"/>
  <c r="P713" i="1"/>
  <c r="Q713" i="1" s="1"/>
  <c r="P712" i="1"/>
  <c r="Q712" i="1" s="1"/>
  <c r="P711" i="1"/>
  <c r="Q711" i="1" s="1"/>
  <c r="P710" i="1"/>
  <c r="Q710" i="1" s="1"/>
  <c r="P709" i="1"/>
  <c r="Q709" i="1" s="1"/>
  <c r="P708" i="1"/>
  <c r="Q708" i="1" s="1"/>
  <c r="P707" i="1"/>
  <c r="Q707" i="1" s="1"/>
  <c r="P706" i="1"/>
  <c r="Q706" i="1" s="1"/>
  <c r="P705" i="1"/>
  <c r="Q705" i="1" s="1"/>
  <c r="P704" i="1"/>
  <c r="Q704" i="1" s="1"/>
  <c r="P703" i="1"/>
  <c r="Q703" i="1" s="1"/>
  <c r="P702" i="1"/>
  <c r="Q702" i="1" s="1"/>
  <c r="P701" i="1"/>
  <c r="Q701" i="1" s="1"/>
  <c r="P700" i="1"/>
  <c r="Q700" i="1" s="1"/>
  <c r="P699" i="1"/>
  <c r="Q699" i="1" s="1"/>
  <c r="P698" i="1"/>
  <c r="Q698" i="1" s="1"/>
  <c r="P697" i="1"/>
  <c r="Q697" i="1" s="1"/>
  <c r="P696" i="1"/>
  <c r="Q696" i="1" s="1"/>
  <c r="P695" i="1"/>
  <c r="Q695" i="1" s="1"/>
  <c r="P694" i="1"/>
  <c r="Q694" i="1" s="1"/>
  <c r="P693" i="1"/>
  <c r="Q693" i="1" s="1"/>
  <c r="P692" i="1"/>
  <c r="Q692" i="1" s="1"/>
  <c r="P691" i="1"/>
  <c r="Q691" i="1" s="1"/>
  <c r="P690" i="1"/>
  <c r="Q690" i="1" s="1"/>
  <c r="P689" i="1"/>
  <c r="Q689" i="1" s="1"/>
  <c r="P688" i="1"/>
  <c r="Q688" i="1" s="1"/>
  <c r="P687" i="1"/>
  <c r="Q687" i="1" s="1"/>
  <c r="P686" i="1"/>
  <c r="Q686" i="1" s="1"/>
  <c r="P685" i="1"/>
  <c r="Q685" i="1" s="1"/>
  <c r="P684" i="1"/>
  <c r="Q684" i="1" s="1"/>
  <c r="P683" i="1"/>
  <c r="Q683" i="1" s="1"/>
  <c r="P682" i="1"/>
  <c r="Q682" i="1" s="1"/>
  <c r="P681" i="1"/>
  <c r="Q681" i="1" s="1"/>
  <c r="P680" i="1"/>
  <c r="Q680" i="1" s="1"/>
  <c r="P679" i="1"/>
  <c r="Q679" i="1" s="1"/>
  <c r="P678" i="1"/>
  <c r="Q678" i="1" s="1"/>
  <c r="P677" i="1"/>
  <c r="Q677" i="1" s="1"/>
  <c r="P676" i="1"/>
  <c r="Q676" i="1" s="1"/>
  <c r="P675" i="1"/>
  <c r="Q675" i="1" s="1"/>
  <c r="P674" i="1"/>
  <c r="Q674" i="1" s="1"/>
  <c r="P673" i="1"/>
  <c r="Q673" i="1" s="1"/>
  <c r="P672" i="1"/>
  <c r="Q672" i="1" s="1"/>
  <c r="P671" i="1"/>
  <c r="Q671" i="1" s="1"/>
  <c r="P670" i="1"/>
  <c r="Q670" i="1" s="1"/>
  <c r="P669" i="1"/>
  <c r="Q669" i="1" s="1"/>
  <c r="P668" i="1"/>
  <c r="Q668" i="1" s="1"/>
  <c r="P667" i="1"/>
  <c r="Q667" i="1" s="1"/>
  <c r="P666" i="1"/>
  <c r="Q666" i="1" s="1"/>
  <c r="P665" i="1"/>
  <c r="Q665" i="1" s="1"/>
  <c r="P664" i="1"/>
  <c r="Q664" i="1" s="1"/>
  <c r="P663" i="1"/>
  <c r="Q663" i="1" s="1"/>
  <c r="P662" i="1"/>
  <c r="Q662" i="1" s="1"/>
  <c r="P661" i="1"/>
  <c r="Q661" i="1" s="1"/>
  <c r="P660" i="1"/>
  <c r="Q660" i="1" s="1"/>
  <c r="P659" i="1"/>
  <c r="Q659" i="1" s="1"/>
  <c r="P658" i="1"/>
  <c r="Q658" i="1" s="1"/>
  <c r="P657" i="1"/>
  <c r="Q657" i="1" s="1"/>
  <c r="P656" i="1"/>
  <c r="Q656" i="1" s="1"/>
  <c r="P655" i="1"/>
  <c r="Q655" i="1" s="1"/>
  <c r="P654" i="1"/>
  <c r="Q654" i="1" s="1"/>
  <c r="P653" i="1"/>
  <c r="Q653" i="1" s="1"/>
  <c r="P652" i="1"/>
  <c r="Q652" i="1" s="1"/>
  <c r="P651" i="1"/>
  <c r="Q651" i="1" s="1"/>
  <c r="P650" i="1"/>
  <c r="Q650" i="1" s="1"/>
  <c r="P649" i="1"/>
  <c r="Q649" i="1" s="1"/>
  <c r="P648" i="1"/>
  <c r="Q648" i="1" s="1"/>
  <c r="P647" i="1"/>
  <c r="Q647" i="1" s="1"/>
  <c r="P646" i="1"/>
  <c r="Q646" i="1" s="1"/>
  <c r="P645" i="1"/>
  <c r="Q645" i="1" s="1"/>
  <c r="P644" i="1"/>
  <c r="Q644" i="1" s="1"/>
  <c r="P643" i="1"/>
  <c r="Q643" i="1" s="1"/>
  <c r="P642" i="1"/>
  <c r="Q642" i="1" s="1"/>
  <c r="P641" i="1"/>
  <c r="Q641" i="1" s="1"/>
  <c r="P640" i="1"/>
  <c r="Q640" i="1" s="1"/>
  <c r="P639" i="1"/>
  <c r="Q639" i="1" s="1"/>
  <c r="P638" i="1"/>
  <c r="Q638" i="1" s="1"/>
  <c r="P637" i="1"/>
  <c r="Q637" i="1" s="1"/>
  <c r="P636" i="1"/>
  <c r="Q636" i="1" s="1"/>
  <c r="P635" i="1"/>
  <c r="Q635" i="1" s="1"/>
  <c r="P634" i="1"/>
  <c r="Q634" i="1" s="1"/>
  <c r="P633" i="1"/>
  <c r="Q633" i="1" s="1"/>
  <c r="P632" i="1"/>
  <c r="Q632" i="1" s="1"/>
  <c r="P631" i="1"/>
  <c r="Q631" i="1" s="1"/>
  <c r="P630" i="1"/>
  <c r="Q630" i="1" s="1"/>
  <c r="P629" i="1"/>
  <c r="Q629" i="1" s="1"/>
  <c r="P628" i="1"/>
  <c r="Q628" i="1" s="1"/>
  <c r="P627" i="1"/>
  <c r="Q627" i="1" s="1"/>
  <c r="P626" i="1"/>
  <c r="Q626" i="1" s="1"/>
  <c r="P625" i="1"/>
  <c r="Q625" i="1" s="1"/>
  <c r="P624" i="1"/>
  <c r="Q624" i="1" s="1"/>
  <c r="P623" i="1"/>
  <c r="Q623" i="1" s="1"/>
  <c r="P622" i="1"/>
  <c r="Q622" i="1" s="1"/>
  <c r="P621" i="1"/>
  <c r="Q621" i="1" s="1"/>
  <c r="P620" i="1"/>
  <c r="Q620" i="1" s="1"/>
  <c r="P619" i="1"/>
  <c r="Q619" i="1" s="1"/>
  <c r="P618" i="1"/>
  <c r="Q618" i="1" s="1"/>
  <c r="P617" i="1"/>
  <c r="Q617" i="1" s="1"/>
  <c r="P616" i="1"/>
  <c r="Q616" i="1" s="1"/>
  <c r="P615" i="1"/>
  <c r="Q615" i="1" s="1"/>
  <c r="P614" i="1"/>
  <c r="Q614" i="1" s="1"/>
  <c r="P613" i="1"/>
  <c r="Q613" i="1" s="1"/>
  <c r="P612" i="1"/>
  <c r="Q612" i="1" s="1"/>
  <c r="P611" i="1"/>
  <c r="Q611" i="1" s="1"/>
  <c r="P610" i="1"/>
  <c r="Q610" i="1" s="1"/>
  <c r="P609" i="1"/>
  <c r="Q609" i="1" s="1"/>
  <c r="P608" i="1"/>
  <c r="Q608" i="1" s="1"/>
  <c r="P607" i="1"/>
  <c r="Q607" i="1" s="1"/>
  <c r="P606" i="1"/>
  <c r="Q606" i="1" s="1"/>
  <c r="P605" i="1"/>
  <c r="Q605" i="1" s="1"/>
  <c r="P604" i="1"/>
  <c r="Q604" i="1" s="1"/>
  <c r="P603" i="1"/>
  <c r="Q603" i="1" s="1"/>
  <c r="P602" i="1"/>
  <c r="Q602" i="1" s="1"/>
  <c r="P601" i="1"/>
  <c r="Q601" i="1" s="1"/>
  <c r="P600" i="1"/>
  <c r="Q600" i="1" s="1"/>
  <c r="P599" i="1"/>
  <c r="Q599" i="1" s="1"/>
  <c r="P598" i="1"/>
  <c r="Q598" i="1" s="1"/>
  <c r="P597" i="1"/>
  <c r="Q597" i="1" s="1"/>
  <c r="P596" i="1"/>
  <c r="Q596" i="1" s="1"/>
  <c r="P595" i="1"/>
  <c r="Q595" i="1" s="1"/>
  <c r="P594" i="1"/>
  <c r="Q594" i="1" s="1"/>
  <c r="P593" i="1"/>
  <c r="Q593" i="1" s="1"/>
  <c r="P592" i="1"/>
  <c r="Q592" i="1" s="1"/>
  <c r="P591" i="1"/>
  <c r="Q591" i="1" s="1"/>
  <c r="P590" i="1"/>
  <c r="Q590" i="1" s="1"/>
  <c r="P589" i="1"/>
  <c r="Q589" i="1" s="1"/>
  <c r="P588" i="1"/>
  <c r="Q588" i="1" s="1"/>
  <c r="P587" i="1"/>
  <c r="Q587" i="1" s="1"/>
  <c r="P586" i="1"/>
  <c r="Q586" i="1" s="1"/>
  <c r="P585" i="1"/>
  <c r="Q585" i="1" s="1"/>
  <c r="P584" i="1"/>
  <c r="Q584" i="1" s="1"/>
  <c r="P583" i="1"/>
  <c r="Q583" i="1" s="1"/>
  <c r="P582" i="1"/>
  <c r="Q582" i="1" s="1"/>
  <c r="P581" i="1"/>
  <c r="Q581" i="1" s="1"/>
  <c r="P580" i="1"/>
  <c r="Q580" i="1" s="1"/>
  <c r="P579" i="1"/>
  <c r="Q579" i="1" s="1"/>
  <c r="P578" i="1"/>
  <c r="Q578" i="1" s="1"/>
  <c r="P577" i="1"/>
  <c r="Q577" i="1" s="1"/>
  <c r="P576" i="1"/>
  <c r="Q576" i="1" s="1"/>
  <c r="P575" i="1"/>
  <c r="Q575" i="1" s="1"/>
  <c r="P574" i="1"/>
  <c r="Q574" i="1" s="1"/>
  <c r="P573" i="1"/>
  <c r="Q573" i="1" s="1"/>
  <c r="P572" i="1"/>
  <c r="Q572" i="1" s="1"/>
  <c r="P571" i="1"/>
  <c r="Q571" i="1" s="1"/>
  <c r="P570" i="1"/>
  <c r="Q570" i="1" s="1"/>
  <c r="P569" i="1"/>
  <c r="Q569" i="1" s="1"/>
  <c r="P568" i="1"/>
  <c r="Q568" i="1" s="1"/>
  <c r="P567" i="1"/>
  <c r="Q567" i="1" s="1"/>
  <c r="P566" i="1"/>
  <c r="Q566" i="1" s="1"/>
  <c r="P565" i="1"/>
  <c r="Q565" i="1" s="1"/>
  <c r="P564" i="1"/>
  <c r="Q564" i="1" s="1"/>
  <c r="P563" i="1"/>
  <c r="Q563" i="1" s="1"/>
  <c r="P562" i="1"/>
  <c r="Q562" i="1" s="1"/>
  <c r="P561" i="1"/>
  <c r="Q561" i="1" s="1"/>
  <c r="P560" i="1"/>
  <c r="Q560" i="1" s="1"/>
  <c r="P559" i="1"/>
  <c r="Q559" i="1" s="1"/>
  <c r="P558" i="1"/>
  <c r="Q558" i="1" s="1"/>
  <c r="P557" i="1"/>
  <c r="Q557" i="1" s="1"/>
  <c r="P556" i="1"/>
  <c r="Q556" i="1" s="1"/>
  <c r="P555" i="1"/>
  <c r="Q555" i="1" s="1"/>
  <c r="P554" i="1"/>
  <c r="Q554" i="1" s="1"/>
  <c r="P553" i="1"/>
  <c r="Q553" i="1" s="1"/>
  <c r="P552" i="1"/>
  <c r="Q552" i="1" s="1"/>
  <c r="P551" i="1"/>
  <c r="Q551" i="1" s="1"/>
  <c r="P550" i="1"/>
  <c r="Q550" i="1" s="1"/>
  <c r="P549" i="1"/>
  <c r="Q549" i="1" s="1"/>
  <c r="P548" i="1"/>
  <c r="Q548" i="1" s="1"/>
  <c r="P547" i="1"/>
  <c r="Q547" i="1" s="1"/>
  <c r="P546" i="1"/>
  <c r="Q546" i="1" s="1"/>
  <c r="P545" i="1"/>
  <c r="Q545" i="1" s="1"/>
  <c r="P544" i="1"/>
  <c r="Q544" i="1" s="1"/>
  <c r="P543" i="1"/>
  <c r="Q543" i="1" s="1"/>
  <c r="P542" i="1"/>
  <c r="Q542" i="1" s="1"/>
  <c r="P541" i="1"/>
  <c r="Q541" i="1" s="1"/>
  <c r="P540" i="1"/>
  <c r="Q540" i="1" s="1"/>
  <c r="P539" i="1"/>
  <c r="Q539" i="1" s="1"/>
  <c r="P538" i="1"/>
  <c r="Q538" i="1" s="1"/>
  <c r="P537" i="1"/>
  <c r="Q537" i="1" s="1"/>
  <c r="P536" i="1"/>
  <c r="Q536" i="1" s="1"/>
  <c r="P535" i="1"/>
  <c r="Q535" i="1" s="1"/>
  <c r="P534" i="1"/>
  <c r="Q534" i="1" s="1"/>
  <c r="P533" i="1"/>
  <c r="Q533" i="1" s="1"/>
  <c r="P532" i="1"/>
  <c r="Q532" i="1" s="1"/>
  <c r="P531" i="1"/>
  <c r="Q531" i="1" s="1"/>
  <c r="P530" i="1"/>
  <c r="Q530" i="1" s="1"/>
  <c r="P529" i="1"/>
  <c r="Q529" i="1" s="1"/>
  <c r="P528" i="1"/>
  <c r="Q528" i="1" s="1"/>
  <c r="P527" i="1"/>
  <c r="Q527" i="1" s="1"/>
  <c r="P526" i="1"/>
  <c r="Q526" i="1" s="1"/>
  <c r="P525" i="1"/>
  <c r="Q525" i="1" s="1"/>
  <c r="P524" i="1"/>
  <c r="Q524" i="1" s="1"/>
  <c r="P523" i="1"/>
  <c r="Q523" i="1" s="1"/>
  <c r="P522" i="1"/>
  <c r="Q522" i="1" s="1"/>
  <c r="P521" i="1"/>
  <c r="Q521" i="1" s="1"/>
  <c r="P520" i="1"/>
  <c r="Q520" i="1" s="1"/>
  <c r="P519" i="1"/>
  <c r="Q519" i="1" s="1"/>
  <c r="P518" i="1"/>
  <c r="Q518" i="1" s="1"/>
  <c r="P517" i="1"/>
  <c r="Q517" i="1" s="1"/>
  <c r="P516" i="1"/>
  <c r="Q516" i="1" s="1"/>
  <c r="P515" i="1"/>
  <c r="Q515" i="1" s="1"/>
  <c r="P514" i="1"/>
  <c r="Q514" i="1" s="1"/>
  <c r="P513" i="1"/>
  <c r="Q513" i="1" s="1"/>
  <c r="P512" i="1"/>
  <c r="Q512" i="1" s="1"/>
  <c r="P511" i="1"/>
  <c r="Q511" i="1" s="1"/>
  <c r="P510" i="1"/>
  <c r="Q510" i="1" s="1"/>
  <c r="P509" i="1"/>
  <c r="Q509" i="1" s="1"/>
  <c r="P508" i="1"/>
  <c r="Q508" i="1" s="1"/>
  <c r="P507" i="1"/>
  <c r="Q507" i="1" s="1"/>
  <c r="P506" i="1"/>
  <c r="Q506" i="1" s="1"/>
  <c r="P505" i="1"/>
  <c r="Q505" i="1" s="1"/>
  <c r="P504" i="1"/>
  <c r="Q504" i="1" s="1"/>
  <c r="P503" i="1"/>
  <c r="Q503" i="1" s="1"/>
  <c r="P502" i="1"/>
  <c r="Q502" i="1" s="1"/>
  <c r="P501" i="1"/>
  <c r="Q501" i="1" s="1"/>
  <c r="P500" i="1"/>
  <c r="Q500" i="1" s="1"/>
  <c r="P499" i="1"/>
  <c r="Q499" i="1" s="1"/>
  <c r="P498" i="1"/>
  <c r="Q498" i="1" s="1"/>
  <c r="P497" i="1"/>
  <c r="Q497" i="1" s="1"/>
  <c r="P496" i="1"/>
  <c r="Q496" i="1" s="1"/>
  <c r="P495" i="1"/>
  <c r="Q495" i="1" s="1"/>
  <c r="P494" i="1"/>
  <c r="Q494" i="1" s="1"/>
  <c r="P493" i="1"/>
  <c r="Q493" i="1" s="1"/>
  <c r="P492" i="1"/>
  <c r="Q492" i="1" s="1"/>
  <c r="P491" i="1"/>
  <c r="Q491" i="1" s="1"/>
  <c r="P490" i="1"/>
  <c r="Q490" i="1" s="1"/>
  <c r="P489" i="1"/>
  <c r="Q489" i="1" s="1"/>
  <c r="P488" i="1"/>
  <c r="Q488" i="1" s="1"/>
  <c r="P487" i="1"/>
  <c r="Q487" i="1" s="1"/>
  <c r="P486" i="1"/>
  <c r="Q486" i="1" s="1"/>
  <c r="P485" i="1"/>
  <c r="Q485" i="1" s="1"/>
  <c r="P484" i="1"/>
  <c r="Q484" i="1" s="1"/>
  <c r="P483" i="1"/>
  <c r="Q483" i="1" s="1"/>
  <c r="P482" i="1"/>
  <c r="Q482" i="1" s="1"/>
  <c r="P481" i="1"/>
  <c r="Q481" i="1" s="1"/>
  <c r="P480" i="1"/>
  <c r="Q480" i="1" s="1"/>
  <c r="P479" i="1"/>
  <c r="Q479" i="1" s="1"/>
  <c r="P478" i="1"/>
  <c r="Q478" i="1" s="1"/>
  <c r="P477" i="1"/>
  <c r="Q477" i="1" s="1"/>
  <c r="P476" i="1"/>
  <c r="Q476" i="1" s="1"/>
  <c r="P475" i="1"/>
  <c r="Q475" i="1" s="1"/>
  <c r="P474" i="1"/>
  <c r="Q474" i="1" s="1"/>
  <c r="P473" i="1"/>
  <c r="Q473" i="1" s="1"/>
  <c r="P472" i="1"/>
  <c r="Q472" i="1" s="1"/>
  <c r="P471" i="1"/>
  <c r="Q471" i="1" s="1"/>
  <c r="P470" i="1"/>
  <c r="Q470" i="1" s="1"/>
  <c r="P469" i="1"/>
  <c r="Q469" i="1" s="1"/>
  <c r="P468" i="1"/>
  <c r="Q468" i="1" s="1"/>
  <c r="P467" i="1"/>
  <c r="Q467" i="1" s="1"/>
  <c r="P466" i="1"/>
  <c r="Q466" i="1" s="1"/>
  <c r="P465" i="1"/>
  <c r="Q465" i="1" s="1"/>
  <c r="P464" i="1"/>
  <c r="Q464" i="1" s="1"/>
  <c r="P463" i="1"/>
  <c r="Q463" i="1" s="1"/>
  <c r="P462" i="1"/>
  <c r="Q462" i="1" s="1"/>
  <c r="P461" i="1"/>
  <c r="Q461" i="1" s="1"/>
  <c r="P460" i="1"/>
  <c r="Q460" i="1" s="1"/>
  <c r="P459" i="1"/>
  <c r="Q459" i="1" s="1"/>
  <c r="P458" i="1"/>
  <c r="Q458" i="1" s="1"/>
  <c r="P457" i="1"/>
  <c r="Q457" i="1" s="1"/>
  <c r="P456" i="1"/>
  <c r="Q456" i="1" s="1"/>
  <c r="P455" i="1"/>
  <c r="Q455" i="1" s="1"/>
  <c r="P454" i="1"/>
  <c r="Q454" i="1" s="1"/>
  <c r="P453" i="1"/>
  <c r="Q453" i="1" s="1"/>
  <c r="P452" i="1"/>
  <c r="Q452" i="1" s="1"/>
  <c r="P451" i="1"/>
  <c r="Q451" i="1" s="1"/>
  <c r="P450" i="1"/>
  <c r="Q450" i="1" s="1"/>
  <c r="P449" i="1"/>
  <c r="Q449" i="1" s="1"/>
  <c r="P448" i="1"/>
  <c r="Q448" i="1" s="1"/>
  <c r="P447" i="1"/>
  <c r="Q447" i="1" s="1"/>
  <c r="P446" i="1"/>
  <c r="Q446" i="1" s="1"/>
  <c r="P445" i="1"/>
  <c r="Q445" i="1" s="1"/>
  <c r="P444" i="1"/>
  <c r="Q444" i="1" s="1"/>
  <c r="P443" i="1"/>
  <c r="Q443" i="1" s="1"/>
  <c r="P442" i="1"/>
  <c r="Q442" i="1" s="1"/>
  <c r="P441" i="1"/>
  <c r="Q441" i="1" s="1"/>
  <c r="P440" i="1"/>
  <c r="Q440" i="1" s="1"/>
  <c r="P439" i="1"/>
  <c r="Q439" i="1" s="1"/>
  <c r="P438" i="1"/>
  <c r="Q438" i="1" s="1"/>
  <c r="P437" i="1"/>
  <c r="Q437" i="1" s="1"/>
  <c r="P436" i="1"/>
  <c r="Q436" i="1" s="1"/>
  <c r="P435" i="1"/>
  <c r="Q435" i="1" s="1"/>
  <c r="P434" i="1"/>
  <c r="Q434" i="1" s="1"/>
  <c r="P433" i="1"/>
  <c r="Q433" i="1" s="1"/>
  <c r="P432" i="1"/>
  <c r="Q432" i="1" s="1"/>
  <c r="P431" i="1"/>
  <c r="Q431" i="1" s="1"/>
  <c r="P430" i="1"/>
  <c r="Q430" i="1" s="1"/>
  <c r="P429" i="1"/>
  <c r="Q429" i="1" s="1"/>
  <c r="P428" i="1"/>
  <c r="Q428" i="1" s="1"/>
  <c r="P427" i="1"/>
  <c r="Q427" i="1" s="1"/>
  <c r="P426" i="1"/>
  <c r="Q426" i="1" s="1"/>
  <c r="P425" i="1"/>
  <c r="Q425" i="1" s="1"/>
  <c r="P424" i="1"/>
  <c r="Q424" i="1" s="1"/>
  <c r="P423" i="1"/>
  <c r="Q423" i="1" s="1"/>
  <c r="P422" i="1"/>
  <c r="Q422" i="1" s="1"/>
  <c r="P421" i="1"/>
  <c r="Q421" i="1" s="1"/>
  <c r="P420" i="1"/>
  <c r="Q420" i="1" s="1"/>
  <c r="P419" i="1"/>
  <c r="Q419" i="1" s="1"/>
  <c r="P418" i="1"/>
  <c r="Q418" i="1" s="1"/>
  <c r="P417" i="1"/>
  <c r="Q417" i="1" s="1"/>
  <c r="P416" i="1"/>
  <c r="Q416" i="1" s="1"/>
  <c r="P415" i="1"/>
  <c r="Q415" i="1" s="1"/>
  <c r="P414" i="1"/>
  <c r="Q414" i="1" s="1"/>
  <c r="P413" i="1"/>
  <c r="Q413" i="1" s="1"/>
  <c r="P412" i="1"/>
  <c r="Q412" i="1" s="1"/>
  <c r="P411" i="1"/>
  <c r="Q411" i="1" s="1"/>
  <c r="P410" i="1"/>
  <c r="Q410" i="1" s="1"/>
  <c r="P409" i="1"/>
  <c r="Q409" i="1" s="1"/>
  <c r="P408" i="1"/>
  <c r="Q408" i="1" s="1"/>
  <c r="P407" i="1"/>
  <c r="Q407" i="1" s="1"/>
  <c r="P406" i="1"/>
  <c r="Q406" i="1" s="1"/>
  <c r="P405" i="1"/>
  <c r="Q405" i="1" s="1"/>
  <c r="P404" i="1"/>
  <c r="Q404" i="1" s="1"/>
  <c r="P403" i="1"/>
  <c r="Q403" i="1" s="1"/>
  <c r="P402" i="1"/>
  <c r="Q402" i="1" s="1"/>
  <c r="P401" i="1"/>
  <c r="Q401" i="1" s="1"/>
  <c r="P400" i="1"/>
  <c r="Q400" i="1" s="1"/>
  <c r="P399" i="1"/>
  <c r="Q399" i="1" s="1"/>
  <c r="P398" i="1"/>
  <c r="Q398" i="1" s="1"/>
  <c r="P397" i="1"/>
  <c r="Q397" i="1" s="1"/>
  <c r="P396" i="1"/>
  <c r="Q396" i="1" s="1"/>
  <c r="P395" i="1"/>
  <c r="Q395" i="1" s="1"/>
  <c r="P394" i="1"/>
  <c r="Q394" i="1" s="1"/>
  <c r="P393" i="1"/>
  <c r="Q393" i="1" s="1"/>
  <c r="P392" i="1"/>
  <c r="Q392" i="1" s="1"/>
  <c r="P391" i="1"/>
  <c r="Q391" i="1" s="1"/>
  <c r="P390" i="1"/>
  <c r="Q390" i="1" s="1"/>
  <c r="P389" i="1"/>
  <c r="Q389" i="1" s="1"/>
  <c r="P388" i="1"/>
  <c r="Q388" i="1" s="1"/>
  <c r="P387" i="1"/>
  <c r="Q387" i="1" s="1"/>
  <c r="P386" i="1"/>
  <c r="Q386" i="1" s="1"/>
  <c r="P385" i="1"/>
  <c r="Q385" i="1" s="1"/>
  <c r="P384" i="1"/>
  <c r="Q384" i="1" s="1"/>
  <c r="P383" i="1"/>
  <c r="Q383" i="1" s="1"/>
  <c r="P382" i="1"/>
  <c r="Q382" i="1" s="1"/>
  <c r="P381" i="1"/>
  <c r="Q381" i="1" s="1"/>
  <c r="P380" i="1"/>
  <c r="Q380" i="1" s="1"/>
  <c r="P379" i="1"/>
  <c r="Q379" i="1" s="1"/>
  <c r="P378" i="1"/>
  <c r="Q378" i="1" s="1"/>
  <c r="P377" i="1"/>
  <c r="Q377" i="1" s="1"/>
  <c r="P376" i="1"/>
  <c r="Q376" i="1" s="1"/>
  <c r="P375" i="1"/>
  <c r="Q375" i="1" s="1"/>
  <c r="P374" i="1"/>
  <c r="Q374" i="1" s="1"/>
  <c r="P373" i="1"/>
  <c r="Q373" i="1" s="1"/>
  <c r="P372" i="1"/>
  <c r="Q372" i="1" s="1"/>
  <c r="P371" i="1"/>
  <c r="Q371" i="1" s="1"/>
  <c r="P370" i="1"/>
  <c r="Q370" i="1" s="1"/>
  <c r="P369" i="1"/>
  <c r="Q369" i="1" s="1"/>
  <c r="P368" i="1"/>
  <c r="Q368" i="1" s="1"/>
  <c r="P367" i="1"/>
  <c r="Q367" i="1" s="1"/>
  <c r="P366" i="1"/>
  <c r="Q366" i="1" s="1"/>
  <c r="P365" i="1"/>
  <c r="Q365" i="1" s="1"/>
  <c r="P364" i="1"/>
  <c r="Q364" i="1" s="1"/>
  <c r="P363" i="1"/>
  <c r="Q363" i="1" s="1"/>
  <c r="P362" i="1"/>
  <c r="Q362" i="1" s="1"/>
  <c r="P361" i="1"/>
  <c r="Q361" i="1" s="1"/>
  <c r="P360" i="1"/>
  <c r="Q360" i="1" s="1"/>
  <c r="P359" i="1"/>
  <c r="Q359" i="1" s="1"/>
  <c r="P358" i="1"/>
  <c r="Q358" i="1" s="1"/>
  <c r="P357" i="1"/>
  <c r="Q357" i="1" s="1"/>
  <c r="P356" i="1"/>
  <c r="Q356" i="1" s="1"/>
  <c r="P355" i="1"/>
  <c r="Q355" i="1" s="1"/>
  <c r="P354" i="1"/>
  <c r="Q354" i="1" s="1"/>
  <c r="P353" i="1"/>
  <c r="Q353" i="1" s="1"/>
  <c r="P352" i="1"/>
  <c r="Q352" i="1" s="1"/>
  <c r="P351" i="1"/>
  <c r="Q351" i="1" s="1"/>
  <c r="P350" i="1"/>
  <c r="Q350" i="1" s="1"/>
  <c r="P349" i="1"/>
  <c r="Q349" i="1" s="1"/>
  <c r="P348" i="1"/>
  <c r="Q348" i="1" s="1"/>
  <c r="P347" i="1"/>
  <c r="Q347" i="1" s="1"/>
  <c r="P346" i="1"/>
  <c r="Q346" i="1" s="1"/>
  <c r="P345" i="1"/>
  <c r="Q345" i="1" s="1"/>
  <c r="P344" i="1"/>
  <c r="Q344" i="1" s="1"/>
  <c r="P343" i="1"/>
  <c r="Q343" i="1" s="1"/>
  <c r="P342" i="1"/>
  <c r="Q342" i="1" s="1"/>
  <c r="P341" i="1"/>
  <c r="Q341" i="1" s="1"/>
  <c r="P340" i="1"/>
  <c r="Q340" i="1" s="1"/>
  <c r="P339" i="1"/>
  <c r="Q339" i="1" s="1"/>
  <c r="P338" i="1"/>
  <c r="Q338" i="1" s="1"/>
  <c r="P337" i="1"/>
  <c r="Q337" i="1" s="1"/>
  <c r="P336" i="1"/>
  <c r="Q336" i="1" s="1"/>
  <c r="P335" i="1"/>
  <c r="Q335" i="1" s="1"/>
  <c r="P334" i="1"/>
  <c r="Q334" i="1" s="1"/>
  <c r="P333" i="1"/>
  <c r="Q333" i="1" s="1"/>
  <c r="P332" i="1"/>
  <c r="Q332" i="1" s="1"/>
  <c r="P331" i="1"/>
  <c r="Q331" i="1" s="1"/>
  <c r="P330" i="1"/>
  <c r="Q330" i="1" s="1"/>
  <c r="P329" i="1"/>
  <c r="Q329" i="1" s="1"/>
  <c r="P328" i="1"/>
  <c r="Q328" i="1" s="1"/>
  <c r="P327" i="1"/>
  <c r="Q327" i="1" s="1"/>
  <c r="P326" i="1"/>
  <c r="Q326" i="1" s="1"/>
  <c r="P325" i="1"/>
  <c r="Q325" i="1" s="1"/>
  <c r="P324" i="1"/>
  <c r="Q324" i="1" s="1"/>
  <c r="P323" i="1"/>
  <c r="Q323" i="1" s="1"/>
  <c r="P322" i="1"/>
  <c r="Q322" i="1" s="1"/>
  <c r="P321" i="1"/>
  <c r="Q321" i="1" s="1"/>
  <c r="P320" i="1"/>
  <c r="Q320" i="1" s="1"/>
  <c r="P319" i="1"/>
  <c r="Q319" i="1" s="1"/>
  <c r="P318" i="1"/>
  <c r="Q318" i="1" s="1"/>
  <c r="P317" i="1"/>
  <c r="Q317" i="1" s="1"/>
  <c r="P316" i="1"/>
  <c r="Q316" i="1" s="1"/>
  <c r="P315" i="1"/>
  <c r="Q315" i="1" s="1"/>
  <c r="P314" i="1"/>
  <c r="Q314" i="1" s="1"/>
  <c r="P313" i="1"/>
  <c r="Q313" i="1" s="1"/>
  <c r="P312" i="1"/>
  <c r="Q312" i="1" s="1"/>
  <c r="P311" i="1"/>
  <c r="Q311" i="1" s="1"/>
  <c r="P310" i="1"/>
  <c r="Q310" i="1" s="1"/>
  <c r="P309" i="1"/>
  <c r="Q309" i="1" s="1"/>
  <c r="P308" i="1"/>
  <c r="Q308" i="1" s="1"/>
  <c r="P307" i="1"/>
  <c r="Q307" i="1" s="1"/>
  <c r="P306" i="1"/>
  <c r="Q306" i="1" s="1"/>
  <c r="P305" i="1"/>
  <c r="Q305" i="1" s="1"/>
  <c r="P304" i="1"/>
  <c r="Q304" i="1" s="1"/>
  <c r="P303" i="1"/>
  <c r="Q303" i="1" s="1"/>
  <c r="P302" i="1"/>
  <c r="Q302" i="1" s="1"/>
  <c r="P301" i="1"/>
  <c r="Q301" i="1" s="1"/>
  <c r="P300" i="1"/>
  <c r="Q300" i="1" s="1"/>
  <c r="P299" i="1"/>
  <c r="Q299" i="1" s="1"/>
  <c r="P298" i="1"/>
  <c r="Q298" i="1" s="1"/>
  <c r="P297" i="1"/>
  <c r="Q297" i="1" s="1"/>
  <c r="P296" i="1"/>
  <c r="Q296" i="1" s="1"/>
  <c r="P295" i="1"/>
  <c r="Q295" i="1" s="1"/>
  <c r="P294" i="1"/>
  <c r="Q294" i="1" s="1"/>
  <c r="P293" i="1"/>
  <c r="Q293" i="1" s="1"/>
  <c r="P292" i="1"/>
  <c r="Q292" i="1" s="1"/>
  <c r="P291" i="1"/>
  <c r="Q291" i="1" s="1"/>
  <c r="P290" i="1"/>
  <c r="Q290" i="1" s="1"/>
  <c r="P289" i="1"/>
  <c r="Q289" i="1" s="1"/>
  <c r="P288" i="1"/>
  <c r="Q288" i="1" s="1"/>
  <c r="P287" i="1"/>
  <c r="Q287" i="1" s="1"/>
  <c r="P286" i="1"/>
  <c r="Q286" i="1" s="1"/>
  <c r="P285" i="1"/>
  <c r="Q285" i="1" s="1"/>
  <c r="P284" i="1"/>
  <c r="Q284" i="1" s="1"/>
  <c r="P283" i="1"/>
  <c r="Q283" i="1" s="1"/>
  <c r="P282" i="1"/>
  <c r="Q282" i="1" s="1"/>
  <c r="P281" i="1"/>
  <c r="Q281" i="1" s="1"/>
  <c r="P280" i="1"/>
  <c r="Q280" i="1" s="1"/>
  <c r="P279" i="1"/>
  <c r="Q279" i="1" s="1"/>
  <c r="P278" i="1"/>
  <c r="Q278" i="1" s="1"/>
  <c r="P277" i="1"/>
  <c r="Q277" i="1" s="1"/>
  <c r="P276" i="1"/>
  <c r="Q276" i="1" s="1"/>
  <c r="P275" i="1"/>
  <c r="Q275" i="1" s="1"/>
  <c r="P274" i="1"/>
  <c r="Q274" i="1" s="1"/>
  <c r="P273" i="1"/>
  <c r="Q273" i="1" s="1"/>
  <c r="P272" i="1"/>
  <c r="Q272" i="1" s="1"/>
  <c r="P271" i="1"/>
  <c r="Q271" i="1" s="1"/>
  <c r="P270" i="1"/>
  <c r="Q270" i="1" s="1"/>
  <c r="P269" i="1"/>
  <c r="Q269" i="1" s="1"/>
  <c r="P268" i="1"/>
  <c r="Q268" i="1" s="1"/>
  <c r="P267" i="1"/>
  <c r="Q267" i="1" s="1"/>
  <c r="P266" i="1"/>
  <c r="Q266" i="1" s="1"/>
  <c r="P265" i="1"/>
  <c r="Q265" i="1" s="1"/>
  <c r="P264" i="1"/>
  <c r="Q264" i="1" s="1"/>
  <c r="P263" i="1"/>
  <c r="Q263" i="1" s="1"/>
  <c r="P262" i="1"/>
  <c r="Q262" i="1" s="1"/>
  <c r="P261" i="1"/>
  <c r="Q261" i="1" s="1"/>
  <c r="P260" i="1"/>
  <c r="Q260" i="1" s="1"/>
  <c r="P259" i="1"/>
  <c r="Q259" i="1" s="1"/>
  <c r="P258" i="1"/>
  <c r="Q258" i="1" s="1"/>
  <c r="P257" i="1"/>
  <c r="Q257" i="1" s="1"/>
  <c r="P256" i="1"/>
  <c r="Q256" i="1" s="1"/>
  <c r="P255" i="1"/>
  <c r="Q255" i="1" s="1"/>
  <c r="P254" i="1"/>
  <c r="Q254" i="1" s="1"/>
  <c r="P253" i="1"/>
  <c r="Q253" i="1" s="1"/>
  <c r="P252" i="1"/>
  <c r="Q252" i="1" s="1"/>
  <c r="P251" i="1"/>
  <c r="Q251" i="1" s="1"/>
  <c r="P250" i="1"/>
  <c r="Q250" i="1" s="1"/>
  <c r="P249" i="1"/>
  <c r="Q249" i="1" s="1"/>
  <c r="P248" i="1"/>
  <c r="Q248" i="1" s="1"/>
  <c r="P247" i="1"/>
  <c r="Q247" i="1" s="1"/>
  <c r="P246" i="1"/>
  <c r="Q246" i="1" s="1"/>
  <c r="P245" i="1"/>
  <c r="Q245" i="1" s="1"/>
  <c r="P244" i="1"/>
  <c r="Q244" i="1" s="1"/>
  <c r="P243" i="1"/>
  <c r="Q243" i="1" s="1"/>
  <c r="P242" i="1"/>
  <c r="Q242" i="1" s="1"/>
  <c r="P241" i="1"/>
  <c r="Q241" i="1" s="1"/>
  <c r="P240" i="1"/>
  <c r="Q240" i="1" s="1"/>
  <c r="P239" i="1"/>
  <c r="Q239" i="1" s="1"/>
  <c r="P238" i="1"/>
  <c r="Q238" i="1" s="1"/>
  <c r="P237" i="1"/>
  <c r="Q237" i="1" s="1"/>
  <c r="P236" i="1"/>
  <c r="Q236" i="1" s="1"/>
  <c r="P235" i="1"/>
  <c r="Q235" i="1" s="1"/>
  <c r="P234" i="1"/>
  <c r="Q234" i="1" s="1"/>
  <c r="P233" i="1"/>
  <c r="Q233" i="1" s="1"/>
  <c r="P232" i="1"/>
  <c r="Q232" i="1" s="1"/>
  <c r="P231" i="1"/>
  <c r="Q231" i="1" s="1"/>
  <c r="P230" i="1"/>
  <c r="Q230" i="1" s="1"/>
  <c r="P229" i="1"/>
  <c r="Q229" i="1" s="1"/>
  <c r="P228" i="1"/>
  <c r="Q228" i="1" s="1"/>
  <c r="P227" i="1"/>
  <c r="Q227" i="1" s="1"/>
  <c r="P226" i="1"/>
  <c r="Q226" i="1" s="1"/>
  <c r="P225" i="1"/>
  <c r="Q225" i="1" s="1"/>
  <c r="P224" i="1"/>
  <c r="Q224" i="1" s="1"/>
  <c r="P223" i="1"/>
  <c r="Q223" i="1" s="1"/>
  <c r="P222" i="1"/>
  <c r="Q222" i="1" s="1"/>
  <c r="P221" i="1"/>
  <c r="Q221" i="1" s="1"/>
  <c r="P220" i="1"/>
  <c r="Q220" i="1" s="1"/>
  <c r="P219" i="1"/>
  <c r="Q219" i="1" s="1"/>
  <c r="P218" i="1"/>
  <c r="Q218" i="1" s="1"/>
  <c r="P217" i="1"/>
  <c r="Q217" i="1" s="1"/>
  <c r="P216" i="1"/>
  <c r="Q216" i="1" s="1"/>
  <c r="P215" i="1"/>
  <c r="Q215" i="1" s="1"/>
  <c r="P214" i="1"/>
  <c r="Q214" i="1" s="1"/>
  <c r="P213" i="1"/>
  <c r="Q213" i="1" s="1"/>
  <c r="P212" i="1"/>
  <c r="Q212" i="1" s="1"/>
  <c r="P211" i="1"/>
  <c r="Q211" i="1" s="1"/>
  <c r="P210" i="1"/>
  <c r="Q210" i="1" s="1"/>
  <c r="P209" i="1"/>
  <c r="Q209" i="1" s="1"/>
  <c r="P208" i="1"/>
  <c r="Q208" i="1" s="1"/>
  <c r="P207" i="1"/>
  <c r="Q207" i="1" s="1"/>
  <c r="P206" i="1"/>
  <c r="Q206" i="1" s="1"/>
  <c r="P205" i="1"/>
  <c r="Q205" i="1" s="1"/>
  <c r="P204" i="1"/>
  <c r="Q204" i="1" s="1"/>
  <c r="P203" i="1"/>
  <c r="Q203" i="1" s="1"/>
  <c r="P202" i="1"/>
  <c r="Q202" i="1" s="1"/>
  <c r="P201" i="1"/>
  <c r="Q201" i="1" s="1"/>
  <c r="P200" i="1"/>
  <c r="Q200" i="1" s="1"/>
  <c r="P199" i="1"/>
  <c r="Q199" i="1" s="1"/>
  <c r="P198" i="1"/>
  <c r="Q198" i="1" s="1"/>
  <c r="P197" i="1"/>
  <c r="Q197" i="1" s="1"/>
  <c r="P196" i="1"/>
  <c r="Q196" i="1" s="1"/>
  <c r="P195" i="1"/>
  <c r="Q195" i="1" s="1"/>
  <c r="P194" i="1"/>
  <c r="Q194" i="1" s="1"/>
  <c r="P193" i="1"/>
  <c r="Q193" i="1" s="1"/>
  <c r="P192" i="1"/>
  <c r="Q192" i="1" s="1"/>
  <c r="P191" i="1"/>
  <c r="Q191" i="1" s="1"/>
  <c r="P190" i="1"/>
  <c r="Q190" i="1" s="1"/>
  <c r="P189" i="1"/>
  <c r="Q189" i="1" s="1"/>
  <c r="P188" i="1"/>
  <c r="Q188" i="1" s="1"/>
  <c r="P187" i="1"/>
  <c r="Q187" i="1" s="1"/>
  <c r="P186" i="1"/>
  <c r="Q186" i="1" s="1"/>
  <c r="P185" i="1"/>
  <c r="Q185" i="1" s="1"/>
  <c r="P184" i="1"/>
  <c r="Q184" i="1" s="1"/>
  <c r="P183" i="1"/>
  <c r="Q183" i="1" s="1"/>
  <c r="P182" i="1"/>
  <c r="Q182" i="1" s="1"/>
  <c r="P181" i="1"/>
  <c r="Q181" i="1" s="1"/>
  <c r="P180" i="1"/>
  <c r="Q180" i="1" s="1"/>
  <c r="P179" i="1"/>
  <c r="Q179" i="1" s="1"/>
  <c r="P178" i="1"/>
  <c r="Q178" i="1" s="1"/>
  <c r="P177" i="1"/>
  <c r="Q177" i="1" s="1"/>
  <c r="P176" i="1"/>
  <c r="Q176" i="1" s="1"/>
  <c r="P175" i="1"/>
  <c r="Q175" i="1" s="1"/>
  <c r="P174" i="1"/>
  <c r="Q174" i="1" s="1"/>
  <c r="P173" i="1"/>
  <c r="Q173" i="1" s="1"/>
  <c r="P172" i="1"/>
  <c r="Q172" i="1" s="1"/>
  <c r="P171" i="1"/>
  <c r="Q171" i="1" s="1"/>
  <c r="P170" i="1"/>
  <c r="Q170" i="1" s="1"/>
  <c r="P169" i="1"/>
  <c r="Q169" i="1" s="1"/>
  <c r="P168" i="1"/>
  <c r="Q168" i="1" s="1"/>
  <c r="P167" i="1"/>
  <c r="Q167" i="1" s="1"/>
  <c r="P166" i="1"/>
  <c r="Q166" i="1" s="1"/>
  <c r="P165" i="1"/>
  <c r="Q165" i="1" s="1"/>
  <c r="P164" i="1"/>
  <c r="Q164" i="1" s="1"/>
  <c r="P163" i="1"/>
  <c r="Q163" i="1" s="1"/>
  <c r="P162" i="1"/>
  <c r="Q162" i="1" s="1"/>
  <c r="P161" i="1"/>
  <c r="Q161" i="1" s="1"/>
  <c r="P160" i="1"/>
  <c r="Q160" i="1" s="1"/>
  <c r="P159" i="1"/>
  <c r="Q159" i="1" s="1"/>
  <c r="P158" i="1"/>
  <c r="Q158" i="1" s="1"/>
  <c r="P157" i="1"/>
  <c r="Q157" i="1" s="1"/>
  <c r="P156" i="1"/>
  <c r="Q156" i="1" s="1"/>
  <c r="P155" i="1"/>
  <c r="Q155" i="1" s="1"/>
  <c r="P154" i="1"/>
  <c r="Q154" i="1" s="1"/>
  <c r="P153" i="1"/>
  <c r="Q153" i="1" s="1"/>
  <c r="P152" i="1"/>
  <c r="Q152" i="1" s="1"/>
  <c r="P151" i="1"/>
  <c r="Q151" i="1" s="1"/>
  <c r="P150" i="1"/>
  <c r="Q150" i="1" s="1"/>
  <c r="P149" i="1"/>
  <c r="Q149" i="1" s="1"/>
  <c r="P148" i="1"/>
  <c r="Q148" i="1" s="1"/>
  <c r="P147" i="1"/>
  <c r="Q147" i="1" s="1"/>
  <c r="P146" i="1"/>
  <c r="Q146" i="1" s="1"/>
  <c r="P145" i="1"/>
  <c r="Q145" i="1" s="1"/>
  <c r="P144" i="1"/>
  <c r="Q144" i="1" s="1"/>
  <c r="P143" i="1"/>
  <c r="Q143" i="1" s="1"/>
  <c r="P142" i="1"/>
  <c r="Q142" i="1" s="1"/>
  <c r="P141" i="1"/>
  <c r="Q141" i="1" s="1"/>
  <c r="P140" i="1"/>
  <c r="Q140" i="1" s="1"/>
  <c r="P139" i="1"/>
  <c r="Q139" i="1" s="1"/>
  <c r="P138" i="1"/>
  <c r="Q138" i="1" s="1"/>
  <c r="P137" i="1"/>
  <c r="Q137" i="1" s="1"/>
  <c r="P136" i="1"/>
  <c r="Q136" i="1" s="1"/>
  <c r="P135" i="1"/>
  <c r="Q135" i="1" s="1"/>
  <c r="P134" i="1"/>
  <c r="Q134" i="1" s="1"/>
  <c r="P133" i="1"/>
  <c r="Q133" i="1" s="1"/>
  <c r="P132" i="1"/>
  <c r="Q132" i="1" s="1"/>
  <c r="P131" i="1"/>
  <c r="Q131" i="1" s="1"/>
  <c r="P130" i="1"/>
  <c r="Q130" i="1" s="1"/>
  <c r="P129" i="1"/>
  <c r="Q129" i="1" s="1"/>
  <c r="P128" i="1"/>
  <c r="Q128" i="1" s="1"/>
  <c r="P127" i="1"/>
  <c r="Q127" i="1" s="1"/>
  <c r="P126" i="1"/>
  <c r="Q126" i="1" s="1"/>
  <c r="P125" i="1"/>
  <c r="Q125" i="1" s="1"/>
  <c r="P124" i="1"/>
  <c r="Q124" i="1" s="1"/>
  <c r="P123" i="1"/>
  <c r="Q123" i="1" s="1"/>
  <c r="P122" i="1"/>
  <c r="Q122" i="1" s="1"/>
  <c r="P121" i="1"/>
  <c r="Q121" i="1" s="1"/>
  <c r="P120" i="1"/>
  <c r="Q120" i="1" s="1"/>
  <c r="P119" i="1"/>
  <c r="Q119" i="1" s="1"/>
  <c r="P118" i="1"/>
  <c r="Q118" i="1" s="1"/>
  <c r="P117" i="1"/>
  <c r="Q117" i="1" s="1"/>
  <c r="P116" i="1"/>
  <c r="Q116" i="1" s="1"/>
  <c r="P115" i="1"/>
  <c r="Q115" i="1" s="1"/>
  <c r="P114" i="1"/>
  <c r="Q114" i="1" s="1"/>
  <c r="P113" i="1"/>
  <c r="Q113" i="1" s="1"/>
  <c r="P112" i="1"/>
  <c r="Q112" i="1" s="1"/>
  <c r="P111" i="1"/>
  <c r="Q111" i="1" s="1"/>
  <c r="P110" i="1"/>
  <c r="Q110" i="1" s="1"/>
  <c r="P109" i="1"/>
  <c r="Q109" i="1" s="1"/>
  <c r="P108" i="1"/>
  <c r="Q108" i="1" s="1"/>
  <c r="P107" i="1"/>
  <c r="Q107" i="1" s="1"/>
  <c r="P106" i="1"/>
  <c r="Q106" i="1" s="1"/>
  <c r="P105" i="1"/>
  <c r="Q105" i="1" s="1"/>
  <c r="P104" i="1"/>
  <c r="Q104" i="1" s="1"/>
  <c r="P103" i="1"/>
  <c r="Q103" i="1" s="1"/>
  <c r="P102" i="1"/>
  <c r="Q102" i="1" s="1"/>
  <c r="P101" i="1"/>
  <c r="Q101" i="1" s="1"/>
  <c r="P100" i="1"/>
  <c r="Q100" i="1" s="1"/>
  <c r="P99" i="1"/>
  <c r="Q99" i="1" s="1"/>
  <c r="P98" i="1"/>
  <c r="Q98" i="1" s="1"/>
  <c r="P97" i="1"/>
  <c r="Q97" i="1" s="1"/>
  <c r="P96" i="1"/>
  <c r="Q96" i="1" s="1"/>
  <c r="P95" i="1"/>
  <c r="Q95" i="1" s="1"/>
  <c r="P94" i="1"/>
  <c r="Q94" i="1" s="1"/>
  <c r="P93" i="1"/>
  <c r="Q93" i="1" s="1"/>
  <c r="P92" i="1"/>
  <c r="Q92" i="1" s="1"/>
  <c r="P91" i="1"/>
  <c r="Q91" i="1" s="1"/>
  <c r="P90" i="1"/>
  <c r="Q90" i="1" s="1"/>
  <c r="P89" i="1"/>
  <c r="Q89" i="1" s="1"/>
  <c r="P88" i="1"/>
  <c r="Q88" i="1" s="1"/>
  <c r="P87" i="1"/>
  <c r="Q87" i="1" s="1"/>
  <c r="P86" i="1"/>
  <c r="Q86" i="1" s="1"/>
  <c r="P85" i="1"/>
  <c r="Q85" i="1" s="1"/>
  <c r="P84" i="1"/>
  <c r="Q84" i="1" s="1"/>
  <c r="P83" i="1"/>
  <c r="Q83" i="1" s="1"/>
  <c r="P82" i="1"/>
  <c r="Q82" i="1" s="1"/>
  <c r="P81" i="1"/>
  <c r="Q81" i="1" s="1"/>
  <c r="P80" i="1"/>
  <c r="Q80" i="1" s="1"/>
  <c r="P79" i="1"/>
  <c r="Q79" i="1" s="1"/>
  <c r="P78" i="1"/>
  <c r="Q78" i="1" s="1"/>
  <c r="P77" i="1"/>
  <c r="Q77" i="1" s="1"/>
  <c r="P76" i="1"/>
  <c r="Q76" i="1" s="1"/>
  <c r="P75" i="1"/>
  <c r="Q75" i="1" s="1"/>
  <c r="P74" i="1"/>
  <c r="Q74" i="1" s="1"/>
  <c r="P73" i="1"/>
  <c r="Q73" i="1" s="1"/>
  <c r="P72" i="1"/>
  <c r="Q72" i="1" s="1"/>
  <c r="P71" i="1"/>
  <c r="Q71" i="1" s="1"/>
  <c r="P70" i="1"/>
  <c r="Q70" i="1" s="1"/>
  <c r="P69" i="1"/>
  <c r="Q69" i="1" s="1"/>
  <c r="P68" i="1"/>
  <c r="Q68" i="1" s="1"/>
  <c r="P67" i="1"/>
  <c r="Q67" i="1" s="1"/>
  <c r="P66" i="1"/>
  <c r="Q66" i="1" s="1"/>
  <c r="P65" i="1"/>
  <c r="Q65" i="1" s="1"/>
  <c r="P64" i="1"/>
  <c r="Q64" i="1" s="1"/>
  <c r="P63" i="1"/>
  <c r="Q63" i="1" s="1"/>
  <c r="P62" i="1"/>
  <c r="Q62" i="1" s="1"/>
  <c r="P61" i="1"/>
  <c r="Q61" i="1" s="1"/>
  <c r="P60" i="1"/>
  <c r="Q60" i="1" s="1"/>
  <c r="P59" i="1"/>
  <c r="Q59" i="1" s="1"/>
  <c r="P58" i="1"/>
  <c r="Q58" i="1" s="1"/>
  <c r="P57" i="1"/>
  <c r="Q57" i="1" s="1"/>
  <c r="P56" i="1"/>
  <c r="Q56" i="1" s="1"/>
  <c r="P55" i="1"/>
  <c r="Q55" i="1" s="1"/>
  <c r="P54" i="1"/>
  <c r="Q54" i="1" s="1"/>
  <c r="P53" i="1"/>
  <c r="Q53" i="1" s="1"/>
  <c r="P52" i="1"/>
  <c r="Q52" i="1" s="1"/>
  <c r="P51" i="1"/>
  <c r="Q51" i="1" s="1"/>
  <c r="P50" i="1"/>
  <c r="Q50" i="1" s="1"/>
  <c r="P49" i="1"/>
  <c r="Q49" i="1" s="1"/>
  <c r="P48" i="1"/>
  <c r="Q48" i="1" s="1"/>
  <c r="P47" i="1"/>
  <c r="Q47" i="1" s="1"/>
  <c r="P46" i="1"/>
  <c r="Q46" i="1" s="1"/>
  <c r="P45" i="1"/>
  <c r="Q45" i="1" s="1"/>
  <c r="P44" i="1"/>
  <c r="Q44" i="1" s="1"/>
  <c r="P43" i="1"/>
  <c r="Q43" i="1" s="1"/>
  <c r="P42" i="1"/>
  <c r="Q42" i="1" s="1"/>
  <c r="P41" i="1"/>
  <c r="Q41" i="1" s="1"/>
  <c r="P40" i="1"/>
  <c r="Q40" i="1" s="1"/>
  <c r="P39" i="1"/>
  <c r="Q39" i="1" s="1"/>
  <c r="P38" i="1"/>
  <c r="Q38" i="1" s="1"/>
  <c r="P37" i="1"/>
  <c r="Q37" i="1" s="1"/>
  <c r="P36" i="1"/>
  <c r="Q36" i="1" s="1"/>
  <c r="P35" i="1"/>
  <c r="Q35" i="1" s="1"/>
  <c r="P34" i="1"/>
  <c r="Q34" i="1" s="1"/>
  <c r="P33" i="1"/>
  <c r="Q33" i="1" s="1"/>
  <c r="P32" i="1"/>
  <c r="Q32" i="1" s="1"/>
  <c r="P31" i="1"/>
  <c r="Q3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S766" i="1"/>
  <c r="T766" i="1" s="1"/>
  <c r="D2" i="7"/>
  <c r="C2" i="7"/>
  <c r="O25" i="6"/>
  <c r="N25" i="6"/>
  <c r="M25" i="6"/>
  <c r="H25" i="6"/>
  <c r="O24" i="6"/>
  <c r="N24" i="6"/>
  <c r="M24" i="6"/>
  <c r="H24" i="6"/>
  <c r="O23" i="6"/>
  <c r="N23" i="6"/>
  <c r="M23" i="6"/>
  <c r="H23" i="6"/>
  <c r="O22" i="6"/>
  <c r="N22" i="6"/>
  <c r="M22" i="6"/>
  <c r="H22" i="6"/>
  <c r="O21" i="6"/>
  <c r="N21" i="6"/>
  <c r="M21" i="6"/>
  <c r="H21" i="6"/>
  <c r="O20" i="6"/>
  <c r="N20" i="6"/>
  <c r="M20" i="6"/>
  <c r="H20" i="6"/>
  <c r="O19" i="6"/>
  <c r="N19" i="6"/>
  <c r="M19" i="6"/>
  <c r="H19" i="6"/>
  <c r="O18" i="6"/>
  <c r="N18" i="6"/>
  <c r="M18" i="6"/>
  <c r="H18" i="6"/>
  <c r="O17" i="6"/>
  <c r="N17" i="6"/>
  <c r="M17" i="6"/>
  <c r="H17" i="6"/>
  <c r="O16" i="6"/>
  <c r="N16" i="6"/>
  <c r="M16" i="6"/>
  <c r="H16" i="6"/>
  <c r="O15" i="6"/>
  <c r="N15" i="6"/>
  <c r="M15" i="6"/>
  <c r="H15" i="6"/>
  <c r="O14" i="6"/>
  <c r="N14" i="6"/>
  <c r="M14" i="6"/>
  <c r="H14" i="6"/>
  <c r="O13" i="6"/>
  <c r="N13" i="6"/>
  <c r="M13" i="6"/>
  <c r="H13" i="6"/>
  <c r="O12" i="6"/>
  <c r="N12" i="6"/>
  <c r="M12" i="6"/>
  <c r="H12" i="6"/>
  <c r="O11" i="6"/>
  <c r="N11" i="6"/>
  <c r="M11" i="6"/>
  <c r="H11" i="6"/>
  <c r="O10" i="6"/>
  <c r="N10" i="6"/>
  <c r="M10" i="6"/>
  <c r="H10" i="6"/>
  <c r="O9" i="6"/>
  <c r="N9" i="6"/>
  <c r="M9" i="6"/>
  <c r="H9" i="6"/>
  <c r="O8" i="6"/>
  <c r="N8" i="6"/>
  <c r="M8" i="6"/>
  <c r="H8" i="6"/>
  <c r="O7" i="6"/>
  <c r="N7" i="6"/>
  <c r="M7" i="6"/>
  <c r="H7" i="6"/>
  <c r="O6" i="6"/>
  <c r="N6" i="6"/>
  <c r="M6" i="6"/>
  <c r="H6" i="6"/>
  <c r="O5" i="6"/>
  <c r="N5" i="6"/>
  <c r="M5" i="6"/>
  <c r="H5" i="6"/>
  <c r="O4" i="6"/>
  <c r="N4" i="6"/>
  <c r="M4" i="6"/>
  <c r="H4" i="6"/>
  <c r="O3" i="6"/>
  <c r="N3" i="6"/>
  <c r="J3" i="6"/>
  <c r="H3" i="6"/>
  <c r="C124" i="5"/>
  <c r="D124" i="5" s="1"/>
  <c r="D123" i="5"/>
  <c r="C123" i="5"/>
  <c r="D117" i="5"/>
  <c r="D118" i="5"/>
  <c r="C117" i="5"/>
  <c r="C118" i="5" s="1"/>
  <c r="C115" i="5"/>
  <c r="D114" i="5"/>
  <c r="C114" i="5"/>
  <c r="D113" i="5"/>
  <c r="C113" i="5"/>
  <c r="D112" i="5"/>
  <c r="C112" i="5"/>
  <c r="D111" i="5"/>
  <c r="C111" i="5"/>
  <c r="C99" i="5"/>
  <c r="D102" i="5"/>
  <c r="D77" i="5"/>
  <c r="C74" i="5"/>
  <c r="C77" i="5"/>
  <c r="C49" i="5"/>
  <c r="D52" i="5"/>
  <c r="C23" i="5"/>
  <c r="C26" i="5"/>
  <c r="D237" i="4"/>
  <c r="C237" i="4"/>
  <c r="C187" i="4"/>
  <c r="D187" i="4"/>
  <c r="C124" i="4"/>
  <c r="D124" i="4" s="1"/>
  <c r="D123" i="4"/>
  <c r="C123" i="4"/>
  <c r="D117" i="4"/>
  <c r="D118" i="4"/>
  <c r="C117" i="4"/>
  <c r="C118" i="4" s="1"/>
  <c r="C115" i="4"/>
  <c r="D114" i="4"/>
  <c r="C114" i="4"/>
  <c r="D113" i="4"/>
  <c r="C113" i="4"/>
  <c r="D112" i="4"/>
  <c r="C112" i="4"/>
  <c r="D111" i="4"/>
  <c r="C111" i="4"/>
  <c r="D106" i="4"/>
  <c r="C106" i="4"/>
  <c r="C103" i="4"/>
  <c r="C78" i="4"/>
  <c r="D81" i="4"/>
  <c r="C53" i="4"/>
  <c r="D56" i="4"/>
  <c r="C28" i="4"/>
  <c r="C31" i="4"/>
  <c r="D164" i="3"/>
  <c r="C164" i="3"/>
  <c r="C124" i="3"/>
  <c r="D124" i="3" s="1"/>
  <c r="D123" i="3"/>
  <c r="C123" i="3"/>
  <c r="D117" i="3"/>
  <c r="D118" i="3" s="1"/>
  <c r="C117" i="3"/>
  <c r="C116" i="3" s="1"/>
  <c r="C115" i="3"/>
  <c r="D114" i="3"/>
  <c r="C114" i="3"/>
  <c r="D113" i="3"/>
  <c r="C113" i="3"/>
  <c r="D112" i="3"/>
  <c r="C112" i="3"/>
  <c r="D111" i="3"/>
  <c r="C111" i="3"/>
  <c r="D89" i="3"/>
  <c r="C89" i="3"/>
  <c r="D55" i="3"/>
  <c r="C55" i="3"/>
  <c r="D27" i="3"/>
  <c r="C27" i="3"/>
  <c r="C124" i="2"/>
  <c r="D124" i="2"/>
  <c r="D123" i="2"/>
  <c r="C123" i="2"/>
  <c r="D117" i="2"/>
  <c r="D118" i="2"/>
  <c r="C117" i="2"/>
  <c r="C122" i="2"/>
  <c r="C133" i="2"/>
  <c r="C115" i="2"/>
  <c r="D114" i="2"/>
  <c r="C114" i="2"/>
  <c r="D113" i="2"/>
  <c r="C113" i="2"/>
  <c r="D112" i="2"/>
  <c r="C112" i="2"/>
  <c r="D111" i="2"/>
  <c r="C111" i="2"/>
  <c r="C102" i="5"/>
  <c r="D31" i="4"/>
  <c r="M3" i="6"/>
  <c r="C81" i="4"/>
  <c r="C52" i="5"/>
  <c r="C118" i="2"/>
  <c r="C116" i="2"/>
  <c r="K3" i="6"/>
  <c r="D26" i="5"/>
  <c r="C56" i="4"/>
  <c r="D136" i="2"/>
  <c r="C136" i="2"/>
  <c r="C138" i="2"/>
  <c r="C2" i="1" l="1"/>
  <c r="D2" i="1"/>
  <c r="C122" i="5"/>
  <c r="C133" i="5" s="1"/>
  <c r="D136" i="5" s="1"/>
  <c r="C116" i="5"/>
  <c r="C116" i="4"/>
  <c r="C122" i="3"/>
  <c r="C133" i="3" s="1"/>
  <c r="D136" i="3" s="1"/>
  <c r="C122" i="4"/>
  <c r="C133" i="4" s="1"/>
  <c r="C136" i="4" s="1"/>
  <c r="C118" i="3"/>
  <c r="R765" i="1"/>
  <c r="C136" i="5" l="1"/>
  <c r="C138" i="5" s="1"/>
  <c r="C136" i="3"/>
  <c r="C138" i="3" s="1"/>
  <c r="D136" i="4"/>
  <c r="C138" i="4" s="1"/>
  <c r="R764" i="1"/>
  <c r="S765" i="1"/>
  <c r="T765" i="1" s="1"/>
  <c r="R763" i="1" l="1"/>
  <c r="S764" i="1"/>
  <c r="T764" i="1" s="1"/>
  <c r="R762" i="1" l="1"/>
  <c r="S763" i="1"/>
  <c r="T763" i="1" s="1"/>
  <c r="R761" i="1" l="1"/>
  <c r="S762" i="1"/>
  <c r="T762" i="1" s="1"/>
  <c r="R760" i="1" l="1"/>
  <c r="S761" i="1"/>
  <c r="T761" i="1" s="1"/>
  <c r="R759" i="1" l="1"/>
  <c r="S760" i="1"/>
  <c r="T760" i="1" s="1"/>
  <c r="R758" i="1" l="1"/>
  <c r="S759" i="1"/>
  <c r="T759" i="1" s="1"/>
  <c r="R757" i="1" l="1"/>
  <c r="S758" i="1"/>
  <c r="T758" i="1" s="1"/>
  <c r="R756" i="1" l="1"/>
  <c r="S757" i="1"/>
  <c r="T757" i="1" s="1"/>
  <c r="R755" i="1" l="1"/>
  <c r="S756" i="1"/>
  <c r="T756" i="1" s="1"/>
  <c r="R754" i="1" l="1"/>
  <c r="S755" i="1"/>
  <c r="T755" i="1" s="1"/>
  <c r="R753" i="1" l="1"/>
  <c r="S754" i="1"/>
  <c r="T754" i="1" s="1"/>
  <c r="R752" i="1" l="1"/>
  <c r="S753" i="1"/>
  <c r="T753" i="1" s="1"/>
  <c r="R751" i="1" l="1"/>
  <c r="S752" i="1"/>
  <c r="T752" i="1" s="1"/>
  <c r="R750" i="1" l="1"/>
  <c r="S751" i="1"/>
  <c r="T751" i="1" s="1"/>
  <c r="R749" i="1" l="1"/>
  <c r="S750" i="1"/>
  <c r="T750" i="1" s="1"/>
  <c r="R748" i="1" l="1"/>
  <c r="S749" i="1"/>
  <c r="T749" i="1" s="1"/>
  <c r="R747" i="1" l="1"/>
  <c r="S748" i="1"/>
  <c r="T748" i="1" s="1"/>
  <c r="R746" i="1" l="1"/>
  <c r="S747" i="1"/>
  <c r="T747" i="1" s="1"/>
  <c r="R745" i="1" l="1"/>
  <c r="S746" i="1"/>
  <c r="T746" i="1" s="1"/>
  <c r="R744" i="1" l="1"/>
  <c r="S745" i="1"/>
  <c r="T745" i="1" s="1"/>
  <c r="R743" i="1" l="1"/>
  <c r="S744" i="1"/>
  <c r="T744" i="1" s="1"/>
  <c r="R742" i="1" l="1"/>
  <c r="S743" i="1"/>
  <c r="T743" i="1" s="1"/>
  <c r="R741" i="1" l="1"/>
  <c r="S742" i="1"/>
  <c r="T742" i="1" s="1"/>
  <c r="R740" i="1" l="1"/>
  <c r="S741" i="1"/>
  <c r="T741" i="1" s="1"/>
  <c r="R739" i="1" l="1"/>
  <c r="S740" i="1"/>
  <c r="T740" i="1" s="1"/>
  <c r="R738" i="1" l="1"/>
  <c r="S739" i="1"/>
  <c r="T739" i="1" s="1"/>
  <c r="R737" i="1" l="1"/>
  <c r="S738" i="1"/>
  <c r="T738" i="1" s="1"/>
  <c r="R736" i="1" l="1"/>
  <c r="S737" i="1"/>
  <c r="T737" i="1" s="1"/>
  <c r="R735" i="1" l="1"/>
  <c r="S736" i="1"/>
  <c r="T736" i="1" s="1"/>
  <c r="R734" i="1" l="1"/>
  <c r="S735" i="1"/>
  <c r="T735" i="1" s="1"/>
  <c r="R733" i="1" l="1"/>
  <c r="S734" i="1"/>
  <c r="T734" i="1" s="1"/>
  <c r="R732" i="1" l="1"/>
  <c r="S733" i="1"/>
  <c r="T733" i="1" s="1"/>
  <c r="R731" i="1" l="1"/>
  <c r="S732" i="1"/>
  <c r="T732" i="1" s="1"/>
  <c r="R730" i="1" l="1"/>
  <c r="S731" i="1"/>
  <c r="T731" i="1" s="1"/>
  <c r="R729" i="1" l="1"/>
  <c r="S730" i="1"/>
  <c r="T730" i="1" s="1"/>
  <c r="R728" i="1" l="1"/>
  <c r="S729" i="1"/>
  <c r="T729" i="1" s="1"/>
  <c r="R727" i="1" l="1"/>
  <c r="S728" i="1"/>
  <c r="T728" i="1" s="1"/>
  <c r="R726" i="1" l="1"/>
  <c r="S727" i="1"/>
  <c r="T727" i="1" s="1"/>
  <c r="R725" i="1" l="1"/>
  <c r="S726" i="1"/>
  <c r="T726" i="1" s="1"/>
  <c r="R724" i="1" l="1"/>
  <c r="S725" i="1"/>
  <c r="T725" i="1" s="1"/>
  <c r="R723" i="1" l="1"/>
  <c r="S724" i="1"/>
  <c r="T724" i="1" s="1"/>
  <c r="R722" i="1" l="1"/>
  <c r="S723" i="1"/>
  <c r="T723" i="1" s="1"/>
  <c r="R721" i="1" l="1"/>
  <c r="S722" i="1"/>
  <c r="T722" i="1" s="1"/>
  <c r="R720" i="1" l="1"/>
  <c r="S721" i="1"/>
  <c r="T721" i="1" s="1"/>
  <c r="R719" i="1" l="1"/>
  <c r="S720" i="1"/>
  <c r="T720" i="1" s="1"/>
  <c r="R718" i="1" l="1"/>
  <c r="S719" i="1"/>
  <c r="T719" i="1" s="1"/>
  <c r="R717" i="1" l="1"/>
  <c r="S718" i="1"/>
  <c r="T718" i="1" s="1"/>
  <c r="R716" i="1" l="1"/>
  <c r="S717" i="1"/>
  <c r="T717" i="1" s="1"/>
  <c r="R715" i="1" l="1"/>
  <c r="S716" i="1"/>
  <c r="T716" i="1" s="1"/>
  <c r="R714" i="1" l="1"/>
  <c r="S715" i="1"/>
  <c r="T715" i="1" s="1"/>
  <c r="R713" i="1" l="1"/>
  <c r="S714" i="1"/>
  <c r="T714" i="1" s="1"/>
  <c r="R712" i="1" l="1"/>
  <c r="S713" i="1"/>
  <c r="T713" i="1" s="1"/>
  <c r="R711" i="1" l="1"/>
  <c r="S712" i="1"/>
  <c r="T712" i="1" s="1"/>
  <c r="R710" i="1" l="1"/>
  <c r="S711" i="1"/>
  <c r="T711" i="1" s="1"/>
  <c r="R709" i="1" l="1"/>
  <c r="S710" i="1"/>
  <c r="T710" i="1" s="1"/>
  <c r="R708" i="1" l="1"/>
  <c r="S709" i="1"/>
  <c r="T709" i="1" s="1"/>
  <c r="R707" i="1" l="1"/>
  <c r="S708" i="1"/>
  <c r="T708" i="1" s="1"/>
  <c r="R706" i="1" l="1"/>
  <c r="S707" i="1"/>
  <c r="T707" i="1" s="1"/>
  <c r="R705" i="1" l="1"/>
  <c r="S706" i="1"/>
  <c r="T706" i="1" s="1"/>
  <c r="R704" i="1" l="1"/>
  <c r="S705" i="1"/>
  <c r="T705" i="1" s="1"/>
  <c r="R703" i="1" l="1"/>
  <c r="S704" i="1"/>
  <c r="T704" i="1" s="1"/>
  <c r="R702" i="1" l="1"/>
  <c r="S703" i="1"/>
  <c r="T703" i="1" s="1"/>
  <c r="R701" i="1" l="1"/>
  <c r="S702" i="1"/>
  <c r="T702" i="1" s="1"/>
  <c r="R700" i="1" l="1"/>
  <c r="S701" i="1"/>
  <c r="T701" i="1" s="1"/>
  <c r="R699" i="1" l="1"/>
  <c r="S700" i="1"/>
  <c r="T700" i="1" s="1"/>
  <c r="R698" i="1" l="1"/>
  <c r="S699" i="1"/>
  <c r="T699" i="1" s="1"/>
  <c r="R697" i="1" l="1"/>
  <c r="S698" i="1"/>
  <c r="T698" i="1" s="1"/>
  <c r="R696" i="1" l="1"/>
  <c r="S697" i="1"/>
  <c r="T697" i="1" s="1"/>
  <c r="R695" i="1" l="1"/>
  <c r="S696" i="1"/>
  <c r="T696" i="1" s="1"/>
  <c r="R694" i="1" l="1"/>
  <c r="S695" i="1"/>
  <c r="T695" i="1" s="1"/>
  <c r="R693" i="1" l="1"/>
  <c r="S694" i="1"/>
  <c r="T694" i="1" s="1"/>
  <c r="R692" i="1" l="1"/>
  <c r="S693" i="1"/>
  <c r="T693" i="1" s="1"/>
  <c r="R691" i="1" l="1"/>
  <c r="S692" i="1"/>
  <c r="T692" i="1" s="1"/>
  <c r="R690" i="1" l="1"/>
  <c r="S691" i="1"/>
  <c r="T691" i="1" s="1"/>
  <c r="R689" i="1" l="1"/>
  <c r="S690" i="1"/>
  <c r="T690" i="1" s="1"/>
  <c r="R688" i="1" l="1"/>
  <c r="S689" i="1"/>
  <c r="T689" i="1" s="1"/>
  <c r="R687" i="1" l="1"/>
  <c r="S688" i="1"/>
  <c r="T688" i="1" s="1"/>
  <c r="R686" i="1" l="1"/>
  <c r="S687" i="1"/>
  <c r="T687" i="1" s="1"/>
  <c r="R685" i="1" l="1"/>
  <c r="S686" i="1"/>
  <c r="T686" i="1" s="1"/>
  <c r="R684" i="1" l="1"/>
  <c r="S685" i="1"/>
  <c r="T685" i="1" s="1"/>
  <c r="R683" i="1" l="1"/>
  <c r="S684" i="1"/>
  <c r="T684" i="1" s="1"/>
  <c r="R682" i="1" l="1"/>
  <c r="S683" i="1"/>
  <c r="T683" i="1" s="1"/>
  <c r="R681" i="1" l="1"/>
  <c r="S682" i="1"/>
  <c r="T682" i="1" s="1"/>
  <c r="R680" i="1" l="1"/>
  <c r="S681" i="1"/>
  <c r="T681" i="1" s="1"/>
  <c r="R679" i="1" l="1"/>
  <c r="S680" i="1"/>
  <c r="T680" i="1" s="1"/>
  <c r="R678" i="1" l="1"/>
  <c r="S679" i="1"/>
  <c r="T679" i="1" s="1"/>
  <c r="R677" i="1" l="1"/>
  <c r="S678" i="1"/>
  <c r="T678" i="1" s="1"/>
  <c r="R676" i="1" l="1"/>
  <c r="S677" i="1"/>
  <c r="T677" i="1" s="1"/>
  <c r="R675" i="1" l="1"/>
  <c r="S676" i="1"/>
  <c r="T676" i="1" s="1"/>
  <c r="R674" i="1" l="1"/>
  <c r="S675" i="1"/>
  <c r="T675" i="1" s="1"/>
  <c r="R673" i="1" l="1"/>
  <c r="S674" i="1"/>
  <c r="T674" i="1" s="1"/>
  <c r="R672" i="1" l="1"/>
  <c r="S673" i="1"/>
  <c r="T673" i="1" s="1"/>
  <c r="R671" i="1" l="1"/>
  <c r="S672" i="1"/>
  <c r="T672" i="1" s="1"/>
  <c r="R670" i="1" l="1"/>
  <c r="S671" i="1"/>
  <c r="T671" i="1" s="1"/>
  <c r="R669" i="1" l="1"/>
  <c r="S670" i="1"/>
  <c r="T670" i="1" s="1"/>
  <c r="R668" i="1" l="1"/>
  <c r="S669" i="1"/>
  <c r="T669" i="1" s="1"/>
  <c r="R667" i="1" l="1"/>
  <c r="S668" i="1"/>
  <c r="T668" i="1" s="1"/>
  <c r="R666" i="1" l="1"/>
  <c r="S667" i="1"/>
  <c r="T667" i="1" s="1"/>
  <c r="R665" i="1" l="1"/>
  <c r="S666" i="1"/>
  <c r="T666" i="1" s="1"/>
  <c r="R664" i="1" l="1"/>
  <c r="S665" i="1"/>
  <c r="T665" i="1" s="1"/>
  <c r="R663" i="1" l="1"/>
  <c r="S664" i="1"/>
  <c r="T664" i="1" s="1"/>
  <c r="R662" i="1" l="1"/>
  <c r="S663" i="1"/>
  <c r="T663" i="1" s="1"/>
  <c r="R661" i="1" l="1"/>
  <c r="S662" i="1"/>
  <c r="T662" i="1" s="1"/>
  <c r="R660" i="1" l="1"/>
  <c r="S661" i="1"/>
  <c r="T661" i="1" s="1"/>
  <c r="R659" i="1" l="1"/>
  <c r="S660" i="1"/>
  <c r="T660" i="1" s="1"/>
  <c r="R658" i="1" l="1"/>
  <c r="S659" i="1"/>
  <c r="T659" i="1" s="1"/>
  <c r="R657" i="1" l="1"/>
  <c r="S658" i="1"/>
  <c r="T658" i="1" s="1"/>
  <c r="R656" i="1" l="1"/>
  <c r="S657" i="1"/>
  <c r="T657" i="1" s="1"/>
  <c r="R655" i="1" l="1"/>
  <c r="S656" i="1"/>
  <c r="T656" i="1" s="1"/>
  <c r="R654" i="1" l="1"/>
  <c r="S655" i="1"/>
  <c r="T655" i="1" s="1"/>
  <c r="R653" i="1" l="1"/>
  <c r="S654" i="1"/>
  <c r="T654" i="1" s="1"/>
  <c r="R652" i="1" l="1"/>
  <c r="S653" i="1"/>
  <c r="T653" i="1" s="1"/>
  <c r="R651" i="1" l="1"/>
  <c r="S652" i="1"/>
  <c r="T652" i="1" s="1"/>
  <c r="R650" i="1" l="1"/>
  <c r="S651" i="1"/>
  <c r="T651" i="1" s="1"/>
  <c r="R649" i="1" l="1"/>
  <c r="S650" i="1"/>
  <c r="T650" i="1" s="1"/>
  <c r="R648" i="1" l="1"/>
  <c r="S649" i="1"/>
  <c r="T649" i="1" s="1"/>
  <c r="R647" i="1" l="1"/>
  <c r="S648" i="1"/>
  <c r="T648" i="1" s="1"/>
  <c r="R646" i="1" l="1"/>
  <c r="S647" i="1"/>
  <c r="T647" i="1" s="1"/>
  <c r="R645" i="1" l="1"/>
  <c r="S646" i="1"/>
  <c r="T646" i="1" s="1"/>
  <c r="R644" i="1" l="1"/>
  <c r="S645" i="1"/>
  <c r="T645" i="1" s="1"/>
  <c r="R643" i="1" l="1"/>
  <c r="S644" i="1"/>
  <c r="T644" i="1" s="1"/>
  <c r="R642" i="1" l="1"/>
  <c r="S643" i="1"/>
  <c r="T643" i="1" s="1"/>
  <c r="R641" i="1" l="1"/>
  <c r="S642" i="1"/>
  <c r="T642" i="1" s="1"/>
  <c r="R640" i="1" l="1"/>
  <c r="S641" i="1"/>
  <c r="T641" i="1" s="1"/>
  <c r="R639" i="1" l="1"/>
  <c r="S640" i="1"/>
  <c r="T640" i="1" s="1"/>
  <c r="R638" i="1" l="1"/>
  <c r="S639" i="1"/>
  <c r="T639" i="1" s="1"/>
  <c r="R637" i="1" l="1"/>
  <c r="S638" i="1"/>
  <c r="T638" i="1" s="1"/>
  <c r="R636" i="1" l="1"/>
  <c r="S637" i="1"/>
  <c r="T637" i="1" s="1"/>
  <c r="R635" i="1" l="1"/>
  <c r="S636" i="1"/>
  <c r="T636" i="1" s="1"/>
  <c r="R634" i="1" l="1"/>
  <c r="S635" i="1"/>
  <c r="T635" i="1" s="1"/>
  <c r="R633" i="1" l="1"/>
  <c r="S634" i="1"/>
  <c r="T634" i="1" s="1"/>
  <c r="R632" i="1" l="1"/>
  <c r="S633" i="1"/>
  <c r="T633" i="1" s="1"/>
  <c r="R631" i="1" l="1"/>
  <c r="S632" i="1"/>
  <c r="T632" i="1" s="1"/>
  <c r="R630" i="1" l="1"/>
  <c r="S631" i="1"/>
  <c r="T631" i="1" s="1"/>
  <c r="R629" i="1" l="1"/>
  <c r="S630" i="1"/>
  <c r="T630" i="1" s="1"/>
  <c r="R628" i="1" l="1"/>
  <c r="S629" i="1"/>
  <c r="T629" i="1" s="1"/>
  <c r="R627" i="1" l="1"/>
  <c r="S628" i="1"/>
  <c r="T628" i="1" s="1"/>
  <c r="R626" i="1" l="1"/>
  <c r="S627" i="1"/>
  <c r="T627" i="1" s="1"/>
  <c r="R625" i="1" l="1"/>
  <c r="S626" i="1"/>
  <c r="T626" i="1" s="1"/>
  <c r="R624" i="1" l="1"/>
  <c r="S625" i="1"/>
  <c r="T625" i="1" s="1"/>
  <c r="R623" i="1" l="1"/>
  <c r="S624" i="1"/>
  <c r="T624" i="1" s="1"/>
  <c r="R622" i="1" l="1"/>
  <c r="S623" i="1"/>
  <c r="T623" i="1" s="1"/>
  <c r="R621" i="1" l="1"/>
  <c r="S622" i="1"/>
  <c r="T622" i="1" s="1"/>
  <c r="R620" i="1" l="1"/>
  <c r="S621" i="1"/>
  <c r="T621" i="1" s="1"/>
  <c r="R619" i="1" l="1"/>
  <c r="S620" i="1"/>
  <c r="T620" i="1" s="1"/>
  <c r="R618" i="1" l="1"/>
  <c r="S619" i="1"/>
  <c r="T619" i="1" s="1"/>
  <c r="R617" i="1" l="1"/>
  <c r="S618" i="1"/>
  <c r="T618" i="1" s="1"/>
  <c r="R616" i="1" l="1"/>
  <c r="S617" i="1"/>
  <c r="T617" i="1" s="1"/>
  <c r="R615" i="1" l="1"/>
  <c r="S616" i="1"/>
  <c r="T616" i="1" s="1"/>
  <c r="R614" i="1" l="1"/>
  <c r="S615" i="1"/>
  <c r="T615" i="1" s="1"/>
  <c r="R613" i="1" l="1"/>
  <c r="S614" i="1"/>
  <c r="T614" i="1" s="1"/>
  <c r="R612" i="1" l="1"/>
  <c r="S613" i="1"/>
  <c r="T613" i="1" s="1"/>
  <c r="R611" i="1" l="1"/>
  <c r="S612" i="1"/>
  <c r="T612" i="1" s="1"/>
  <c r="R610" i="1" l="1"/>
  <c r="S611" i="1"/>
  <c r="T611" i="1" s="1"/>
  <c r="R609" i="1" l="1"/>
  <c r="S610" i="1"/>
  <c r="T610" i="1" s="1"/>
  <c r="R608" i="1" l="1"/>
  <c r="S609" i="1"/>
  <c r="T609" i="1" s="1"/>
  <c r="R607" i="1" l="1"/>
  <c r="S608" i="1"/>
  <c r="T608" i="1" s="1"/>
  <c r="R606" i="1" l="1"/>
  <c r="S607" i="1"/>
  <c r="T607" i="1" s="1"/>
  <c r="R605" i="1" l="1"/>
  <c r="S606" i="1"/>
  <c r="T606" i="1" s="1"/>
  <c r="R604" i="1" l="1"/>
  <c r="S605" i="1"/>
  <c r="T605" i="1" s="1"/>
  <c r="R603" i="1" l="1"/>
  <c r="S604" i="1"/>
  <c r="T604" i="1" s="1"/>
  <c r="R602" i="1" l="1"/>
  <c r="S603" i="1"/>
  <c r="T603" i="1" s="1"/>
  <c r="R601" i="1" l="1"/>
  <c r="S602" i="1"/>
  <c r="T602" i="1" s="1"/>
  <c r="R600" i="1" l="1"/>
  <c r="S601" i="1"/>
  <c r="T601" i="1" s="1"/>
  <c r="R599" i="1" l="1"/>
  <c r="S600" i="1"/>
  <c r="T600" i="1" s="1"/>
  <c r="R598" i="1" l="1"/>
  <c r="S599" i="1"/>
  <c r="T599" i="1" s="1"/>
  <c r="R597" i="1" l="1"/>
  <c r="S598" i="1"/>
  <c r="T598" i="1" s="1"/>
  <c r="R596" i="1" l="1"/>
  <c r="S597" i="1"/>
  <c r="T597" i="1" s="1"/>
  <c r="R595" i="1" l="1"/>
  <c r="S596" i="1"/>
  <c r="T596" i="1" s="1"/>
  <c r="R594" i="1" l="1"/>
  <c r="S595" i="1"/>
  <c r="T595" i="1" s="1"/>
  <c r="R593" i="1" l="1"/>
  <c r="S594" i="1"/>
  <c r="T594" i="1" s="1"/>
  <c r="R592" i="1" l="1"/>
  <c r="S593" i="1"/>
  <c r="T593" i="1" s="1"/>
  <c r="R591" i="1" l="1"/>
  <c r="S592" i="1"/>
  <c r="T592" i="1" s="1"/>
  <c r="R590" i="1" l="1"/>
  <c r="S591" i="1"/>
  <c r="T591" i="1" s="1"/>
  <c r="R589" i="1" l="1"/>
  <c r="S590" i="1"/>
  <c r="T590" i="1" s="1"/>
  <c r="R588" i="1" l="1"/>
  <c r="S589" i="1"/>
  <c r="T589" i="1" s="1"/>
  <c r="R587" i="1" l="1"/>
  <c r="S588" i="1"/>
  <c r="T588" i="1" s="1"/>
  <c r="R586" i="1" l="1"/>
  <c r="S587" i="1"/>
  <c r="T587" i="1" s="1"/>
  <c r="R585" i="1" l="1"/>
  <c r="S586" i="1"/>
  <c r="T586" i="1" s="1"/>
  <c r="R584" i="1" l="1"/>
  <c r="S585" i="1"/>
  <c r="T585" i="1" s="1"/>
  <c r="R583" i="1" l="1"/>
  <c r="S584" i="1"/>
  <c r="T584" i="1" s="1"/>
  <c r="R582" i="1" l="1"/>
  <c r="S583" i="1"/>
  <c r="T583" i="1" s="1"/>
  <c r="R581" i="1" l="1"/>
  <c r="S582" i="1"/>
  <c r="T582" i="1" s="1"/>
  <c r="R580" i="1" l="1"/>
  <c r="S581" i="1"/>
  <c r="T581" i="1" s="1"/>
  <c r="R579" i="1" l="1"/>
  <c r="S580" i="1"/>
  <c r="T580" i="1" s="1"/>
  <c r="R578" i="1" l="1"/>
  <c r="S579" i="1"/>
  <c r="T579" i="1" s="1"/>
  <c r="R577" i="1" l="1"/>
  <c r="S578" i="1"/>
  <c r="T578" i="1" s="1"/>
  <c r="R576" i="1" l="1"/>
  <c r="S577" i="1"/>
  <c r="T577" i="1" s="1"/>
  <c r="R575" i="1" l="1"/>
  <c r="S576" i="1"/>
  <c r="T576" i="1" s="1"/>
  <c r="R574" i="1" l="1"/>
  <c r="S575" i="1"/>
  <c r="T575" i="1" s="1"/>
  <c r="R573" i="1" l="1"/>
  <c r="S574" i="1"/>
  <c r="T574" i="1" s="1"/>
  <c r="R572" i="1" l="1"/>
  <c r="S573" i="1"/>
  <c r="T573" i="1" s="1"/>
  <c r="R571" i="1" l="1"/>
  <c r="S572" i="1"/>
  <c r="T572" i="1" s="1"/>
  <c r="R570" i="1" l="1"/>
  <c r="S571" i="1"/>
  <c r="T571" i="1" s="1"/>
  <c r="R569" i="1" l="1"/>
  <c r="S570" i="1"/>
  <c r="T570" i="1" s="1"/>
  <c r="R568" i="1" l="1"/>
  <c r="S569" i="1"/>
  <c r="T569" i="1" s="1"/>
  <c r="R567" i="1" l="1"/>
  <c r="S568" i="1"/>
  <c r="T568" i="1" s="1"/>
  <c r="R566" i="1" l="1"/>
  <c r="S567" i="1"/>
  <c r="T567" i="1" s="1"/>
  <c r="R565" i="1" l="1"/>
  <c r="S566" i="1"/>
  <c r="T566" i="1" s="1"/>
  <c r="R564" i="1" l="1"/>
  <c r="S565" i="1"/>
  <c r="T565" i="1" s="1"/>
  <c r="R563" i="1" l="1"/>
  <c r="S564" i="1"/>
  <c r="T564" i="1" s="1"/>
  <c r="R562" i="1" l="1"/>
  <c r="S563" i="1"/>
  <c r="T563" i="1" s="1"/>
  <c r="R561" i="1" l="1"/>
  <c r="S562" i="1"/>
  <c r="T562" i="1" s="1"/>
  <c r="R560" i="1" l="1"/>
  <c r="S561" i="1"/>
  <c r="T561" i="1" s="1"/>
  <c r="R559" i="1" l="1"/>
  <c r="S560" i="1"/>
  <c r="T560" i="1" s="1"/>
  <c r="R558" i="1" l="1"/>
  <c r="S559" i="1"/>
  <c r="T559" i="1" s="1"/>
  <c r="R557" i="1" l="1"/>
  <c r="S558" i="1"/>
  <c r="T558" i="1" s="1"/>
  <c r="R556" i="1" l="1"/>
  <c r="S557" i="1"/>
  <c r="T557" i="1" s="1"/>
  <c r="R555" i="1" l="1"/>
  <c r="S556" i="1"/>
  <c r="T556" i="1" s="1"/>
  <c r="R554" i="1" l="1"/>
  <c r="S555" i="1"/>
  <c r="T555" i="1" s="1"/>
  <c r="R553" i="1" l="1"/>
  <c r="S554" i="1"/>
  <c r="T554" i="1" s="1"/>
  <c r="R552" i="1" l="1"/>
  <c r="S553" i="1"/>
  <c r="T553" i="1" s="1"/>
  <c r="R551" i="1" l="1"/>
  <c r="S552" i="1"/>
  <c r="T552" i="1" s="1"/>
  <c r="R550" i="1" l="1"/>
  <c r="S551" i="1"/>
  <c r="T551" i="1" s="1"/>
  <c r="R549" i="1" l="1"/>
  <c r="S550" i="1"/>
  <c r="T550" i="1" s="1"/>
  <c r="R548" i="1" l="1"/>
  <c r="S549" i="1"/>
  <c r="T549" i="1" s="1"/>
  <c r="R547" i="1" l="1"/>
  <c r="S548" i="1"/>
  <c r="T548" i="1" s="1"/>
  <c r="R546" i="1" l="1"/>
  <c r="S547" i="1"/>
  <c r="T547" i="1" s="1"/>
  <c r="R545" i="1" l="1"/>
  <c r="S546" i="1"/>
  <c r="T546" i="1" s="1"/>
  <c r="R544" i="1" l="1"/>
  <c r="S545" i="1"/>
  <c r="T545" i="1" s="1"/>
  <c r="R543" i="1" l="1"/>
  <c r="S544" i="1"/>
  <c r="T544" i="1" s="1"/>
  <c r="R542" i="1" l="1"/>
  <c r="S543" i="1"/>
  <c r="T543" i="1" s="1"/>
  <c r="R541" i="1" l="1"/>
  <c r="S542" i="1"/>
  <c r="T542" i="1" s="1"/>
  <c r="R540" i="1" l="1"/>
  <c r="S541" i="1"/>
  <c r="T541" i="1" s="1"/>
  <c r="R539" i="1" l="1"/>
  <c r="S540" i="1"/>
  <c r="T540" i="1" s="1"/>
  <c r="R538" i="1" l="1"/>
  <c r="S539" i="1"/>
  <c r="T539" i="1" s="1"/>
  <c r="R537" i="1" l="1"/>
  <c r="S538" i="1"/>
  <c r="T538" i="1" s="1"/>
  <c r="R536" i="1" l="1"/>
  <c r="S537" i="1"/>
  <c r="T537" i="1" s="1"/>
  <c r="R535" i="1" l="1"/>
  <c r="S536" i="1"/>
  <c r="T536" i="1" s="1"/>
  <c r="R534" i="1" l="1"/>
  <c r="S535" i="1"/>
  <c r="T535" i="1" s="1"/>
  <c r="R533" i="1" l="1"/>
  <c r="S534" i="1"/>
  <c r="T534" i="1" s="1"/>
  <c r="R532" i="1" l="1"/>
  <c r="S533" i="1"/>
  <c r="T533" i="1" s="1"/>
  <c r="R531" i="1" l="1"/>
  <c r="S532" i="1"/>
  <c r="T532" i="1" s="1"/>
  <c r="R530" i="1" l="1"/>
  <c r="S531" i="1"/>
  <c r="T531" i="1" s="1"/>
  <c r="R529" i="1" l="1"/>
  <c r="S530" i="1"/>
  <c r="T530" i="1" s="1"/>
  <c r="R528" i="1" l="1"/>
  <c r="S529" i="1"/>
  <c r="T529" i="1" s="1"/>
  <c r="R527" i="1" l="1"/>
  <c r="S528" i="1"/>
  <c r="T528" i="1" s="1"/>
  <c r="R526" i="1" l="1"/>
  <c r="S527" i="1"/>
  <c r="T527" i="1" s="1"/>
  <c r="R525" i="1" l="1"/>
  <c r="S526" i="1"/>
  <c r="T526" i="1" s="1"/>
  <c r="R524" i="1" l="1"/>
  <c r="S525" i="1"/>
  <c r="T525" i="1" s="1"/>
  <c r="R523" i="1" l="1"/>
  <c r="S524" i="1"/>
  <c r="T524" i="1" s="1"/>
  <c r="R522" i="1" l="1"/>
  <c r="S523" i="1"/>
  <c r="T523" i="1" s="1"/>
  <c r="R521" i="1" l="1"/>
  <c r="S522" i="1"/>
  <c r="T522" i="1" s="1"/>
  <c r="R520" i="1" l="1"/>
  <c r="S521" i="1"/>
  <c r="T521" i="1" s="1"/>
  <c r="R519" i="1" l="1"/>
  <c r="S520" i="1"/>
  <c r="T520" i="1" s="1"/>
  <c r="R518" i="1" l="1"/>
  <c r="S519" i="1"/>
  <c r="T519" i="1" s="1"/>
  <c r="R517" i="1" l="1"/>
  <c r="S518" i="1"/>
  <c r="T518" i="1" s="1"/>
  <c r="R516" i="1" l="1"/>
  <c r="S517" i="1"/>
  <c r="T517" i="1" s="1"/>
  <c r="R515" i="1" l="1"/>
  <c r="S516" i="1"/>
  <c r="T516" i="1" s="1"/>
  <c r="R514" i="1" l="1"/>
  <c r="S515" i="1"/>
  <c r="T515" i="1" s="1"/>
  <c r="R513" i="1" l="1"/>
  <c r="S514" i="1"/>
  <c r="T514" i="1" s="1"/>
  <c r="R512" i="1" l="1"/>
  <c r="S513" i="1"/>
  <c r="T513" i="1" s="1"/>
  <c r="R511" i="1" l="1"/>
  <c r="S512" i="1"/>
  <c r="T512" i="1" s="1"/>
  <c r="R510" i="1" l="1"/>
  <c r="S511" i="1"/>
  <c r="T511" i="1" s="1"/>
  <c r="R509" i="1" l="1"/>
  <c r="S510" i="1"/>
  <c r="T510" i="1" s="1"/>
  <c r="R508" i="1" l="1"/>
  <c r="S509" i="1"/>
  <c r="T509" i="1" s="1"/>
  <c r="R507" i="1" l="1"/>
  <c r="S508" i="1"/>
  <c r="T508" i="1" s="1"/>
  <c r="R506" i="1" l="1"/>
  <c r="S507" i="1"/>
  <c r="T507" i="1" s="1"/>
  <c r="R505" i="1" l="1"/>
  <c r="S506" i="1"/>
  <c r="T506" i="1" s="1"/>
  <c r="R504" i="1" l="1"/>
  <c r="S505" i="1"/>
  <c r="T505" i="1" s="1"/>
  <c r="R503" i="1" l="1"/>
  <c r="S504" i="1"/>
  <c r="T504" i="1" s="1"/>
  <c r="R502" i="1" l="1"/>
  <c r="S503" i="1"/>
  <c r="T503" i="1" s="1"/>
  <c r="R501" i="1" l="1"/>
  <c r="S502" i="1"/>
  <c r="T502" i="1" s="1"/>
  <c r="R500" i="1" l="1"/>
  <c r="S501" i="1"/>
  <c r="T501" i="1" s="1"/>
  <c r="R499" i="1" l="1"/>
  <c r="S500" i="1"/>
  <c r="T500" i="1" s="1"/>
  <c r="R498" i="1" l="1"/>
  <c r="S499" i="1"/>
  <c r="T499" i="1" s="1"/>
  <c r="R497" i="1" l="1"/>
  <c r="S498" i="1"/>
  <c r="T498" i="1" s="1"/>
  <c r="R496" i="1" l="1"/>
  <c r="S497" i="1"/>
  <c r="T497" i="1" s="1"/>
  <c r="R495" i="1" l="1"/>
  <c r="S496" i="1"/>
  <c r="T496" i="1" s="1"/>
  <c r="R494" i="1" l="1"/>
  <c r="S495" i="1"/>
  <c r="T495" i="1" s="1"/>
  <c r="R493" i="1" l="1"/>
  <c r="S494" i="1"/>
  <c r="T494" i="1" s="1"/>
  <c r="R492" i="1" l="1"/>
  <c r="S493" i="1"/>
  <c r="T493" i="1" s="1"/>
  <c r="R491" i="1" l="1"/>
  <c r="S492" i="1"/>
  <c r="T492" i="1" s="1"/>
  <c r="R490" i="1" l="1"/>
  <c r="S491" i="1"/>
  <c r="T491" i="1" s="1"/>
  <c r="R489" i="1" l="1"/>
  <c r="S490" i="1"/>
  <c r="T490" i="1" s="1"/>
  <c r="R488" i="1" l="1"/>
  <c r="S489" i="1"/>
  <c r="T489" i="1" s="1"/>
  <c r="R487" i="1" l="1"/>
  <c r="S488" i="1"/>
  <c r="T488" i="1" s="1"/>
  <c r="R486" i="1" l="1"/>
  <c r="S487" i="1"/>
  <c r="T487" i="1" s="1"/>
  <c r="R485" i="1" l="1"/>
  <c r="S486" i="1"/>
  <c r="T486" i="1" s="1"/>
  <c r="R484" i="1" l="1"/>
  <c r="S485" i="1"/>
  <c r="T485" i="1" s="1"/>
  <c r="R483" i="1" l="1"/>
  <c r="S484" i="1"/>
  <c r="T484" i="1" s="1"/>
  <c r="R482" i="1" l="1"/>
  <c r="S483" i="1"/>
  <c r="T483" i="1" s="1"/>
  <c r="R481" i="1" l="1"/>
  <c r="S482" i="1"/>
  <c r="T482" i="1" s="1"/>
  <c r="R480" i="1" l="1"/>
  <c r="S481" i="1"/>
  <c r="T481" i="1" s="1"/>
  <c r="R479" i="1" l="1"/>
  <c r="S480" i="1"/>
  <c r="T480" i="1" s="1"/>
  <c r="R478" i="1" l="1"/>
  <c r="S479" i="1"/>
  <c r="T479" i="1" s="1"/>
  <c r="R477" i="1" l="1"/>
  <c r="S478" i="1"/>
  <c r="T478" i="1" s="1"/>
  <c r="R476" i="1" l="1"/>
  <c r="S477" i="1"/>
  <c r="T477" i="1" s="1"/>
  <c r="R475" i="1" l="1"/>
  <c r="S476" i="1"/>
  <c r="T476" i="1" s="1"/>
  <c r="R474" i="1" l="1"/>
  <c r="S475" i="1"/>
  <c r="T475" i="1" s="1"/>
  <c r="R473" i="1" l="1"/>
  <c r="S474" i="1"/>
  <c r="T474" i="1" s="1"/>
  <c r="R472" i="1" l="1"/>
  <c r="S473" i="1"/>
  <c r="T473" i="1" s="1"/>
  <c r="R471" i="1" l="1"/>
  <c r="S472" i="1"/>
  <c r="T472" i="1" s="1"/>
  <c r="R470" i="1" l="1"/>
  <c r="S471" i="1"/>
  <c r="T471" i="1" s="1"/>
  <c r="R469" i="1" l="1"/>
  <c r="S470" i="1"/>
  <c r="T470" i="1" s="1"/>
  <c r="R468" i="1" l="1"/>
  <c r="S469" i="1"/>
  <c r="T469" i="1" s="1"/>
  <c r="R467" i="1" l="1"/>
  <c r="S468" i="1"/>
  <c r="T468" i="1" s="1"/>
  <c r="R466" i="1" l="1"/>
  <c r="S467" i="1"/>
  <c r="T467" i="1" s="1"/>
  <c r="R465" i="1" l="1"/>
  <c r="S466" i="1"/>
  <c r="T466" i="1" s="1"/>
  <c r="R464" i="1" l="1"/>
  <c r="S465" i="1"/>
  <c r="T465" i="1" s="1"/>
  <c r="R463" i="1" l="1"/>
  <c r="S464" i="1"/>
  <c r="T464" i="1" s="1"/>
  <c r="R462" i="1" l="1"/>
  <c r="S463" i="1"/>
  <c r="T463" i="1" s="1"/>
  <c r="R461" i="1" l="1"/>
  <c r="S462" i="1"/>
  <c r="T462" i="1" s="1"/>
  <c r="R460" i="1" l="1"/>
  <c r="S461" i="1"/>
  <c r="T461" i="1" s="1"/>
  <c r="R459" i="1" l="1"/>
  <c r="S460" i="1"/>
  <c r="T460" i="1" s="1"/>
  <c r="R458" i="1" l="1"/>
  <c r="S459" i="1"/>
  <c r="T459" i="1" s="1"/>
  <c r="R457" i="1" l="1"/>
  <c r="S458" i="1"/>
  <c r="T458" i="1" s="1"/>
  <c r="R456" i="1" l="1"/>
  <c r="S457" i="1"/>
  <c r="T457" i="1" s="1"/>
  <c r="R455" i="1" l="1"/>
  <c r="S456" i="1"/>
  <c r="T456" i="1" s="1"/>
  <c r="R454" i="1" l="1"/>
  <c r="S455" i="1"/>
  <c r="T455" i="1" s="1"/>
  <c r="R453" i="1" l="1"/>
  <c r="S454" i="1"/>
  <c r="T454" i="1" s="1"/>
  <c r="R452" i="1" l="1"/>
  <c r="S453" i="1"/>
  <c r="T453" i="1" s="1"/>
  <c r="R451" i="1" l="1"/>
  <c r="S452" i="1"/>
  <c r="T452" i="1" s="1"/>
  <c r="R450" i="1" l="1"/>
  <c r="S451" i="1"/>
  <c r="T451" i="1" s="1"/>
  <c r="R449" i="1" l="1"/>
  <c r="S450" i="1"/>
  <c r="T450" i="1" s="1"/>
  <c r="R448" i="1" l="1"/>
  <c r="S449" i="1"/>
  <c r="T449" i="1" s="1"/>
  <c r="R447" i="1" l="1"/>
  <c r="S448" i="1"/>
  <c r="T448" i="1" s="1"/>
  <c r="R446" i="1" l="1"/>
  <c r="S447" i="1"/>
  <c r="T447" i="1" s="1"/>
  <c r="R445" i="1" l="1"/>
  <c r="S446" i="1"/>
  <c r="T446" i="1" s="1"/>
  <c r="R444" i="1" l="1"/>
  <c r="S445" i="1"/>
  <c r="T445" i="1" s="1"/>
  <c r="R443" i="1" l="1"/>
  <c r="S444" i="1"/>
  <c r="T444" i="1" s="1"/>
  <c r="R442" i="1" l="1"/>
  <c r="S443" i="1"/>
  <c r="T443" i="1" s="1"/>
  <c r="R441" i="1" l="1"/>
  <c r="S442" i="1"/>
  <c r="T442" i="1" s="1"/>
  <c r="R440" i="1" l="1"/>
  <c r="S441" i="1"/>
  <c r="T441" i="1" s="1"/>
  <c r="R439" i="1" l="1"/>
  <c r="S440" i="1"/>
  <c r="T440" i="1" s="1"/>
  <c r="R438" i="1" l="1"/>
  <c r="S439" i="1"/>
  <c r="T439" i="1" s="1"/>
  <c r="R437" i="1" l="1"/>
  <c r="S438" i="1"/>
  <c r="T438" i="1" s="1"/>
  <c r="R436" i="1" l="1"/>
  <c r="S437" i="1"/>
  <c r="T437" i="1" s="1"/>
  <c r="R435" i="1" l="1"/>
  <c r="S436" i="1"/>
  <c r="T436" i="1" s="1"/>
  <c r="R434" i="1" l="1"/>
  <c r="S435" i="1"/>
  <c r="T435" i="1" s="1"/>
  <c r="R433" i="1" l="1"/>
  <c r="S434" i="1"/>
  <c r="T434" i="1" s="1"/>
  <c r="R432" i="1" l="1"/>
  <c r="S433" i="1"/>
  <c r="T433" i="1" s="1"/>
  <c r="R431" i="1" l="1"/>
  <c r="S432" i="1"/>
  <c r="T432" i="1" s="1"/>
  <c r="R430" i="1" l="1"/>
  <c r="S431" i="1"/>
  <c r="T431" i="1" s="1"/>
  <c r="R429" i="1" l="1"/>
  <c r="S430" i="1"/>
  <c r="T430" i="1" s="1"/>
  <c r="R428" i="1" l="1"/>
  <c r="S429" i="1"/>
  <c r="T429" i="1" s="1"/>
  <c r="R427" i="1" l="1"/>
  <c r="S428" i="1"/>
  <c r="T428" i="1" s="1"/>
  <c r="R426" i="1" l="1"/>
  <c r="S427" i="1"/>
  <c r="T427" i="1" s="1"/>
  <c r="R425" i="1" l="1"/>
  <c r="S426" i="1"/>
  <c r="T426" i="1" s="1"/>
  <c r="R424" i="1" l="1"/>
  <c r="S425" i="1"/>
  <c r="T425" i="1" s="1"/>
  <c r="R423" i="1" l="1"/>
  <c r="S424" i="1"/>
  <c r="T424" i="1" s="1"/>
  <c r="R422" i="1" l="1"/>
  <c r="S423" i="1"/>
  <c r="T423" i="1" s="1"/>
  <c r="R421" i="1" l="1"/>
  <c r="S422" i="1"/>
  <c r="T422" i="1" s="1"/>
  <c r="R420" i="1" l="1"/>
  <c r="S421" i="1"/>
  <c r="T421" i="1" s="1"/>
  <c r="R419" i="1" l="1"/>
  <c r="S420" i="1"/>
  <c r="T420" i="1" s="1"/>
  <c r="R418" i="1" l="1"/>
  <c r="S419" i="1"/>
  <c r="T419" i="1" s="1"/>
  <c r="R417" i="1" l="1"/>
  <c r="S418" i="1"/>
  <c r="T418" i="1" s="1"/>
  <c r="R416" i="1" l="1"/>
  <c r="S417" i="1"/>
  <c r="T417" i="1" s="1"/>
  <c r="R415" i="1" l="1"/>
  <c r="S416" i="1"/>
  <c r="T416" i="1" s="1"/>
  <c r="R414" i="1" l="1"/>
  <c r="S415" i="1"/>
  <c r="T415" i="1" s="1"/>
  <c r="R413" i="1" l="1"/>
  <c r="S414" i="1"/>
  <c r="T414" i="1" s="1"/>
  <c r="R412" i="1" l="1"/>
  <c r="S413" i="1"/>
  <c r="T413" i="1" s="1"/>
  <c r="R411" i="1" l="1"/>
  <c r="S412" i="1"/>
  <c r="T412" i="1" s="1"/>
  <c r="R410" i="1" l="1"/>
  <c r="S411" i="1"/>
  <c r="T411" i="1" s="1"/>
  <c r="R409" i="1" l="1"/>
  <c r="S410" i="1"/>
  <c r="T410" i="1" s="1"/>
  <c r="R408" i="1" l="1"/>
  <c r="S409" i="1"/>
  <c r="T409" i="1" s="1"/>
  <c r="R407" i="1" l="1"/>
  <c r="S408" i="1"/>
  <c r="T408" i="1" s="1"/>
  <c r="R406" i="1" l="1"/>
  <c r="S407" i="1"/>
  <c r="T407" i="1" s="1"/>
  <c r="R405" i="1" l="1"/>
  <c r="S406" i="1"/>
  <c r="T406" i="1" s="1"/>
  <c r="R404" i="1" l="1"/>
  <c r="S405" i="1"/>
  <c r="T405" i="1" s="1"/>
  <c r="R403" i="1" l="1"/>
  <c r="S404" i="1"/>
  <c r="T404" i="1" s="1"/>
  <c r="R402" i="1" l="1"/>
  <c r="S403" i="1"/>
  <c r="T403" i="1" s="1"/>
  <c r="R401" i="1" l="1"/>
  <c r="S402" i="1"/>
  <c r="T402" i="1" s="1"/>
  <c r="R400" i="1" l="1"/>
  <c r="S401" i="1"/>
  <c r="T401" i="1" s="1"/>
  <c r="R399" i="1" l="1"/>
  <c r="S400" i="1"/>
  <c r="T400" i="1" s="1"/>
  <c r="R398" i="1" l="1"/>
  <c r="S399" i="1"/>
  <c r="T399" i="1" s="1"/>
  <c r="R397" i="1" l="1"/>
  <c r="S398" i="1"/>
  <c r="T398" i="1" s="1"/>
  <c r="R396" i="1" l="1"/>
  <c r="S397" i="1"/>
  <c r="T397" i="1" s="1"/>
  <c r="R395" i="1" l="1"/>
  <c r="S396" i="1"/>
  <c r="T396" i="1" s="1"/>
  <c r="R394" i="1" l="1"/>
  <c r="S395" i="1"/>
  <c r="T395" i="1" s="1"/>
  <c r="R393" i="1" l="1"/>
  <c r="S394" i="1"/>
  <c r="T394" i="1" s="1"/>
  <c r="R392" i="1" l="1"/>
  <c r="S393" i="1"/>
  <c r="T393" i="1" s="1"/>
  <c r="R391" i="1" l="1"/>
  <c r="S392" i="1"/>
  <c r="T392" i="1" s="1"/>
  <c r="R390" i="1" l="1"/>
  <c r="S391" i="1"/>
  <c r="T391" i="1" s="1"/>
  <c r="R389" i="1" l="1"/>
  <c r="S390" i="1"/>
  <c r="T390" i="1" s="1"/>
  <c r="R388" i="1" l="1"/>
  <c r="S389" i="1"/>
  <c r="T389" i="1" s="1"/>
  <c r="R387" i="1" l="1"/>
  <c r="S388" i="1"/>
  <c r="T388" i="1" s="1"/>
  <c r="R386" i="1" l="1"/>
  <c r="S387" i="1"/>
  <c r="T387" i="1" s="1"/>
  <c r="R385" i="1" l="1"/>
  <c r="S386" i="1"/>
  <c r="T386" i="1" s="1"/>
  <c r="R384" i="1" l="1"/>
  <c r="S385" i="1"/>
  <c r="T385" i="1" s="1"/>
  <c r="R383" i="1" l="1"/>
  <c r="S384" i="1"/>
  <c r="T384" i="1" s="1"/>
  <c r="R382" i="1" l="1"/>
  <c r="S383" i="1"/>
  <c r="T383" i="1" s="1"/>
  <c r="R381" i="1" l="1"/>
  <c r="S382" i="1"/>
  <c r="T382" i="1" s="1"/>
  <c r="R380" i="1" l="1"/>
  <c r="S381" i="1"/>
  <c r="T381" i="1" s="1"/>
  <c r="R379" i="1" l="1"/>
  <c r="S380" i="1"/>
  <c r="T380" i="1" s="1"/>
  <c r="R378" i="1" l="1"/>
  <c r="S379" i="1"/>
  <c r="T379" i="1" s="1"/>
  <c r="R377" i="1" l="1"/>
  <c r="S378" i="1"/>
  <c r="T378" i="1" s="1"/>
  <c r="R376" i="1" l="1"/>
  <c r="S377" i="1"/>
  <c r="T377" i="1" s="1"/>
  <c r="R375" i="1" l="1"/>
  <c r="S376" i="1"/>
  <c r="T376" i="1" s="1"/>
  <c r="R374" i="1" l="1"/>
  <c r="S375" i="1"/>
  <c r="T375" i="1" s="1"/>
  <c r="R373" i="1" l="1"/>
  <c r="S374" i="1"/>
  <c r="T374" i="1" s="1"/>
  <c r="R372" i="1" l="1"/>
  <c r="S373" i="1"/>
  <c r="T373" i="1" s="1"/>
  <c r="R371" i="1" l="1"/>
  <c r="S372" i="1"/>
  <c r="T372" i="1" s="1"/>
  <c r="R370" i="1" l="1"/>
  <c r="S371" i="1"/>
  <c r="T371" i="1" s="1"/>
  <c r="R369" i="1" l="1"/>
  <c r="S370" i="1"/>
  <c r="T370" i="1" s="1"/>
  <c r="R368" i="1" l="1"/>
  <c r="S369" i="1"/>
  <c r="T369" i="1" s="1"/>
  <c r="R367" i="1" l="1"/>
  <c r="S368" i="1"/>
  <c r="T368" i="1" s="1"/>
  <c r="R366" i="1" l="1"/>
  <c r="S367" i="1"/>
  <c r="T367" i="1" s="1"/>
  <c r="R365" i="1" l="1"/>
  <c r="S366" i="1"/>
  <c r="T366" i="1" s="1"/>
  <c r="R364" i="1" l="1"/>
  <c r="S365" i="1"/>
  <c r="T365" i="1" s="1"/>
  <c r="R363" i="1" l="1"/>
  <c r="S364" i="1"/>
  <c r="T364" i="1" s="1"/>
  <c r="R362" i="1" l="1"/>
  <c r="S363" i="1"/>
  <c r="T363" i="1" s="1"/>
  <c r="R361" i="1" l="1"/>
  <c r="S362" i="1"/>
  <c r="T362" i="1" s="1"/>
  <c r="R360" i="1" l="1"/>
  <c r="S361" i="1"/>
  <c r="T361" i="1" s="1"/>
  <c r="R359" i="1" l="1"/>
  <c r="S360" i="1"/>
  <c r="T360" i="1" s="1"/>
  <c r="R358" i="1" l="1"/>
  <c r="S359" i="1"/>
  <c r="T359" i="1" s="1"/>
  <c r="R357" i="1" l="1"/>
  <c r="S358" i="1"/>
  <c r="T358" i="1" s="1"/>
  <c r="R356" i="1" l="1"/>
  <c r="S357" i="1"/>
  <c r="T357" i="1" s="1"/>
  <c r="R355" i="1" l="1"/>
  <c r="S356" i="1"/>
  <c r="T356" i="1" s="1"/>
  <c r="R354" i="1" l="1"/>
  <c r="S355" i="1"/>
  <c r="T355" i="1" s="1"/>
  <c r="R353" i="1" l="1"/>
  <c r="S354" i="1"/>
  <c r="T354" i="1" s="1"/>
  <c r="R352" i="1" l="1"/>
  <c r="S353" i="1"/>
  <c r="T353" i="1" s="1"/>
  <c r="R351" i="1" l="1"/>
  <c r="S352" i="1"/>
  <c r="T352" i="1" s="1"/>
  <c r="R350" i="1" l="1"/>
  <c r="S351" i="1"/>
  <c r="T351" i="1" s="1"/>
  <c r="R349" i="1" l="1"/>
  <c r="S350" i="1"/>
  <c r="T350" i="1" s="1"/>
  <c r="R348" i="1" l="1"/>
  <c r="S349" i="1"/>
  <c r="T349" i="1" s="1"/>
  <c r="R347" i="1" l="1"/>
  <c r="S348" i="1"/>
  <c r="T348" i="1" s="1"/>
  <c r="R346" i="1" l="1"/>
  <c r="S347" i="1"/>
  <c r="T347" i="1" s="1"/>
  <c r="R345" i="1" l="1"/>
  <c r="S346" i="1"/>
  <c r="T346" i="1" s="1"/>
  <c r="R344" i="1" l="1"/>
  <c r="S345" i="1"/>
  <c r="T345" i="1" s="1"/>
  <c r="R343" i="1" l="1"/>
  <c r="S344" i="1"/>
  <c r="T344" i="1" s="1"/>
  <c r="R342" i="1" l="1"/>
  <c r="S343" i="1"/>
  <c r="T343" i="1" s="1"/>
  <c r="R341" i="1" l="1"/>
  <c r="S342" i="1"/>
  <c r="T342" i="1" s="1"/>
  <c r="R340" i="1" l="1"/>
  <c r="S341" i="1"/>
  <c r="T341" i="1" s="1"/>
  <c r="R339" i="1" l="1"/>
  <c r="S340" i="1"/>
  <c r="T340" i="1" s="1"/>
  <c r="R338" i="1" l="1"/>
  <c r="S339" i="1"/>
  <c r="T339" i="1" s="1"/>
  <c r="R337" i="1" l="1"/>
  <c r="S338" i="1"/>
  <c r="T338" i="1" s="1"/>
  <c r="R336" i="1" l="1"/>
  <c r="S337" i="1"/>
  <c r="T337" i="1" s="1"/>
  <c r="R335" i="1" l="1"/>
  <c r="S336" i="1"/>
  <c r="T336" i="1" s="1"/>
  <c r="R334" i="1" l="1"/>
  <c r="S335" i="1"/>
  <c r="T335" i="1" s="1"/>
  <c r="R333" i="1" l="1"/>
  <c r="S334" i="1"/>
  <c r="T334" i="1" s="1"/>
  <c r="R332" i="1" l="1"/>
  <c r="S333" i="1"/>
  <c r="T333" i="1" s="1"/>
  <c r="R331" i="1" l="1"/>
  <c r="S332" i="1"/>
  <c r="T332" i="1" s="1"/>
  <c r="R330" i="1" l="1"/>
  <c r="S331" i="1"/>
  <c r="T331" i="1" s="1"/>
  <c r="R329" i="1" l="1"/>
  <c r="S330" i="1"/>
  <c r="T330" i="1" s="1"/>
  <c r="R328" i="1" l="1"/>
  <c r="S329" i="1"/>
  <c r="T329" i="1" s="1"/>
  <c r="R327" i="1" l="1"/>
  <c r="S328" i="1"/>
  <c r="T328" i="1" s="1"/>
  <c r="R326" i="1" l="1"/>
  <c r="S327" i="1"/>
  <c r="T327" i="1" s="1"/>
  <c r="R325" i="1" l="1"/>
  <c r="S326" i="1"/>
  <c r="T326" i="1" s="1"/>
  <c r="R324" i="1" l="1"/>
  <c r="S325" i="1"/>
  <c r="T325" i="1" s="1"/>
  <c r="R323" i="1" l="1"/>
  <c r="S324" i="1"/>
  <c r="T324" i="1" s="1"/>
  <c r="R322" i="1" l="1"/>
  <c r="S323" i="1"/>
  <c r="T323" i="1" s="1"/>
  <c r="R321" i="1" l="1"/>
  <c r="S322" i="1"/>
  <c r="T322" i="1" s="1"/>
  <c r="R320" i="1" l="1"/>
  <c r="S321" i="1"/>
  <c r="T321" i="1" s="1"/>
  <c r="R319" i="1" l="1"/>
  <c r="S320" i="1"/>
  <c r="T320" i="1" s="1"/>
  <c r="R318" i="1" l="1"/>
  <c r="S319" i="1"/>
  <c r="T319" i="1" s="1"/>
  <c r="R317" i="1" l="1"/>
  <c r="S318" i="1"/>
  <c r="T318" i="1" s="1"/>
  <c r="R316" i="1" l="1"/>
  <c r="S317" i="1"/>
  <c r="T317" i="1" s="1"/>
  <c r="R315" i="1" l="1"/>
  <c r="S316" i="1"/>
  <c r="T316" i="1" s="1"/>
  <c r="R314" i="1" l="1"/>
  <c r="S315" i="1"/>
  <c r="T315" i="1" s="1"/>
  <c r="R313" i="1" l="1"/>
  <c r="S314" i="1"/>
  <c r="T314" i="1" s="1"/>
  <c r="R312" i="1" l="1"/>
  <c r="S313" i="1"/>
  <c r="T313" i="1" s="1"/>
  <c r="R311" i="1" l="1"/>
  <c r="S312" i="1"/>
  <c r="T312" i="1" s="1"/>
  <c r="R310" i="1" l="1"/>
  <c r="S311" i="1"/>
  <c r="T311" i="1" s="1"/>
  <c r="R309" i="1" l="1"/>
  <c r="S310" i="1"/>
  <c r="T310" i="1" s="1"/>
  <c r="R308" i="1" l="1"/>
  <c r="S309" i="1"/>
  <c r="T309" i="1" s="1"/>
  <c r="R307" i="1" l="1"/>
  <c r="S308" i="1"/>
  <c r="T308" i="1" s="1"/>
  <c r="R306" i="1" l="1"/>
  <c r="S307" i="1"/>
  <c r="T307" i="1" s="1"/>
  <c r="R305" i="1" l="1"/>
  <c r="S306" i="1"/>
  <c r="T306" i="1" s="1"/>
  <c r="R304" i="1" l="1"/>
  <c r="S305" i="1"/>
  <c r="T305" i="1" s="1"/>
  <c r="R303" i="1" l="1"/>
  <c r="S304" i="1"/>
  <c r="T304" i="1" s="1"/>
  <c r="R302" i="1" l="1"/>
  <c r="S303" i="1"/>
  <c r="T303" i="1" s="1"/>
  <c r="R301" i="1" l="1"/>
  <c r="S302" i="1"/>
  <c r="T302" i="1" s="1"/>
  <c r="R300" i="1" l="1"/>
  <c r="S301" i="1"/>
  <c r="T301" i="1" s="1"/>
  <c r="R299" i="1" l="1"/>
  <c r="S300" i="1"/>
  <c r="T300" i="1" s="1"/>
  <c r="R298" i="1" l="1"/>
  <c r="S299" i="1"/>
  <c r="T299" i="1" s="1"/>
  <c r="R297" i="1" l="1"/>
  <c r="S298" i="1"/>
  <c r="T298" i="1" s="1"/>
  <c r="R296" i="1" l="1"/>
  <c r="S297" i="1"/>
  <c r="T297" i="1" s="1"/>
  <c r="R295" i="1" l="1"/>
  <c r="S296" i="1"/>
  <c r="T296" i="1" s="1"/>
  <c r="R294" i="1" l="1"/>
  <c r="S295" i="1"/>
  <c r="T295" i="1" s="1"/>
  <c r="R293" i="1" l="1"/>
  <c r="S294" i="1"/>
  <c r="T294" i="1" s="1"/>
  <c r="R292" i="1" l="1"/>
  <c r="S293" i="1"/>
  <c r="T293" i="1" s="1"/>
  <c r="R291" i="1" l="1"/>
  <c r="S292" i="1"/>
  <c r="T292" i="1" s="1"/>
  <c r="R290" i="1" l="1"/>
  <c r="S291" i="1"/>
  <c r="T291" i="1" s="1"/>
  <c r="R289" i="1" l="1"/>
  <c r="S290" i="1"/>
  <c r="T290" i="1" s="1"/>
  <c r="R288" i="1" l="1"/>
  <c r="S289" i="1"/>
  <c r="T289" i="1" s="1"/>
  <c r="R287" i="1" l="1"/>
  <c r="S288" i="1"/>
  <c r="T288" i="1" s="1"/>
  <c r="R286" i="1" l="1"/>
  <c r="S287" i="1"/>
  <c r="T287" i="1" s="1"/>
  <c r="R285" i="1" l="1"/>
  <c r="S286" i="1"/>
  <c r="T286" i="1" s="1"/>
  <c r="R284" i="1" l="1"/>
  <c r="S285" i="1"/>
  <c r="T285" i="1" s="1"/>
  <c r="R283" i="1" l="1"/>
  <c r="S284" i="1"/>
  <c r="T284" i="1" s="1"/>
  <c r="R282" i="1" l="1"/>
  <c r="S283" i="1"/>
  <c r="T283" i="1" s="1"/>
  <c r="R281" i="1" l="1"/>
  <c r="S282" i="1"/>
  <c r="T282" i="1" s="1"/>
  <c r="R280" i="1" l="1"/>
  <c r="S281" i="1"/>
  <c r="T281" i="1" s="1"/>
  <c r="R279" i="1" l="1"/>
  <c r="S280" i="1"/>
  <c r="T280" i="1" s="1"/>
  <c r="R278" i="1" l="1"/>
  <c r="S279" i="1"/>
  <c r="T279" i="1" s="1"/>
  <c r="R277" i="1" l="1"/>
  <c r="S278" i="1"/>
  <c r="T278" i="1" s="1"/>
  <c r="R276" i="1" l="1"/>
  <c r="S277" i="1"/>
  <c r="T277" i="1" s="1"/>
  <c r="R275" i="1" l="1"/>
  <c r="S276" i="1"/>
  <c r="T276" i="1" s="1"/>
  <c r="R274" i="1" l="1"/>
  <c r="S275" i="1"/>
  <c r="T275" i="1" s="1"/>
  <c r="R273" i="1" l="1"/>
  <c r="S274" i="1"/>
  <c r="T274" i="1" s="1"/>
  <c r="R272" i="1" l="1"/>
  <c r="S273" i="1"/>
  <c r="T273" i="1" s="1"/>
  <c r="R271" i="1" l="1"/>
  <c r="S272" i="1"/>
  <c r="T272" i="1" s="1"/>
  <c r="R270" i="1" l="1"/>
  <c r="S271" i="1"/>
  <c r="T271" i="1" s="1"/>
  <c r="R269" i="1" l="1"/>
  <c r="S270" i="1"/>
  <c r="T270" i="1" s="1"/>
  <c r="R268" i="1" l="1"/>
  <c r="S269" i="1"/>
  <c r="T269" i="1" s="1"/>
  <c r="R267" i="1" l="1"/>
  <c r="S268" i="1"/>
  <c r="T268" i="1" s="1"/>
  <c r="R266" i="1" l="1"/>
  <c r="S267" i="1"/>
  <c r="T267" i="1" s="1"/>
  <c r="R265" i="1" l="1"/>
  <c r="S266" i="1"/>
  <c r="T266" i="1" s="1"/>
  <c r="R264" i="1" l="1"/>
  <c r="S265" i="1"/>
  <c r="T265" i="1" s="1"/>
  <c r="R263" i="1" l="1"/>
  <c r="S264" i="1"/>
  <c r="T264" i="1" s="1"/>
  <c r="R262" i="1" l="1"/>
  <c r="S263" i="1"/>
  <c r="T263" i="1" s="1"/>
  <c r="R261" i="1" l="1"/>
  <c r="S262" i="1"/>
  <c r="T262" i="1" s="1"/>
  <c r="R260" i="1" l="1"/>
  <c r="S261" i="1"/>
  <c r="T261" i="1" s="1"/>
  <c r="R259" i="1" l="1"/>
  <c r="S260" i="1"/>
  <c r="T260" i="1" s="1"/>
  <c r="R258" i="1" l="1"/>
  <c r="S259" i="1"/>
  <c r="T259" i="1" s="1"/>
  <c r="R257" i="1" l="1"/>
  <c r="S258" i="1"/>
  <c r="T258" i="1" s="1"/>
  <c r="R256" i="1" l="1"/>
  <c r="S257" i="1"/>
  <c r="T257" i="1" s="1"/>
  <c r="R255" i="1" l="1"/>
  <c r="S256" i="1"/>
  <c r="T256" i="1" s="1"/>
  <c r="R254" i="1" l="1"/>
  <c r="S255" i="1"/>
  <c r="T255" i="1" s="1"/>
  <c r="R253" i="1" l="1"/>
  <c r="S254" i="1"/>
  <c r="T254" i="1" s="1"/>
  <c r="R252" i="1" l="1"/>
  <c r="S253" i="1"/>
  <c r="T253" i="1" s="1"/>
  <c r="R251" i="1" l="1"/>
  <c r="S252" i="1"/>
  <c r="T252" i="1" s="1"/>
  <c r="R250" i="1" l="1"/>
  <c r="S251" i="1"/>
  <c r="T251" i="1" s="1"/>
  <c r="R249" i="1" l="1"/>
  <c r="S250" i="1"/>
  <c r="T250" i="1" s="1"/>
  <c r="R248" i="1" l="1"/>
  <c r="S249" i="1"/>
  <c r="T249" i="1" s="1"/>
  <c r="R247" i="1" l="1"/>
  <c r="S248" i="1"/>
  <c r="T248" i="1" s="1"/>
  <c r="R246" i="1" l="1"/>
  <c r="S247" i="1"/>
  <c r="T247" i="1" s="1"/>
  <c r="R245" i="1" l="1"/>
  <c r="S246" i="1"/>
  <c r="T246" i="1" s="1"/>
  <c r="R244" i="1" l="1"/>
  <c r="S245" i="1"/>
  <c r="T245" i="1" s="1"/>
  <c r="R243" i="1" l="1"/>
  <c r="S244" i="1"/>
  <c r="T244" i="1" s="1"/>
  <c r="R242" i="1" l="1"/>
  <c r="S243" i="1"/>
  <c r="T243" i="1" s="1"/>
  <c r="R241" i="1" l="1"/>
  <c r="S242" i="1"/>
  <c r="T242" i="1" s="1"/>
  <c r="R240" i="1" l="1"/>
  <c r="S241" i="1"/>
  <c r="T241" i="1" s="1"/>
  <c r="R239" i="1" l="1"/>
  <c r="S240" i="1"/>
  <c r="T240" i="1" s="1"/>
  <c r="R238" i="1" l="1"/>
  <c r="S239" i="1"/>
  <c r="T239" i="1" s="1"/>
  <c r="R237" i="1" l="1"/>
  <c r="S238" i="1"/>
  <c r="T238" i="1" s="1"/>
  <c r="R236" i="1" l="1"/>
  <c r="S237" i="1"/>
  <c r="T237" i="1" s="1"/>
  <c r="R235" i="1" l="1"/>
  <c r="S236" i="1"/>
  <c r="T236" i="1" s="1"/>
  <c r="R234" i="1" l="1"/>
  <c r="S235" i="1"/>
  <c r="T235" i="1" s="1"/>
  <c r="R233" i="1" l="1"/>
  <c r="S234" i="1"/>
  <c r="T234" i="1" s="1"/>
  <c r="R232" i="1" l="1"/>
  <c r="S233" i="1"/>
  <c r="T233" i="1" s="1"/>
  <c r="R231" i="1" l="1"/>
  <c r="S232" i="1"/>
  <c r="T232" i="1" s="1"/>
  <c r="R230" i="1" l="1"/>
  <c r="S231" i="1"/>
  <c r="T231" i="1" s="1"/>
  <c r="R229" i="1" l="1"/>
  <c r="S230" i="1"/>
  <c r="T230" i="1" s="1"/>
  <c r="R228" i="1" l="1"/>
  <c r="S229" i="1"/>
  <c r="T229" i="1" s="1"/>
  <c r="R227" i="1" l="1"/>
  <c r="S228" i="1"/>
  <c r="T228" i="1" s="1"/>
  <c r="R226" i="1" l="1"/>
  <c r="S227" i="1"/>
  <c r="T227" i="1" s="1"/>
  <c r="R225" i="1" l="1"/>
  <c r="S226" i="1"/>
  <c r="T226" i="1" s="1"/>
  <c r="R224" i="1" l="1"/>
  <c r="S225" i="1"/>
  <c r="T225" i="1" s="1"/>
  <c r="R223" i="1" l="1"/>
  <c r="S224" i="1"/>
  <c r="T224" i="1" s="1"/>
  <c r="R222" i="1" l="1"/>
  <c r="S223" i="1"/>
  <c r="T223" i="1" s="1"/>
  <c r="R221" i="1" l="1"/>
  <c r="S222" i="1"/>
  <c r="T222" i="1" s="1"/>
  <c r="R220" i="1" l="1"/>
  <c r="S221" i="1"/>
  <c r="T221" i="1" s="1"/>
  <c r="R219" i="1" l="1"/>
  <c r="S220" i="1"/>
  <c r="T220" i="1" s="1"/>
  <c r="R218" i="1" l="1"/>
  <c r="S219" i="1"/>
  <c r="T219" i="1" s="1"/>
  <c r="R217" i="1" l="1"/>
  <c r="S218" i="1"/>
  <c r="T218" i="1" s="1"/>
  <c r="R216" i="1" l="1"/>
  <c r="S217" i="1"/>
  <c r="T217" i="1" s="1"/>
  <c r="R215" i="1" l="1"/>
  <c r="S216" i="1"/>
  <c r="T216" i="1" s="1"/>
  <c r="R214" i="1" l="1"/>
  <c r="S215" i="1"/>
  <c r="T215" i="1" s="1"/>
  <c r="R213" i="1" l="1"/>
  <c r="S214" i="1"/>
  <c r="T214" i="1" s="1"/>
  <c r="R212" i="1" l="1"/>
  <c r="S213" i="1"/>
  <c r="T213" i="1" s="1"/>
  <c r="R211" i="1" l="1"/>
  <c r="S212" i="1"/>
  <c r="T212" i="1" s="1"/>
  <c r="R210" i="1" l="1"/>
  <c r="S211" i="1"/>
  <c r="T211" i="1" s="1"/>
  <c r="R209" i="1" l="1"/>
  <c r="S210" i="1"/>
  <c r="T210" i="1" s="1"/>
  <c r="R208" i="1" l="1"/>
  <c r="S209" i="1"/>
  <c r="T209" i="1" s="1"/>
  <c r="R207" i="1" l="1"/>
  <c r="S208" i="1"/>
  <c r="T208" i="1" s="1"/>
  <c r="R206" i="1" l="1"/>
  <c r="S207" i="1"/>
  <c r="T207" i="1" s="1"/>
  <c r="R205" i="1" l="1"/>
  <c r="S206" i="1"/>
  <c r="T206" i="1" s="1"/>
  <c r="R204" i="1" l="1"/>
  <c r="S205" i="1"/>
  <c r="T205" i="1" s="1"/>
  <c r="R203" i="1" l="1"/>
  <c r="S204" i="1"/>
  <c r="T204" i="1" s="1"/>
  <c r="R202" i="1" l="1"/>
  <c r="S203" i="1"/>
  <c r="T203" i="1" s="1"/>
  <c r="R201" i="1" l="1"/>
  <c r="S202" i="1"/>
  <c r="T202" i="1" s="1"/>
  <c r="R200" i="1" l="1"/>
  <c r="S201" i="1"/>
  <c r="T201" i="1" s="1"/>
  <c r="R199" i="1" l="1"/>
  <c r="S200" i="1"/>
  <c r="T200" i="1" s="1"/>
  <c r="R198" i="1" l="1"/>
  <c r="S199" i="1"/>
  <c r="T199" i="1" s="1"/>
  <c r="R197" i="1" l="1"/>
  <c r="S198" i="1"/>
  <c r="T198" i="1" s="1"/>
  <c r="R196" i="1" l="1"/>
  <c r="S197" i="1"/>
  <c r="T197" i="1" s="1"/>
  <c r="R195" i="1" l="1"/>
  <c r="S196" i="1"/>
  <c r="T196" i="1" s="1"/>
  <c r="R194" i="1" l="1"/>
  <c r="S195" i="1"/>
  <c r="T195" i="1" s="1"/>
  <c r="R193" i="1" l="1"/>
  <c r="S194" i="1"/>
  <c r="T194" i="1" s="1"/>
  <c r="R192" i="1" l="1"/>
  <c r="S193" i="1"/>
  <c r="T193" i="1" s="1"/>
  <c r="R191" i="1" l="1"/>
  <c r="S192" i="1"/>
  <c r="T192" i="1" s="1"/>
  <c r="R190" i="1" l="1"/>
  <c r="S191" i="1"/>
  <c r="T191" i="1" s="1"/>
  <c r="R189" i="1" l="1"/>
  <c r="S190" i="1"/>
  <c r="T190" i="1" s="1"/>
  <c r="R188" i="1" l="1"/>
  <c r="S189" i="1"/>
  <c r="T189" i="1" s="1"/>
  <c r="R187" i="1" l="1"/>
  <c r="S188" i="1"/>
  <c r="T188" i="1" s="1"/>
  <c r="R186" i="1" l="1"/>
  <c r="S187" i="1"/>
  <c r="T187" i="1" s="1"/>
  <c r="R185" i="1" l="1"/>
  <c r="S186" i="1"/>
  <c r="T186" i="1" s="1"/>
  <c r="R184" i="1" l="1"/>
  <c r="S185" i="1"/>
  <c r="T185" i="1" s="1"/>
  <c r="R183" i="1" l="1"/>
  <c r="S184" i="1"/>
  <c r="T184" i="1" s="1"/>
  <c r="R182" i="1" l="1"/>
  <c r="S183" i="1"/>
  <c r="T183" i="1" s="1"/>
  <c r="R181" i="1" l="1"/>
  <c r="S182" i="1"/>
  <c r="T182" i="1" s="1"/>
  <c r="R180" i="1" l="1"/>
  <c r="S181" i="1"/>
  <c r="T181" i="1" s="1"/>
  <c r="R179" i="1" l="1"/>
  <c r="S180" i="1"/>
  <c r="T180" i="1" s="1"/>
  <c r="R178" i="1" l="1"/>
  <c r="S179" i="1"/>
  <c r="T179" i="1" s="1"/>
  <c r="R177" i="1" l="1"/>
  <c r="S178" i="1"/>
  <c r="T178" i="1" s="1"/>
  <c r="R176" i="1" l="1"/>
  <c r="S177" i="1"/>
  <c r="T177" i="1" s="1"/>
  <c r="R175" i="1" l="1"/>
  <c r="S176" i="1"/>
  <c r="T176" i="1" s="1"/>
  <c r="R174" i="1" l="1"/>
  <c r="S175" i="1"/>
  <c r="T175" i="1" s="1"/>
  <c r="R173" i="1" l="1"/>
  <c r="S174" i="1"/>
  <c r="T174" i="1" s="1"/>
  <c r="R172" i="1" l="1"/>
  <c r="S173" i="1"/>
  <c r="T173" i="1" s="1"/>
  <c r="R171" i="1" l="1"/>
  <c r="S172" i="1"/>
  <c r="T172" i="1" s="1"/>
  <c r="R170" i="1" l="1"/>
  <c r="S171" i="1"/>
  <c r="T171" i="1" s="1"/>
  <c r="R169" i="1" l="1"/>
  <c r="S170" i="1"/>
  <c r="T170" i="1" s="1"/>
  <c r="R168" i="1" l="1"/>
  <c r="S169" i="1"/>
  <c r="T169" i="1" s="1"/>
  <c r="R167" i="1" l="1"/>
  <c r="S168" i="1"/>
  <c r="T168" i="1" s="1"/>
  <c r="R166" i="1" l="1"/>
  <c r="S167" i="1"/>
  <c r="T167" i="1" s="1"/>
  <c r="R165" i="1" l="1"/>
  <c r="S166" i="1"/>
  <c r="T166" i="1" s="1"/>
  <c r="R164" i="1" l="1"/>
  <c r="S165" i="1"/>
  <c r="T165" i="1" s="1"/>
  <c r="R163" i="1" l="1"/>
  <c r="S164" i="1"/>
  <c r="T164" i="1" s="1"/>
  <c r="R162" i="1" l="1"/>
  <c r="S163" i="1"/>
  <c r="T163" i="1" s="1"/>
  <c r="R161" i="1" l="1"/>
  <c r="S162" i="1"/>
  <c r="T162" i="1" s="1"/>
  <c r="R160" i="1" l="1"/>
  <c r="S161" i="1"/>
  <c r="T161" i="1" s="1"/>
  <c r="R159" i="1" l="1"/>
  <c r="S160" i="1"/>
  <c r="T160" i="1" s="1"/>
  <c r="R158" i="1" l="1"/>
  <c r="S159" i="1"/>
  <c r="T159" i="1" s="1"/>
  <c r="R157" i="1" l="1"/>
  <c r="S158" i="1"/>
  <c r="T158" i="1" s="1"/>
  <c r="R156" i="1" l="1"/>
  <c r="S157" i="1"/>
  <c r="T157" i="1" s="1"/>
  <c r="R155" i="1" l="1"/>
  <c r="S156" i="1"/>
  <c r="T156" i="1" s="1"/>
  <c r="R154" i="1" l="1"/>
  <c r="S155" i="1"/>
  <c r="T155" i="1" s="1"/>
  <c r="R153" i="1" l="1"/>
  <c r="S154" i="1"/>
  <c r="T154" i="1" s="1"/>
  <c r="R152" i="1" l="1"/>
  <c r="S153" i="1"/>
  <c r="T153" i="1" s="1"/>
  <c r="R151" i="1" l="1"/>
  <c r="S152" i="1"/>
  <c r="T152" i="1" s="1"/>
  <c r="R150" i="1" l="1"/>
  <c r="S151" i="1"/>
  <c r="T151" i="1" s="1"/>
  <c r="R149" i="1" l="1"/>
  <c r="S150" i="1"/>
  <c r="T150" i="1" s="1"/>
  <c r="R148" i="1" l="1"/>
  <c r="S149" i="1"/>
  <c r="T149" i="1" s="1"/>
  <c r="S148" i="1" l="1"/>
  <c r="T148" i="1" s="1"/>
  <c r="R147" i="1"/>
  <c r="S147" i="1" l="1"/>
  <c r="T147" i="1" s="1"/>
  <c r="R146" i="1"/>
  <c r="R145" i="1" l="1"/>
  <c r="S146" i="1"/>
  <c r="T146" i="1" s="1"/>
  <c r="R144" i="1" l="1"/>
  <c r="S145" i="1"/>
  <c r="T145" i="1" s="1"/>
  <c r="R143" i="1" l="1"/>
  <c r="S144" i="1"/>
  <c r="T144" i="1" s="1"/>
  <c r="R142" i="1" l="1"/>
  <c r="S143" i="1"/>
  <c r="T143" i="1" s="1"/>
  <c r="R141" i="1" l="1"/>
  <c r="S142" i="1"/>
  <c r="T142" i="1" s="1"/>
  <c r="R140" i="1" l="1"/>
  <c r="S141" i="1"/>
  <c r="T141" i="1" s="1"/>
  <c r="R139" i="1" l="1"/>
  <c r="S140" i="1"/>
  <c r="T140" i="1" s="1"/>
  <c r="R138" i="1" l="1"/>
  <c r="S139" i="1"/>
  <c r="T139" i="1" s="1"/>
  <c r="R137" i="1" l="1"/>
  <c r="S138" i="1"/>
  <c r="T138" i="1" s="1"/>
  <c r="R136" i="1" l="1"/>
  <c r="S137" i="1"/>
  <c r="T137" i="1" s="1"/>
  <c r="R135" i="1" l="1"/>
  <c r="S136" i="1"/>
  <c r="T136" i="1" s="1"/>
  <c r="S135" i="1" l="1"/>
  <c r="T135" i="1" s="1"/>
  <c r="R134" i="1"/>
  <c r="R133" i="1" l="1"/>
  <c r="S134" i="1"/>
  <c r="T134" i="1" s="1"/>
  <c r="R132" i="1" l="1"/>
  <c r="S133" i="1"/>
  <c r="T133" i="1" s="1"/>
  <c r="S132" i="1" l="1"/>
  <c r="T132" i="1" s="1"/>
  <c r="R131" i="1"/>
  <c r="R130" i="1" l="1"/>
  <c r="S131" i="1"/>
  <c r="T131" i="1" s="1"/>
  <c r="R129" i="1" l="1"/>
  <c r="S130" i="1"/>
  <c r="T130" i="1" s="1"/>
  <c r="R128" i="1" l="1"/>
  <c r="S129" i="1"/>
  <c r="T129" i="1" s="1"/>
  <c r="R127" i="1" l="1"/>
  <c r="S128" i="1"/>
  <c r="T128" i="1" s="1"/>
  <c r="R126" i="1" l="1"/>
  <c r="S127" i="1"/>
  <c r="T127" i="1" s="1"/>
  <c r="R125" i="1" l="1"/>
  <c r="S126" i="1"/>
  <c r="T126" i="1" s="1"/>
  <c r="R124" i="1" l="1"/>
  <c r="S125" i="1"/>
  <c r="T125" i="1" s="1"/>
  <c r="S124" i="1" l="1"/>
  <c r="T124" i="1" s="1"/>
  <c r="R123" i="1"/>
  <c r="S123" i="1" l="1"/>
  <c r="T123" i="1" s="1"/>
  <c r="R122" i="1"/>
  <c r="R121" i="1" l="1"/>
  <c r="S122" i="1"/>
  <c r="T122" i="1" s="1"/>
  <c r="R120" i="1" l="1"/>
  <c r="S121" i="1"/>
  <c r="T121" i="1" s="1"/>
  <c r="R119" i="1" l="1"/>
  <c r="S120" i="1"/>
  <c r="T120" i="1" s="1"/>
  <c r="R118" i="1" l="1"/>
  <c r="S119" i="1"/>
  <c r="T119" i="1" s="1"/>
  <c r="R117" i="1" l="1"/>
  <c r="S118" i="1"/>
  <c r="T118" i="1" s="1"/>
  <c r="R116" i="1" l="1"/>
  <c r="S117" i="1"/>
  <c r="T117" i="1" s="1"/>
  <c r="R115" i="1" l="1"/>
  <c r="S116" i="1"/>
  <c r="T116" i="1" s="1"/>
  <c r="R114" i="1" l="1"/>
  <c r="S115" i="1"/>
  <c r="T115" i="1" s="1"/>
  <c r="R113" i="1" l="1"/>
  <c r="S114" i="1"/>
  <c r="T114" i="1" s="1"/>
  <c r="R112" i="1" l="1"/>
  <c r="S113" i="1"/>
  <c r="T113" i="1" s="1"/>
  <c r="R111" i="1" l="1"/>
  <c r="S112" i="1"/>
  <c r="T112" i="1" s="1"/>
  <c r="S111" i="1" l="1"/>
  <c r="T111" i="1" s="1"/>
  <c r="R110" i="1"/>
  <c r="R109" i="1" l="1"/>
  <c r="S110" i="1"/>
  <c r="T110" i="1" s="1"/>
  <c r="R108" i="1" l="1"/>
  <c r="S109" i="1"/>
  <c r="T109" i="1" s="1"/>
  <c r="S108" i="1" l="1"/>
  <c r="T108" i="1" s="1"/>
  <c r="R107" i="1"/>
  <c r="S107" i="1" l="1"/>
  <c r="T107" i="1" s="1"/>
  <c r="R106" i="1"/>
  <c r="R105" i="1" l="1"/>
  <c r="S106" i="1"/>
  <c r="T106" i="1" s="1"/>
  <c r="R104" i="1" l="1"/>
  <c r="S105" i="1"/>
  <c r="T105" i="1" s="1"/>
  <c r="R103" i="1" l="1"/>
  <c r="S104" i="1"/>
  <c r="T104" i="1" s="1"/>
  <c r="R102" i="1" l="1"/>
  <c r="S103" i="1"/>
  <c r="T103" i="1" s="1"/>
  <c r="R101" i="1" l="1"/>
  <c r="S102" i="1"/>
  <c r="T102" i="1" s="1"/>
  <c r="R100" i="1" l="1"/>
  <c r="S101" i="1"/>
  <c r="T101" i="1" s="1"/>
  <c r="S100" i="1" l="1"/>
  <c r="T100" i="1" s="1"/>
  <c r="R99" i="1"/>
  <c r="S99" i="1" l="1"/>
  <c r="T99" i="1" s="1"/>
  <c r="R98" i="1"/>
  <c r="R97" i="1" l="1"/>
  <c r="S98" i="1"/>
  <c r="T98" i="1" s="1"/>
  <c r="R96" i="1" l="1"/>
  <c r="S97" i="1"/>
  <c r="T97" i="1" s="1"/>
  <c r="R95" i="1" l="1"/>
  <c r="S96" i="1"/>
  <c r="T96" i="1" s="1"/>
  <c r="S95" i="1" l="1"/>
  <c r="T95" i="1" s="1"/>
  <c r="R94" i="1"/>
  <c r="R93" i="1" l="1"/>
  <c r="S94" i="1"/>
  <c r="T94" i="1" s="1"/>
  <c r="R92" i="1" l="1"/>
  <c r="S93" i="1"/>
  <c r="T93" i="1" s="1"/>
  <c r="R91" i="1" l="1"/>
  <c r="S92" i="1"/>
  <c r="T92" i="1" s="1"/>
  <c r="R90" i="1" l="1"/>
  <c r="S91" i="1"/>
  <c r="T91" i="1" s="1"/>
  <c r="R89" i="1" l="1"/>
  <c r="S90" i="1"/>
  <c r="T90" i="1" s="1"/>
  <c r="S89" i="1" l="1"/>
  <c r="T89" i="1" s="1"/>
  <c r="R88" i="1"/>
  <c r="S88" i="1" l="1"/>
  <c r="T88" i="1" s="1"/>
  <c r="R87" i="1"/>
  <c r="S87" i="1" l="1"/>
  <c r="T87" i="1" s="1"/>
  <c r="R86" i="1"/>
  <c r="S86" i="1" l="1"/>
  <c r="T86" i="1" s="1"/>
  <c r="R85" i="1"/>
  <c r="S85" i="1" l="1"/>
  <c r="T85" i="1" s="1"/>
  <c r="R84" i="1"/>
  <c r="R83" i="1" l="1"/>
  <c r="S84" i="1"/>
  <c r="T84" i="1" s="1"/>
  <c r="R82" i="1" l="1"/>
  <c r="S83" i="1"/>
  <c r="T83" i="1" s="1"/>
  <c r="R81" i="1" l="1"/>
  <c r="S82" i="1"/>
  <c r="T82" i="1" s="1"/>
  <c r="R80" i="1" l="1"/>
  <c r="S81" i="1"/>
  <c r="T81" i="1" s="1"/>
  <c r="R79" i="1" l="1"/>
  <c r="S80" i="1"/>
  <c r="T80" i="1" s="1"/>
  <c r="R78" i="1" l="1"/>
  <c r="S79" i="1"/>
  <c r="T79" i="1" s="1"/>
  <c r="S78" i="1" l="1"/>
  <c r="T78" i="1" s="1"/>
  <c r="R77" i="1"/>
  <c r="S77" i="1" l="1"/>
  <c r="T77" i="1" s="1"/>
  <c r="R76" i="1"/>
  <c r="R75" i="1" l="1"/>
  <c r="S76" i="1"/>
  <c r="T76" i="1" s="1"/>
  <c r="R74" i="1" l="1"/>
  <c r="S75" i="1"/>
  <c r="T75" i="1" s="1"/>
  <c r="R73" i="1" l="1"/>
  <c r="S74" i="1"/>
  <c r="T74" i="1" s="1"/>
  <c r="R72" i="1" l="1"/>
  <c r="S73" i="1"/>
  <c r="T73" i="1" s="1"/>
  <c r="S72" i="1" l="1"/>
  <c r="T72" i="1" s="1"/>
  <c r="R71" i="1"/>
  <c r="S71" i="1" l="1"/>
  <c r="T71" i="1" s="1"/>
  <c r="R70" i="1"/>
  <c r="S70" i="1" l="1"/>
  <c r="T70" i="1" s="1"/>
  <c r="R69" i="1"/>
  <c r="S69" i="1" l="1"/>
  <c r="T69" i="1" s="1"/>
  <c r="R68" i="1"/>
  <c r="R67" i="1" l="1"/>
  <c r="S68" i="1"/>
  <c r="T68" i="1" s="1"/>
  <c r="R66" i="1" l="1"/>
  <c r="S67" i="1"/>
  <c r="T67" i="1" s="1"/>
  <c r="S66" i="1" l="1"/>
  <c r="T66" i="1" s="1"/>
  <c r="R65" i="1"/>
  <c r="S65" i="1" l="1"/>
  <c r="T65" i="1" s="1"/>
  <c r="R64" i="1"/>
  <c r="S64" i="1" l="1"/>
  <c r="T64" i="1" s="1"/>
  <c r="R63" i="1"/>
  <c r="S63" i="1" l="1"/>
  <c r="T63" i="1" s="1"/>
  <c r="R62" i="1"/>
  <c r="S62" i="1" l="1"/>
  <c r="T62" i="1" s="1"/>
  <c r="R61" i="1"/>
  <c r="S61" i="1" l="1"/>
  <c r="T61" i="1" s="1"/>
  <c r="R60" i="1"/>
  <c r="R59" i="1" l="1"/>
  <c r="S60" i="1"/>
  <c r="T60" i="1" s="1"/>
  <c r="R58" i="1" l="1"/>
  <c r="S59" i="1"/>
  <c r="T59" i="1" s="1"/>
  <c r="R57" i="1" l="1"/>
  <c r="S58" i="1"/>
  <c r="T58" i="1" s="1"/>
  <c r="R56" i="1" l="1"/>
  <c r="S57" i="1"/>
  <c r="T57" i="1" s="1"/>
  <c r="R55" i="1" l="1"/>
  <c r="S56" i="1"/>
  <c r="T56" i="1" s="1"/>
  <c r="R54" i="1" l="1"/>
  <c r="S55" i="1"/>
  <c r="T55" i="1" s="1"/>
  <c r="S54" i="1" l="1"/>
  <c r="T54" i="1" s="1"/>
  <c r="R53" i="1"/>
  <c r="S53" i="1" l="1"/>
  <c r="T53" i="1" s="1"/>
  <c r="R52" i="1"/>
  <c r="R51" i="1" l="1"/>
  <c r="S52" i="1"/>
  <c r="T52" i="1" s="1"/>
  <c r="R50" i="1" l="1"/>
  <c r="S51" i="1"/>
  <c r="T51" i="1" s="1"/>
  <c r="R49" i="1" l="1"/>
  <c r="S50" i="1"/>
  <c r="T50" i="1" s="1"/>
  <c r="R48" i="1" l="1"/>
  <c r="S49" i="1"/>
  <c r="T49" i="1" s="1"/>
  <c r="S48" i="1" l="1"/>
  <c r="T48" i="1" s="1"/>
  <c r="R47" i="1"/>
  <c r="S47" i="1" l="1"/>
  <c r="T47" i="1" s="1"/>
  <c r="R46" i="1"/>
  <c r="S46" i="1" l="1"/>
  <c r="T46" i="1" s="1"/>
  <c r="R45" i="1"/>
  <c r="S45" i="1" l="1"/>
  <c r="T45" i="1" s="1"/>
  <c r="R44" i="1"/>
  <c r="R43" i="1" l="1"/>
  <c r="S44" i="1"/>
  <c r="T44" i="1" s="1"/>
  <c r="R42" i="1" l="1"/>
  <c r="S43" i="1"/>
  <c r="T43" i="1" s="1"/>
  <c r="S42" i="1" l="1"/>
  <c r="T42" i="1" s="1"/>
  <c r="R41" i="1"/>
  <c r="S41" i="1" l="1"/>
  <c r="T41" i="1" s="1"/>
  <c r="R40" i="1"/>
  <c r="R39" i="1" l="1"/>
  <c r="S40" i="1"/>
  <c r="T40" i="1" s="1"/>
  <c r="R38" i="1" l="1"/>
  <c r="S39" i="1"/>
  <c r="T39" i="1" s="1"/>
  <c r="S38" i="1" l="1"/>
  <c r="T38" i="1" s="1"/>
  <c r="R37" i="1"/>
  <c r="S37" i="1" l="1"/>
  <c r="T37" i="1" s="1"/>
  <c r="R36" i="1"/>
  <c r="R35" i="1" l="1"/>
  <c r="S36" i="1"/>
  <c r="T36" i="1" s="1"/>
  <c r="R34" i="1" l="1"/>
  <c r="S35" i="1"/>
  <c r="T35" i="1" s="1"/>
  <c r="R33" i="1" l="1"/>
  <c r="S34" i="1"/>
  <c r="T34" i="1" s="1"/>
  <c r="S33" i="1" l="1"/>
  <c r="T33" i="1" s="1"/>
  <c r="R32" i="1"/>
  <c r="S32" i="1" l="1"/>
  <c r="T32" i="1" s="1"/>
  <c r="R31" i="1"/>
  <c r="S31" i="1" l="1"/>
  <c r="T31" i="1" s="1"/>
  <c r="R30" i="1"/>
  <c r="S30" i="1" l="1"/>
  <c r="T30" i="1" s="1"/>
  <c r="R29" i="1"/>
  <c r="S29" i="1" l="1"/>
  <c r="T29" i="1" s="1"/>
  <c r="R28" i="1"/>
  <c r="R27" i="1" l="1"/>
  <c r="S28" i="1"/>
  <c r="T28" i="1" s="1"/>
  <c r="R26" i="1" l="1"/>
  <c r="S27" i="1"/>
  <c r="T27" i="1" s="1"/>
  <c r="R25" i="1" l="1"/>
  <c r="S26" i="1"/>
  <c r="T26" i="1" s="1"/>
  <c r="R24" i="1" l="1"/>
  <c r="S25" i="1"/>
  <c r="T25" i="1" s="1"/>
  <c r="R23" i="1" l="1"/>
  <c r="S24" i="1"/>
  <c r="T24" i="1" s="1"/>
  <c r="R22" i="1" l="1"/>
  <c r="S23" i="1"/>
  <c r="T23" i="1" s="1"/>
  <c r="S22" i="1" l="1"/>
  <c r="T22" i="1" s="1"/>
  <c r="R21" i="1"/>
  <c r="S21" i="1" l="1"/>
  <c r="T21" i="1" s="1"/>
  <c r="R20" i="1"/>
  <c r="S20" i="1" l="1"/>
  <c r="T20" i="1" s="1"/>
  <c r="R19" i="1"/>
  <c r="S19" i="1" l="1"/>
  <c r="T19" i="1" s="1"/>
  <c r="R18" i="1"/>
  <c r="S18" i="1" l="1"/>
  <c r="T18" i="1" s="1"/>
  <c r="R17" i="1"/>
  <c r="S17" i="1" l="1"/>
  <c r="T17" i="1" s="1"/>
  <c r="R16" i="1"/>
  <c r="S16" i="1" l="1"/>
  <c r="T16" i="1" s="1"/>
  <c r="R15" i="1"/>
  <c r="S15" i="1" l="1"/>
  <c r="T15" i="1" s="1"/>
  <c r="R14" i="1"/>
  <c r="S14" i="1" l="1"/>
  <c r="T14" i="1" s="1"/>
  <c r="R13" i="1"/>
  <c r="S13" i="1" l="1"/>
  <c r="T13" i="1" s="1"/>
  <c r="R12" i="1"/>
  <c r="S12" i="1" l="1"/>
  <c r="T12" i="1" s="1"/>
  <c r="R11" i="1"/>
  <c r="S11" i="1" l="1"/>
  <c r="T11" i="1" s="1"/>
  <c r="R10" i="1"/>
  <c r="S10" i="1" l="1"/>
  <c r="T10" i="1" s="1"/>
  <c r="R9" i="1"/>
  <c r="S9" i="1" l="1"/>
  <c r="T9" i="1" s="1"/>
  <c r="R8" i="1"/>
  <c r="S8" i="1" l="1"/>
  <c r="T8" i="1" s="1"/>
  <c r="R7" i="1"/>
  <c r="S7" i="1" l="1"/>
  <c r="T7" i="1" s="1"/>
  <c r="R6" i="1"/>
  <c r="S6" i="1" s="1"/>
  <c r="T6" i="1" s="1"/>
</calcChain>
</file>

<file path=xl/sharedStrings.xml><?xml version="1.0" encoding="utf-8"?>
<sst xmlns="http://schemas.openxmlformats.org/spreadsheetml/2006/main" count="6658" uniqueCount="34">
  <si>
    <t>Date</t>
  </si>
  <si>
    <t>Open</t>
  </si>
  <si>
    <t>High</t>
  </si>
  <si>
    <t>Low</t>
  </si>
  <si>
    <t>Close</t>
  </si>
  <si>
    <t>Volume</t>
  </si>
  <si>
    <t>Adj Close</t>
  </si>
  <si>
    <t>O</t>
  </si>
  <si>
    <t>X</t>
  </si>
  <si>
    <t>Row</t>
  </si>
  <si>
    <t>Price</t>
  </si>
  <si>
    <t>H</t>
  </si>
  <si>
    <t>L</t>
  </si>
  <si>
    <t>U/D</t>
  </si>
  <si>
    <t>MOVE</t>
  </si>
  <si>
    <t>MARK</t>
  </si>
  <si>
    <t>STOCK</t>
  </si>
  <si>
    <t>DATE</t>
  </si>
  <si>
    <t>CHART</t>
  </si>
  <si>
    <t>O MIN</t>
  </si>
  <si>
    <t>MEAS L</t>
  </si>
  <si>
    <t>MEAS H</t>
  </si>
  <si>
    <t>TARGET</t>
  </si>
  <si>
    <t>STOP</t>
  </si>
  <si>
    <t>PRICE 1</t>
  </si>
  <si>
    <t>PRICE 2</t>
  </si>
  <si>
    <t>% LOSS</t>
  </si>
  <si>
    <t>WEEKS</t>
  </si>
  <si>
    <t>BUY</t>
  </si>
  <si>
    <t>SELL</t>
  </si>
  <si>
    <t>1/2/5/10</t>
  </si>
  <si>
    <t>SOLD</t>
  </si>
  <si>
    <t>%</t>
  </si>
  <si>
    <t>PROFIT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</si>
</sst>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00"/>
    <numFmt numFmtId="165" formatCode="0.0"/>
    <numFmt numFmtId="166" formatCode="0.0000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rgb="FF666666"/>
      <name val="Courier New"/>
      <family val="3"/>
    </font>
  </fonts>
  <fills count="6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32">
    <xf numFmtId="0" fontId="0" fillId="0" borderId="0" xfId="0"/>
    <xf numFmtId="0" fontId="0" fillId="0" borderId="0" xfId="0" applyAlignment="1">
      <alignment horizontal="center"/>
    </xf>
    <xf numFmtId="0" fontId="0" fillId="2" borderId="0" xfId="0" applyFill="1" applyAlignment="1">
      <alignment horizontal="center"/>
    </xf>
    <xf numFmtId="9" fontId="0" fillId="0" borderId="0" xfId="0" applyNumberFormat="1"/>
    <xf numFmtId="164" fontId="0" fillId="2" borderId="0" xfId="0" applyNumberFormat="1" applyFill="1" applyAlignment="1">
      <alignment horizontal="center"/>
    </xf>
    <xf numFmtId="14" fontId="0" fillId="0" borderId="0" xfId="0" applyNumberFormat="1"/>
    <xf numFmtId="0" fontId="0" fillId="2" borderId="0" xfId="0" applyFill="1"/>
    <xf numFmtId="164" fontId="0" fillId="0" borderId="0" xfId="0" applyNumberFormat="1" applyAlignment="1">
      <alignment horizontal="center"/>
    </xf>
    <xf numFmtId="14" fontId="0" fillId="0" borderId="0" xfId="0" applyNumberFormat="1" applyFill="1"/>
    <xf numFmtId="14" fontId="0" fillId="3" borderId="0" xfId="0" applyNumberFormat="1" applyFill="1"/>
    <xf numFmtId="0" fontId="0" fillId="0" borderId="0" xfId="0" applyAlignment="1" applyProtection="1">
      <alignment horizontal="center"/>
    </xf>
    <xf numFmtId="0" fontId="2" fillId="0" borderId="0" xfId="0" applyFont="1" applyAlignment="1">
      <alignment horizontal="center"/>
    </xf>
    <xf numFmtId="0" fontId="0" fillId="4" borderId="0" xfId="0" applyFill="1" applyAlignment="1" applyProtection="1">
      <alignment horizontal="center"/>
    </xf>
    <xf numFmtId="0" fontId="0" fillId="0" borderId="0" xfId="0" applyFill="1" applyAlignment="1" applyProtection="1">
      <alignment horizontal="center"/>
    </xf>
    <xf numFmtId="0" fontId="0" fillId="0" borderId="0" xfId="0" applyAlignment="1" applyProtection="1"/>
    <xf numFmtId="164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164" fontId="0" fillId="0" borderId="0" xfId="0" applyNumberFormat="1"/>
    <xf numFmtId="0" fontId="0" fillId="4" borderId="0" xfId="0" applyFill="1" applyAlignment="1">
      <alignment horizontal="center"/>
    </xf>
    <xf numFmtId="0" fontId="0" fillId="0" borderId="0" xfId="0" applyFill="1" applyAlignment="1">
      <alignment horizontal="center"/>
    </xf>
    <xf numFmtId="9" fontId="0" fillId="0" borderId="0" xfId="0" applyNumberFormat="1" applyAlignment="1">
      <alignment horizontal="center"/>
    </xf>
    <xf numFmtId="0" fontId="0" fillId="5" borderId="0" xfId="0" applyFill="1" applyAlignment="1">
      <alignment horizontal="center"/>
    </xf>
    <xf numFmtId="0" fontId="0" fillId="0" borderId="0" xfId="0" applyAlignment="1"/>
    <xf numFmtId="165" fontId="0" fillId="5" borderId="0" xfId="0" applyNumberFormat="1" applyFill="1" applyAlignment="1">
      <alignment horizontal="center"/>
    </xf>
    <xf numFmtId="14" fontId="0" fillId="0" borderId="0" xfId="0" applyNumberFormat="1" applyAlignment="1">
      <alignment horizontal="center"/>
    </xf>
    <xf numFmtId="164" fontId="0" fillId="5" borderId="0" xfId="0" applyNumberFormat="1" applyFill="1" applyAlignment="1">
      <alignment horizontal="center"/>
    </xf>
    <xf numFmtId="9" fontId="0" fillId="5" borderId="0" xfId="1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4" borderId="0" xfId="0" applyFill="1"/>
    <xf numFmtId="166" fontId="0" fillId="0" borderId="0" xfId="0" applyNumberFormat="1" applyAlignment="1">
      <alignment horizontal="center"/>
    </xf>
    <xf numFmtId="0" fontId="0" fillId="0" borderId="0" xfId="0" applyAlignment="1">
      <alignment horizontal="center"/>
    </xf>
  </cellXfs>
  <cellStyles count="2">
    <cellStyle name="Normal" xfId="0" builtinId="0"/>
    <cellStyle name="Percent" xfId="1" builtinId="5"/>
  </cellStyles>
  <dxfs count="28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</c:numCache>
            </c:numRef>
          </c:cat>
          <c:val>
            <c:numRef>
              <c:f>'table (1)'!$E$5:$E$1000</c:f>
              <c:numCache>
                <c:formatCode>General</c:formatCode>
                <c:ptCount val="996"/>
                <c:pt idx="0">
                  <c:v>1.3492</c:v>
                </c:pt>
                <c:pt idx="1">
                  <c:v>1.4093</c:v>
                </c:pt>
                <c:pt idx="2">
                  <c:v>1.4041999999999999</c:v>
                </c:pt>
                <c:pt idx="3">
                  <c:v>1.4316</c:v>
                </c:pt>
                <c:pt idx="4">
                  <c:v>1.49</c:v>
                </c:pt>
                <c:pt idx="5">
                  <c:v>1.33</c:v>
                </c:pt>
                <c:pt idx="6">
                  <c:v>1.4987999999999999</c:v>
                </c:pt>
                <c:pt idx="7">
                  <c:v>1.8635999999999999</c:v>
                </c:pt>
                <c:pt idx="8">
                  <c:v>1.9918</c:v>
                </c:pt>
                <c:pt idx="9">
                  <c:v>2.0514999999999999</c:v>
                </c:pt>
                <c:pt idx="10">
                  <c:v>2.1728000000000001</c:v>
                </c:pt>
                <c:pt idx="11">
                  <c:v>2.2157</c:v>
                </c:pt>
                <c:pt idx="12">
                  <c:v>2.2092999999999998</c:v>
                </c:pt>
                <c:pt idx="13">
                  <c:v>2.2418</c:v>
                </c:pt>
                <c:pt idx="14">
                  <c:v>2.1526000000000001</c:v>
                </c:pt>
                <c:pt idx="15">
                  <c:v>2.2511999999999999</c:v>
                </c:pt>
                <c:pt idx="16">
                  <c:v>2.1838000000000002</c:v>
                </c:pt>
                <c:pt idx="17">
                  <c:v>2.1044</c:v>
                </c:pt>
                <c:pt idx="18">
                  <c:v>2.2301000000000002</c:v>
                </c:pt>
                <c:pt idx="19">
                  <c:v>2.2277999999999998</c:v>
                </c:pt>
                <c:pt idx="20">
                  <c:v>2.4030999999999998</c:v>
                </c:pt>
                <c:pt idx="21">
                  <c:v>2.4047999999999998</c:v>
                </c:pt>
                <c:pt idx="22">
                  <c:v>2.1476000000000002</c:v>
                </c:pt>
                <c:pt idx="23">
                  <c:v>2.1328999999999998</c:v>
                </c:pt>
                <c:pt idx="24">
                  <c:v>2.181</c:v>
                </c:pt>
                <c:pt idx="25">
                  <c:v>1.897</c:v>
                </c:pt>
                <c:pt idx="26">
                  <c:v>1.9699</c:v>
                </c:pt>
                <c:pt idx="27">
                  <c:v>1.9481999999999999</c:v>
                </c:pt>
                <c:pt idx="28">
                  <c:v>2.0402999999999998</c:v>
                </c:pt>
                <c:pt idx="29">
                  <c:v>2.4481999999999999</c:v>
                </c:pt>
                <c:pt idx="30">
                  <c:v>1.736</c:v>
                </c:pt>
                <c:pt idx="31">
                  <c:v>1.8306</c:v>
                </c:pt>
                <c:pt idx="32">
                  <c:v>1.8489</c:v>
                </c:pt>
                <c:pt idx="33">
                  <c:v>1.8903000000000001</c:v>
                </c:pt>
                <c:pt idx="34">
                  <c:v>1.8898999999999999</c:v>
                </c:pt>
                <c:pt idx="35">
                  <c:v>1.9419999999999999</c:v>
                </c:pt>
                <c:pt idx="36">
                  <c:v>1.9413</c:v>
                </c:pt>
                <c:pt idx="37">
                  <c:v>2.0091000000000001</c:v>
                </c:pt>
                <c:pt idx="38">
                  <c:v>2.0653000000000001</c:v>
                </c:pt>
                <c:pt idx="39">
                  <c:v>1.8746</c:v>
                </c:pt>
                <c:pt idx="40">
                  <c:v>1.9484999999999999</c:v>
                </c:pt>
                <c:pt idx="41">
                  <c:v>1.8385</c:v>
                </c:pt>
                <c:pt idx="42">
                  <c:v>2.5775000000000001</c:v>
                </c:pt>
                <c:pt idx="43">
                  <c:v>1.2321</c:v>
                </c:pt>
                <c:pt idx="44">
                  <c:v>1.2882</c:v>
                </c:pt>
                <c:pt idx="45">
                  <c:v>1.2457</c:v>
                </c:pt>
                <c:pt idx="46">
                  <c:v>1.5506</c:v>
                </c:pt>
                <c:pt idx="47">
                  <c:v>1.6301000000000001</c:v>
                </c:pt>
                <c:pt idx="48">
                  <c:v>1.6276999999999999</c:v>
                </c:pt>
                <c:pt idx="49">
                  <c:v>1.7950999999999999</c:v>
                </c:pt>
                <c:pt idx="50">
                  <c:v>2.1118000000000001</c:v>
                </c:pt>
                <c:pt idx="51">
                  <c:v>2.2587000000000002</c:v>
                </c:pt>
                <c:pt idx="52">
                  <c:v>2.7463000000000002</c:v>
                </c:pt>
                <c:pt idx="53">
                  <c:v>2.9350999999999998</c:v>
                </c:pt>
                <c:pt idx="54">
                  <c:v>2.7724000000000002</c:v>
                </c:pt>
                <c:pt idx="55">
                  <c:v>3.6482999999999999</c:v>
                </c:pt>
                <c:pt idx="56">
                  <c:v>2.8281000000000001</c:v>
                </c:pt>
                <c:pt idx="57">
                  <c:v>0.62719999999999998</c:v>
                </c:pt>
                <c:pt idx="58">
                  <c:v>0.60799999999999998</c:v>
                </c:pt>
                <c:pt idx="59">
                  <c:v>0.60940000000000005</c:v>
                </c:pt>
                <c:pt idx="60">
                  <c:v>0.58599999999999997</c:v>
                </c:pt>
                <c:pt idx="61">
                  <c:v>0.58440000000000003</c:v>
                </c:pt>
                <c:pt idx="62">
                  <c:v>0.56059999999999999</c:v>
                </c:pt>
                <c:pt idx="63">
                  <c:v>0.64170000000000005</c:v>
                </c:pt>
                <c:pt idx="64">
                  <c:v>0.6119</c:v>
                </c:pt>
                <c:pt idx="65">
                  <c:v>0.62880000000000003</c:v>
                </c:pt>
                <c:pt idx="66">
                  <c:v>0.60670000000000002</c:v>
                </c:pt>
                <c:pt idx="67">
                  <c:v>0.624</c:v>
                </c:pt>
                <c:pt idx="68">
                  <c:v>0.65249999999999997</c:v>
                </c:pt>
                <c:pt idx="69">
                  <c:v>0.60060000000000002</c:v>
                </c:pt>
                <c:pt idx="70">
                  <c:v>0.55000000000000004</c:v>
                </c:pt>
                <c:pt idx="71">
                  <c:v>0.61409999999999998</c:v>
                </c:pt>
                <c:pt idx="72">
                  <c:v>0.58830000000000005</c:v>
                </c:pt>
                <c:pt idx="73">
                  <c:v>0.66420000000000001</c:v>
                </c:pt>
                <c:pt idx="74">
                  <c:v>0.69169999999999998</c:v>
                </c:pt>
                <c:pt idx="75">
                  <c:v>0.68259999999999998</c:v>
                </c:pt>
                <c:pt idx="76">
                  <c:v>0.67969999999999997</c:v>
                </c:pt>
                <c:pt idx="77">
                  <c:v>0.70620000000000005</c:v>
                </c:pt>
                <c:pt idx="78">
                  <c:v>0.65390000000000004</c:v>
                </c:pt>
                <c:pt idx="79">
                  <c:v>0.66490000000000005</c:v>
                </c:pt>
                <c:pt idx="80">
                  <c:v>0.66320000000000001</c:v>
                </c:pt>
                <c:pt idx="81">
                  <c:v>0.65859999999999996</c:v>
                </c:pt>
                <c:pt idx="82">
                  <c:v>0.6673</c:v>
                </c:pt>
                <c:pt idx="83">
                  <c:v>0.66849999999999998</c:v>
                </c:pt>
                <c:pt idx="84">
                  <c:v>0.67330000000000001</c:v>
                </c:pt>
                <c:pt idx="85">
                  <c:v>0.67659999999999998</c:v>
                </c:pt>
                <c:pt idx="86">
                  <c:v>0.68110000000000004</c:v>
                </c:pt>
                <c:pt idx="87">
                  <c:v>0.64529999999999998</c:v>
                </c:pt>
                <c:pt idx="88">
                  <c:v>0.65669999999999995</c:v>
                </c:pt>
                <c:pt idx="89">
                  <c:v>0.65490000000000004</c:v>
                </c:pt>
                <c:pt idx="90">
                  <c:v>0.67749999999999999</c:v>
                </c:pt>
                <c:pt idx="91">
                  <c:v>0.65820000000000001</c:v>
                </c:pt>
                <c:pt idx="92">
                  <c:v>0.65669999999999995</c:v>
                </c:pt>
                <c:pt idx="93">
                  <c:v>0.74219999999999997</c:v>
                </c:pt>
                <c:pt idx="94">
                  <c:v>0.76280000000000003</c:v>
                </c:pt>
                <c:pt idx="95">
                  <c:v>0.6946</c:v>
                </c:pt>
                <c:pt idx="96">
                  <c:v>0.7046</c:v>
                </c:pt>
                <c:pt idx="97">
                  <c:v>0.65880000000000005</c:v>
                </c:pt>
                <c:pt idx="98">
                  <c:v>0.67530000000000001</c:v>
                </c:pt>
                <c:pt idx="99">
                  <c:v>0.68210000000000004</c:v>
                </c:pt>
                <c:pt idx="100">
                  <c:v>0.66639999999999999</c:v>
                </c:pt>
                <c:pt idx="101">
                  <c:v>0.63829999999999998</c:v>
                </c:pt>
                <c:pt idx="102">
                  <c:v>0.62190000000000001</c:v>
                </c:pt>
                <c:pt idx="103">
                  <c:v>0.61170000000000002</c:v>
                </c:pt>
                <c:pt idx="104">
                  <c:v>0.61140000000000005</c:v>
                </c:pt>
                <c:pt idx="105">
                  <c:v>0.59379999999999999</c:v>
                </c:pt>
                <c:pt idx="106">
                  <c:v>0.59419999999999995</c:v>
                </c:pt>
                <c:pt idx="107">
                  <c:v>0.57689999999999997</c:v>
                </c:pt>
                <c:pt idx="108">
                  <c:v>0.58789999999999998</c:v>
                </c:pt>
                <c:pt idx="109">
                  <c:v>0.57979999999999998</c:v>
                </c:pt>
                <c:pt idx="110">
                  <c:v>0.58979999999999999</c:v>
                </c:pt>
                <c:pt idx="111">
                  <c:v>0.58819999999999995</c:v>
                </c:pt>
                <c:pt idx="112">
                  <c:v>0.59160000000000001</c:v>
                </c:pt>
                <c:pt idx="113">
                  <c:v>0.58079999999999998</c:v>
                </c:pt>
                <c:pt idx="114">
                  <c:v>0.56820000000000004</c:v>
                </c:pt>
                <c:pt idx="115">
                  <c:v>0.55449999999999999</c:v>
                </c:pt>
                <c:pt idx="116">
                  <c:v>0.56389999999999996</c:v>
                </c:pt>
                <c:pt idx="117">
                  <c:v>0.55810000000000004</c:v>
                </c:pt>
                <c:pt idx="118">
                  <c:v>0.54949999999999999</c:v>
                </c:pt>
                <c:pt idx="119">
                  <c:v>0.51900000000000002</c:v>
                </c:pt>
                <c:pt idx="120">
                  <c:v>0.49790000000000001</c:v>
                </c:pt>
                <c:pt idx="121">
                  <c:v>0.49259999999999998</c:v>
                </c:pt>
                <c:pt idx="122">
                  <c:v>0.52380000000000004</c:v>
                </c:pt>
                <c:pt idx="123">
                  <c:v>0.54610000000000003</c:v>
                </c:pt>
                <c:pt idx="124">
                  <c:v>0.58099999999999996</c:v>
                </c:pt>
                <c:pt idx="125">
                  <c:v>0.59940000000000004</c:v>
                </c:pt>
                <c:pt idx="126">
                  <c:v>0.65359999999999996</c:v>
                </c:pt>
                <c:pt idx="127">
                  <c:v>0.63049999999999995</c:v>
                </c:pt>
                <c:pt idx="128">
                  <c:v>0.57569999999999999</c:v>
                </c:pt>
                <c:pt idx="129">
                  <c:v>0.64929999999999999</c:v>
                </c:pt>
                <c:pt idx="130">
                  <c:v>0.68689999999999996</c:v>
                </c:pt>
                <c:pt idx="131">
                  <c:v>0.72340000000000004</c:v>
                </c:pt>
                <c:pt idx="132">
                  <c:v>0.69359999999999999</c:v>
                </c:pt>
                <c:pt idx="133">
                  <c:v>0.68200000000000005</c:v>
                </c:pt>
                <c:pt idx="134">
                  <c:v>0.68859999999999999</c:v>
                </c:pt>
                <c:pt idx="135">
                  <c:v>0.65469999999999995</c:v>
                </c:pt>
                <c:pt idx="136">
                  <c:v>0.66300000000000003</c:v>
                </c:pt>
                <c:pt idx="137">
                  <c:v>0.64659999999999995</c:v>
                </c:pt>
                <c:pt idx="138">
                  <c:v>0.62309999999999999</c:v>
                </c:pt>
                <c:pt idx="139">
                  <c:v>0.623</c:v>
                </c:pt>
                <c:pt idx="140">
                  <c:v>0.64239999999999997</c:v>
                </c:pt>
                <c:pt idx="141">
                  <c:v>0.63800000000000001</c:v>
                </c:pt>
                <c:pt idx="142">
                  <c:v>0.65569999999999995</c:v>
                </c:pt>
                <c:pt idx="143">
                  <c:v>0.79500000000000004</c:v>
                </c:pt>
                <c:pt idx="144">
                  <c:v>0.77410000000000001</c:v>
                </c:pt>
                <c:pt idx="145">
                  <c:v>0.73970000000000002</c:v>
                </c:pt>
                <c:pt idx="146">
                  <c:v>0.72640000000000005</c:v>
                </c:pt>
                <c:pt idx="147">
                  <c:v>0.74419999999999997</c:v>
                </c:pt>
                <c:pt idx="148">
                  <c:v>0.74209999999999998</c:v>
                </c:pt>
                <c:pt idx="149">
                  <c:v>0.72760000000000002</c:v>
                </c:pt>
                <c:pt idx="150">
                  <c:v>0.71630000000000005</c:v>
                </c:pt>
                <c:pt idx="151">
                  <c:v>0.73140000000000005</c:v>
                </c:pt>
                <c:pt idx="152">
                  <c:v>0.69099999999999995</c:v>
                </c:pt>
                <c:pt idx="153">
                  <c:v>0.71460000000000001</c:v>
                </c:pt>
                <c:pt idx="154">
                  <c:v>0.66</c:v>
                </c:pt>
                <c:pt idx="155">
                  <c:v>0.73280000000000001</c:v>
                </c:pt>
                <c:pt idx="156">
                  <c:v>0.72840000000000005</c:v>
                </c:pt>
                <c:pt idx="157">
                  <c:v>0.7278</c:v>
                </c:pt>
                <c:pt idx="158">
                  <c:v>0.70899999999999996</c:v>
                </c:pt>
                <c:pt idx="159">
                  <c:v>0.7258</c:v>
                </c:pt>
                <c:pt idx="160">
                  <c:v>0.74270000000000003</c:v>
                </c:pt>
                <c:pt idx="161">
                  <c:v>0.73229999999999995</c:v>
                </c:pt>
                <c:pt idx="162">
                  <c:v>0.66059999999999997</c:v>
                </c:pt>
                <c:pt idx="163">
                  <c:v>0.63129999999999997</c:v>
                </c:pt>
                <c:pt idx="164">
                  <c:v>0.67720000000000002</c:v>
                </c:pt>
                <c:pt idx="165">
                  <c:v>0.70550000000000002</c:v>
                </c:pt>
                <c:pt idx="166">
                  <c:v>0.69430000000000003</c:v>
                </c:pt>
                <c:pt idx="167">
                  <c:v>0.72499999999999998</c:v>
                </c:pt>
                <c:pt idx="168">
                  <c:v>0.6321</c:v>
                </c:pt>
                <c:pt idx="169">
                  <c:v>0.63949999999999996</c:v>
                </c:pt>
                <c:pt idx="170">
                  <c:v>0.64329999999999998</c:v>
                </c:pt>
                <c:pt idx="171">
                  <c:v>0.65890000000000004</c:v>
                </c:pt>
                <c:pt idx="172">
                  <c:v>0.65010000000000001</c:v>
                </c:pt>
                <c:pt idx="173">
                  <c:v>0.72440000000000004</c:v>
                </c:pt>
                <c:pt idx="174">
                  <c:v>0.74509999999999998</c:v>
                </c:pt>
                <c:pt idx="175">
                  <c:v>0.5071</c:v>
                </c:pt>
                <c:pt idx="176">
                  <c:v>0.48170000000000002</c:v>
                </c:pt>
                <c:pt idx="177">
                  <c:v>0.4637</c:v>
                </c:pt>
                <c:pt idx="178">
                  <c:v>0.46700000000000003</c:v>
                </c:pt>
                <c:pt idx="179">
                  <c:v>0.46939999999999998</c:v>
                </c:pt>
                <c:pt idx="180">
                  <c:v>0.49120000000000003</c:v>
                </c:pt>
                <c:pt idx="181">
                  <c:v>0.4879</c:v>
                </c:pt>
                <c:pt idx="182">
                  <c:v>0.47649999999999998</c:v>
                </c:pt>
                <c:pt idx="183">
                  <c:v>0.45989999999999998</c:v>
                </c:pt>
                <c:pt idx="184">
                  <c:v>0.46629999999999999</c:v>
                </c:pt>
                <c:pt idx="185">
                  <c:v>0.44479999999999997</c:v>
                </c:pt>
                <c:pt idx="186">
                  <c:v>0.45639999999999997</c:v>
                </c:pt>
                <c:pt idx="187">
                  <c:v>0.441</c:v>
                </c:pt>
                <c:pt idx="188">
                  <c:v>0.43459999999999999</c:v>
                </c:pt>
                <c:pt idx="189">
                  <c:v>0.42009999999999997</c:v>
                </c:pt>
                <c:pt idx="190">
                  <c:v>0.41570000000000001</c:v>
                </c:pt>
                <c:pt idx="191">
                  <c:v>0.38419999999999999</c:v>
                </c:pt>
                <c:pt idx="192">
                  <c:v>0.41539999999999999</c:v>
                </c:pt>
                <c:pt idx="193">
                  <c:v>0.43209999999999998</c:v>
                </c:pt>
                <c:pt idx="194">
                  <c:v>0.44369999999999998</c:v>
                </c:pt>
                <c:pt idx="195">
                  <c:v>0.4506</c:v>
                </c:pt>
                <c:pt idx="196">
                  <c:v>0.44529999999999997</c:v>
                </c:pt>
                <c:pt idx="197">
                  <c:v>0.46110000000000001</c:v>
                </c:pt>
                <c:pt idx="198">
                  <c:v>0.44090000000000001</c:v>
                </c:pt>
                <c:pt idx="199">
                  <c:v>0.47049999999999997</c:v>
                </c:pt>
                <c:pt idx="200">
                  <c:v>0.49719999999999998</c:v>
                </c:pt>
                <c:pt idx="201">
                  <c:v>0.43980000000000002</c:v>
                </c:pt>
                <c:pt idx="202">
                  <c:v>0.4451</c:v>
                </c:pt>
                <c:pt idx="203">
                  <c:v>0.42530000000000001</c:v>
                </c:pt>
                <c:pt idx="204">
                  <c:v>0.4577</c:v>
                </c:pt>
                <c:pt idx="205">
                  <c:v>0.45900000000000002</c:v>
                </c:pt>
                <c:pt idx="206">
                  <c:v>0.46300000000000002</c:v>
                </c:pt>
                <c:pt idx="207">
                  <c:v>0.46710000000000002</c:v>
                </c:pt>
                <c:pt idx="208">
                  <c:v>0.45900000000000002</c:v>
                </c:pt>
                <c:pt idx="209">
                  <c:v>0.43780000000000002</c:v>
                </c:pt>
                <c:pt idx="210">
                  <c:v>0.434</c:v>
                </c:pt>
                <c:pt idx="211">
                  <c:v>0.46579999999999999</c:v>
                </c:pt>
                <c:pt idx="212">
                  <c:v>0.47089999999999999</c:v>
                </c:pt>
                <c:pt idx="213">
                  <c:v>0.45119999999999999</c:v>
                </c:pt>
                <c:pt idx="214">
                  <c:v>0.44800000000000001</c:v>
                </c:pt>
                <c:pt idx="215">
                  <c:v>0.43690000000000001</c:v>
                </c:pt>
                <c:pt idx="216">
                  <c:v>0.42909999999999998</c:v>
                </c:pt>
                <c:pt idx="217">
                  <c:v>0.48920000000000002</c:v>
                </c:pt>
                <c:pt idx="218">
                  <c:v>0.48449999999999999</c:v>
                </c:pt>
                <c:pt idx="219">
                  <c:v>0.4461</c:v>
                </c:pt>
                <c:pt idx="220">
                  <c:v>0.50449999999999995</c:v>
                </c:pt>
                <c:pt idx="221">
                  <c:v>0.63500000000000001</c:v>
                </c:pt>
                <c:pt idx="222">
                  <c:v>0.64900000000000002</c:v>
                </c:pt>
                <c:pt idx="223">
                  <c:v>0.66669999999999996</c:v>
                </c:pt>
                <c:pt idx="224">
                  <c:v>0.71330000000000005</c:v>
                </c:pt>
                <c:pt idx="225">
                  <c:v>0.70850000000000002</c:v>
                </c:pt>
                <c:pt idx="226">
                  <c:v>0.71679999999999999</c:v>
                </c:pt>
                <c:pt idx="227">
                  <c:v>0.71160000000000001</c:v>
                </c:pt>
                <c:pt idx="228">
                  <c:v>0.65610000000000002</c:v>
                </c:pt>
                <c:pt idx="229">
                  <c:v>0.64600000000000002</c:v>
                </c:pt>
                <c:pt idx="230">
                  <c:v>0.65890000000000004</c:v>
                </c:pt>
                <c:pt idx="231">
                  <c:v>0.71599999999999997</c:v>
                </c:pt>
                <c:pt idx="232">
                  <c:v>0.79390000000000005</c:v>
                </c:pt>
                <c:pt idx="233">
                  <c:v>0.79139999999999999</c:v>
                </c:pt>
                <c:pt idx="234">
                  <c:v>0.81140000000000001</c:v>
                </c:pt>
                <c:pt idx="235">
                  <c:v>0.95330000000000004</c:v>
                </c:pt>
                <c:pt idx="236">
                  <c:v>0.91390000000000005</c:v>
                </c:pt>
                <c:pt idx="237">
                  <c:v>0.94530000000000003</c:v>
                </c:pt>
                <c:pt idx="238">
                  <c:v>1.0096000000000001</c:v>
                </c:pt>
                <c:pt idx="239">
                  <c:v>0.93420000000000003</c:v>
                </c:pt>
                <c:pt idx="240">
                  <c:v>0.76249999999999996</c:v>
                </c:pt>
                <c:pt idx="241">
                  <c:v>0.83220000000000005</c:v>
                </c:pt>
                <c:pt idx="242">
                  <c:v>0.78500000000000003</c:v>
                </c:pt>
                <c:pt idx="243">
                  <c:v>0.59809999999999997</c:v>
                </c:pt>
                <c:pt idx="244">
                  <c:v>0.62719999999999998</c:v>
                </c:pt>
                <c:pt idx="245">
                  <c:v>0.66310000000000002</c:v>
                </c:pt>
                <c:pt idx="246">
                  <c:v>0.68640000000000001</c:v>
                </c:pt>
                <c:pt idx="247">
                  <c:v>0.63229999999999997</c:v>
                </c:pt>
                <c:pt idx="248">
                  <c:v>0.63619999999999999</c:v>
                </c:pt>
                <c:pt idx="249">
                  <c:v>0.54959999999999998</c:v>
                </c:pt>
                <c:pt idx="250">
                  <c:v>0.74780000000000002</c:v>
                </c:pt>
                <c:pt idx="251">
                  <c:v>0.56899999999999995</c:v>
                </c:pt>
                <c:pt idx="252">
                  <c:v>0.70299999999999996</c:v>
                </c:pt>
                <c:pt idx="253">
                  <c:v>0.60919999999999996</c:v>
                </c:pt>
                <c:pt idx="254">
                  <c:v>0.99629999999999996</c:v>
                </c:pt>
                <c:pt idx="255">
                  <c:v>1.0126999999999999</c:v>
                </c:pt>
                <c:pt idx="256">
                  <c:v>1.1394</c:v>
                </c:pt>
                <c:pt idx="257">
                  <c:v>1.1662999999999999</c:v>
                </c:pt>
                <c:pt idx="258">
                  <c:v>1.3533999999999999</c:v>
                </c:pt>
                <c:pt idx="259">
                  <c:v>1.1344000000000001</c:v>
                </c:pt>
                <c:pt idx="260">
                  <c:v>1.1032</c:v>
                </c:pt>
                <c:pt idx="261">
                  <c:v>1.0780000000000001</c:v>
                </c:pt>
                <c:pt idx="262">
                  <c:v>1.0389999999999999</c:v>
                </c:pt>
                <c:pt idx="263">
                  <c:v>1.1200000000000001</c:v>
                </c:pt>
                <c:pt idx="264">
                  <c:v>1.1571</c:v>
                </c:pt>
                <c:pt idx="265">
                  <c:v>1.2042999999999999</c:v>
                </c:pt>
                <c:pt idx="266">
                  <c:v>1.1294</c:v>
                </c:pt>
                <c:pt idx="267">
                  <c:v>1.0576000000000001</c:v>
                </c:pt>
                <c:pt idx="268">
                  <c:v>0.92930000000000001</c:v>
                </c:pt>
                <c:pt idx="269">
                  <c:v>1.0994999999999999</c:v>
                </c:pt>
                <c:pt idx="270">
                  <c:v>1.0548</c:v>
                </c:pt>
                <c:pt idx="271">
                  <c:v>1.0915999999999999</c:v>
                </c:pt>
                <c:pt idx="272">
                  <c:v>1.024</c:v>
                </c:pt>
                <c:pt idx="273">
                  <c:v>0.92369999999999997</c:v>
                </c:pt>
                <c:pt idx="274">
                  <c:v>0.87319999999999998</c:v>
                </c:pt>
                <c:pt idx="275">
                  <c:v>0.89259999999999995</c:v>
                </c:pt>
                <c:pt idx="276">
                  <c:v>0.84179999999999999</c:v>
                </c:pt>
                <c:pt idx="277">
                  <c:v>0.77990000000000004</c:v>
                </c:pt>
                <c:pt idx="278">
                  <c:v>0.86160000000000003</c:v>
                </c:pt>
                <c:pt idx="279">
                  <c:v>0.73929999999999996</c:v>
                </c:pt>
                <c:pt idx="280">
                  <c:v>0.76590000000000003</c:v>
                </c:pt>
                <c:pt idx="281">
                  <c:v>0.89070000000000005</c:v>
                </c:pt>
                <c:pt idx="282">
                  <c:v>0.96699999999999997</c:v>
                </c:pt>
                <c:pt idx="283">
                  <c:v>0.98960000000000004</c:v>
                </c:pt>
                <c:pt idx="284">
                  <c:v>0.99270000000000003</c:v>
                </c:pt>
                <c:pt idx="285">
                  <c:v>1.2093</c:v>
                </c:pt>
                <c:pt idx="286">
                  <c:v>1.0991</c:v>
                </c:pt>
                <c:pt idx="287">
                  <c:v>1.1832</c:v>
                </c:pt>
                <c:pt idx="288">
                  <c:v>1.1462000000000001</c:v>
                </c:pt>
                <c:pt idx="289">
                  <c:v>1.208</c:v>
                </c:pt>
                <c:pt idx="290">
                  <c:v>1.2444999999999999</c:v>
                </c:pt>
                <c:pt idx="291">
                  <c:v>1.2975000000000001</c:v>
                </c:pt>
                <c:pt idx="292">
                  <c:v>1.1216999999999999</c:v>
                </c:pt>
                <c:pt idx="293">
                  <c:v>1.1604000000000001</c:v>
                </c:pt>
                <c:pt idx="294">
                  <c:v>1.0749</c:v>
                </c:pt>
                <c:pt idx="295">
                  <c:v>0.98939999999999995</c:v>
                </c:pt>
                <c:pt idx="296">
                  <c:v>1.1185</c:v>
                </c:pt>
                <c:pt idx="297">
                  <c:v>1.177</c:v>
                </c:pt>
                <c:pt idx="298">
                  <c:v>1.0036</c:v>
                </c:pt>
                <c:pt idx="299">
                  <c:v>0.90459999999999996</c:v>
                </c:pt>
                <c:pt idx="300">
                  <c:v>1.0212000000000001</c:v>
                </c:pt>
                <c:pt idx="301">
                  <c:v>1.0901000000000001</c:v>
                </c:pt>
                <c:pt idx="302">
                  <c:v>1.0749</c:v>
                </c:pt>
                <c:pt idx="303">
                  <c:v>1.0822000000000001</c:v>
                </c:pt>
                <c:pt idx="304">
                  <c:v>1.1365000000000001</c:v>
                </c:pt>
                <c:pt idx="305">
                  <c:v>0.94510000000000005</c:v>
                </c:pt>
                <c:pt idx="306">
                  <c:v>0.879</c:v>
                </c:pt>
                <c:pt idx="307">
                  <c:v>0.94950000000000001</c:v>
                </c:pt>
                <c:pt idx="308">
                  <c:v>0.7661</c:v>
                </c:pt>
                <c:pt idx="309">
                  <c:v>0.80710000000000004</c:v>
                </c:pt>
                <c:pt idx="310">
                  <c:v>0.84889999999999999</c:v>
                </c:pt>
                <c:pt idx="311">
                  <c:v>0.77349999999999997</c:v>
                </c:pt>
                <c:pt idx="312">
                  <c:v>0.76249999999999996</c:v>
                </c:pt>
                <c:pt idx="313">
                  <c:v>0.77329999999999999</c:v>
                </c:pt>
                <c:pt idx="314">
                  <c:v>0.8125</c:v>
                </c:pt>
                <c:pt idx="315">
                  <c:v>0.75549999999999995</c:v>
                </c:pt>
                <c:pt idx="316">
                  <c:v>0.73560000000000003</c:v>
                </c:pt>
                <c:pt idx="317">
                  <c:v>0.71319999999999995</c:v>
                </c:pt>
                <c:pt idx="318">
                  <c:v>0.73380000000000001</c:v>
                </c:pt>
                <c:pt idx="319">
                  <c:v>0.69750000000000001</c:v>
                </c:pt>
                <c:pt idx="320">
                  <c:v>0.68510000000000004</c:v>
                </c:pt>
                <c:pt idx="321">
                  <c:v>0.62780000000000002</c:v>
                </c:pt>
                <c:pt idx="322">
                  <c:v>0.59940000000000004</c:v>
                </c:pt>
                <c:pt idx="323">
                  <c:v>0.58850000000000002</c:v>
                </c:pt>
                <c:pt idx="324">
                  <c:v>0.627</c:v>
                </c:pt>
                <c:pt idx="325">
                  <c:v>0.56510000000000005</c:v>
                </c:pt>
                <c:pt idx="326">
                  <c:v>0.56399999999999995</c:v>
                </c:pt>
                <c:pt idx="327">
                  <c:v>0.55700000000000005</c:v>
                </c:pt>
                <c:pt idx="328">
                  <c:v>0.55559999999999998</c:v>
                </c:pt>
                <c:pt idx="329">
                  <c:v>0.52380000000000004</c:v>
                </c:pt>
                <c:pt idx="330">
                  <c:v>0.53749999999999998</c:v>
                </c:pt>
                <c:pt idx="331">
                  <c:v>0.52339999999999998</c:v>
                </c:pt>
                <c:pt idx="332">
                  <c:v>0.52710000000000001</c:v>
                </c:pt>
                <c:pt idx="333">
                  <c:v>0.50409999999999999</c:v>
                </c:pt>
                <c:pt idx="334">
                  <c:v>0.51129999999999998</c:v>
                </c:pt>
                <c:pt idx="335">
                  <c:v>0.47299999999999998</c:v>
                </c:pt>
                <c:pt idx="336">
                  <c:v>0.49080000000000001</c:v>
                </c:pt>
                <c:pt idx="337">
                  <c:v>0.53859999999999997</c:v>
                </c:pt>
                <c:pt idx="338">
                  <c:v>0.51680000000000004</c:v>
                </c:pt>
                <c:pt idx="339">
                  <c:v>0.627</c:v>
                </c:pt>
                <c:pt idx="340">
                  <c:v>0.7248</c:v>
                </c:pt>
                <c:pt idx="341">
                  <c:v>0.62870000000000004</c:v>
                </c:pt>
                <c:pt idx="342">
                  <c:v>0.67949999999999999</c:v>
                </c:pt>
                <c:pt idx="343">
                  <c:v>0.7087</c:v>
                </c:pt>
                <c:pt idx="344">
                  <c:v>0.5897</c:v>
                </c:pt>
                <c:pt idx="345">
                  <c:v>0.58989999999999998</c:v>
                </c:pt>
                <c:pt idx="346">
                  <c:v>0.65</c:v>
                </c:pt>
                <c:pt idx="347">
                  <c:v>0.61280000000000001</c:v>
                </c:pt>
                <c:pt idx="348">
                  <c:v>0.63590000000000002</c:v>
                </c:pt>
                <c:pt idx="349">
                  <c:v>0.58620000000000005</c:v>
                </c:pt>
                <c:pt idx="350">
                  <c:v>0.55000000000000004</c:v>
                </c:pt>
                <c:pt idx="351">
                  <c:v>0.50039999999999996</c:v>
                </c:pt>
                <c:pt idx="352">
                  <c:v>0.4829</c:v>
                </c:pt>
                <c:pt idx="353">
                  <c:v>0.443</c:v>
                </c:pt>
                <c:pt idx="354">
                  <c:v>0.4128</c:v>
                </c:pt>
                <c:pt idx="355">
                  <c:v>0.42459999999999998</c:v>
                </c:pt>
                <c:pt idx="356">
                  <c:v>0.44419999999999998</c:v>
                </c:pt>
                <c:pt idx="357">
                  <c:v>0.41830000000000001</c:v>
                </c:pt>
                <c:pt idx="358">
                  <c:v>0.42659999999999998</c:v>
                </c:pt>
                <c:pt idx="359">
                  <c:v>0.43369999999999997</c:v>
                </c:pt>
                <c:pt idx="360">
                  <c:v>0.38440000000000002</c:v>
                </c:pt>
                <c:pt idx="361">
                  <c:v>0.38669999999999999</c:v>
                </c:pt>
                <c:pt idx="362">
                  <c:v>0.36430000000000001</c:v>
                </c:pt>
                <c:pt idx="363">
                  <c:v>0.35170000000000001</c:v>
                </c:pt>
                <c:pt idx="364">
                  <c:v>0.3372</c:v>
                </c:pt>
                <c:pt idx="365">
                  <c:v>0.3231</c:v>
                </c:pt>
                <c:pt idx="366">
                  <c:v>0.36020000000000002</c:v>
                </c:pt>
                <c:pt idx="367">
                  <c:v>0.34449999999999997</c:v>
                </c:pt>
                <c:pt idx="368">
                  <c:v>0.36699999999999999</c:v>
                </c:pt>
                <c:pt idx="369">
                  <c:v>0.35249999999999998</c:v>
                </c:pt>
                <c:pt idx="370">
                  <c:v>0.34160000000000001</c:v>
                </c:pt>
                <c:pt idx="371">
                  <c:v>0.33510000000000001</c:v>
                </c:pt>
                <c:pt idx="372">
                  <c:v>0.35959999999999998</c:v>
                </c:pt>
                <c:pt idx="373">
                  <c:v>0.37</c:v>
                </c:pt>
                <c:pt idx="374">
                  <c:v>0.377</c:v>
                </c:pt>
                <c:pt idx="375">
                  <c:v>0.3614</c:v>
                </c:pt>
                <c:pt idx="376">
                  <c:v>0.3679</c:v>
                </c:pt>
                <c:pt idx="377">
                  <c:v>0.3644</c:v>
                </c:pt>
                <c:pt idx="378">
                  <c:v>0.34079999999999999</c:v>
                </c:pt>
                <c:pt idx="379">
                  <c:v>0.34360000000000002</c:v>
                </c:pt>
                <c:pt idx="380">
                  <c:v>0.32540000000000002</c:v>
                </c:pt>
                <c:pt idx="381">
                  <c:v>0.34689999999999999</c:v>
                </c:pt>
                <c:pt idx="382">
                  <c:v>0.38129999999999997</c:v>
                </c:pt>
                <c:pt idx="383">
                  <c:v>0.34620000000000001</c:v>
                </c:pt>
                <c:pt idx="384">
                  <c:v>0.3256</c:v>
                </c:pt>
                <c:pt idx="385">
                  <c:v>0.3327</c:v>
                </c:pt>
                <c:pt idx="386">
                  <c:v>0.32779999999999998</c:v>
                </c:pt>
                <c:pt idx="387">
                  <c:v>0.30330000000000001</c:v>
                </c:pt>
                <c:pt idx="388">
                  <c:v>0.29409999999999997</c:v>
                </c:pt>
                <c:pt idx="389">
                  <c:v>0.2913</c:v>
                </c:pt>
                <c:pt idx="390">
                  <c:v>0.28770000000000001</c:v>
                </c:pt>
                <c:pt idx="391">
                  <c:v>0.29559999999999997</c:v>
                </c:pt>
                <c:pt idx="392">
                  <c:v>0.29849999999999999</c:v>
                </c:pt>
                <c:pt idx="393">
                  <c:v>0.29189999999999999</c:v>
                </c:pt>
                <c:pt idx="394">
                  <c:v>0.31790000000000002</c:v>
                </c:pt>
                <c:pt idx="395">
                  <c:v>0.33339999999999997</c:v>
                </c:pt>
                <c:pt idx="396">
                  <c:v>0.30869999999999997</c:v>
                </c:pt>
                <c:pt idx="397">
                  <c:v>0.31469999999999998</c:v>
                </c:pt>
                <c:pt idx="398">
                  <c:v>0.3155</c:v>
                </c:pt>
                <c:pt idx="399">
                  <c:v>0.32829999999999998</c:v>
                </c:pt>
                <c:pt idx="400">
                  <c:v>0.31</c:v>
                </c:pt>
                <c:pt idx="401">
                  <c:v>0.35049999999999998</c:v>
                </c:pt>
                <c:pt idx="402">
                  <c:v>0.35570000000000002</c:v>
                </c:pt>
                <c:pt idx="403">
                  <c:v>0.3775</c:v>
                </c:pt>
                <c:pt idx="404">
                  <c:v>0.37559999999999999</c:v>
                </c:pt>
                <c:pt idx="405">
                  <c:v>0.38369999999999999</c:v>
                </c:pt>
                <c:pt idx="406">
                  <c:v>0.3972</c:v>
                </c:pt>
                <c:pt idx="407">
                  <c:v>0.40239999999999998</c:v>
                </c:pt>
                <c:pt idx="408">
                  <c:v>0.40500000000000003</c:v>
                </c:pt>
                <c:pt idx="409">
                  <c:v>0.39560000000000001</c:v>
                </c:pt>
                <c:pt idx="410">
                  <c:v>0.3967</c:v>
                </c:pt>
                <c:pt idx="411">
                  <c:v>0.38950000000000001</c:v>
                </c:pt>
                <c:pt idx="412">
                  <c:v>0.37169999999999997</c:v>
                </c:pt>
                <c:pt idx="413">
                  <c:v>0.38519999999999999</c:v>
                </c:pt>
                <c:pt idx="414">
                  <c:v>0.38719999999999999</c:v>
                </c:pt>
                <c:pt idx="415">
                  <c:v>0.3876</c:v>
                </c:pt>
                <c:pt idx="416">
                  <c:v>0.4002</c:v>
                </c:pt>
                <c:pt idx="417">
                  <c:v>0.40749999999999997</c:v>
                </c:pt>
                <c:pt idx="418">
                  <c:v>0.40720000000000001</c:v>
                </c:pt>
                <c:pt idx="419">
                  <c:v>0.38979999999999998</c:v>
                </c:pt>
                <c:pt idx="420">
                  <c:v>0.40720000000000001</c:v>
                </c:pt>
                <c:pt idx="421">
                  <c:v>0.40100000000000002</c:v>
                </c:pt>
                <c:pt idx="422">
                  <c:v>0.39040000000000002</c:v>
                </c:pt>
                <c:pt idx="423">
                  <c:v>0.39700000000000002</c:v>
                </c:pt>
                <c:pt idx="424">
                  <c:v>0.38469999999999999</c:v>
                </c:pt>
                <c:pt idx="425">
                  <c:v>0.38740000000000002</c:v>
                </c:pt>
                <c:pt idx="426">
                  <c:v>0.38369999999999999</c:v>
                </c:pt>
                <c:pt idx="427">
                  <c:v>0.38519999999999999</c:v>
                </c:pt>
                <c:pt idx="428">
                  <c:v>0.4385</c:v>
                </c:pt>
                <c:pt idx="429">
                  <c:v>0.45739999999999997</c:v>
                </c:pt>
                <c:pt idx="430">
                  <c:v>0.43180000000000002</c:v>
                </c:pt>
                <c:pt idx="431">
                  <c:v>0.37919999999999998</c:v>
                </c:pt>
                <c:pt idx="432">
                  <c:v>0.39529999999999998</c:v>
                </c:pt>
                <c:pt idx="433">
                  <c:v>0.3695</c:v>
                </c:pt>
                <c:pt idx="434">
                  <c:v>0.36099999999999999</c:v>
                </c:pt>
                <c:pt idx="435">
                  <c:v>0.36309999999999998</c:v>
                </c:pt>
                <c:pt idx="436">
                  <c:v>0.37390000000000001</c:v>
                </c:pt>
                <c:pt idx="437">
                  <c:v>0.37209999999999999</c:v>
                </c:pt>
                <c:pt idx="438">
                  <c:v>0.3674</c:v>
                </c:pt>
                <c:pt idx="439">
                  <c:v>0.37009999999999998</c:v>
                </c:pt>
                <c:pt idx="440">
                  <c:v>0.36940000000000001</c:v>
                </c:pt>
                <c:pt idx="441">
                  <c:v>0.3604</c:v>
                </c:pt>
                <c:pt idx="442">
                  <c:v>0.36220000000000002</c:v>
                </c:pt>
                <c:pt idx="443">
                  <c:v>0.35780000000000001</c:v>
                </c:pt>
                <c:pt idx="444">
                  <c:v>0.34760000000000002</c:v>
                </c:pt>
                <c:pt idx="445">
                  <c:v>0.3528</c:v>
                </c:pt>
                <c:pt idx="446">
                  <c:v>0.34210000000000002</c:v>
                </c:pt>
                <c:pt idx="447">
                  <c:v>0.3695</c:v>
                </c:pt>
                <c:pt idx="448">
                  <c:v>0.33260000000000001</c:v>
                </c:pt>
                <c:pt idx="449">
                  <c:v>0.32019999999999998</c:v>
                </c:pt>
                <c:pt idx="450">
                  <c:v>0.3271</c:v>
                </c:pt>
                <c:pt idx="451">
                  <c:v>0.34339999999999998</c:v>
                </c:pt>
                <c:pt idx="452">
                  <c:v>0.36130000000000001</c:v>
                </c:pt>
                <c:pt idx="453">
                  <c:v>0.3619</c:v>
                </c:pt>
                <c:pt idx="454">
                  <c:v>0.35680000000000001</c:v>
                </c:pt>
                <c:pt idx="455">
                  <c:v>0.37490000000000001</c:v>
                </c:pt>
                <c:pt idx="456">
                  <c:v>0.35510000000000003</c:v>
                </c:pt>
                <c:pt idx="457">
                  <c:v>0.4012</c:v>
                </c:pt>
                <c:pt idx="458">
                  <c:v>0.4073</c:v>
                </c:pt>
                <c:pt idx="459">
                  <c:v>0.42370000000000002</c:v>
                </c:pt>
                <c:pt idx="460">
                  <c:v>0.42770000000000002</c:v>
                </c:pt>
                <c:pt idx="461">
                  <c:v>0.42570000000000002</c:v>
                </c:pt>
                <c:pt idx="462">
                  <c:v>0.43919999999999998</c:v>
                </c:pt>
                <c:pt idx="463">
                  <c:v>0.4219</c:v>
                </c:pt>
                <c:pt idx="464">
                  <c:v>0.41120000000000001</c:v>
                </c:pt>
                <c:pt idx="465">
                  <c:v>0.41049999999999998</c:v>
                </c:pt>
                <c:pt idx="466">
                  <c:v>0.41289999999999999</c:v>
                </c:pt>
                <c:pt idx="467">
                  <c:v>0.40889999999999999</c:v>
                </c:pt>
                <c:pt idx="468">
                  <c:v>0.41099999999999998</c:v>
                </c:pt>
                <c:pt idx="469">
                  <c:v>0.42249999999999999</c:v>
                </c:pt>
                <c:pt idx="470">
                  <c:v>0.41499999999999998</c:v>
                </c:pt>
                <c:pt idx="471">
                  <c:v>0.43909999999999999</c:v>
                </c:pt>
                <c:pt idx="472">
                  <c:v>0.44230000000000003</c:v>
                </c:pt>
                <c:pt idx="473">
                  <c:v>0.44350000000000001</c:v>
                </c:pt>
                <c:pt idx="474">
                  <c:v>0.44450000000000001</c:v>
                </c:pt>
                <c:pt idx="475">
                  <c:v>0.44540000000000002</c:v>
                </c:pt>
                <c:pt idx="476">
                  <c:v>0.4365</c:v>
                </c:pt>
                <c:pt idx="477">
                  <c:v>0.41170000000000001</c:v>
                </c:pt>
                <c:pt idx="478">
                  <c:v>0.41310000000000002</c:v>
                </c:pt>
                <c:pt idx="479">
                  <c:v>0.42970000000000003</c:v>
                </c:pt>
                <c:pt idx="480">
                  <c:v>0.43519999999999998</c:v>
                </c:pt>
                <c:pt idx="481">
                  <c:v>0.43430000000000002</c:v>
                </c:pt>
                <c:pt idx="482">
                  <c:v>0.43109999999999998</c:v>
                </c:pt>
                <c:pt idx="483">
                  <c:v>0.4577</c:v>
                </c:pt>
                <c:pt idx="484">
                  <c:v>0.46360000000000001</c:v>
                </c:pt>
                <c:pt idx="485">
                  <c:v>0.47570000000000001</c:v>
                </c:pt>
                <c:pt idx="486">
                  <c:v>0.4728</c:v>
                </c:pt>
                <c:pt idx="487">
                  <c:v>0.46910000000000002</c:v>
                </c:pt>
                <c:pt idx="488">
                  <c:v>0.46989999999999998</c:v>
                </c:pt>
                <c:pt idx="489">
                  <c:v>0.46739999999999998</c:v>
                </c:pt>
                <c:pt idx="490">
                  <c:v>0.4677</c:v>
                </c:pt>
                <c:pt idx="491">
                  <c:v>0.4546</c:v>
                </c:pt>
                <c:pt idx="492">
                  <c:v>0.48080000000000001</c:v>
                </c:pt>
                <c:pt idx="493">
                  <c:v>0.48609999999999998</c:v>
                </c:pt>
                <c:pt idx="494">
                  <c:v>0.5554</c:v>
                </c:pt>
                <c:pt idx="495">
                  <c:v>0.58709999999999996</c:v>
                </c:pt>
                <c:pt idx="496">
                  <c:v>0.5857</c:v>
                </c:pt>
                <c:pt idx="497">
                  <c:v>0.61539999999999995</c:v>
                </c:pt>
                <c:pt idx="498">
                  <c:v>0.63390000000000002</c:v>
                </c:pt>
                <c:pt idx="499">
                  <c:v>0.67369999999999997</c:v>
                </c:pt>
                <c:pt idx="500">
                  <c:v>0.67169999999999996</c:v>
                </c:pt>
                <c:pt idx="501">
                  <c:v>0.63639999999999997</c:v>
                </c:pt>
                <c:pt idx="502">
                  <c:v>0.64380000000000004</c:v>
                </c:pt>
                <c:pt idx="503">
                  <c:v>0.66510000000000002</c:v>
                </c:pt>
                <c:pt idx="504">
                  <c:v>0.68589999999999995</c:v>
                </c:pt>
                <c:pt idx="505">
                  <c:v>0.69040000000000001</c:v>
                </c:pt>
                <c:pt idx="506">
                  <c:v>0.64049999999999996</c:v>
                </c:pt>
                <c:pt idx="507">
                  <c:v>0.58760000000000001</c:v>
                </c:pt>
                <c:pt idx="508">
                  <c:v>0.57379999999999998</c:v>
                </c:pt>
                <c:pt idx="509">
                  <c:v>0.53690000000000004</c:v>
                </c:pt>
                <c:pt idx="510">
                  <c:v>0.62</c:v>
                </c:pt>
                <c:pt idx="511">
                  <c:v>0.55289999999999995</c:v>
                </c:pt>
                <c:pt idx="512">
                  <c:v>0.73470000000000002</c:v>
                </c:pt>
                <c:pt idx="513">
                  <c:v>0.6794</c:v>
                </c:pt>
                <c:pt idx="514">
                  <c:v>0.71509999999999996</c:v>
                </c:pt>
                <c:pt idx="515">
                  <c:v>0.75190000000000001</c:v>
                </c:pt>
                <c:pt idx="516">
                  <c:v>0.74050000000000005</c:v>
                </c:pt>
                <c:pt idx="517">
                  <c:v>0.76949999999999996</c:v>
                </c:pt>
                <c:pt idx="518">
                  <c:v>0.74529999999999996</c:v>
                </c:pt>
                <c:pt idx="519">
                  <c:v>0.83660000000000001</c:v>
                </c:pt>
                <c:pt idx="520">
                  <c:v>0.89600000000000002</c:v>
                </c:pt>
                <c:pt idx="521">
                  <c:v>0.79930000000000001</c:v>
                </c:pt>
                <c:pt idx="522">
                  <c:v>0.71350000000000002</c:v>
                </c:pt>
                <c:pt idx="523">
                  <c:v>0.7591</c:v>
                </c:pt>
                <c:pt idx="524">
                  <c:v>0.69479999999999997</c:v>
                </c:pt>
                <c:pt idx="525">
                  <c:v>0.67979999999999996</c:v>
                </c:pt>
                <c:pt idx="526">
                  <c:v>0.66059999999999997</c:v>
                </c:pt>
                <c:pt idx="527">
                  <c:v>0.68810000000000004</c:v>
                </c:pt>
                <c:pt idx="528">
                  <c:v>0.67130000000000001</c:v>
                </c:pt>
                <c:pt idx="529">
                  <c:v>0.65810000000000002</c:v>
                </c:pt>
                <c:pt idx="530">
                  <c:v>0.65939999999999999</c:v>
                </c:pt>
                <c:pt idx="531">
                  <c:v>0.69079999999999997</c:v>
                </c:pt>
                <c:pt idx="532">
                  <c:v>0.69599999999999995</c:v>
                </c:pt>
                <c:pt idx="533">
                  <c:v>0.69</c:v>
                </c:pt>
                <c:pt idx="534">
                  <c:v>0.68</c:v>
                </c:pt>
                <c:pt idx="535">
                  <c:v>0.60360000000000003</c:v>
                </c:pt>
                <c:pt idx="536">
                  <c:v>0.57550000000000001</c:v>
                </c:pt>
                <c:pt idx="537">
                  <c:v>0.53400000000000003</c:v>
                </c:pt>
                <c:pt idx="538">
                  <c:v>0.5171</c:v>
                </c:pt>
                <c:pt idx="539">
                  <c:v>0.52810000000000001</c:v>
                </c:pt>
                <c:pt idx="540">
                  <c:v>0.53059999999999996</c:v>
                </c:pt>
                <c:pt idx="541">
                  <c:v>0.51559999999999995</c:v>
                </c:pt>
                <c:pt idx="542">
                  <c:v>0.51870000000000005</c:v>
                </c:pt>
                <c:pt idx="543">
                  <c:v>0.50360000000000005</c:v>
                </c:pt>
                <c:pt idx="544">
                  <c:v>0.52790000000000004</c:v>
                </c:pt>
                <c:pt idx="545">
                  <c:v>0.51619999999999999</c:v>
                </c:pt>
                <c:pt idx="546">
                  <c:v>0.52980000000000005</c:v>
                </c:pt>
                <c:pt idx="547">
                  <c:v>0.5292</c:v>
                </c:pt>
                <c:pt idx="548">
                  <c:v>0.53459999999999996</c:v>
                </c:pt>
                <c:pt idx="549">
                  <c:v>0.53580000000000005</c:v>
                </c:pt>
                <c:pt idx="550">
                  <c:v>0.49690000000000001</c:v>
                </c:pt>
                <c:pt idx="551">
                  <c:v>0.49969999999999998</c:v>
                </c:pt>
                <c:pt idx="552">
                  <c:v>0.50119999999999998</c:v>
                </c:pt>
                <c:pt idx="553">
                  <c:v>0.51080000000000003</c:v>
                </c:pt>
                <c:pt idx="554">
                  <c:v>0.51719999999999999</c:v>
                </c:pt>
                <c:pt idx="555">
                  <c:v>0.51370000000000005</c:v>
                </c:pt>
                <c:pt idx="556">
                  <c:v>0.51280000000000003</c:v>
                </c:pt>
                <c:pt idx="557">
                  <c:v>0.51470000000000005</c:v>
                </c:pt>
                <c:pt idx="558">
                  <c:v>0.5161</c:v>
                </c:pt>
                <c:pt idx="559">
                  <c:v>0.49230000000000002</c:v>
                </c:pt>
                <c:pt idx="560">
                  <c:v>0.49859999999999999</c:v>
                </c:pt>
                <c:pt idx="561">
                  <c:v>0.52139999999999997</c:v>
                </c:pt>
                <c:pt idx="562">
                  <c:v>0.51670000000000005</c:v>
                </c:pt>
                <c:pt idx="563">
                  <c:v>0.51400000000000001</c:v>
                </c:pt>
                <c:pt idx="564">
                  <c:v>0.51319999999999999</c:v>
                </c:pt>
                <c:pt idx="565">
                  <c:v>0.51149999999999995</c:v>
                </c:pt>
                <c:pt idx="566">
                  <c:v>0.50990000000000002</c:v>
                </c:pt>
                <c:pt idx="567">
                  <c:v>0.52749999999999997</c:v>
                </c:pt>
                <c:pt idx="568">
                  <c:v>0.52339999999999998</c:v>
                </c:pt>
                <c:pt idx="569">
                  <c:v>0.50849999999999995</c:v>
                </c:pt>
                <c:pt idx="570">
                  <c:v>0.51349999999999996</c:v>
                </c:pt>
                <c:pt idx="571">
                  <c:v>0.50349999999999995</c:v>
                </c:pt>
                <c:pt idx="572">
                  <c:v>0.50339999999999996</c:v>
                </c:pt>
                <c:pt idx="573">
                  <c:v>0.49030000000000001</c:v>
                </c:pt>
                <c:pt idx="574">
                  <c:v>0.49109999999999998</c:v>
                </c:pt>
                <c:pt idx="575">
                  <c:v>0.51480000000000004</c:v>
                </c:pt>
                <c:pt idx="576">
                  <c:v>0.48299999999999998</c:v>
                </c:pt>
                <c:pt idx="577">
                  <c:v>0.48609999999999998</c:v>
                </c:pt>
                <c:pt idx="578">
                  <c:v>0.4834</c:v>
                </c:pt>
                <c:pt idx="579">
                  <c:v>0.48010000000000003</c:v>
                </c:pt>
                <c:pt idx="580">
                  <c:v>0.50170000000000003</c:v>
                </c:pt>
                <c:pt idx="581">
                  <c:v>0.50439999999999996</c:v>
                </c:pt>
                <c:pt idx="582">
                  <c:v>0.51490000000000002</c:v>
                </c:pt>
                <c:pt idx="583">
                  <c:v>0.53590000000000004</c:v>
                </c:pt>
                <c:pt idx="584">
                  <c:v>0.55389999999999995</c:v>
                </c:pt>
                <c:pt idx="585">
                  <c:v>0.53749999999999998</c:v>
                </c:pt>
                <c:pt idx="586">
                  <c:v>0.54830000000000001</c:v>
                </c:pt>
                <c:pt idx="587">
                  <c:v>0.53800000000000003</c:v>
                </c:pt>
                <c:pt idx="588">
                  <c:v>0.55510000000000004</c:v>
                </c:pt>
                <c:pt idx="589">
                  <c:v>0.55159999999999998</c:v>
                </c:pt>
                <c:pt idx="590">
                  <c:v>0.56640000000000001</c:v>
                </c:pt>
                <c:pt idx="591">
                  <c:v>0.56769999999999998</c:v>
                </c:pt>
                <c:pt idx="592">
                  <c:v>0.54579999999999995</c:v>
                </c:pt>
                <c:pt idx="593">
                  <c:v>0.57110000000000005</c:v>
                </c:pt>
                <c:pt idx="594">
                  <c:v>0.5696</c:v>
                </c:pt>
                <c:pt idx="595">
                  <c:v>0.53410000000000002</c:v>
                </c:pt>
                <c:pt idx="596">
                  <c:v>0.59440000000000004</c:v>
                </c:pt>
                <c:pt idx="597">
                  <c:v>0.56740000000000002</c:v>
                </c:pt>
                <c:pt idx="598">
                  <c:v>0.52949999999999997</c:v>
                </c:pt>
                <c:pt idx="599">
                  <c:v>0.52529999999999999</c:v>
                </c:pt>
                <c:pt idx="600">
                  <c:v>0.52229999999999999</c:v>
                </c:pt>
                <c:pt idx="601">
                  <c:v>0.52070000000000005</c:v>
                </c:pt>
                <c:pt idx="602">
                  <c:v>0.52139999999999997</c:v>
                </c:pt>
                <c:pt idx="603">
                  <c:v>0.53200000000000003</c:v>
                </c:pt>
                <c:pt idx="604">
                  <c:v>0.51080000000000003</c:v>
                </c:pt>
                <c:pt idx="605">
                  <c:v>0.53859999999999997</c:v>
                </c:pt>
                <c:pt idx="606">
                  <c:v>0.51739999999999997</c:v>
                </c:pt>
                <c:pt idx="607">
                  <c:v>0.53700000000000003</c:v>
                </c:pt>
                <c:pt idx="608">
                  <c:v>0.51049999999999995</c:v>
                </c:pt>
                <c:pt idx="609">
                  <c:v>0.50860000000000005</c:v>
                </c:pt>
                <c:pt idx="610">
                  <c:v>0.51570000000000005</c:v>
                </c:pt>
                <c:pt idx="611">
                  <c:v>0.48309999999999997</c:v>
                </c:pt>
                <c:pt idx="612">
                  <c:v>0.47549999999999998</c:v>
                </c:pt>
                <c:pt idx="613">
                  <c:v>0.46139999999999998</c:v>
                </c:pt>
                <c:pt idx="614">
                  <c:v>0.49030000000000001</c:v>
                </c:pt>
                <c:pt idx="615">
                  <c:v>0.48280000000000001</c:v>
                </c:pt>
                <c:pt idx="616">
                  <c:v>0.46079999999999999</c:v>
                </c:pt>
                <c:pt idx="617">
                  <c:v>0.48170000000000002</c:v>
                </c:pt>
                <c:pt idx="618">
                  <c:v>0.49120000000000003</c:v>
                </c:pt>
                <c:pt idx="619">
                  <c:v>0.4839</c:v>
                </c:pt>
                <c:pt idx="620">
                  <c:v>0.47439999999999999</c:v>
                </c:pt>
                <c:pt idx="621">
                  <c:v>0.4738</c:v>
                </c:pt>
                <c:pt idx="622">
                  <c:v>0.47460000000000002</c:v>
                </c:pt>
                <c:pt idx="623">
                  <c:v>0.48259999999999997</c:v>
                </c:pt>
                <c:pt idx="624">
                  <c:v>0.46329999999999999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507-4F19-BAE5-CB1BA4FDCB86}"/>
            </c:ext>
          </c:extLst>
        </c:ser>
        <c:ser>
          <c:idx val="1"/>
          <c:order val="1"/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'table (1)'!$A$5:$A$1000</c:f>
              <c:numCache>
                <c:formatCode>m/d/yyyy</c:formatCode>
                <c:ptCount val="996"/>
                <c:pt idx="0">
                  <c:v>44588</c:v>
                </c:pt>
                <c:pt idx="1">
                  <c:v>44587</c:v>
                </c:pt>
                <c:pt idx="2">
                  <c:v>44586</c:v>
                </c:pt>
                <c:pt idx="3">
                  <c:v>44585</c:v>
                </c:pt>
                <c:pt idx="4">
                  <c:v>44584</c:v>
                </c:pt>
                <c:pt idx="5">
                  <c:v>44583</c:v>
                </c:pt>
                <c:pt idx="6">
                  <c:v>44582</c:v>
                </c:pt>
                <c:pt idx="7">
                  <c:v>44581</c:v>
                </c:pt>
                <c:pt idx="8">
                  <c:v>44580</c:v>
                </c:pt>
                <c:pt idx="9">
                  <c:v>44579</c:v>
                </c:pt>
                <c:pt idx="10">
                  <c:v>44578</c:v>
                </c:pt>
                <c:pt idx="11">
                  <c:v>44577</c:v>
                </c:pt>
                <c:pt idx="12">
                  <c:v>44576</c:v>
                </c:pt>
                <c:pt idx="13">
                  <c:v>44575</c:v>
                </c:pt>
                <c:pt idx="14">
                  <c:v>44574</c:v>
                </c:pt>
                <c:pt idx="15">
                  <c:v>44573</c:v>
                </c:pt>
                <c:pt idx="16">
                  <c:v>44572</c:v>
                </c:pt>
                <c:pt idx="17">
                  <c:v>44571</c:v>
                </c:pt>
                <c:pt idx="18">
                  <c:v>44570</c:v>
                </c:pt>
                <c:pt idx="19">
                  <c:v>44569</c:v>
                </c:pt>
                <c:pt idx="20">
                  <c:v>44568</c:v>
                </c:pt>
                <c:pt idx="21">
                  <c:v>44567</c:v>
                </c:pt>
                <c:pt idx="22">
                  <c:v>44566</c:v>
                </c:pt>
                <c:pt idx="23">
                  <c:v>44565</c:v>
                </c:pt>
                <c:pt idx="24">
                  <c:v>44564</c:v>
                </c:pt>
                <c:pt idx="25">
                  <c:v>44563</c:v>
                </c:pt>
                <c:pt idx="26">
                  <c:v>44562</c:v>
                </c:pt>
                <c:pt idx="27">
                  <c:v>44561</c:v>
                </c:pt>
                <c:pt idx="28">
                  <c:v>44560</c:v>
                </c:pt>
                <c:pt idx="29">
                  <c:v>44559</c:v>
                </c:pt>
                <c:pt idx="30">
                  <c:v>44558</c:v>
                </c:pt>
                <c:pt idx="31">
                  <c:v>44557</c:v>
                </c:pt>
                <c:pt idx="32">
                  <c:v>44556</c:v>
                </c:pt>
                <c:pt idx="33">
                  <c:v>44555</c:v>
                </c:pt>
                <c:pt idx="34">
                  <c:v>44554</c:v>
                </c:pt>
                <c:pt idx="35">
                  <c:v>44553</c:v>
                </c:pt>
                <c:pt idx="36">
                  <c:v>44552</c:v>
                </c:pt>
                <c:pt idx="37">
                  <c:v>44551</c:v>
                </c:pt>
                <c:pt idx="38">
                  <c:v>44550</c:v>
                </c:pt>
                <c:pt idx="39">
                  <c:v>44549</c:v>
                </c:pt>
                <c:pt idx="40">
                  <c:v>44548</c:v>
                </c:pt>
                <c:pt idx="41">
                  <c:v>44547</c:v>
                </c:pt>
                <c:pt idx="42">
                  <c:v>44546</c:v>
                </c:pt>
                <c:pt idx="43">
                  <c:v>44545</c:v>
                </c:pt>
                <c:pt idx="44">
                  <c:v>44544</c:v>
                </c:pt>
                <c:pt idx="45">
                  <c:v>44543</c:v>
                </c:pt>
                <c:pt idx="46">
                  <c:v>44542</c:v>
                </c:pt>
                <c:pt idx="47">
                  <c:v>44541</c:v>
                </c:pt>
                <c:pt idx="48">
                  <c:v>44540</c:v>
                </c:pt>
                <c:pt idx="49">
                  <c:v>44539</c:v>
                </c:pt>
                <c:pt idx="50">
                  <c:v>44538</c:v>
                </c:pt>
                <c:pt idx="51">
                  <c:v>44537</c:v>
                </c:pt>
                <c:pt idx="52">
                  <c:v>44536</c:v>
                </c:pt>
                <c:pt idx="53">
                  <c:v>44535</c:v>
                </c:pt>
                <c:pt idx="54">
                  <c:v>44534</c:v>
                </c:pt>
                <c:pt idx="55">
                  <c:v>44533</c:v>
                </c:pt>
                <c:pt idx="56">
                  <c:v>44532</c:v>
                </c:pt>
                <c:pt idx="57">
                  <c:v>44531</c:v>
                </c:pt>
                <c:pt idx="58">
                  <c:v>44530</c:v>
                </c:pt>
                <c:pt idx="59">
                  <c:v>44529</c:v>
                </c:pt>
                <c:pt idx="60">
                  <c:v>44528</c:v>
                </c:pt>
                <c:pt idx="61">
                  <c:v>44527</c:v>
                </c:pt>
                <c:pt idx="62">
                  <c:v>44526</c:v>
                </c:pt>
                <c:pt idx="63">
                  <c:v>44525</c:v>
                </c:pt>
                <c:pt idx="64">
                  <c:v>44524</c:v>
                </c:pt>
                <c:pt idx="65">
                  <c:v>44523</c:v>
                </c:pt>
                <c:pt idx="66">
                  <c:v>44522</c:v>
                </c:pt>
                <c:pt idx="67">
                  <c:v>44521</c:v>
                </c:pt>
                <c:pt idx="68">
                  <c:v>44520</c:v>
                </c:pt>
                <c:pt idx="69">
                  <c:v>44519</c:v>
                </c:pt>
                <c:pt idx="70">
                  <c:v>44518</c:v>
                </c:pt>
                <c:pt idx="71">
                  <c:v>44517</c:v>
                </c:pt>
                <c:pt idx="72">
                  <c:v>44516</c:v>
                </c:pt>
                <c:pt idx="73">
                  <c:v>44515</c:v>
                </c:pt>
                <c:pt idx="74">
                  <c:v>44514</c:v>
                </c:pt>
                <c:pt idx="75">
                  <c:v>44513</c:v>
                </c:pt>
                <c:pt idx="76">
                  <c:v>44512</c:v>
                </c:pt>
                <c:pt idx="77">
                  <c:v>44511</c:v>
                </c:pt>
                <c:pt idx="78">
                  <c:v>44510</c:v>
                </c:pt>
                <c:pt idx="79">
                  <c:v>44509</c:v>
                </c:pt>
                <c:pt idx="80">
                  <c:v>44508</c:v>
                </c:pt>
                <c:pt idx="81">
                  <c:v>44507</c:v>
                </c:pt>
                <c:pt idx="82">
                  <c:v>44506</c:v>
                </c:pt>
                <c:pt idx="83">
                  <c:v>44505</c:v>
                </c:pt>
                <c:pt idx="84">
                  <c:v>44504</c:v>
                </c:pt>
                <c:pt idx="85">
                  <c:v>44503</c:v>
                </c:pt>
                <c:pt idx="86">
                  <c:v>44502</c:v>
                </c:pt>
                <c:pt idx="87">
                  <c:v>44501</c:v>
                </c:pt>
                <c:pt idx="88">
                  <c:v>44500</c:v>
                </c:pt>
                <c:pt idx="89">
                  <c:v>44499</c:v>
                </c:pt>
                <c:pt idx="90">
                  <c:v>44498</c:v>
                </c:pt>
                <c:pt idx="91">
                  <c:v>44497</c:v>
                </c:pt>
                <c:pt idx="92">
                  <c:v>44496</c:v>
                </c:pt>
                <c:pt idx="93">
                  <c:v>44495</c:v>
                </c:pt>
                <c:pt idx="94">
                  <c:v>44494</c:v>
                </c:pt>
                <c:pt idx="95">
                  <c:v>44493</c:v>
                </c:pt>
                <c:pt idx="96">
                  <c:v>44492</c:v>
                </c:pt>
                <c:pt idx="97">
                  <c:v>44491</c:v>
                </c:pt>
                <c:pt idx="98">
                  <c:v>44490</c:v>
                </c:pt>
                <c:pt idx="99">
                  <c:v>44489</c:v>
                </c:pt>
                <c:pt idx="100">
                  <c:v>44488</c:v>
                </c:pt>
                <c:pt idx="101">
                  <c:v>44487</c:v>
                </c:pt>
                <c:pt idx="102">
                  <c:v>44486</c:v>
                </c:pt>
                <c:pt idx="103">
                  <c:v>44485</c:v>
                </c:pt>
                <c:pt idx="104">
                  <c:v>44484</c:v>
                </c:pt>
                <c:pt idx="105">
                  <c:v>44483</c:v>
                </c:pt>
                <c:pt idx="106">
                  <c:v>44482</c:v>
                </c:pt>
                <c:pt idx="107">
                  <c:v>44481</c:v>
                </c:pt>
                <c:pt idx="108">
                  <c:v>44480</c:v>
                </c:pt>
                <c:pt idx="109">
                  <c:v>44479</c:v>
                </c:pt>
                <c:pt idx="110">
                  <c:v>44478</c:v>
                </c:pt>
                <c:pt idx="111">
                  <c:v>44477</c:v>
                </c:pt>
                <c:pt idx="112">
                  <c:v>44476</c:v>
                </c:pt>
                <c:pt idx="113">
                  <c:v>44475</c:v>
                </c:pt>
                <c:pt idx="114">
                  <c:v>44474</c:v>
                </c:pt>
                <c:pt idx="115">
                  <c:v>44473</c:v>
                </c:pt>
                <c:pt idx="116">
                  <c:v>44472</c:v>
                </c:pt>
                <c:pt idx="117">
                  <c:v>44471</c:v>
                </c:pt>
                <c:pt idx="118">
                  <c:v>44470</c:v>
                </c:pt>
                <c:pt idx="119">
                  <c:v>44469</c:v>
                </c:pt>
                <c:pt idx="120">
                  <c:v>44468</c:v>
                </c:pt>
                <c:pt idx="121">
                  <c:v>44467</c:v>
                </c:pt>
                <c:pt idx="122">
                  <c:v>44466</c:v>
                </c:pt>
                <c:pt idx="123">
                  <c:v>44465</c:v>
                </c:pt>
                <c:pt idx="124">
                  <c:v>44464</c:v>
                </c:pt>
                <c:pt idx="125">
                  <c:v>44463</c:v>
                </c:pt>
                <c:pt idx="126">
                  <c:v>44462</c:v>
                </c:pt>
                <c:pt idx="127">
                  <c:v>44461</c:v>
                </c:pt>
                <c:pt idx="128">
                  <c:v>44460</c:v>
                </c:pt>
                <c:pt idx="129">
                  <c:v>44459</c:v>
                </c:pt>
                <c:pt idx="130">
                  <c:v>44458</c:v>
                </c:pt>
                <c:pt idx="131">
                  <c:v>44457</c:v>
                </c:pt>
                <c:pt idx="132">
                  <c:v>44456</c:v>
                </c:pt>
                <c:pt idx="133">
                  <c:v>44455</c:v>
                </c:pt>
                <c:pt idx="134">
                  <c:v>44454</c:v>
                </c:pt>
                <c:pt idx="135">
                  <c:v>44453</c:v>
                </c:pt>
                <c:pt idx="136">
                  <c:v>44452</c:v>
                </c:pt>
                <c:pt idx="137">
                  <c:v>44451</c:v>
                </c:pt>
                <c:pt idx="138">
                  <c:v>44450</c:v>
                </c:pt>
                <c:pt idx="139">
                  <c:v>44449</c:v>
                </c:pt>
                <c:pt idx="140">
                  <c:v>44448</c:v>
                </c:pt>
                <c:pt idx="141">
                  <c:v>44447</c:v>
                </c:pt>
                <c:pt idx="142">
                  <c:v>44446</c:v>
                </c:pt>
                <c:pt idx="143">
                  <c:v>44445</c:v>
                </c:pt>
                <c:pt idx="144">
                  <c:v>44444</c:v>
                </c:pt>
                <c:pt idx="145">
                  <c:v>44443</c:v>
                </c:pt>
                <c:pt idx="146">
                  <c:v>44442</c:v>
                </c:pt>
                <c:pt idx="147">
                  <c:v>44441</c:v>
                </c:pt>
                <c:pt idx="148">
                  <c:v>44440</c:v>
                </c:pt>
                <c:pt idx="149">
                  <c:v>44439</c:v>
                </c:pt>
                <c:pt idx="150">
                  <c:v>44438</c:v>
                </c:pt>
                <c:pt idx="151">
                  <c:v>44437</c:v>
                </c:pt>
                <c:pt idx="152">
                  <c:v>44436</c:v>
                </c:pt>
                <c:pt idx="153">
                  <c:v>44435</c:v>
                </c:pt>
                <c:pt idx="154">
                  <c:v>44434</c:v>
                </c:pt>
                <c:pt idx="155">
                  <c:v>44433</c:v>
                </c:pt>
                <c:pt idx="156">
                  <c:v>44432</c:v>
                </c:pt>
                <c:pt idx="157">
                  <c:v>44431</c:v>
                </c:pt>
                <c:pt idx="158">
                  <c:v>44430</c:v>
                </c:pt>
                <c:pt idx="159">
                  <c:v>44429</c:v>
                </c:pt>
                <c:pt idx="160">
                  <c:v>44428</c:v>
                </c:pt>
                <c:pt idx="161">
                  <c:v>44427</c:v>
                </c:pt>
                <c:pt idx="162">
                  <c:v>44426</c:v>
                </c:pt>
                <c:pt idx="163">
                  <c:v>44425</c:v>
                </c:pt>
                <c:pt idx="164">
                  <c:v>44424</c:v>
                </c:pt>
                <c:pt idx="165">
                  <c:v>44423</c:v>
                </c:pt>
                <c:pt idx="166">
                  <c:v>44422</c:v>
                </c:pt>
                <c:pt idx="167">
                  <c:v>44421</c:v>
                </c:pt>
                <c:pt idx="168">
                  <c:v>44420</c:v>
                </c:pt>
                <c:pt idx="169">
                  <c:v>44419</c:v>
                </c:pt>
                <c:pt idx="170">
                  <c:v>44418</c:v>
                </c:pt>
                <c:pt idx="171">
                  <c:v>44417</c:v>
                </c:pt>
                <c:pt idx="172">
                  <c:v>44416</c:v>
                </c:pt>
                <c:pt idx="173">
                  <c:v>44415</c:v>
                </c:pt>
                <c:pt idx="174">
                  <c:v>44414</c:v>
                </c:pt>
                <c:pt idx="175">
                  <c:v>44413</c:v>
                </c:pt>
                <c:pt idx="176">
                  <c:v>44412</c:v>
                </c:pt>
                <c:pt idx="177">
                  <c:v>44411</c:v>
                </c:pt>
                <c:pt idx="178">
                  <c:v>44410</c:v>
                </c:pt>
                <c:pt idx="179">
                  <c:v>44409</c:v>
                </c:pt>
                <c:pt idx="180">
                  <c:v>44408</c:v>
                </c:pt>
                <c:pt idx="181">
                  <c:v>44407</c:v>
                </c:pt>
                <c:pt idx="182">
                  <c:v>44406</c:v>
                </c:pt>
                <c:pt idx="183">
                  <c:v>44405</c:v>
                </c:pt>
                <c:pt idx="184">
                  <c:v>44404</c:v>
                </c:pt>
                <c:pt idx="185">
                  <c:v>44403</c:v>
                </c:pt>
                <c:pt idx="186">
                  <c:v>44402</c:v>
                </c:pt>
                <c:pt idx="187">
                  <c:v>44401</c:v>
                </c:pt>
                <c:pt idx="188">
                  <c:v>44400</c:v>
                </c:pt>
                <c:pt idx="189">
                  <c:v>44399</c:v>
                </c:pt>
                <c:pt idx="190">
                  <c:v>44398</c:v>
                </c:pt>
                <c:pt idx="191">
                  <c:v>44397</c:v>
                </c:pt>
                <c:pt idx="192">
                  <c:v>44396</c:v>
                </c:pt>
                <c:pt idx="193">
                  <c:v>44395</c:v>
                </c:pt>
                <c:pt idx="194">
                  <c:v>44394</c:v>
                </c:pt>
                <c:pt idx="195">
                  <c:v>44393</c:v>
                </c:pt>
                <c:pt idx="196">
                  <c:v>44392</c:v>
                </c:pt>
                <c:pt idx="197">
                  <c:v>44391</c:v>
                </c:pt>
                <c:pt idx="198">
                  <c:v>44390</c:v>
                </c:pt>
                <c:pt idx="199">
                  <c:v>44389</c:v>
                </c:pt>
                <c:pt idx="200">
                  <c:v>44388</c:v>
                </c:pt>
                <c:pt idx="201">
                  <c:v>44387</c:v>
                </c:pt>
                <c:pt idx="202">
                  <c:v>44386</c:v>
                </c:pt>
                <c:pt idx="203">
                  <c:v>44385</c:v>
                </c:pt>
                <c:pt idx="204">
                  <c:v>44384</c:v>
                </c:pt>
                <c:pt idx="205">
                  <c:v>44383</c:v>
                </c:pt>
                <c:pt idx="206">
                  <c:v>44382</c:v>
                </c:pt>
                <c:pt idx="207">
                  <c:v>44381</c:v>
                </c:pt>
                <c:pt idx="208">
                  <c:v>44380</c:v>
                </c:pt>
                <c:pt idx="209">
                  <c:v>44379</c:v>
                </c:pt>
                <c:pt idx="210">
                  <c:v>44378</c:v>
                </c:pt>
                <c:pt idx="211">
                  <c:v>44377</c:v>
                </c:pt>
                <c:pt idx="212">
                  <c:v>44376</c:v>
                </c:pt>
                <c:pt idx="213">
                  <c:v>44375</c:v>
                </c:pt>
                <c:pt idx="214">
                  <c:v>44374</c:v>
                </c:pt>
                <c:pt idx="215">
                  <c:v>44373</c:v>
                </c:pt>
                <c:pt idx="216">
                  <c:v>44372</c:v>
                </c:pt>
                <c:pt idx="217">
                  <c:v>44371</c:v>
                </c:pt>
                <c:pt idx="218">
                  <c:v>44370</c:v>
                </c:pt>
                <c:pt idx="219">
                  <c:v>44369</c:v>
                </c:pt>
                <c:pt idx="220">
                  <c:v>44368</c:v>
                </c:pt>
                <c:pt idx="221">
                  <c:v>44367</c:v>
                </c:pt>
                <c:pt idx="222">
                  <c:v>44366</c:v>
                </c:pt>
                <c:pt idx="223">
                  <c:v>44365</c:v>
                </c:pt>
                <c:pt idx="224">
                  <c:v>44364</c:v>
                </c:pt>
                <c:pt idx="225">
                  <c:v>44363</c:v>
                </c:pt>
                <c:pt idx="226">
                  <c:v>44362</c:v>
                </c:pt>
                <c:pt idx="227">
                  <c:v>44361</c:v>
                </c:pt>
                <c:pt idx="228">
                  <c:v>44360</c:v>
                </c:pt>
                <c:pt idx="229">
                  <c:v>44359</c:v>
                </c:pt>
                <c:pt idx="230">
                  <c:v>44358</c:v>
                </c:pt>
                <c:pt idx="231">
                  <c:v>44357</c:v>
                </c:pt>
                <c:pt idx="232">
                  <c:v>44356</c:v>
                </c:pt>
                <c:pt idx="233">
                  <c:v>44355</c:v>
                </c:pt>
                <c:pt idx="234">
                  <c:v>44354</c:v>
                </c:pt>
                <c:pt idx="235">
                  <c:v>44353</c:v>
                </c:pt>
                <c:pt idx="236">
                  <c:v>44352</c:v>
                </c:pt>
                <c:pt idx="237">
                  <c:v>44351</c:v>
                </c:pt>
                <c:pt idx="238">
                  <c:v>44350</c:v>
                </c:pt>
                <c:pt idx="239">
                  <c:v>44349</c:v>
                </c:pt>
                <c:pt idx="240">
                  <c:v>44348</c:v>
                </c:pt>
                <c:pt idx="241">
                  <c:v>44347</c:v>
                </c:pt>
                <c:pt idx="242">
                  <c:v>44346</c:v>
                </c:pt>
                <c:pt idx="243">
                  <c:v>44345</c:v>
                </c:pt>
                <c:pt idx="244">
                  <c:v>44344</c:v>
                </c:pt>
                <c:pt idx="245">
                  <c:v>44343</c:v>
                </c:pt>
                <c:pt idx="246">
                  <c:v>44342</c:v>
                </c:pt>
                <c:pt idx="247">
                  <c:v>44341</c:v>
                </c:pt>
                <c:pt idx="248">
                  <c:v>44340</c:v>
                </c:pt>
                <c:pt idx="249">
                  <c:v>44339</c:v>
                </c:pt>
                <c:pt idx="250">
                  <c:v>44338</c:v>
                </c:pt>
                <c:pt idx="251">
                  <c:v>44337</c:v>
                </c:pt>
                <c:pt idx="252">
                  <c:v>44336</c:v>
                </c:pt>
                <c:pt idx="253">
                  <c:v>44335</c:v>
                </c:pt>
                <c:pt idx="254">
                  <c:v>44334</c:v>
                </c:pt>
                <c:pt idx="255">
                  <c:v>44333</c:v>
                </c:pt>
                <c:pt idx="256">
                  <c:v>44332</c:v>
                </c:pt>
                <c:pt idx="257">
                  <c:v>44331</c:v>
                </c:pt>
                <c:pt idx="258">
                  <c:v>44330</c:v>
                </c:pt>
                <c:pt idx="259">
                  <c:v>44329</c:v>
                </c:pt>
                <c:pt idx="260">
                  <c:v>44328</c:v>
                </c:pt>
                <c:pt idx="261">
                  <c:v>44327</c:v>
                </c:pt>
                <c:pt idx="262">
                  <c:v>44326</c:v>
                </c:pt>
                <c:pt idx="263">
                  <c:v>44325</c:v>
                </c:pt>
                <c:pt idx="264">
                  <c:v>44324</c:v>
                </c:pt>
                <c:pt idx="265">
                  <c:v>44323</c:v>
                </c:pt>
                <c:pt idx="266">
                  <c:v>44322</c:v>
                </c:pt>
                <c:pt idx="267">
                  <c:v>44321</c:v>
                </c:pt>
                <c:pt idx="268">
                  <c:v>44320</c:v>
                </c:pt>
                <c:pt idx="269">
                  <c:v>44319</c:v>
                </c:pt>
                <c:pt idx="270">
                  <c:v>44318</c:v>
                </c:pt>
                <c:pt idx="271">
                  <c:v>44317</c:v>
                </c:pt>
                <c:pt idx="272">
                  <c:v>44316</c:v>
                </c:pt>
                <c:pt idx="273">
                  <c:v>44315</c:v>
                </c:pt>
                <c:pt idx="274">
                  <c:v>44314</c:v>
                </c:pt>
                <c:pt idx="275">
                  <c:v>44313</c:v>
                </c:pt>
                <c:pt idx="276">
                  <c:v>44312</c:v>
                </c:pt>
                <c:pt idx="277">
                  <c:v>44311</c:v>
                </c:pt>
                <c:pt idx="278">
                  <c:v>44310</c:v>
                </c:pt>
                <c:pt idx="279">
                  <c:v>44309</c:v>
                </c:pt>
                <c:pt idx="280">
                  <c:v>44308</c:v>
                </c:pt>
                <c:pt idx="281">
                  <c:v>44307</c:v>
                </c:pt>
                <c:pt idx="282">
                  <c:v>44306</c:v>
                </c:pt>
                <c:pt idx="283">
                  <c:v>44305</c:v>
                </c:pt>
                <c:pt idx="284">
                  <c:v>44304</c:v>
                </c:pt>
                <c:pt idx="285">
                  <c:v>44303</c:v>
                </c:pt>
                <c:pt idx="286">
                  <c:v>44302</c:v>
                </c:pt>
                <c:pt idx="287">
                  <c:v>44301</c:v>
                </c:pt>
                <c:pt idx="288">
                  <c:v>44300</c:v>
                </c:pt>
                <c:pt idx="289">
                  <c:v>44299</c:v>
                </c:pt>
                <c:pt idx="290">
                  <c:v>44298</c:v>
                </c:pt>
                <c:pt idx="291">
                  <c:v>44297</c:v>
                </c:pt>
                <c:pt idx="292">
                  <c:v>44296</c:v>
                </c:pt>
                <c:pt idx="293">
                  <c:v>44295</c:v>
                </c:pt>
                <c:pt idx="294">
                  <c:v>44294</c:v>
                </c:pt>
                <c:pt idx="295">
                  <c:v>44293</c:v>
                </c:pt>
                <c:pt idx="296">
                  <c:v>44292</c:v>
                </c:pt>
                <c:pt idx="297">
                  <c:v>44291</c:v>
                </c:pt>
                <c:pt idx="298">
                  <c:v>44290</c:v>
                </c:pt>
                <c:pt idx="299">
                  <c:v>44289</c:v>
                </c:pt>
                <c:pt idx="300">
                  <c:v>44288</c:v>
                </c:pt>
                <c:pt idx="301">
                  <c:v>44287</c:v>
                </c:pt>
                <c:pt idx="302">
                  <c:v>44286</c:v>
                </c:pt>
                <c:pt idx="303">
                  <c:v>44285</c:v>
                </c:pt>
                <c:pt idx="304">
                  <c:v>44284</c:v>
                </c:pt>
                <c:pt idx="305">
                  <c:v>44283</c:v>
                </c:pt>
                <c:pt idx="306">
                  <c:v>44282</c:v>
                </c:pt>
                <c:pt idx="307">
                  <c:v>44281</c:v>
                </c:pt>
                <c:pt idx="308">
                  <c:v>44280</c:v>
                </c:pt>
                <c:pt idx="309">
                  <c:v>44279</c:v>
                </c:pt>
                <c:pt idx="310">
                  <c:v>44278</c:v>
                </c:pt>
                <c:pt idx="311">
                  <c:v>44277</c:v>
                </c:pt>
                <c:pt idx="312">
                  <c:v>44276</c:v>
                </c:pt>
                <c:pt idx="313">
                  <c:v>44275</c:v>
                </c:pt>
                <c:pt idx="314">
                  <c:v>44274</c:v>
                </c:pt>
                <c:pt idx="315">
                  <c:v>44273</c:v>
                </c:pt>
                <c:pt idx="316">
                  <c:v>44272</c:v>
                </c:pt>
                <c:pt idx="317">
                  <c:v>44271</c:v>
                </c:pt>
                <c:pt idx="318">
                  <c:v>44270</c:v>
                </c:pt>
                <c:pt idx="319">
                  <c:v>44269</c:v>
                </c:pt>
                <c:pt idx="320">
                  <c:v>44268</c:v>
                </c:pt>
                <c:pt idx="321">
                  <c:v>44267</c:v>
                </c:pt>
                <c:pt idx="322">
                  <c:v>44266</c:v>
                </c:pt>
                <c:pt idx="323">
                  <c:v>44265</c:v>
                </c:pt>
                <c:pt idx="324">
                  <c:v>44264</c:v>
                </c:pt>
                <c:pt idx="325">
                  <c:v>44263</c:v>
                </c:pt>
                <c:pt idx="326">
                  <c:v>44262</c:v>
                </c:pt>
                <c:pt idx="327">
                  <c:v>44261</c:v>
                </c:pt>
                <c:pt idx="328">
                  <c:v>44260</c:v>
                </c:pt>
                <c:pt idx="329">
                  <c:v>44259</c:v>
                </c:pt>
                <c:pt idx="330">
                  <c:v>44258</c:v>
                </c:pt>
                <c:pt idx="331">
                  <c:v>44257</c:v>
                </c:pt>
                <c:pt idx="332">
                  <c:v>44256</c:v>
                </c:pt>
                <c:pt idx="333">
                  <c:v>44255</c:v>
                </c:pt>
                <c:pt idx="334">
                  <c:v>44254</c:v>
                </c:pt>
                <c:pt idx="335">
                  <c:v>44253</c:v>
                </c:pt>
                <c:pt idx="336">
                  <c:v>44252</c:v>
                </c:pt>
                <c:pt idx="337">
                  <c:v>44251</c:v>
                </c:pt>
                <c:pt idx="338">
                  <c:v>44250</c:v>
                </c:pt>
                <c:pt idx="339">
                  <c:v>44249</c:v>
                </c:pt>
                <c:pt idx="340">
                  <c:v>44248</c:v>
                </c:pt>
                <c:pt idx="341">
                  <c:v>44247</c:v>
                </c:pt>
                <c:pt idx="342">
                  <c:v>44246</c:v>
                </c:pt>
                <c:pt idx="343">
                  <c:v>44245</c:v>
                </c:pt>
                <c:pt idx="344">
                  <c:v>44244</c:v>
                </c:pt>
                <c:pt idx="345">
                  <c:v>44243</c:v>
                </c:pt>
                <c:pt idx="346">
                  <c:v>44242</c:v>
                </c:pt>
                <c:pt idx="347">
                  <c:v>44241</c:v>
                </c:pt>
                <c:pt idx="348">
                  <c:v>44240</c:v>
                </c:pt>
                <c:pt idx="349">
                  <c:v>44239</c:v>
                </c:pt>
                <c:pt idx="350">
                  <c:v>44238</c:v>
                </c:pt>
                <c:pt idx="351">
                  <c:v>44237</c:v>
                </c:pt>
                <c:pt idx="352">
                  <c:v>44236</c:v>
                </c:pt>
                <c:pt idx="353">
                  <c:v>44235</c:v>
                </c:pt>
                <c:pt idx="354">
                  <c:v>44234</c:v>
                </c:pt>
                <c:pt idx="355">
                  <c:v>44233</c:v>
                </c:pt>
                <c:pt idx="356">
                  <c:v>44232</c:v>
                </c:pt>
                <c:pt idx="357">
                  <c:v>44231</c:v>
                </c:pt>
                <c:pt idx="358">
                  <c:v>44230</c:v>
                </c:pt>
                <c:pt idx="359">
                  <c:v>44229</c:v>
                </c:pt>
                <c:pt idx="360">
                  <c:v>44228</c:v>
                </c:pt>
                <c:pt idx="361">
                  <c:v>44227</c:v>
                </c:pt>
                <c:pt idx="362">
                  <c:v>44226</c:v>
                </c:pt>
                <c:pt idx="363">
                  <c:v>44225</c:v>
                </c:pt>
                <c:pt idx="364">
                  <c:v>44224</c:v>
                </c:pt>
                <c:pt idx="365">
                  <c:v>44223</c:v>
                </c:pt>
                <c:pt idx="366">
                  <c:v>44222</c:v>
                </c:pt>
                <c:pt idx="367">
                  <c:v>44221</c:v>
                </c:pt>
                <c:pt idx="368">
                  <c:v>44220</c:v>
                </c:pt>
                <c:pt idx="369">
                  <c:v>44219</c:v>
                </c:pt>
                <c:pt idx="370">
                  <c:v>44218</c:v>
                </c:pt>
                <c:pt idx="371">
                  <c:v>44217</c:v>
                </c:pt>
                <c:pt idx="372">
                  <c:v>44216</c:v>
                </c:pt>
                <c:pt idx="373">
                  <c:v>44215</c:v>
                </c:pt>
                <c:pt idx="374">
                  <c:v>44214</c:v>
                </c:pt>
                <c:pt idx="375">
                  <c:v>44213</c:v>
                </c:pt>
                <c:pt idx="376">
                  <c:v>44212</c:v>
                </c:pt>
                <c:pt idx="377">
                  <c:v>44211</c:v>
                </c:pt>
                <c:pt idx="378">
                  <c:v>44210</c:v>
                </c:pt>
                <c:pt idx="379">
                  <c:v>44209</c:v>
                </c:pt>
                <c:pt idx="380">
                  <c:v>44208</c:v>
                </c:pt>
                <c:pt idx="381">
                  <c:v>44207</c:v>
                </c:pt>
                <c:pt idx="382">
                  <c:v>44206</c:v>
                </c:pt>
                <c:pt idx="383">
                  <c:v>44205</c:v>
                </c:pt>
                <c:pt idx="384">
                  <c:v>44204</c:v>
                </c:pt>
                <c:pt idx="385">
                  <c:v>44203</c:v>
                </c:pt>
                <c:pt idx="386">
                  <c:v>44202</c:v>
                </c:pt>
                <c:pt idx="387">
                  <c:v>44201</c:v>
                </c:pt>
                <c:pt idx="388">
                  <c:v>44200</c:v>
                </c:pt>
                <c:pt idx="389">
                  <c:v>44199</c:v>
                </c:pt>
                <c:pt idx="390">
                  <c:v>44198</c:v>
                </c:pt>
                <c:pt idx="391">
                  <c:v>44197</c:v>
                </c:pt>
                <c:pt idx="392">
                  <c:v>44196</c:v>
                </c:pt>
                <c:pt idx="393">
                  <c:v>44195</c:v>
                </c:pt>
                <c:pt idx="394">
                  <c:v>44194</c:v>
                </c:pt>
                <c:pt idx="395">
                  <c:v>44193</c:v>
                </c:pt>
                <c:pt idx="396">
                  <c:v>44192</c:v>
                </c:pt>
                <c:pt idx="397">
                  <c:v>44191</c:v>
                </c:pt>
                <c:pt idx="398">
                  <c:v>44190</c:v>
                </c:pt>
                <c:pt idx="399">
                  <c:v>44189</c:v>
                </c:pt>
                <c:pt idx="400">
                  <c:v>44188</c:v>
                </c:pt>
                <c:pt idx="401">
                  <c:v>44187</c:v>
                </c:pt>
                <c:pt idx="402">
                  <c:v>44186</c:v>
                </c:pt>
                <c:pt idx="403">
                  <c:v>44185</c:v>
                </c:pt>
                <c:pt idx="404">
                  <c:v>44184</c:v>
                </c:pt>
                <c:pt idx="405">
                  <c:v>44183</c:v>
                </c:pt>
                <c:pt idx="406">
                  <c:v>44182</c:v>
                </c:pt>
                <c:pt idx="407">
                  <c:v>44181</c:v>
                </c:pt>
                <c:pt idx="408">
                  <c:v>44180</c:v>
                </c:pt>
                <c:pt idx="409">
                  <c:v>44179</c:v>
                </c:pt>
                <c:pt idx="410">
                  <c:v>44178</c:v>
                </c:pt>
                <c:pt idx="411">
                  <c:v>44177</c:v>
                </c:pt>
                <c:pt idx="412">
                  <c:v>44176</c:v>
                </c:pt>
                <c:pt idx="413">
                  <c:v>44175</c:v>
                </c:pt>
                <c:pt idx="414">
                  <c:v>44174</c:v>
                </c:pt>
                <c:pt idx="415">
                  <c:v>44173</c:v>
                </c:pt>
                <c:pt idx="416">
                  <c:v>44172</c:v>
                </c:pt>
                <c:pt idx="417">
                  <c:v>44171</c:v>
                </c:pt>
                <c:pt idx="418">
                  <c:v>44170</c:v>
                </c:pt>
                <c:pt idx="419">
                  <c:v>44169</c:v>
                </c:pt>
                <c:pt idx="420">
                  <c:v>44168</c:v>
                </c:pt>
                <c:pt idx="421">
                  <c:v>44167</c:v>
                </c:pt>
                <c:pt idx="422">
                  <c:v>44166</c:v>
                </c:pt>
                <c:pt idx="423">
                  <c:v>44165</c:v>
                </c:pt>
                <c:pt idx="424">
                  <c:v>44164</c:v>
                </c:pt>
                <c:pt idx="425">
                  <c:v>44163</c:v>
                </c:pt>
                <c:pt idx="426">
                  <c:v>44162</c:v>
                </c:pt>
                <c:pt idx="427">
                  <c:v>44161</c:v>
                </c:pt>
                <c:pt idx="428">
                  <c:v>44160</c:v>
                </c:pt>
                <c:pt idx="429">
                  <c:v>44159</c:v>
                </c:pt>
                <c:pt idx="430">
                  <c:v>44158</c:v>
                </c:pt>
                <c:pt idx="431">
                  <c:v>44157</c:v>
                </c:pt>
                <c:pt idx="432">
                  <c:v>44156</c:v>
                </c:pt>
                <c:pt idx="433">
                  <c:v>44155</c:v>
                </c:pt>
                <c:pt idx="434">
                  <c:v>44154</c:v>
                </c:pt>
                <c:pt idx="435">
                  <c:v>44153</c:v>
                </c:pt>
                <c:pt idx="436">
                  <c:v>44152</c:v>
                </c:pt>
                <c:pt idx="437">
                  <c:v>44151</c:v>
                </c:pt>
                <c:pt idx="438">
                  <c:v>44150</c:v>
                </c:pt>
                <c:pt idx="439">
                  <c:v>44149</c:v>
                </c:pt>
                <c:pt idx="440">
                  <c:v>44148</c:v>
                </c:pt>
                <c:pt idx="441">
                  <c:v>44147</c:v>
                </c:pt>
                <c:pt idx="442">
                  <c:v>44146</c:v>
                </c:pt>
                <c:pt idx="443">
                  <c:v>44145</c:v>
                </c:pt>
                <c:pt idx="444">
                  <c:v>44144</c:v>
                </c:pt>
                <c:pt idx="445">
                  <c:v>44143</c:v>
                </c:pt>
                <c:pt idx="446">
                  <c:v>44142</c:v>
                </c:pt>
                <c:pt idx="447">
                  <c:v>44141</c:v>
                </c:pt>
                <c:pt idx="448">
                  <c:v>44140</c:v>
                </c:pt>
                <c:pt idx="449">
                  <c:v>44139</c:v>
                </c:pt>
                <c:pt idx="450">
                  <c:v>44138</c:v>
                </c:pt>
                <c:pt idx="451">
                  <c:v>44137</c:v>
                </c:pt>
                <c:pt idx="452">
                  <c:v>44136</c:v>
                </c:pt>
                <c:pt idx="453">
                  <c:v>44135</c:v>
                </c:pt>
                <c:pt idx="454">
                  <c:v>44134</c:v>
                </c:pt>
                <c:pt idx="455">
                  <c:v>44133</c:v>
                </c:pt>
                <c:pt idx="456">
                  <c:v>44132</c:v>
                </c:pt>
                <c:pt idx="457">
                  <c:v>44131</c:v>
                </c:pt>
                <c:pt idx="458">
                  <c:v>44130</c:v>
                </c:pt>
                <c:pt idx="459">
                  <c:v>44129</c:v>
                </c:pt>
                <c:pt idx="460">
                  <c:v>44128</c:v>
                </c:pt>
                <c:pt idx="461">
                  <c:v>44127</c:v>
                </c:pt>
                <c:pt idx="462">
                  <c:v>44126</c:v>
                </c:pt>
                <c:pt idx="463">
                  <c:v>44125</c:v>
                </c:pt>
                <c:pt idx="464">
                  <c:v>44124</c:v>
                </c:pt>
                <c:pt idx="465">
                  <c:v>44123</c:v>
                </c:pt>
                <c:pt idx="466">
                  <c:v>44122</c:v>
                </c:pt>
                <c:pt idx="467">
                  <c:v>44121</c:v>
                </c:pt>
                <c:pt idx="468">
                  <c:v>44120</c:v>
                </c:pt>
                <c:pt idx="469">
                  <c:v>44119</c:v>
                </c:pt>
                <c:pt idx="470">
                  <c:v>44118</c:v>
                </c:pt>
                <c:pt idx="471">
                  <c:v>44117</c:v>
                </c:pt>
                <c:pt idx="472">
                  <c:v>44116</c:v>
                </c:pt>
                <c:pt idx="473">
                  <c:v>44115</c:v>
                </c:pt>
                <c:pt idx="474">
                  <c:v>44114</c:v>
                </c:pt>
                <c:pt idx="475">
                  <c:v>44113</c:v>
                </c:pt>
                <c:pt idx="476">
                  <c:v>44112</c:v>
                </c:pt>
                <c:pt idx="477">
                  <c:v>44111</c:v>
                </c:pt>
                <c:pt idx="478">
                  <c:v>44110</c:v>
                </c:pt>
                <c:pt idx="479">
                  <c:v>44109</c:v>
                </c:pt>
                <c:pt idx="480">
                  <c:v>44108</c:v>
                </c:pt>
                <c:pt idx="481">
                  <c:v>44107</c:v>
                </c:pt>
                <c:pt idx="482">
                  <c:v>44106</c:v>
                </c:pt>
                <c:pt idx="483">
                  <c:v>44105</c:v>
                </c:pt>
                <c:pt idx="484">
                  <c:v>44104</c:v>
                </c:pt>
                <c:pt idx="485">
                  <c:v>44103</c:v>
                </c:pt>
                <c:pt idx="486">
                  <c:v>44102</c:v>
                </c:pt>
                <c:pt idx="487">
                  <c:v>44101</c:v>
                </c:pt>
                <c:pt idx="488">
                  <c:v>44100</c:v>
                </c:pt>
                <c:pt idx="489">
                  <c:v>44099</c:v>
                </c:pt>
                <c:pt idx="490">
                  <c:v>44098</c:v>
                </c:pt>
                <c:pt idx="491">
                  <c:v>44097</c:v>
                </c:pt>
                <c:pt idx="492">
                  <c:v>44096</c:v>
                </c:pt>
                <c:pt idx="493">
                  <c:v>44095</c:v>
                </c:pt>
                <c:pt idx="494">
                  <c:v>44094</c:v>
                </c:pt>
                <c:pt idx="495">
                  <c:v>44093</c:v>
                </c:pt>
                <c:pt idx="496">
                  <c:v>44092</c:v>
                </c:pt>
                <c:pt idx="497">
                  <c:v>44091</c:v>
                </c:pt>
                <c:pt idx="498">
                  <c:v>44090</c:v>
                </c:pt>
                <c:pt idx="499">
                  <c:v>44089</c:v>
                </c:pt>
                <c:pt idx="500">
                  <c:v>44088</c:v>
                </c:pt>
                <c:pt idx="501">
                  <c:v>44087</c:v>
                </c:pt>
                <c:pt idx="502">
                  <c:v>44086</c:v>
                </c:pt>
                <c:pt idx="503">
                  <c:v>44085</c:v>
                </c:pt>
                <c:pt idx="504">
                  <c:v>44084</c:v>
                </c:pt>
                <c:pt idx="505">
                  <c:v>44083</c:v>
                </c:pt>
                <c:pt idx="506">
                  <c:v>44082</c:v>
                </c:pt>
                <c:pt idx="507">
                  <c:v>44081</c:v>
                </c:pt>
                <c:pt idx="508">
                  <c:v>44080</c:v>
                </c:pt>
                <c:pt idx="509">
                  <c:v>44079</c:v>
                </c:pt>
                <c:pt idx="510">
                  <c:v>44078</c:v>
                </c:pt>
                <c:pt idx="511">
                  <c:v>44077</c:v>
                </c:pt>
                <c:pt idx="512">
                  <c:v>44076</c:v>
                </c:pt>
                <c:pt idx="513">
                  <c:v>44075</c:v>
                </c:pt>
                <c:pt idx="514">
                  <c:v>44074</c:v>
                </c:pt>
                <c:pt idx="515">
                  <c:v>44073</c:v>
                </c:pt>
                <c:pt idx="516">
                  <c:v>44072</c:v>
                </c:pt>
                <c:pt idx="517">
                  <c:v>44071</c:v>
                </c:pt>
                <c:pt idx="518">
                  <c:v>44070</c:v>
                </c:pt>
                <c:pt idx="519">
                  <c:v>44069</c:v>
                </c:pt>
                <c:pt idx="520">
                  <c:v>44068</c:v>
                </c:pt>
                <c:pt idx="521">
                  <c:v>44067</c:v>
                </c:pt>
                <c:pt idx="522">
                  <c:v>44066</c:v>
                </c:pt>
                <c:pt idx="523">
                  <c:v>44065</c:v>
                </c:pt>
                <c:pt idx="524">
                  <c:v>44064</c:v>
                </c:pt>
                <c:pt idx="525">
                  <c:v>44063</c:v>
                </c:pt>
                <c:pt idx="526">
                  <c:v>44062</c:v>
                </c:pt>
                <c:pt idx="527">
                  <c:v>44061</c:v>
                </c:pt>
                <c:pt idx="528">
                  <c:v>44060</c:v>
                </c:pt>
                <c:pt idx="529">
                  <c:v>44059</c:v>
                </c:pt>
                <c:pt idx="530">
                  <c:v>44058</c:v>
                </c:pt>
                <c:pt idx="531">
                  <c:v>44057</c:v>
                </c:pt>
                <c:pt idx="532">
                  <c:v>44056</c:v>
                </c:pt>
                <c:pt idx="533">
                  <c:v>44055</c:v>
                </c:pt>
                <c:pt idx="534">
                  <c:v>44054</c:v>
                </c:pt>
                <c:pt idx="535">
                  <c:v>44053</c:v>
                </c:pt>
                <c:pt idx="536">
                  <c:v>44052</c:v>
                </c:pt>
                <c:pt idx="537">
                  <c:v>44051</c:v>
                </c:pt>
                <c:pt idx="538">
                  <c:v>44050</c:v>
                </c:pt>
                <c:pt idx="539">
                  <c:v>44049</c:v>
                </c:pt>
                <c:pt idx="540">
                  <c:v>44048</c:v>
                </c:pt>
                <c:pt idx="541">
                  <c:v>44047</c:v>
                </c:pt>
                <c:pt idx="542">
                  <c:v>44046</c:v>
                </c:pt>
                <c:pt idx="543">
                  <c:v>44045</c:v>
                </c:pt>
                <c:pt idx="544">
                  <c:v>44044</c:v>
                </c:pt>
                <c:pt idx="545">
                  <c:v>44043</c:v>
                </c:pt>
                <c:pt idx="546">
                  <c:v>44042</c:v>
                </c:pt>
                <c:pt idx="547">
                  <c:v>44041</c:v>
                </c:pt>
                <c:pt idx="548">
                  <c:v>44040</c:v>
                </c:pt>
                <c:pt idx="549">
                  <c:v>44039</c:v>
                </c:pt>
                <c:pt idx="550">
                  <c:v>44038</c:v>
                </c:pt>
                <c:pt idx="551">
                  <c:v>44037</c:v>
                </c:pt>
                <c:pt idx="552">
                  <c:v>44036</c:v>
                </c:pt>
                <c:pt idx="553">
                  <c:v>44035</c:v>
                </c:pt>
                <c:pt idx="554">
                  <c:v>44034</c:v>
                </c:pt>
                <c:pt idx="555">
                  <c:v>44033</c:v>
                </c:pt>
                <c:pt idx="556">
                  <c:v>44032</c:v>
                </c:pt>
                <c:pt idx="557">
                  <c:v>44031</c:v>
                </c:pt>
                <c:pt idx="558">
                  <c:v>44030</c:v>
                </c:pt>
                <c:pt idx="559">
                  <c:v>44029</c:v>
                </c:pt>
                <c:pt idx="560">
                  <c:v>44028</c:v>
                </c:pt>
                <c:pt idx="561">
                  <c:v>44027</c:v>
                </c:pt>
                <c:pt idx="562">
                  <c:v>44026</c:v>
                </c:pt>
                <c:pt idx="563">
                  <c:v>44025</c:v>
                </c:pt>
                <c:pt idx="564">
                  <c:v>44024</c:v>
                </c:pt>
                <c:pt idx="565">
                  <c:v>44023</c:v>
                </c:pt>
                <c:pt idx="566">
                  <c:v>44022</c:v>
                </c:pt>
                <c:pt idx="567">
                  <c:v>44021</c:v>
                </c:pt>
                <c:pt idx="568">
                  <c:v>44020</c:v>
                </c:pt>
                <c:pt idx="569">
                  <c:v>44019</c:v>
                </c:pt>
                <c:pt idx="570">
                  <c:v>44018</c:v>
                </c:pt>
                <c:pt idx="571">
                  <c:v>44017</c:v>
                </c:pt>
                <c:pt idx="572">
                  <c:v>44016</c:v>
                </c:pt>
                <c:pt idx="573">
                  <c:v>44015</c:v>
                </c:pt>
                <c:pt idx="574">
                  <c:v>44014</c:v>
                </c:pt>
                <c:pt idx="575">
                  <c:v>44013</c:v>
                </c:pt>
                <c:pt idx="576">
                  <c:v>44012</c:v>
                </c:pt>
                <c:pt idx="577">
                  <c:v>44011</c:v>
                </c:pt>
                <c:pt idx="578">
                  <c:v>44010</c:v>
                </c:pt>
                <c:pt idx="579">
                  <c:v>44009</c:v>
                </c:pt>
                <c:pt idx="580">
                  <c:v>44008</c:v>
                </c:pt>
                <c:pt idx="581">
                  <c:v>44007</c:v>
                </c:pt>
                <c:pt idx="582">
                  <c:v>44006</c:v>
                </c:pt>
                <c:pt idx="583">
                  <c:v>44005</c:v>
                </c:pt>
                <c:pt idx="584">
                  <c:v>44004</c:v>
                </c:pt>
                <c:pt idx="585">
                  <c:v>44003</c:v>
                </c:pt>
                <c:pt idx="586">
                  <c:v>44002</c:v>
                </c:pt>
                <c:pt idx="587">
                  <c:v>44001</c:v>
                </c:pt>
                <c:pt idx="588">
                  <c:v>44000</c:v>
                </c:pt>
                <c:pt idx="589">
                  <c:v>43999</c:v>
                </c:pt>
                <c:pt idx="590">
                  <c:v>43998</c:v>
                </c:pt>
                <c:pt idx="591">
                  <c:v>43997</c:v>
                </c:pt>
                <c:pt idx="592">
                  <c:v>43996</c:v>
                </c:pt>
                <c:pt idx="593">
                  <c:v>43995</c:v>
                </c:pt>
                <c:pt idx="594">
                  <c:v>43994</c:v>
                </c:pt>
                <c:pt idx="595">
                  <c:v>43993</c:v>
                </c:pt>
                <c:pt idx="596">
                  <c:v>43992</c:v>
                </c:pt>
                <c:pt idx="597">
                  <c:v>43991</c:v>
                </c:pt>
                <c:pt idx="598">
                  <c:v>43990</c:v>
                </c:pt>
                <c:pt idx="599">
                  <c:v>43989</c:v>
                </c:pt>
                <c:pt idx="600">
                  <c:v>43988</c:v>
                </c:pt>
                <c:pt idx="601">
                  <c:v>43987</c:v>
                </c:pt>
                <c:pt idx="602">
                  <c:v>43986</c:v>
                </c:pt>
                <c:pt idx="603">
                  <c:v>43985</c:v>
                </c:pt>
                <c:pt idx="604">
                  <c:v>43984</c:v>
                </c:pt>
                <c:pt idx="605">
                  <c:v>43983</c:v>
                </c:pt>
                <c:pt idx="606">
                  <c:v>43982</c:v>
                </c:pt>
                <c:pt idx="607">
                  <c:v>43981</c:v>
                </c:pt>
                <c:pt idx="608">
                  <c:v>43980</c:v>
                </c:pt>
                <c:pt idx="609">
                  <c:v>43979</c:v>
                </c:pt>
                <c:pt idx="610">
                  <c:v>43978</c:v>
                </c:pt>
                <c:pt idx="611">
                  <c:v>43977</c:v>
                </c:pt>
                <c:pt idx="612">
                  <c:v>43976</c:v>
                </c:pt>
                <c:pt idx="613">
                  <c:v>43975</c:v>
                </c:pt>
                <c:pt idx="614">
                  <c:v>43974</c:v>
                </c:pt>
                <c:pt idx="615">
                  <c:v>43973</c:v>
                </c:pt>
                <c:pt idx="616">
                  <c:v>43972</c:v>
                </c:pt>
                <c:pt idx="617">
                  <c:v>43971</c:v>
                </c:pt>
                <c:pt idx="618">
                  <c:v>43970</c:v>
                </c:pt>
                <c:pt idx="619">
                  <c:v>43969</c:v>
                </c:pt>
                <c:pt idx="620">
                  <c:v>43968</c:v>
                </c:pt>
                <c:pt idx="621">
                  <c:v>43967</c:v>
                </c:pt>
                <c:pt idx="622">
                  <c:v>43966</c:v>
                </c:pt>
                <c:pt idx="623">
                  <c:v>43965</c:v>
                </c:pt>
                <c:pt idx="624">
                  <c:v>43964</c:v>
                </c:pt>
              </c:numCache>
            </c:numRef>
          </c:cat>
          <c:val>
            <c:numRef>
              <c:f>'table (1)'!$T$5:$T$1000</c:f>
              <c:numCache>
                <c:formatCode>General</c:formatCode>
                <c:ptCount val="996"/>
                <c:pt idx="0">
                  <c:v>-5.6590798740997243</c:v>
                </c:pt>
                <c:pt idx="1">
                  <c:v>-5.6572407240997249</c:v>
                </c:pt>
                <c:pt idx="2">
                  <c:v>-5.6426383304946297</c:v>
                </c:pt>
                <c:pt idx="3">
                  <c:v>-5.6556108007245136</c:v>
                </c:pt>
                <c:pt idx="4">
                  <c:v>-5.7164724387766448</c:v>
                </c:pt>
                <c:pt idx="5">
                  <c:v>-5.7790716004040545</c:v>
                </c:pt>
                <c:pt idx="6">
                  <c:v>-5.7748785552972528</c:v>
                </c:pt>
                <c:pt idx="7">
                  <c:v>-5.6794806965673157</c:v>
                </c:pt>
                <c:pt idx="8">
                  <c:v>-5.6210392393001714</c:v>
                </c:pt>
                <c:pt idx="9">
                  <c:v>-5.5770375754199222</c:v>
                </c:pt>
                <c:pt idx="10">
                  <c:v>-5.5660193964725533</c:v>
                </c:pt>
                <c:pt idx="11">
                  <c:v>-5.540959087295338</c:v>
                </c:pt>
                <c:pt idx="12">
                  <c:v>-5.5418624548595981</c:v>
                </c:pt>
                <c:pt idx="13">
                  <c:v>-5.5281515860621298</c:v>
                </c:pt>
                <c:pt idx="14">
                  <c:v>-5.512952275102097</c:v>
                </c:pt>
                <c:pt idx="15">
                  <c:v>-5.4681870870048455</c:v>
                </c:pt>
                <c:pt idx="16">
                  <c:v>-5.4903543551338769</c:v>
                </c:pt>
                <c:pt idx="17">
                  <c:v>-5.5731676665072678</c:v>
                </c:pt>
                <c:pt idx="18">
                  <c:v>-5.5574811110786957</c:v>
                </c:pt>
                <c:pt idx="19">
                  <c:v>-5.5507603300057138</c:v>
                </c:pt>
                <c:pt idx="20">
                  <c:v>-5.4896303133894433</c:v>
                </c:pt>
                <c:pt idx="21">
                  <c:v>-5.3734629579548372</c:v>
                </c:pt>
                <c:pt idx="22">
                  <c:v>-5.3751854150971523</c:v>
                </c:pt>
                <c:pt idx="23">
                  <c:v>-5.2192467106223317</c:v>
                </c:pt>
                <c:pt idx="24">
                  <c:v>-5.1467625646879576</c:v>
                </c:pt>
                <c:pt idx="25">
                  <c:v>-4.9531087999987244</c:v>
                </c:pt>
                <c:pt idx="26">
                  <c:v>-4.9170065184446159</c:v>
                </c:pt>
                <c:pt idx="27">
                  <c:v>-4.8415052399618181</c:v>
                </c:pt>
                <c:pt idx="28">
                  <c:v>-4.7029086810777603</c:v>
                </c:pt>
                <c:pt idx="29">
                  <c:v>-4.2206151486786014</c:v>
                </c:pt>
                <c:pt idx="30">
                  <c:v>-4.3210735074740034</c:v>
                </c:pt>
                <c:pt idx="31">
                  <c:v>-4.2322926891694461</c:v>
                </c:pt>
                <c:pt idx="32">
                  <c:v>-4.2052512576907501</c:v>
                </c:pt>
                <c:pt idx="33">
                  <c:v>-4.1688426843440167</c:v>
                </c:pt>
                <c:pt idx="34">
                  <c:v>-4.1459761408902009</c:v>
                </c:pt>
                <c:pt idx="35">
                  <c:v>-4.0413891888522864</c:v>
                </c:pt>
                <c:pt idx="36">
                  <c:v>-4.0797564002500097</c:v>
                </c:pt>
                <c:pt idx="37">
                  <c:v>-4.0242507878995557</c:v>
                </c:pt>
                <c:pt idx="38">
                  <c:v>-3.9084118756607502</c:v>
                </c:pt>
                <c:pt idx="39">
                  <c:v>-3.8981870912369412</c:v>
                </c:pt>
                <c:pt idx="40">
                  <c:v>-3.4865105246744412</c:v>
                </c:pt>
                <c:pt idx="41">
                  <c:v>-3.5609300805978861</c:v>
                </c:pt>
                <c:pt idx="42">
                  <c:v>-2.7430732684820267</c:v>
                </c:pt>
                <c:pt idx="43">
                  <c:v>-3.9665871307420502</c:v>
                </c:pt>
                <c:pt idx="44">
                  <c:v>-4.0054149625568654</c:v>
                </c:pt>
                <c:pt idx="45">
                  <c:v>-3.9184337094882999</c:v>
                </c:pt>
                <c:pt idx="46">
                  <c:v>-3.7996451099684849</c:v>
                </c:pt>
                <c:pt idx="47">
                  <c:v>-3.7414807937018186</c:v>
                </c:pt>
                <c:pt idx="48">
                  <c:v>-3.7435073856442651</c:v>
                </c:pt>
                <c:pt idx="49">
                  <c:v>-3.5457613116442643</c:v>
                </c:pt>
                <c:pt idx="50">
                  <c:v>-3.4184970268338901</c:v>
                </c:pt>
                <c:pt idx="51">
                  <c:v>-3.2694425954604607</c:v>
                </c:pt>
                <c:pt idx="52">
                  <c:v>-3.1394092387538564</c:v>
                </c:pt>
                <c:pt idx="53">
                  <c:v>-2.8474875873677576</c:v>
                </c:pt>
                <c:pt idx="54">
                  <c:v>-2.956025525921405</c:v>
                </c:pt>
                <c:pt idx="55">
                  <c:v>-2.5931402714544594</c:v>
                </c:pt>
                <c:pt idx="56">
                  <c:v>-1.270940138174343</c:v>
                </c:pt>
                <c:pt idx="57">
                  <c:v>-3.9279784941943912</c:v>
                </c:pt>
                <c:pt idx="58">
                  <c:v>-3.9095778034100777</c:v>
                </c:pt>
                <c:pt idx="59">
                  <c:v>-3.8728107055031011</c:v>
                </c:pt>
                <c:pt idx="60">
                  <c:v>-3.8726309195333624</c:v>
                </c:pt>
                <c:pt idx="61">
                  <c:v>-3.8763410564979495</c:v>
                </c:pt>
                <c:pt idx="62">
                  <c:v>-3.8801134821988841</c:v>
                </c:pt>
                <c:pt idx="63">
                  <c:v>-3.8590091470675358</c:v>
                </c:pt>
                <c:pt idx="64">
                  <c:v>-3.8636028825133955</c:v>
                </c:pt>
                <c:pt idx="65">
                  <c:v>-3.8603149914733956</c:v>
                </c:pt>
                <c:pt idx="66">
                  <c:v>-3.8639209134775712</c:v>
                </c:pt>
                <c:pt idx="67">
                  <c:v>-3.8574153869474506</c:v>
                </c:pt>
                <c:pt idx="68">
                  <c:v>-3.8245790823480439</c:v>
                </c:pt>
                <c:pt idx="69">
                  <c:v>-3.8075019032271649</c:v>
                </c:pt>
                <c:pt idx="70">
                  <c:v>-3.8132840374997725</c:v>
                </c:pt>
                <c:pt idx="71">
                  <c:v>-3.8026269624788522</c:v>
                </c:pt>
                <c:pt idx="72">
                  <c:v>-3.8093264325312086</c:v>
                </c:pt>
                <c:pt idx="73">
                  <c:v>-3.7972545093273253</c:v>
                </c:pt>
                <c:pt idx="74">
                  <c:v>-3.7888187561455071</c:v>
                </c:pt>
                <c:pt idx="75">
                  <c:v>-3.7947082454646557</c:v>
                </c:pt>
                <c:pt idx="76">
                  <c:v>-3.7945669688857082</c:v>
                </c:pt>
                <c:pt idx="77">
                  <c:v>-3.7955711919626314</c:v>
                </c:pt>
                <c:pt idx="78">
                  <c:v>-3.8066970998101097</c:v>
                </c:pt>
                <c:pt idx="79">
                  <c:v>-3.7912633854522149</c:v>
                </c:pt>
                <c:pt idx="80">
                  <c:v>-3.7920415965551562</c:v>
                </c:pt>
                <c:pt idx="81">
                  <c:v>-3.7945422976041074</c:v>
                </c:pt>
                <c:pt idx="82">
                  <c:v>-3.7910720285775583</c:v>
                </c:pt>
                <c:pt idx="83">
                  <c:v>-3.7974909901461857</c:v>
                </c:pt>
                <c:pt idx="84">
                  <c:v>-3.7876863444565307</c:v>
                </c:pt>
                <c:pt idx="85">
                  <c:v>-3.7880182170902756</c:v>
                </c:pt>
                <c:pt idx="86">
                  <c:v>-3.7566689549042298</c:v>
                </c:pt>
                <c:pt idx="87">
                  <c:v>-3.7752519925330952</c:v>
                </c:pt>
                <c:pt idx="88">
                  <c:v>-3.7631488280150229</c:v>
                </c:pt>
                <c:pt idx="89">
                  <c:v>-3.7583252481876652</c:v>
                </c:pt>
                <c:pt idx="90">
                  <c:v>-3.7402484574512314</c:v>
                </c:pt>
                <c:pt idx="91">
                  <c:v>-3.7304053121427669</c:v>
                </c:pt>
                <c:pt idx="92">
                  <c:v>-3.7388443466255254</c:v>
                </c:pt>
                <c:pt idx="93">
                  <c:v>-3.7138669622978799</c:v>
                </c:pt>
                <c:pt idx="94">
                  <c:v>-3.6688408059701407</c:v>
                </c:pt>
                <c:pt idx="95">
                  <c:v>-3.6464727586671444</c:v>
                </c:pt>
                <c:pt idx="96">
                  <c:v>-3.6340500920004772</c:v>
                </c:pt>
                <c:pt idx="97">
                  <c:v>-3.6433234685407614</c:v>
                </c:pt>
                <c:pt idx="98">
                  <c:v>-3.6312233781345116</c:v>
                </c:pt>
                <c:pt idx="99">
                  <c:v>-3.57553953224124</c:v>
                </c:pt>
                <c:pt idx="100">
                  <c:v>-3.5316591630983831</c:v>
                </c:pt>
                <c:pt idx="101">
                  <c:v>-3.5362275482401597</c:v>
                </c:pt>
                <c:pt idx="102">
                  <c:v>-3.5250728347328533</c:v>
                </c:pt>
                <c:pt idx="103">
                  <c:v>-3.488952173863288</c:v>
                </c:pt>
                <c:pt idx="104">
                  <c:v>-3.4751093577670318</c:v>
                </c:pt>
                <c:pt idx="105">
                  <c:v>-3.4961242630460019</c:v>
                </c:pt>
                <c:pt idx="106">
                  <c:v>-3.487488278810194</c:v>
                </c:pt>
                <c:pt idx="107">
                  <c:v>-3.3505627000235174</c:v>
                </c:pt>
                <c:pt idx="108">
                  <c:v>-3.3563589280306982</c:v>
                </c:pt>
                <c:pt idx="109">
                  <c:v>-3.3600750005109092</c:v>
                </c:pt>
                <c:pt idx="110">
                  <c:v>-3.3482751079859923</c:v>
                </c:pt>
                <c:pt idx="111">
                  <c:v>-3.319405366750471</c:v>
                </c:pt>
                <c:pt idx="112">
                  <c:v>-3.3213774000356695</c:v>
                </c:pt>
                <c:pt idx="113">
                  <c:v>-3.1874508156781274</c:v>
                </c:pt>
                <c:pt idx="114">
                  <c:v>-3.2103103199792025</c:v>
                </c:pt>
                <c:pt idx="115">
                  <c:v>-3.206048436308873</c:v>
                </c:pt>
                <c:pt idx="116">
                  <c:v>-3.2071949207384036</c:v>
                </c:pt>
                <c:pt idx="117">
                  <c:v>-3.2057778952252773</c:v>
                </c:pt>
                <c:pt idx="118">
                  <c:v>-3.2086448126671381</c:v>
                </c:pt>
                <c:pt idx="119">
                  <c:v>-3.2267896931379476</c:v>
                </c:pt>
                <c:pt idx="120">
                  <c:v>-3.2341389199391006</c:v>
                </c:pt>
                <c:pt idx="121">
                  <c:v>-3.2275709596525464</c:v>
                </c:pt>
                <c:pt idx="122">
                  <c:v>-3.1985309988498694</c:v>
                </c:pt>
                <c:pt idx="123">
                  <c:v>-3.1614704225340802</c:v>
                </c:pt>
                <c:pt idx="124">
                  <c:v>-3.1635528719648702</c:v>
                </c:pt>
                <c:pt idx="125">
                  <c:v>-3.1582038721318844</c:v>
                </c:pt>
                <c:pt idx="126">
                  <c:v>-3.1451335006035004</c:v>
                </c:pt>
                <c:pt idx="127">
                  <c:v>-3.1582590582055414</c:v>
                </c:pt>
                <c:pt idx="128">
                  <c:v>-3.1742430978359533</c:v>
                </c:pt>
                <c:pt idx="129">
                  <c:v>-3.1496628097227459</c:v>
                </c:pt>
                <c:pt idx="130">
                  <c:v>-3.1391270490423335</c:v>
                </c:pt>
                <c:pt idx="131">
                  <c:v>-3.1181500936524249</c:v>
                </c:pt>
                <c:pt idx="132">
                  <c:v>-3.1198990043250707</c:v>
                </c:pt>
                <c:pt idx="133">
                  <c:v>-3.1118648162298324</c:v>
                </c:pt>
                <c:pt idx="134">
                  <c:v>-3.1139512895631651</c:v>
                </c:pt>
                <c:pt idx="135">
                  <c:v>-3.1354435024862419</c:v>
                </c:pt>
                <c:pt idx="136">
                  <c:v>-3.135534955704633</c:v>
                </c:pt>
                <c:pt idx="137">
                  <c:v>-3.1578805767684623</c:v>
                </c:pt>
                <c:pt idx="138">
                  <c:v>-3.1631920297345646</c:v>
                </c:pt>
                <c:pt idx="139">
                  <c:v>-3.1572353325463003</c:v>
                </c:pt>
                <c:pt idx="140">
                  <c:v>-3.1540905969934752</c:v>
                </c:pt>
                <c:pt idx="141">
                  <c:v>-3.1499464224172038</c:v>
                </c:pt>
                <c:pt idx="142">
                  <c:v>-3.1560578699942967</c:v>
                </c:pt>
                <c:pt idx="143">
                  <c:v>-3.1408899900480973</c:v>
                </c:pt>
                <c:pt idx="144">
                  <c:v>-3.1536584276046589</c:v>
                </c:pt>
                <c:pt idx="145">
                  <c:v>-3.1396286317752344</c:v>
                </c:pt>
                <c:pt idx="146">
                  <c:v>-3.1331401780543042</c:v>
                </c:pt>
                <c:pt idx="147">
                  <c:v>-3.121234665498394</c:v>
                </c:pt>
                <c:pt idx="148">
                  <c:v>-3.1138191554983936</c:v>
                </c:pt>
                <c:pt idx="149">
                  <c:v>-3.1234530818249246</c:v>
                </c:pt>
                <c:pt idx="150">
                  <c:v>-3.1175060820898253</c:v>
                </c:pt>
                <c:pt idx="151">
                  <c:v>-3.0408758706886623</c:v>
                </c:pt>
                <c:pt idx="152">
                  <c:v>-3.0546394827794758</c:v>
                </c:pt>
                <c:pt idx="153">
                  <c:v>-3.0460898764268918</c:v>
                </c:pt>
                <c:pt idx="154">
                  <c:v>-3.0481883607257236</c:v>
                </c:pt>
                <c:pt idx="155">
                  <c:v>-3.0112455501307789</c:v>
                </c:pt>
                <c:pt idx="156">
                  <c:v>-2.859505121788342</c:v>
                </c:pt>
                <c:pt idx="157">
                  <c:v>-2.8513230889831216</c:v>
                </c:pt>
                <c:pt idx="158">
                  <c:v>-2.844554208048542</c:v>
                </c:pt>
                <c:pt idx="159">
                  <c:v>-2.8405147587455861</c:v>
                </c:pt>
                <c:pt idx="160">
                  <c:v>-2.814406698597852</c:v>
                </c:pt>
                <c:pt idx="161">
                  <c:v>-2.7937115504334509</c:v>
                </c:pt>
                <c:pt idx="162">
                  <c:v>-2.8301569161016182</c:v>
                </c:pt>
                <c:pt idx="163">
                  <c:v>-2.8335779243567667</c:v>
                </c:pt>
                <c:pt idx="164">
                  <c:v>-2.8179385724598918</c:v>
                </c:pt>
                <c:pt idx="165">
                  <c:v>-2.8059626426590922</c:v>
                </c:pt>
                <c:pt idx="166">
                  <c:v>-2.8268432712829017</c:v>
                </c:pt>
                <c:pt idx="167">
                  <c:v>-2.7998928897667374</c:v>
                </c:pt>
                <c:pt idx="168">
                  <c:v>-2.8200515773256347</c:v>
                </c:pt>
                <c:pt idx="169">
                  <c:v>-2.824123572389535</c:v>
                </c:pt>
                <c:pt idx="170">
                  <c:v>-2.7706689119880115</c:v>
                </c:pt>
                <c:pt idx="171">
                  <c:v>-2.7572049908358376</c:v>
                </c:pt>
                <c:pt idx="172">
                  <c:v>-2.7013337595808378</c:v>
                </c:pt>
                <c:pt idx="173">
                  <c:v>-2.5859721232891131</c:v>
                </c:pt>
                <c:pt idx="174">
                  <c:v>-2.4444608102034335</c:v>
                </c:pt>
                <c:pt idx="175">
                  <c:v>-2.6957989584637074</c:v>
                </c:pt>
                <c:pt idx="176">
                  <c:v>-2.7024318371473806</c:v>
                </c:pt>
                <c:pt idx="177">
                  <c:v>-2.7075433867964303</c:v>
                </c:pt>
                <c:pt idx="178">
                  <c:v>-2.7053675449783583</c:v>
                </c:pt>
                <c:pt idx="179">
                  <c:v>-2.7016042818547219</c:v>
                </c:pt>
                <c:pt idx="180">
                  <c:v>-2.6901733428910011</c:v>
                </c:pt>
                <c:pt idx="181">
                  <c:v>-2.6914905375637286</c:v>
                </c:pt>
                <c:pt idx="182">
                  <c:v>-2.7122397620621288</c:v>
                </c:pt>
                <c:pt idx="183">
                  <c:v>-2.725018319389064</c:v>
                </c:pt>
                <c:pt idx="184">
                  <c:v>-2.713556305643722</c:v>
                </c:pt>
                <c:pt idx="185">
                  <c:v>-2.7531656322977502</c:v>
                </c:pt>
                <c:pt idx="186">
                  <c:v>-2.7239835705289877</c:v>
                </c:pt>
                <c:pt idx="187">
                  <c:v>-2.7564066052924971</c:v>
                </c:pt>
                <c:pt idx="188">
                  <c:v>-2.7621172958517564</c:v>
                </c:pt>
                <c:pt idx="189">
                  <c:v>-2.7781789664569736</c:v>
                </c:pt>
                <c:pt idx="190">
                  <c:v>-2.770974205568085</c:v>
                </c:pt>
                <c:pt idx="191">
                  <c:v>-2.7767847336483937</c:v>
                </c:pt>
                <c:pt idx="192">
                  <c:v>-2.770499949975723</c:v>
                </c:pt>
                <c:pt idx="193">
                  <c:v>-2.7613589270327323</c:v>
                </c:pt>
                <c:pt idx="194">
                  <c:v>-2.7406287109910425</c:v>
                </c:pt>
                <c:pt idx="195">
                  <c:v>-2.6886941088418541</c:v>
                </c:pt>
                <c:pt idx="196">
                  <c:v>-2.6650064151418538</c:v>
                </c:pt>
                <c:pt idx="197">
                  <c:v>-2.657275656858324</c:v>
                </c:pt>
                <c:pt idx="198">
                  <c:v>-2.6666007403122975</c:v>
                </c:pt>
                <c:pt idx="199">
                  <c:v>-2.6506204417883543</c:v>
                </c:pt>
                <c:pt idx="200">
                  <c:v>-2.6314877278444051</c:v>
                </c:pt>
                <c:pt idx="201">
                  <c:v>-2.6228645137497204</c:v>
                </c:pt>
                <c:pt idx="202">
                  <c:v>-2.6034439808024907</c:v>
                </c:pt>
                <c:pt idx="203">
                  <c:v>-2.6067802316184485</c:v>
                </c:pt>
                <c:pt idx="204">
                  <c:v>-2.5936914473085011</c:v>
                </c:pt>
                <c:pt idx="205">
                  <c:v>-2.5746968179231353</c:v>
                </c:pt>
                <c:pt idx="206">
                  <c:v>-2.5701143739427579</c:v>
                </c:pt>
                <c:pt idx="207">
                  <c:v>-2.5859033197139287</c:v>
                </c:pt>
                <c:pt idx="208">
                  <c:v>-2.5451456392444616</c:v>
                </c:pt>
                <c:pt idx="209">
                  <c:v>-2.5517738098357658</c:v>
                </c:pt>
                <c:pt idx="210">
                  <c:v>-2.5655950851584381</c:v>
                </c:pt>
                <c:pt idx="211">
                  <c:v>-2.5585528873994634</c:v>
                </c:pt>
                <c:pt idx="212">
                  <c:v>-2.5678094944724794</c:v>
                </c:pt>
                <c:pt idx="213">
                  <c:v>-2.5674254733956472</c:v>
                </c:pt>
                <c:pt idx="214">
                  <c:v>-2.5747757858371108</c:v>
                </c:pt>
                <c:pt idx="215">
                  <c:v>-2.5830241252232646</c:v>
                </c:pt>
                <c:pt idx="216">
                  <c:v>-2.5906895883569052</c:v>
                </c:pt>
                <c:pt idx="217">
                  <c:v>-2.5749484251396955</c:v>
                </c:pt>
                <c:pt idx="218">
                  <c:v>-2.5861514031094939</c:v>
                </c:pt>
                <c:pt idx="219">
                  <c:v>-2.5924912567272624</c:v>
                </c:pt>
                <c:pt idx="220">
                  <c:v>-2.5815493435665147</c:v>
                </c:pt>
                <c:pt idx="221">
                  <c:v>-2.5492114286959562</c:v>
                </c:pt>
                <c:pt idx="222">
                  <c:v>-2.5593328338033183</c:v>
                </c:pt>
                <c:pt idx="223">
                  <c:v>-2.5446959473882238</c:v>
                </c:pt>
                <c:pt idx="224">
                  <c:v>-2.5332000201543452</c:v>
                </c:pt>
                <c:pt idx="225">
                  <c:v>-2.5130559626647191</c:v>
                </c:pt>
                <c:pt idx="226">
                  <c:v>-2.4696524408872778</c:v>
                </c:pt>
                <c:pt idx="227">
                  <c:v>-2.4297702685245244</c:v>
                </c:pt>
                <c:pt idx="228">
                  <c:v>-2.4599014080849564</c:v>
                </c:pt>
                <c:pt idx="229">
                  <c:v>-2.4740273472703218</c:v>
                </c:pt>
                <c:pt idx="230">
                  <c:v>-2.4789770026020492</c:v>
                </c:pt>
                <c:pt idx="231">
                  <c:v>-2.3844625054337039</c:v>
                </c:pt>
                <c:pt idx="232">
                  <c:v>-2.347377328637704</c:v>
                </c:pt>
                <c:pt idx="233">
                  <c:v>-2.3611078356769779</c:v>
                </c:pt>
                <c:pt idx="234">
                  <c:v>-2.362017824630668</c:v>
                </c:pt>
                <c:pt idx="235">
                  <c:v>-2.2850609389008483</c:v>
                </c:pt>
                <c:pt idx="236">
                  <c:v>-2.1921283747435147</c:v>
                </c:pt>
                <c:pt idx="237">
                  <c:v>-2.119187659828468</c:v>
                </c:pt>
                <c:pt idx="238">
                  <c:v>-2.0207322604657372</c:v>
                </c:pt>
                <c:pt idx="239">
                  <c:v>-1.6560586476344417</c:v>
                </c:pt>
                <c:pt idx="240">
                  <c:v>-1.6388884127897294</c:v>
                </c:pt>
                <c:pt idx="241">
                  <c:v>-1.5700759390481984</c:v>
                </c:pt>
                <c:pt idx="242">
                  <c:v>-1.4245852506350281</c:v>
                </c:pt>
                <c:pt idx="243">
                  <c:v>-1.5561520461254978</c:v>
                </c:pt>
                <c:pt idx="244">
                  <c:v>-1.5485602953546025</c:v>
                </c:pt>
                <c:pt idx="245">
                  <c:v>-1.5278345187133628</c:v>
                </c:pt>
                <c:pt idx="246">
                  <c:v>-1.5253942444784299</c:v>
                </c:pt>
                <c:pt idx="247">
                  <c:v>-1.5774070550417822</c:v>
                </c:pt>
                <c:pt idx="248">
                  <c:v>-1.6072929949632546</c:v>
                </c:pt>
                <c:pt idx="249">
                  <c:v>-1.6675431915679728</c:v>
                </c:pt>
                <c:pt idx="250">
                  <c:v>-1.3969653672892361</c:v>
                </c:pt>
                <c:pt idx="251">
                  <c:v>-1.4210565031554561</c:v>
                </c:pt>
                <c:pt idx="252">
                  <c:v>-1.3986400624734525</c:v>
                </c:pt>
                <c:pt idx="253">
                  <c:v>-1.4209001327345072</c:v>
                </c:pt>
                <c:pt idx="254">
                  <c:v>-1.3842386871018781</c:v>
                </c:pt>
                <c:pt idx="255">
                  <c:v>-1.3555081886599882</c:v>
                </c:pt>
                <c:pt idx="256">
                  <c:v>-1.3301481999026612</c:v>
                </c:pt>
                <c:pt idx="257">
                  <c:v>-1.2772132448001339</c:v>
                </c:pt>
                <c:pt idx="258">
                  <c:v>-0.99418580362706355</c:v>
                </c:pt>
                <c:pt idx="259">
                  <c:v>-1.097978618527675</c:v>
                </c:pt>
                <c:pt idx="260">
                  <c:v>-0.98873637197930264</c:v>
                </c:pt>
                <c:pt idx="261">
                  <c:v>-3.5177071019298137E-2</c:v>
                </c:pt>
                <c:pt idx="262">
                  <c:v>-5.8998801503508662E-2</c:v>
                </c:pt>
                <c:pt idx="263">
                  <c:v>-2.1094263933531209E-2</c:v>
                </c:pt>
                <c:pt idx="264">
                  <c:v>-2.3212532984109312E-2</c:v>
                </c:pt>
                <c:pt idx="265">
                  <c:v>2.7469304812125579E-3</c:v>
                </c:pt>
                <c:pt idx="266">
                  <c:v>7.1474067411144274E-2</c:v>
                </c:pt>
                <c:pt idx="267">
                  <c:v>5.0623821887534053E-2</c:v>
                </c:pt>
                <c:pt idx="268">
                  <c:v>2.6124508717270199E-2</c:v>
                </c:pt>
                <c:pt idx="269">
                  <c:v>6.7431350791002903E-2</c:v>
                </c:pt>
                <c:pt idx="270">
                  <c:v>0.10318272919576488</c:v>
                </c:pt>
                <c:pt idx="271">
                  <c:v>0.12363459750260253</c:v>
                </c:pt>
                <c:pt idx="272">
                  <c:v>0.10260689731810765</c:v>
                </c:pt>
                <c:pt idx="273">
                  <c:v>7.5162394824857259E-2</c:v>
                </c:pt>
                <c:pt idx="274">
                  <c:v>-7.1054683474069784E-3</c:v>
                </c:pt>
                <c:pt idx="275">
                  <c:v>-1.3873277886300569E-2</c:v>
                </c:pt>
                <c:pt idx="276">
                  <c:v>-3.0630661968492259E-2</c:v>
                </c:pt>
                <c:pt idx="277">
                  <c:v>-5.6579295306514225E-2</c:v>
                </c:pt>
                <c:pt idx="278">
                  <c:v>2.3205630955869447E-2</c:v>
                </c:pt>
                <c:pt idx="279">
                  <c:v>5.7784540650378032E-2</c:v>
                </c:pt>
                <c:pt idx="280">
                  <c:v>3.9106423413250387E-2</c:v>
                </c:pt>
                <c:pt idx="281">
                  <c:v>6.5769021089233951E-2</c:v>
                </c:pt>
                <c:pt idx="282">
                  <c:v>8.6309000217332468E-2</c:v>
                </c:pt>
                <c:pt idx="283">
                  <c:v>7.2675630055884038E-2</c:v>
                </c:pt>
                <c:pt idx="284">
                  <c:v>0.11031118696525112</c:v>
                </c:pt>
                <c:pt idx="285">
                  <c:v>0.11062501124956303</c:v>
                </c:pt>
                <c:pt idx="286">
                  <c:v>9.8844660835403747E-2</c:v>
                </c:pt>
                <c:pt idx="287">
                  <c:v>0.10461774483975157</c:v>
                </c:pt>
                <c:pt idx="288">
                  <c:v>9.9055444894099384E-2</c:v>
                </c:pt>
                <c:pt idx="289">
                  <c:v>0.10498666635807202</c:v>
                </c:pt>
                <c:pt idx="290">
                  <c:v>0.10673999307423974</c:v>
                </c:pt>
                <c:pt idx="291">
                  <c:v>0.10923060473781121</c:v>
                </c:pt>
                <c:pt idx="292">
                  <c:v>6.8940145964189806E-2</c:v>
                </c:pt>
                <c:pt idx="293">
                  <c:v>8.3731348435980901E-2</c:v>
                </c:pt>
                <c:pt idx="294">
                  <c:v>6.6259206775305057E-2</c:v>
                </c:pt>
                <c:pt idx="295">
                  <c:v>5.2234996672586034E-2</c:v>
                </c:pt>
                <c:pt idx="296">
                  <c:v>6.2846627248248091E-2</c:v>
                </c:pt>
                <c:pt idx="297">
                  <c:v>7.8916019076819513E-2</c:v>
                </c:pt>
                <c:pt idx="298">
                  <c:v>2.2611074745855015E-2</c:v>
                </c:pt>
                <c:pt idx="299">
                  <c:v>9.1214182343689817E-3</c:v>
                </c:pt>
                <c:pt idx="300">
                  <c:v>2.5896671519998186E-2</c:v>
                </c:pt>
                <c:pt idx="301">
                  <c:v>3.5240141501048622E-2</c:v>
                </c:pt>
                <c:pt idx="302">
                  <c:v>3.4952395760528061E-2</c:v>
                </c:pt>
                <c:pt idx="303">
                  <c:v>3.8539340427194736E-2</c:v>
                </c:pt>
                <c:pt idx="304">
                  <c:v>3.9776095416938322E-2</c:v>
                </c:pt>
                <c:pt idx="305">
                  <c:v>-2.3795522434931091E-2</c:v>
                </c:pt>
                <c:pt idx="306">
                  <c:v>-3.1270341693936277E-2</c:v>
                </c:pt>
                <c:pt idx="307">
                  <c:v>-2.0363578210772601E-2</c:v>
                </c:pt>
                <c:pt idx="308">
                  <c:v>-6.0387720865363738E-2</c:v>
                </c:pt>
                <c:pt idx="309">
                  <c:v>-5.0863418937877707E-2</c:v>
                </c:pt>
                <c:pt idx="310">
                  <c:v>-2.8562163564637033E-2</c:v>
                </c:pt>
                <c:pt idx="311">
                  <c:v>-3.9709684229066573E-2</c:v>
                </c:pt>
                <c:pt idx="312">
                  <c:v>-2.5029604952044947E-2</c:v>
                </c:pt>
                <c:pt idx="313">
                  <c:v>-2.8408091068443182E-2</c:v>
                </c:pt>
                <c:pt idx="314">
                  <c:v>-1.2479496768443182E-2</c:v>
                </c:pt>
                <c:pt idx="315">
                  <c:v>-2.4261659401220607E-2</c:v>
                </c:pt>
                <c:pt idx="316">
                  <c:v>-2.0691049864155861E-2</c:v>
                </c:pt>
                <c:pt idx="317">
                  <c:v>-3.5096130489304142E-2</c:v>
                </c:pt>
                <c:pt idx="318">
                  <c:v>-2.8240550123423067E-2</c:v>
                </c:pt>
                <c:pt idx="319">
                  <c:v>-2.1972438633100503E-2</c:v>
                </c:pt>
                <c:pt idx="320">
                  <c:v>-2.1229630135972542E-2</c:v>
                </c:pt>
                <c:pt idx="321">
                  <c:v>-3.7391286250998482E-2</c:v>
                </c:pt>
                <c:pt idx="322">
                  <c:v>-5.3722966215245291E-2</c:v>
                </c:pt>
                <c:pt idx="323">
                  <c:v>-6.3419325583793706E-2</c:v>
                </c:pt>
                <c:pt idx="324">
                  <c:v>-5.2908805544159547E-2</c:v>
                </c:pt>
                <c:pt idx="325">
                  <c:v>-6.816548281009896E-2</c:v>
                </c:pt>
                <c:pt idx="326">
                  <c:v>-7.4309652426078371E-2</c:v>
                </c:pt>
                <c:pt idx="327">
                  <c:v>-7.7669964809311862E-2</c:v>
                </c:pt>
                <c:pt idx="328">
                  <c:v>-8.3902432833180204E-2</c:v>
                </c:pt>
                <c:pt idx="329">
                  <c:v>-9.6246575522191194E-2</c:v>
                </c:pt>
                <c:pt idx="330">
                  <c:v>-9.258677680628663E-2</c:v>
                </c:pt>
                <c:pt idx="331">
                  <c:v>-7.5890657969039585E-2</c:v>
                </c:pt>
                <c:pt idx="332">
                  <c:v>-7.8778194713720426E-2</c:v>
                </c:pt>
                <c:pt idx="333">
                  <c:v>-8.2885328196739286E-2</c:v>
                </c:pt>
                <c:pt idx="334">
                  <c:v>-6.3653784288629195E-2</c:v>
                </c:pt>
                <c:pt idx="335">
                  <c:v>-6.4445311129509686E-2</c:v>
                </c:pt>
                <c:pt idx="336">
                  <c:v>-6.3226187649952595E-2</c:v>
                </c:pt>
                <c:pt idx="337">
                  <c:v>-5.0967055747022198E-2</c:v>
                </c:pt>
                <c:pt idx="338">
                  <c:v>-5.282761723359463E-2</c:v>
                </c:pt>
                <c:pt idx="339">
                  <c:v>-4.8186002782375136E-2</c:v>
                </c:pt>
                <c:pt idx="340">
                  <c:v>-4.2259770873005455E-2</c:v>
                </c:pt>
                <c:pt idx="341">
                  <c:v>-5.2730488721452244E-2</c:v>
                </c:pt>
                <c:pt idx="342">
                  <c:v>-3.268246233496578E-2</c:v>
                </c:pt>
                <c:pt idx="343">
                  <c:v>-2.1196371585032712E-2</c:v>
                </c:pt>
                <c:pt idx="344">
                  <c:v>-1.6002915261721776E-2</c:v>
                </c:pt>
                <c:pt idx="345">
                  <c:v>-2.4787275704344709E-2</c:v>
                </c:pt>
                <c:pt idx="346">
                  <c:v>-6.5654497366867213E-3</c:v>
                </c:pt>
                <c:pt idx="347">
                  <c:v>-7.4791343274186711E-2</c:v>
                </c:pt>
                <c:pt idx="348">
                  <c:v>-6.9592525783787593E-2</c:v>
                </c:pt>
                <c:pt idx="349">
                  <c:v>-8.5716549452398719E-2</c:v>
                </c:pt>
                <c:pt idx="350">
                  <c:v>-0.10707953733729303</c:v>
                </c:pt>
                <c:pt idx="351">
                  <c:v>-0.1297480472469543</c:v>
                </c:pt>
                <c:pt idx="352">
                  <c:v>-0.15346932079480002</c:v>
                </c:pt>
                <c:pt idx="353">
                  <c:v>-0.17499875116157745</c:v>
                </c:pt>
                <c:pt idx="354">
                  <c:v>-0.18118419143092945</c:v>
                </c:pt>
                <c:pt idx="355">
                  <c:v>-0.18193950856246099</c:v>
                </c:pt>
                <c:pt idx="356">
                  <c:v>-0.17659194686004809</c:v>
                </c:pt>
                <c:pt idx="357">
                  <c:v>-0.18217948658120192</c:v>
                </c:pt>
                <c:pt idx="358">
                  <c:v>-0.18472720692194267</c:v>
                </c:pt>
                <c:pt idx="359">
                  <c:v>-0.15190751135220582</c:v>
                </c:pt>
                <c:pt idx="360">
                  <c:v>-0.16396390874535219</c:v>
                </c:pt>
                <c:pt idx="361">
                  <c:v>-0.14894149918829408</c:v>
                </c:pt>
                <c:pt idx="362">
                  <c:v>-0.15309256231750515</c:v>
                </c:pt>
                <c:pt idx="363">
                  <c:v>-0.15576129359932336</c:v>
                </c:pt>
                <c:pt idx="364">
                  <c:v>-0.15057759789792802</c:v>
                </c:pt>
                <c:pt idx="365">
                  <c:v>-0.15322558004278783</c:v>
                </c:pt>
                <c:pt idx="366">
                  <c:v>-0.14973313104200042</c:v>
                </c:pt>
                <c:pt idx="367">
                  <c:v>-0.16009158778337973</c:v>
                </c:pt>
                <c:pt idx="368">
                  <c:v>-0.15597149659069681</c:v>
                </c:pt>
                <c:pt idx="369">
                  <c:v>-0.15743917932759002</c:v>
                </c:pt>
                <c:pt idx="370">
                  <c:v>-0.16052853336772374</c:v>
                </c:pt>
                <c:pt idx="371">
                  <c:v>-0.1630526846488872</c:v>
                </c:pt>
                <c:pt idx="372">
                  <c:v>-0.15751767916032272</c:v>
                </c:pt>
                <c:pt idx="373">
                  <c:v>-0.15840397508889414</c:v>
                </c:pt>
                <c:pt idx="374">
                  <c:v>-0.15463363569600874</c:v>
                </c:pt>
                <c:pt idx="375">
                  <c:v>-0.15829529331125042</c:v>
                </c:pt>
                <c:pt idx="376">
                  <c:v>-0.15878849515593127</c:v>
                </c:pt>
                <c:pt idx="377">
                  <c:v>-0.16033542737372486</c:v>
                </c:pt>
                <c:pt idx="378">
                  <c:v>-0.16167185483798913</c:v>
                </c:pt>
                <c:pt idx="379">
                  <c:v>-0.15963392764434364</c:v>
                </c:pt>
                <c:pt idx="380">
                  <c:v>-0.16359745526968608</c:v>
                </c:pt>
                <c:pt idx="381">
                  <c:v>-0.15818343467335583</c:v>
                </c:pt>
                <c:pt idx="382">
                  <c:v>-0.1538905203000604</c:v>
                </c:pt>
                <c:pt idx="383">
                  <c:v>-0.14314698535446288</c:v>
                </c:pt>
                <c:pt idx="384">
                  <c:v>-0.1497838470683848</c:v>
                </c:pt>
                <c:pt idx="385">
                  <c:v>-0.15240828008180762</c:v>
                </c:pt>
                <c:pt idx="386">
                  <c:v>-0.15165343599145392</c:v>
                </c:pt>
                <c:pt idx="387">
                  <c:v>-0.15672151498985393</c:v>
                </c:pt>
                <c:pt idx="388">
                  <c:v>-0.15979227710750099</c:v>
                </c:pt>
                <c:pt idx="389">
                  <c:v>-0.16185372074386462</c:v>
                </c:pt>
                <c:pt idx="390">
                  <c:v>-0.16499128014434308</c:v>
                </c:pt>
                <c:pt idx="391">
                  <c:v>-0.16464766412585566</c:v>
                </c:pt>
                <c:pt idx="392">
                  <c:v>-0.164711094484189</c:v>
                </c:pt>
                <c:pt idx="393">
                  <c:v>-0.16684998580883356</c:v>
                </c:pt>
                <c:pt idx="394">
                  <c:v>-0.16502578526369641</c:v>
                </c:pt>
                <c:pt idx="395">
                  <c:v>-0.16465656132035364</c:v>
                </c:pt>
                <c:pt idx="396">
                  <c:v>-0.1659039891980196</c:v>
                </c:pt>
                <c:pt idx="397">
                  <c:v>-0.1649979126148135</c:v>
                </c:pt>
                <c:pt idx="398">
                  <c:v>-0.16406931501005162</c:v>
                </c:pt>
                <c:pt idx="399">
                  <c:v>-0.16360854822975962</c:v>
                </c:pt>
                <c:pt idx="400">
                  <c:v>-0.16567798441537834</c:v>
                </c:pt>
                <c:pt idx="401">
                  <c:v>-0.16287841351579674</c:v>
                </c:pt>
                <c:pt idx="402">
                  <c:v>-0.16191024088487888</c:v>
                </c:pt>
                <c:pt idx="403">
                  <c:v>-0.15850644203033343</c:v>
                </c:pt>
                <c:pt idx="404">
                  <c:v>-0.15266408591161687</c:v>
                </c:pt>
                <c:pt idx="405">
                  <c:v>-0.14901909279003414</c:v>
                </c:pt>
                <c:pt idx="406">
                  <c:v>-0.14853517803334121</c:v>
                </c:pt>
                <c:pt idx="407">
                  <c:v>-0.14632992609732223</c:v>
                </c:pt>
                <c:pt idx="408">
                  <c:v>-0.14980300897900162</c:v>
                </c:pt>
                <c:pt idx="409">
                  <c:v>-0.15062735570180863</c:v>
                </c:pt>
                <c:pt idx="410">
                  <c:v>-0.15020555402180863</c:v>
                </c:pt>
                <c:pt idx="411">
                  <c:v>-0.15067654759541271</c:v>
                </c:pt>
                <c:pt idx="412">
                  <c:v>-0.13990317881600092</c:v>
                </c:pt>
                <c:pt idx="413">
                  <c:v>-0.13872457022479212</c:v>
                </c:pt>
                <c:pt idx="414">
                  <c:v>-0.13907003956969011</c:v>
                </c:pt>
                <c:pt idx="415">
                  <c:v>-0.14029501753034584</c:v>
                </c:pt>
                <c:pt idx="416">
                  <c:v>-0.13671743361606012</c:v>
                </c:pt>
                <c:pt idx="417">
                  <c:v>-0.13659090048494901</c:v>
                </c:pt>
                <c:pt idx="418">
                  <c:v>-0.1368696030963234</c:v>
                </c:pt>
                <c:pt idx="419">
                  <c:v>-0.13804615906663592</c:v>
                </c:pt>
                <c:pt idx="420">
                  <c:v>-0.13608002316108037</c:v>
                </c:pt>
                <c:pt idx="421">
                  <c:v>-0.13665517020541026</c:v>
                </c:pt>
                <c:pt idx="422">
                  <c:v>-0.13815630907464102</c:v>
                </c:pt>
                <c:pt idx="423">
                  <c:v>-0.13486102538208083</c:v>
                </c:pt>
                <c:pt idx="424">
                  <c:v>-0.13645135600418609</c:v>
                </c:pt>
                <c:pt idx="425">
                  <c:v>-0.13620715199585276</c:v>
                </c:pt>
                <c:pt idx="426">
                  <c:v>-0.1372600481059611</c:v>
                </c:pt>
                <c:pt idx="427">
                  <c:v>-0.13396951367955659</c:v>
                </c:pt>
                <c:pt idx="428">
                  <c:v>-0.13044669313175636</c:v>
                </c:pt>
                <c:pt idx="429">
                  <c:v>-0.12645785362982989</c:v>
                </c:pt>
                <c:pt idx="430">
                  <c:v>-0.1334009063264629</c:v>
                </c:pt>
                <c:pt idx="431">
                  <c:v>-0.13613784507369792</c:v>
                </c:pt>
                <c:pt idx="432">
                  <c:v>-0.13466546680899202</c:v>
                </c:pt>
                <c:pt idx="433">
                  <c:v>-0.13752982334335823</c:v>
                </c:pt>
                <c:pt idx="434">
                  <c:v>-0.13913392260787436</c:v>
                </c:pt>
                <c:pt idx="435">
                  <c:v>-0.13743466767808712</c:v>
                </c:pt>
                <c:pt idx="436">
                  <c:v>-0.13462875252718887</c:v>
                </c:pt>
                <c:pt idx="437">
                  <c:v>-0.13585314459290318</c:v>
                </c:pt>
                <c:pt idx="438">
                  <c:v>-0.13679987196516594</c:v>
                </c:pt>
                <c:pt idx="439">
                  <c:v>-0.13424364714792458</c:v>
                </c:pt>
                <c:pt idx="440">
                  <c:v>-0.13670764788773501</c:v>
                </c:pt>
                <c:pt idx="441">
                  <c:v>-0.13824411069728915</c:v>
                </c:pt>
                <c:pt idx="442">
                  <c:v>-0.13410698164274371</c:v>
                </c:pt>
                <c:pt idx="443">
                  <c:v>-0.13560572285143938</c:v>
                </c:pt>
                <c:pt idx="444">
                  <c:v>-0.13733866825678695</c:v>
                </c:pt>
                <c:pt idx="445">
                  <c:v>-0.13727877224647306</c:v>
                </c:pt>
                <c:pt idx="446">
                  <c:v>-0.13867613850002758</c:v>
                </c:pt>
                <c:pt idx="447">
                  <c:v>-0.13520966883008892</c:v>
                </c:pt>
                <c:pt idx="448">
                  <c:v>-0.13916605738200766</c:v>
                </c:pt>
                <c:pt idx="449">
                  <c:v>-0.14068875763729222</c:v>
                </c:pt>
                <c:pt idx="450">
                  <c:v>-0.14038969594971051</c:v>
                </c:pt>
                <c:pt idx="451">
                  <c:v>-0.13999808140971048</c:v>
                </c:pt>
                <c:pt idx="452">
                  <c:v>-0.13643439373916785</c:v>
                </c:pt>
                <c:pt idx="453">
                  <c:v>-0.13860556094213813</c:v>
                </c:pt>
                <c:pt idx="454">
                  <c:v>-0.13869049991972437</c:v>
                </c:pt>
                <c:pt idx="455">
                  <c:v>-0.13642604371076916</c:v>
                </c:pt>
                <c:pt idx="456">
                  <c:v>-0.11707057608303446</c:v>
                </c:pt>
                <c:pt idx="457">
                  <c:v>-0.11099010461439979</c:v>
                </c:pt>
                <c:pt idx="458">
                  <c:v>-0.11109301251622626</c:v>
                </c:pt>
                <c:pt idx="459">
                  <c:v>-0.10810943214073607</c:v>
                </c:pt>
                <c:pt idx="460">
                  <c:v>-0.10568586927231502</c:v>
                </c:pt>
                <c:pt idx="461">
                  <c:v>-0.10497029971645919</c:v>
                </c:pt>
                <c:pt idx="462">
                  <c:v>-0.10326813950808221</c:v>
                </c:pt>
                <c:pt idx="463">
                  <c:v>-0.10485637067058221</c:v>
                </c:pt>
                <c:pt idx="464">
                  <c:v>-0.10569691725293515</c:v>
                </c:pt>
                <c:pt idx="465">
                  <c:v>-0.10532325736513028</c:v>
                </c:pt>
                <c:pt idx="466">
                  <c:v>-0.10416596611941598</c:v>
                </c:pt>
                <c:pt idx="467">
                  <c:v>-0.10608008915633906</c:v>
                </c:pt>
                <c:pt idx="468">
                  <c:v>-0.10575855390455334</c:v>
                </c:pt>
                <c:pt idx="469">
                  <c:v>-0.1055130915893701</c:v>
                </c:pt>
                <c:pt idx="470">
                  <c:v>-0.10596252028291847</c:v>
                </c:pt>
                <c:pt idx="471">
                  <c:v>-0.1050553799905862</c:v>
                </c:pt>
                <c:pt idx="472">
                  <c:v>-0.10463829492353641</c:v>
                </c:pt>
                <c:pt idx="473">
                  <c:v>-0.10469873271936973</c:v>
                </c:pt>
                <c:pt idx="474">
                  <c:v>-0.10424801961936973</c:v>
                </c:pt>
                <c:pt idx="475">
                  <c:v>-0.10377829785344794</c:v>
                </c:pt>
                <c:pt idx="476">
                  <c:v>-0.10477780995344796</c:v>
                </c:pt>
                <c:pt idx="477">
                  <c:v>-0.10579091927145824</c:v>
                </c:pt>
                <c:pt idx="478">
                  <c:v>-0.10640974873812491</c:v>
                </c:pt>
                <c:pt idx="479">
                  <c:v>-0.10564728477112822</c:v>
                </c:pt>
                <c:pt idx="480">
                  <c:v>-0.10532177230823515</c:v>
                </c:pt>
                <c:pt idx="481">
                  <c:v>-0.10571473597307031</c:v>
                </c:pt>
                <c:pt idx="482">
                  <c:v>-0.10571473597307031</c:v>
                </c:pt>
                <c:pt idx="483">
                  <c:v>-0.10483068419989956</c:v>
                </c:pt>
                <c:pt idx="484">
                  <c:v>-0.10473378103124753</c:v>
                </c:pt>
                <c:pt idx="485">
                  <c:v>-0.1037305875968213</c:v>
                </c:pt>
                <c:pt idx="486">
                  <c:v>-0.10415240121671079</c:v>
                </c:pt>
                <c:pt idx="487">
                  <c:v>-9.1705553150255095E-2</c:v>
                </c:pt>
                <c:pt idx="488">
                  <c:v>-9.2523784167496487E-2</c:v>
                </c:pt>
                <c:pt idx="489">
                  <c:v>-9.5219740628949015E-2</c:v>
                </c:pt>
                <c:pt idx="490">
                  <c:v>-9.6479326342210653E-2</c:v>
                </c:pt>
                <c:pt idx="491">
                  <c:v>-9.9034507009763836E-2</c:v>
                </c:pt>
                <c:pt idx="492">
                  <c:v>-9.6576079095810355E-2</c:v>
                </c:pt>
                <c:pt idx="493">
                  <c:v>-9.6880895022340985E-2</c:v>
                </c:pt>
                <c:pt idx="494">
                  <c:v>-9.1858802560501426E-2</c:v>
                </c:pt>
                <c:pt idx="495">
                  <c:v>-9.0930231317077115E-2</c:v>
                </c:pt>
                <c:pt idx="496">
                  <c:v>-9.0710074517077119E-2</c:v>
                </c:pt>
                <c:pt idx="497">
                  <c:v>-8.9388607837199055E-2</c:v>
                </c:pt>
                <c:pt idx="498">
                  <c:v>-8.7325055539938787E-2</c:v>
                </c:pt>
                <c:pt idx="499">
                  <c:v>-8.6089095818886158E-2</c:v>
                </c:pt>
                <c:pt idx="500">
                  <c:v>-8.3356061740633716E-2</c:v>
                </c:pt>
                <c:pt idx="501">
                  <c:v>-8.5697541409238367E-2</c:v>
                </c:pt>
                <c:pt idx="502">
                  <c:v>-8.3463635396408845E-2</c:v>
                </c:pt>
                <c:pt idx="503">
                  <c:v>-8.2771804348789821E-2</c:v>
                </c:pt>
                <c:pt idx="504">
                  <c:v>-8.4086972018497214E-2</c:v>
                </c:pt>
                <c:pt idx="505">
                  <c:v>-8.2313605589061714E-2</c:v>
                </c:pt>
                <c:pt idx="506">
                  <c:v>-8.5208590597280906E-2</c:v>
                </c:pt>
                <c:pt idx="507">
                  <c:v>-8.7631450752048604E-2</c:v>
                </c:pt>
                <c:pt idx="508">
                  <c:v>-8.7219124366647138E-2</c:v>
                </c:pt>
                <c:pt idx="509">
                  <c:v>-9.012624199746283E-2</c:v>
                </c:pt>
                <c:pt idx="510">
                  <c:v>-8.6996209363732008E-2</c:v>
                </c:pt>
                <c:pt idx="511">
                  <c:v>-9.2678685484584009E-2</c:v>
                </c:pt>
                <c:pt idx="512">
                  <c:v>-8.0711759474750427E-2</c:v>
                </c:pt>
                <c:pt idx="513">
                  <c:v>-8.5722309344366462E-2</c:v>
                </c:pt>
                <c:pt idx="514">
                  <c:v>-7.7761332881170778E-2</c:v>
                </c:pt>
                <c:pt idx="515">
                  <c:v>-7.1942892698839939E-2</c:v>
                </c:pt>
                <c:pt idx="516">
                  <c:v>-7.0178724558670816E-2</c:v>
                </c:pt>
                <c:pt idx="517">
                  <c:v>-6.6773412468991128E-2</c:v>
                </c:pt>
                <c:pt idx="518">
                  <c:v>-6.7715850791213325E-2</c:v>
                </c:pt>
                <c:pt idx="519">
                  <c:v>-5.9544812179650533E-2</c:v>
                </c:pt>
                <c:pt idx="520">
                  <c:v>-4.5398686532916857E-2</c:v>
                </c:pt>
                <c:pt idx="521">
                  <c:v>-4.5707271929942235E-2</c:v>
                </c:pt>
                <c:pt idx="522">
                  <c:v>-6.5939657423666087E-2</c:v>
                </c:pt>
                <c:pt idx="523">
                  <c:v>-5.0771900251022885E-2</c:v>
                </c:pt>
                <c:pt idx="524">
                  <c:v>-6.3048001978886645E-2</c:v>
                </c:pt>
                <c:pt idx="525">
                  <c:v>-4.6344298191738534E-2</c:v>
                </c:pt>
                <c:pt idx="526">
                  <c:v>-5.6601904346992755E-2</c:v>
                </c:pt>
                <c:pt idx="527">
                  <c:v>-4.703116848424764E-2</c:v>
                </c:pt>
                <c:pt idx="528">
                  <c:v>-2.9096984511384084E-2</c:v>
                </c:pt>
                <c:pt idx="529">
                  <c:v>-2.983385971777943E-2</c:v>
                </c:pt>
                <c:pt idx="530">
                  <c:v>-3.2689315416602964E-2</c:v>
                </c:pt>
                <c:pt idx="531">
                  <c:v>-3.0684868060946856E-2</c:v>
                </c:pt>
                <c:pt idx="532">
                  <c:v>-2.7922535946798936E-2</c:v>
                </c:pt>
                <c:pt idx="533">
                  <c:v>-2.789508145871946E-2</c:v>
                </c:pt>
                <c:pt idx="534">
                  <c:v>-3.1294869848273982E-2</c:v>
                </c:pt>
                <c:pt idx="535">
                  <c:v>-1.5930124721622512E-2</c:v>
                </c:pt>
                <c:pt idx="536">
                  <c:v>-1.8910223681805581E-2</c:v>
                </c:pt>
                <c:pt idx="537">
                  <c:v>-2.2918627260411734E-2</c:v>
                </c:pt>
                <c:pt idx="538">
                  <c:v>-2.5674022796870075E-2</c:v>
                </c:pt>
                <c:pt idx="539">
                  <c:v>-2.5592159656355605E-2</c:v>
                </c:pt>
                <c:pt idx="540">
                  <c:v>-2.6150863130549158E-2</c:v>
                </c:pt>
                <c:pt idx="541">
                  <c:v>-2.8441833821300607E-2</c:v>
                </c:pt>
                <c:pt idx="542">
                  <c:v>-2.6903020986115411E-2</c:v>
                </c:pt>
                <c:pt idx="543">
                  <c:v>-2.8138494578588549E-2</c:v>
                </c:pt>
                <c:pt idx="544">
                  <c:v>-2.6501929769029733E-2</c:v>
                </c:pt>
                <c:pt idx="545">
                  <c:v>-2.8168117886271132E-2</c:v>
                </c:pt>
                <c:pt idx="546">
                  <c:v>-2.6147287321358851E-2</c:v>
                </c:pt>
                <c:pt idx="547">
                  <c:v>-2.8060829115837408E-2</c:v>
                </c:pt>
                <c:pt idx="548">
                  <c:v>-2.6793501174992344E-2</c:v>
                </c:pt>
                <c:pt idx="549">
                  <c:v>-2.6827706228035795E-2</c:v>
                </c:pt>
                <c:pt idx="550">
                  <c:v>-2.8551594867074846E-2</c:v>
                </c:pt>
                <c:pt idx="551">
                  <c:v>-2.7503464542074852E-2</c:v>
                </c:pt>
                <c:pt idx="552">
                  <c:v>-2.570963057260919E-2</c:v>
                </c:pt>
                <c:pt idx="553">
                  <c:v>-2.3875912524896778E-2</c:v>
                </c:pt>
                <c:pt idx="554">
                  <c:v>-2.1741861513268887E-2</c:v>
                </c:pt>
                <c:pt idx="555">
                  <c:v>-2.198616797160222E-2</c:v>
                </c:pt>
                <c:pt idx="556">
                  <c:v>-2.203506209322385E-2</c:v>
                </c:pt>
                <c:pt idx="557">
                  <c:v>-2.0980509224416511E-2</c:v>
                </c:pt>
                <c:pt idx="558">
                  <c:v>-1.8469239524416519E-2</c:v>
                </c:pt>
                <c:pt idx="559">
                  <c:v>-1.8852241773494014E-2</c:v>
                </c:pt>
                <c:pt idx="560">
                  <c:v>-1.9386401170896617E-2</c:v>
                </c:pt>
                <c:pt idx="561">
                  <c:v>-1.638740353628123E-2</c:v>
                </c:pt>
                <c:pt idx="562">
                  <c:v>-1.6916921369789076E-2</c:v>
                </c:pt>
                <c:pt idx="563">
                  <c:v>-1.8913388695503373E-2</c:v>
                </c:pt>
                <c:pt idx="564">
                  <c:v>-1.7994019314934662E-2</c:v>
                </c:pt>
                <c:pt idx="565">
                  <c:v>-1.7220065953548514E-2</c:v>
                </c:pt>
                <c:pt idx="566">
                  <c:v>-1.8040468633548499E-2</c:v>
                </c:pt>
                <c:pt idx="567">
                  <c:v>-1.7478677542372031E-2</c:v>
                </c:pt>
                <c:pt idx="568">
                  <c:v>-1.8440138810439249E-2</c:v>
                </c:pt>
                <c:pt idx="569">
                  <c:v>-1.9285208416016931E-2</c:v>
                </c:pt>
                <c:pt idx="570">
                  <c:v>-1.8923254468190841E-2</c:v>
                </c:pt>
                <c:pt idx="571">
                  <c:v>-2.0450588888687726E-2</c:v>
                </c:pt>
                <c:pt idx="572">
                  <c:v>-2.1112870762776795E-2</c:v>
                </c:pt>
                <c:pt idx="573">
                  <c:v>-2.1347430464722313E-2</c:v>
                </c:pt>
                <c:pt idx="574">
                  <c:v>-2.134743046472232E-2</c:v>
                </c:pt>
                <c:pt idx="575">
                  <c:v>-2.003711261970386E-2</c:v>
                </c:pt>
                <c:pt idx="576">
                  <c:v>-2.2440952061370537E-2</c:v>
                </c:pt>
                <c:pt idx="577">
                  <c:v>-2.2783030838407572E-2</c:v>
                </c:pt>
                <c:pt idx="578">
                  <c:v>-2.3116165238407572E-2</c:v>
                </c:pt>
                <c:pt idx="579">
                  <c:v>-2.3771824898071437E-2</c:v>
                </c:pt>
                <c:pt idx="580">
                  <c:v>-2.3239397044655288E-2</c:v>
                </c:pt>
                <c:pt idx="581">
                  <c:v>-2.327586865192802E-2</c:v>
                </c:pt>
                <c:pt idx="582">
                  <c:v>-2.3180178561194423E-2</c:v>
                </c:pt>
                <c:pt idx="583">
                  <c:v>-2.0969445289726277E-2</c:v>
                </c:pt>
                <c:pt idx="584">
                  <c:v>-1.8446123871544488E-2</c:v>
                </c:pt>
                <c:pt idx="585">
                  <c:v>-1.992408708399427E-2</c:v>
                </c:pt>
                <c:pt idx="586">
                  <c:v>-1.9391864858187821E-2</c:v>
                </c:pt>
                <c:pt idx="587">
                  <c:v>-1.974066105948652E-2</c:v>
                </c:pt>
                <c:pt idx="588">
                  <c:v>-1.8950555020356086E-2</c:v>
                </c:pt>
                <c:pt idx="589">
                  <c:v>-1.8654803900172604E-2</c:v>
                </c:pt>
                <c:pt idx="590">
                  <c:v>-1.8648608428986156E-2</c:v>
                </c:pt>
                <c:pt idx="591">
                  <c:v>-1.7322406610129012E-2</c:v>
                </c:pt>
                <c:pt idx="592">
                  <c:v>-1.1453996133991078E-2</c:v>
                </c:pt>
                <c:pt idx="593">
                  <c:v>-1.0761565540257397E-2</c:v>
                </c:pt>
                <c:pt idx="594">
                  <c:v>-1.145914360389377E-2</c:v>
                </c:pt>
                <c:pt idx="595">
                  <c:v>-1.3726833703893769E-2</c:v>
                </c:pt>
                <c:pt idx="596">
                  <c:v>-3.436208670108317E-3</c:v>
                </c:pt>
                <c:pt idx="597">
                  <c:v>-3.7176615572958225E-3</c:v>
                </c:pt>
                <c:pt idx="598">
                  <c:v>-7.5278011231494756E-3</c:v>
                </c:pt>
                <c:pt idx="599">
                  <c:v>-6.0034669809272507E-3</c:v>
                </c:pt>
                <c:pt idx="600">
                  <c:v>-7.1733834613620321E-3</c:v>
                </c:pt>
                <c:pt idx="601">
                  <c:v>-8.5790623638010485E-3</c:v>
                </c:pt>
                <c:pt idx="602">
                  <c:v>-1.0330236877693761E-2</c:v>
                </c:pt>
                <c:pt idx="603">
                  <c:v>-1.0011600438984074E-2</c:v>
                </c:pt>
                <c:pt idx="604">
                  <c:v>-1.1774551972574815E-2</c:v>
                </c:pt>
                <c:pt idx="605">
                  <c:v>-1.1414130369639038E-2</c:v>
                </c:pt>
                <c:pt idx="606">
                  <c:v>-1.2116747811375731E-2</c:v>
                </c:pt>
                <c:pt idx="607">
                  <c:v>-9.6400340228622056E-3</c:v>
                </c:pt>
                <c:pt idx="608">
                  <c:v>-8.3971321600950603E-3</c:v>
                </c:pt>
                <c:pt idx="609">
                  <c:v>-8.4781185092570616E-3</c:v>
                </c:pt>
                <c:pt idx="610">
                  <c:v>-7.2421205877716598E-3</c:v>
                </c:pt>
                <c:pt idx="611">
                  <c:v>-5.4025391030638973E-3</c:v>
                </c:pt>
                <c:pt idx="612">
                  <c:v>-6.2966069852628467E-3</c:v>
                </c:pt>
                <c:pt idx="613">
                  <c:v>-7.2619798017185414E-3</c:v>
                </c:pt>
                <c:pt idx="614">
                  <c:v>-4.4481246495446216E-3</c:v>
                </c:pt>
                <c:pt idx="615">
                  <c:v>-1.9563409495446274E-3</c:v>
                </c:pt>
                <c:pt idx="616">
                  <c:v>-3.036742058919629E-3</c:v>
                </c:pt>
                <c:pt idx="617">
                  <c:v>-2.6492193453646409E-3</c:v>
                </c:pt>
                <c:pt idx="618">
                  <c:v>-2.7050709167932186E-3</c:v>
                </c:pt>
                <c:pt idx="619">
                  <c:v>-4.1884933159236594E-3</c:v>
                </c:pt>
                <c:pt idx="620">
                  <c:v>-4.817289821584035E-3</c:v>
                </c:pt>
                <c:pt idx="621">
                  <c:v>-4.4617284264791262E-3</c:v>
                </c:pt>
                <c:pt idx="622">
                  <c:v>-3.248270494305218E-3</c:v>
                </c:pt>
                <c:pt idx="623">
                  <c:v>-5.6679488396040425E-4</c:v>
                </c:pt>
                <c:pt idx="624">
                  <c:v>-2.2550754839604E-3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507-4F19-BAE5-CB1BA4FDCB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3416256"/>
        <c:axId val="193413344"/>
      </c:lineChart>
      <c:dateAx>
        <c:axId val="19341625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13344"/>
        <c:crosses val="autoZero"/>
        <c:auto val="1"/>
        <c:lblOffset val="100"/>
        <c:baseTimeUnit val="days"/>
      </c:dateAx>
      <c:valAx>
        <c:axId val="1934133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3416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D9D52D8-57C6-491E-8E4F-B8D8B1CA08EB}">
  <sheetPr codeName="Chart1"/>
  <sheetViews>
    <sheetView zoomScale="91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294725" cy="6070879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EEF9499-9032-44BB-933A-CFBCAAFAC563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Z2888"/>
  <sheetViews>
    <sheetView tabSelected="1" zoomScale="90" zoomScaleNormal="90" workbookViewId="0">
      <selection activeCell="C4" sqref="C4:D4"/>
    </sheetView>
  </sheetViews>
  <sheetFormatPr defaultRowHeight="15" x14ac:dyDescent="0.25"/>
  <cols>
    <col min="1" max="1" width="12.85546875" customWidth="1"/>
    <col min="2" max="2" width="6" customWidth="1"/>
    <col min="3" max="4" width="9.140625" style="6"/>
    <col min="5" max="5" width="7" customWidth="1"/>
  </cols>
  <sheetData>
    <row r="1" spans="1:20" x14ac:dyDescent="0.25">
      <c r="A1" s="1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20" x14ac:dyDescent="0.25">
      <c r="A2" s="1"/>
      <c r="B2" s="1"/>
      <c r="C2" s="4">
        <f>MAX(C3:C1912)</f>
        <v>5.7031000000000001</v>
      </c>
      <c r="D2" s="4">
        <f>MIN(D3:D1912)</f>
        <v>0.2656</v>
      </c>
      <c r="E2" s="1"/>
      <c r="F2" s="1"/>
      <c r="G2" s="1"/>
    </row>
    <row r="3" spans="1:20" x14ac:dyDescent="0.25">
      <c r="A3" s="5"/>
    </row>
    <row r="4" spans="1:20" x14ac:dyDescent="0.25">
      <c r="A4" s="5"/>
      <c r="L4" t="s">
        <v>7</v>
      </c>
      <c r="M4" t="s">
        <v>8</v>
      </c>
      <c r="N4" t="s">
        <v>7</v>
      </c>
    </row>
    <row r="5" spans="1:20" x14ac:dyDescent="0.25">
      <c r="A5" s="5">
        <v>44588</v>
      </c>
      <c r="B5">
        <v>1.4073</v>
      </c>
      <c r="C5">
        <v>1.4147000000000001</v>
      </c>
      <c r="D5">
        <v>1.3492</v>
      </c>
      <c r="E5">
        <v>1.3492</v>
      </c>
      <c r="F5">
        <v>183915</v>
      </c>
      <c r="G5">
        <v>1.3492</v>
      </c>
      <c r="L5" t="s">
        <v>7</v>
      </c>
      <c r="M5" t="s">
        <v>8</v>
      </c>
      <c r="N5" t="s">
        <v>7</v>
      </c>
      <c r="P5">
        <f t="shared" ref="P5" si="0">IF(C5=D5,0,((E5-D5)-(C5-E5))/(C5-D5))</f>
        <v>-1</v>
      </c>
      <c r="Q5">
        <f t="shared" ref="Q5" si="1">F5*P5</f>
        <v>-183915</v>
      </c>
      <c r="R5">
        <f t="shared" ref="R5" si="2">R6+Q5</f>
        <v>-565907987.40997243</v>
      </c>
      <c r="S5">
        <f t="shared" ref="S5" si="3">R5/100000</f>
        <v>-5659.0798740997243</v>
      </c>
      <c r="T5">
        <f t="shared" ref="T5" si="4">S5/1000</f>
        <v>-5.6590798740997243</v>
      </c>
    </row>
    <row r="6" spans="1:20" x14ac:dyDescent="0.25">
      <c r="A6" s="5">
        <v>44587</v>
      </c>
      <c r="B6">
        <v>1.4041999999999999</v>
      </c>
      <c r="C6">
        <v>1.51</v>
      </c>
      <c r="D6">
        <v>1.353</v>
      </c>
      <c r="E6">
        <v>1.4093</v>
      </c>
      <c r="F6">
        <v>5163459</v>
      </c>
      <c r="G6">
        <v>1.4093</v>
      </c>
      <c r="L6" t="s">
        <v>8</v>
      </c>
      <c r="M6" t="s">
        <v>8</v>
      </c>
      <c r="N6" t="s">
        <v>7</v>
      </c>
      <c r="P6">
        <f t="shared" ref="P6" si="5">IF(C6=D6,0,((E6-D6)-(C6-E6))/(C6-D6))</f>
        <v>-0.28280254777070057</v>
      </c>
      <c r="Q6">
        <f t="shared" ref="Q6" si="6">F6*P6</f>
        <v>-1460239.3605095539</v>
      </c>
      <c r="R6">
        <f t="shared" ref="R6" si="7">R7+Q6</f>
        <v>-565724072.40997243</v>
      </c>
      <c r="S6">
        <f t="shared" ref="S6" si="8">R6/100000</f>
        <v>-5657.2407240997245</v>
      </c>
      <c r="T6">
        <f t="shared" ref="T6" si="9">S6/1000</f>
        <v>-5.6572407240997249</v>
      </c>
    </row>
    <row r="7" spans="1:20" x14ac:dyDescent="0.25">
      <c r="A7" s="5">
        <v>44586</v>
      </c>
      <c r="B7">
        <v>1.4316</v>
      </c>
      <c r="C7">
        <v>1.4350000000000001</v>
      </c>
      <c r="D7">
        <v>1.3392999999999999</v>
      </c>
      <c r="E7">
        <v>1.4041999999999999</v>
      </c>
      <c r="F7">
        <v>3640661</v>
      </c>
      <c r="G7">
        <v>1.4041999999999999</v>
      </c>
      <c r="L7" t="s">
        <v>8</v>
      </c>
      <c r="M7" t="s">
        <v>8</v>
      </c>
      <c r="N7" t="s">
        <v>7</v>
      </c>
      <c r="P7">
        <f t="shared" ref="P7" si="10">IF(C7=D7,0,((E7-D7)-(C7-E7))/(C7-D7))</f>
        <v>0.35632183908045723</v>
      </c>
      <c r="Q7">
        <f t="shared" ref="Q7" si="11">F7*P7</f>
        <v>1297247.0229884966</v>
      </c>
      <c r="R7">
        <f t="shared" ref="R7" si="12">R8+Q7</f>
        <v>-564263833.04946291</v>
      </c>
      <c r="S7">
        <f t="shared" ref="S7" si="13">R7/100000</f>
        <v>-5642.6383304946294</v>
      </c>
      <c r="T7">
        <f t="shared" ref="T7" si="14">S7/1000</f>
        <v>-5.6426383304946297</v>
      </c>
    </row>
    <row r="8" spans="1:20" x14ac:dyDescent="0.25">
      <c r="A8" s="5">
        <v>44585</v>
      </c>
      <c r="B8">
        <v>1.4901</v>
      </c>
      <c r="C8">
        <v>1.4915</v>
      </c>
      <c r="D8">
        <v>1.2076</v>
      </c>
      <c r="E8">
        <v>1.4316</v>
      </c>
      <c r="F8">
        <v>10529323</v>
      </c>
      <c r="G8">
        <v>1.4316</v>
      </c>
      <c r="L8" t="s">
        <v>7</v>
      </c>
      <c r="M8" t="s">
        <v>7</v>
      </c>
      <c r="N8" t="s">
        <v>7</v>
      </c>
      <c r="P8">
        <f t="shared" ref="P8" si="15">IF(C8=D8,0,((E8-D8)-(C8-E8))/(C8-D8))</f>
        <v>0.57802042972877732</v>
      </c>
      <c r="Q8">
        <f t="shared" ref="Q8" si="16">F8*P8</f>
        <v>6086163.8052130984</v>
      </c>
      <c r="R8">
        <f t="shared" ref="R8" si="17">R9+Q8</f>
        <v>-565561080.07245135</v>
      </c>
      <c r="S8">
        <f t="shared" ref="S8" si="18">R8/100000</f>
        <v>-5655.6108007245139</v>
      </c>
      <c r="T8">
        <f t="shared" ref="T8" si="19">S8/1000</f>
        <v>-5.6556108007245136</v>
      </c>
    </row>
    <row r="9" spans="1:20" x14ac:dyDescent="0.25">
      <c r="A9" s="5">
        <v>44584</v>
      </c>
      <c r="B9">
        <v>1.3297000000000001</v>
      </c>
      <c r="C9">
        <v>1.5803</v>
      </c>
      <c r="D9">
        <v>1.3001</v>
      </c>
      <c r="E9">
        <v>1.49</v>
      </c>
      <c r="F9">
        <v>17610728</v>
      </c>
      <c r="G9">
        <v>1.49</v>
      </c>
      <c r="L9" t="s">
        <v>8</v>
      </c>
      <c r="M9" t="s">
        <v>8</v>
      </c>
      <c r="N9" t="s">
        <v>7</v>
      </c>
      <c r="P9">
        <f t="shared" ref="P9" si="20">IF(C9=D9,0,((E9-D9)-(C9-E9))/(C9-D9))</f>
        <v>0.35546038543897185</v>
      </c>
      <c r="Q9">
        <f t="shared" ref="Q9" si="21">F9*P9</f>
        <v>6259916.1627408937</v>
      </c>
      <c r="R9">
        <f t="shared" ref="R9" si="22">R10+Q9</f>
        <v>-571647243.87766445</v>
      </c>
      <c r="S9">
        <f t="shared" ref="S9" si="23">R9/100000</f>
        <v>-5716.4724387766446</v>
      </c>
      <c r="T9">
        <f t="shared" ref="T9" si="24">S9/1000</f>
        <v>-5.7164724387766448</v>
      </c>
    </row>
    <row r="10" spans="1:20" x14ac:dyDescent="0.25">
      <c r="A10" s="5">
        <v>44583</v>
      </c>
      <c r="B10">
        <v>1.4973000000000001</v>
      </c>
      <c r="C10">
        <v>1.5410999999999999</v>
      </c>
      <c r="D10">
        <v>1.1337999999999999</v>
      </c>
      <c r="E10">
        <v>1.33</v>
      </c>
      <c r="F10">
        <v>11461928</v>
      </c>
      <c r="G10">
        <v>1.33</v>
      </c>
      <c r="L10" t="s">
        <v>7</v>
      </c>
      <c r="M10" t="s">
        <v>7</v>
      </c>
      <c r="N10" t="s">
        <v>7</v>
      </c>
      <c r="P10">
        <f t="shared" ref="P10" si="25">IF(C10=D10,0,((E10-D10)-(C10-E10))/(C10-D10))</f>
        <v>-3.6582371716178966E-2</v>
      </c>
      <c r="Q10">
        <f t="shared" ref="Q10" si="26">F10*P10</f>
        <v>-419304.51068007975</v>
      </c>
      <c r="R10">
        <f t="shared" ref="R10" si="27">R11+Q10</f>
        <v>-577907160.04040539</v>
      </c>
      <c r="S10">
        <f t="shared" ref="S10" si="28">R10/100000</f>
        <v>-5779.0716004040542</v>
      </c>
      <c r="T10">
        <f t="shared" ref="T10" si="29">S10/1000</f>
        <v>-5.7790716004040545</v>
      </c>
    </row>
    <row r="11" spans="1:20" x14ac:dyDescent="0.25">
      <c r="A11" s="5">
        <v>44582</v>
      </c>
      <c r="B11">
        <v>1.8620000000000001</v>
      </c>
      <c r="C11">
        <v>1.8902000000000001</v>
      </c>
      <c r="D11">
        <v>1.4602999999999999</v>
      </c>
      <c r="E11">
        <v>1.4987999999999999</v>
      </c>
      <c r="F11">
        <v>11621292</v>
      </c>
      <c r="G11">
        <v>1.4987999999999999</v>
      </c>
      <c r="L11" t="s">
        <v>7</v>
      </c>
      <c r="M11" t="s">
        <v>7</v>
      </c>
      <c r="N11" t="s">
        <v>7</v>
      </c>
      <c r="P11">
        <f t="shared" ref="P11" si="30">IF(C11=D11,0,((E11-D11)-(C11-E11))/(C11-D11))</f>
        <v>-0.82088857873924181</v>
      </c>
      <c r="Q11">
        <f t="shared" ref="Q11" si="31">F11*P11</f>
        <v>-9539785.8729937207</v>
      </c>
      <c r="R11">
        <f t="shared" ref="R11" si="32">R12+Q11</f>
        <v>-577487855.52972531</v>
      </c>
      <c r="S11">
        <f t="shared" ref="S11" si="33">R11/100000</f>
        <v>-5774.8785552972531</v>
      </c>
      <c r="T11">
        <f t="shared" ref="T11" si="34">S11/1000</f>
        <v>-5.7748785552972528</v>
      </c>
    </row>
    <row r="12" spans="1:20" x14ac:dyDescent="0.25">
      <c r="A12" s="5">
        <v>44581</v>
      </c>
      <c r="B12">
        <v>1.9934000000000001</v>
      </c>
      <c r="C12">
        <v>2.0506000000000002</v>
      </c>
      <c r="D12">
        <v>1.8552</v>
      </c>
      <c r="E12">
        <v>1.8635999999999999</v>
      </c>
      <c r="F12">
        <v>6393875</v>
      </c>
      <c r="G12">
        <v>1.8635999999999999</v>
      </c>
      <c r="L12" t="s">
        <v>7</v>
      </c>
      <c r="M12" t="s">
        <v>7</v>
      </c>
      <c r="N12" t="s">
        <v>7</v>
      </c>
      <c r="P12">
        <f t="shared" ref="P12" si="35">IF(C12=D12,0,((E12-D12)-(C12-E12))/(C12-D12))</f>
        <v>-0.91402251791197597</v>
      </c>
      <c r="Q12">
        <f t="shared" ref="Q12" si="36">F12*P12</f>
        <v>-5844145.726714435</v>
      </c>
      <c r="R12">
        <f t="shared" ref="R12" si="37">R13+Q12</f>
        <v>-567948069.65673161</v>
      </c>
      <c r="S12">
        <f t="shared" ref="S12" si="38">R12/100000</f>
        <v>-5679.480696567316</v>
      </c>
      <c r="T12">
        <f t="shared" ref="T12" si="39">S12/1000</f>
        <v>-5.6794806965673157</v>
      </c>
    </row>
    <row r="13" spans="1:20" x14ac:dyDescent="0.25">
      <c r="A13" s="5">
        <v>44580</v>
      </c>
      <c r="B13">
        <v>2.0535999999999999</v>
      </c>
      <c r="C13">
        <v>2.1757</v>
      </c>
      <c r="D13">
        <v>1.9185000000000001</v>
      </c>
      <c r="E13">
        <v>1.9918</v>
      </c>
      <c r="F13">
        <v>10232575</v>
      </c>
      <c r="G13">
        <v>1.9918</v>
      </c>
      <c r="L13" t="s">
        <v>7</v>
      </c>
      <c r="M13" t="s">
        <v>7</v>
      </c>
      <c r="N13" t="s">
        <v>7</v>
      </c>
      <c r="P13">
        <f t="shared" ref="P13" si="40">IF(C13=D13,0,((E13-D13)-(C13-E13))/(C13-D13))</f>
        <v>-0.43001555209953379</v>
      </c>
      <c r="Q13">
        <f t="shared" ref="Q13" si="41">F13*P13</f>
        <v>-4400166.3880248871</v>
      </c>
      <c r="R13">
        <f t="shared" ref="R13" si="42">R14+Q13</f>
        <v>-562103923.93001711</v>
      </c>
      <c r="S13">
        <f t="shared" ref="S13" si="43">R13/100000</f>
        <v>-5621.0392393001712</v>
      </c>
      <c r="T13">
        <f t="shared" ref="T13" si="44">S13/1000</f>
        <v>-5.6210392393001714</v>
      </c>
    </row>
    <row r="14" spans="1:20" x14ac:dyDescent="0.25">
      <c r="A14" s="5">
        <v>44579</v>
      </c>
      <c r="B14">
        <v>2.1720000000000002</v>
      </c>
      <c r="C14">
        <v>2.1970000000000001</v>
      </c>
      <c r="D14">
        <v>1.95</v>
      </c>
      <c r="E14">
        <v>2.0514999999999999</v>
      </c>
      <c r="F14">
        <v>6185205</v>
      </c>
      <c r="G14">
        <v>2.0514999999999999</v>
      </c>
      <c r="L14" t="s">
        <v>7</v>
      </c>
      <c r="M14" t="s">
        <v>7</v>
      </c>
      <c r="N14" t="s">
        <v>7</v>
      </c>
      <c r="P14">
        <f t="shared" ref="P14" si="45">IF(C14=D14,0,((E14-D14)-(C14-E14))/(C14-D14))</f>
        <v>-0.17813765182186334</v>
      </c>
      <c r="Q14">
        <f t="shared" ref="Q14" si="46">F14*P14</f>
        <v>-1101817.8947368483</v>
      </c>
      <c r="R14">
        <f t="shared" ref="R14" si="47">R15+Q14</f>
        <v>-557703757.54199219</v>
      </c>
      <c r="S14">
        <f t="shared" ref="S14" si="48">R14/100000</f>
        <v>-5577.0375754199222</v>
      </c>
      <c r="T14">
        <f t="shared" ref="T14" si="49">S14/1000</f>
        <v>-5.5770375754199222</v>
      </c>
    </row>
    <row r="15" spans="1:20" x14ac:dyDescent="0.25">
      <c r="A15" s="5">
        <v>44578</v>
      </c>
      <c r="B15">
        <v>2.2145999999999999</v>
      </c>
      <c r="C15">
        <v>2.2799</v>
      </c>
      <c r="D15">
        <v>2.1219000000000001</v>
      </c>
      <c r="E15">
        <v>2.1728000000000001</v>
      </c>
      <c r="F15">
        <v>7045425</v>
      </c>
      <c r="G15">
        <v>2.1728000000000001</v>
      </c>
      <c r="L15" t="s">
        <v>7</v>
      </c>
      <c r="M15" t="s">
        <v>8</v>
      </c>
      <c r="N15" t="s">
        <v>7</v>
      </c>
      <c r="P15">
        <f t="shared" ref="P15" si="50">IF(C15=D15,0,((E15-D15)-(C15-E15))/(C15-D15))</f>
        <v>-0.35569620253164591</v>
      </c>
      <c r="Q15">
        <f t="shared" ref="Q15" si="51">F15*P15</f>
        <v>-2506030.9177215216</v>
      </c>
      <c r="R15">
        <f t="shared" ref="R15" si="52">R16+Q15</f>
        <v>-556601939.6472553</v>
      </c>
      <c r="S15">
        <f t="shared" ref="S15" si="53">R15/100000</f>
        <v>-5566.0193964725531</v>
      </c>
      <c r="T15">
        <f t="shared" ref="T15" si="54">S15/1000</f>
        <v>-5.5660193964725533</v>
      </c>
    </row>
    <row r="16" spans="1:20" x14ac:dyDescent="0.25">
      <c r="A16" s="5">
        <v>44577</v>
      </c>
      <c r="B16">
        <v>2.2090000000000001</v>
      </c>
      <c r="C16">
        <v>2.2555000000000001</v>
      </c>
      <c r="D16">
        <v>2.1738</v>
      </c>
      <c r="E16">
        <v>2.2157</v>
      </c>
      <c r="F16">
        <v>3514530</v>
      </c>
      <c r="G16">
        <v>2.2157</v>
      </c>
      <c r="L16" t="s">
        <v>7</v>
      </c>
      <c r="M16" t="s">
        <v>8</v>
      </c>
      <c r="N16" t="s">
        <v>7</v>
      </c>
      <c r="P16">
        <f t="shared" ref="P16" si="55">IF(C16=D16,0,((E16-D16)-(C16-E16))/(C16-D16))</f>
        <v>2.5703794369644897E-2</v>
      </c>
      <c r="Q16">
        <f t="shared" ref="Q16" si="56">F16*P16</f>
        <v>90336.756425948071</v>
      </c>
      <c r="R16">
        <f t="shared" ref="R16" si="57">R17+Q16</f>
        <v>-554095908.72953379</v>
      </c>
      <c r="S16">
        <f t="shared" ref="S16" si="58">R16/100000</f>
        <v>-5540.9590872953377</v>
      </c>
      <c r="T16">
        <f t="shared" ref="T16" si="59">S16/1000</f>
        <v>-5.540959087295338</v>
      </c>
    </row>
    <row r="17" spans="1:20" x14ac:dyDescent="0.25">
      <c r="A17" s="5">
        <v>44576</v>
      </c>
      <c r="B17">
        <v>2.2437999999999998</v>
      </c>
      <c r="C17">
        <v>2.2730000000000001</v>
      </c>
      <c r="D17">
        <v>2.1781999999999999</v>
      </c>
      <c r="E17">
        <v>2.2092999999999998</v>
      </c>
      <c r="F17">
        <v>3987087</v>
      </c>
      <c r="G17">
        <v>2.2092999999999998</v>
      </c>
      <c r="L17" t="s">
        <v>7</v>
      </c>
      <c r="M17" t="s">
        <v>8</v>
      </c>
      <c r="N17" t="s">
        <v>7</v>
      </c>
      <c r="P17">
        <f t="shared" ref="P17" si="60">IF(C17=D17,0,((E17-D17)-(C17-E17))/(C17-D17))</f>
        <v>-0.3438818565400879</v>
      </c>
      <c r="Q17">
        <f t="shared" ref="Q17" si="61">F17*P17</f>
        <v>-1371086.8797468494</v>
      </c>
      <c r="R17">
        <f t="shared" ref="R17" si="62">R18+Q17</f>
        <v>-554186245.48595977</v>
      </c>
      <c r="S17">
        <f t="shared" ref="S17" si="63">R17/100000</f>
        <v>-5541.8624548595981</v>
      </c>
      <c r="T17">
        <f t="shared" ref="T17" si="64">S17/1000</f>
        <v>-5.5418624548595981</v>
      </c>
    </row>
    <row r="18" spans="1:20" x14ac:dyDescent="0.25">
      <c r="A18" s="5">
        <v>44575</v>
      </c>
      <c r="B18">
        <v>2.1513</v>
      </c>
      <c r="C18">
        <v>2.38</v>
      </c>
      <c r="D18">
        <v>2.1373000000000002</v>
      </c>
      <c r="E18">
        <v>2.2418</v>
      </c>
      <c r="F18">
        <v>10946210</v>
      </c>
      <c r="G18">
        <v>2.2418</v>
      </c>
      <c r="L18" t="s">
        <v>8</v>
      </c>
      <c r="M18" t="s">
        <v>8</v>
      </c>
      <c r="N18" t="s">
        <v>7</v>
      </c>
      <c r="P18">
        <f t="shared" ref="P18" si="65">IF(C18=D18,0,((E18-D18)-(C18-E18))/(C18-D18))</f>
        <v>-0.13885455294602433</v>
      </c>
      <c r="Q18">
        <f t="shared" ref="Q18" si="66">F18*P18</f>
        <v>-1519931.096003301</v>
      </c>
      <c r="R18">
        <f t="shared" ref="R18" si="67">R19+Q18</f>
        <v>-552815158.60621297</v>
      </c>
      <c r="S18">
        <f t="shared" ref="S18" si="68">R18/100000</f>
        <v>-5528.1515860621294</v>
      </c>
      <c r="T18">
        <f t="shared" ref="T18" si="69">S18/1000</f>
        <v>-5.5281515860621298</v>
      </c>
    </row>
    <row r="19" spans="1:20" x14ac:dyDescent="0.25">
      <c r="A19" s="5">
        <v>44574</v>
      </c>
      <c r="B19">
        <v>2.2511000000000001</v>
      </c>
      <c r="C19">
        <v>2.2982999999999998</v>
      </c>
      <c r="D19">
        <v>2.1091000000000002</v>
      </c>
      <c r="E19">
        <v>2.1526000000000001</v>
      </c>
      <c r="F19">
        <v>8287254</v>
      </c>
      <c r="G19">
        <v>2.1526000000000001</v>
      </c>
      <c r="L19" t="s">
        <v>7</v>
      </c>
      <c r="M19" t="s">
        <v>8</v>
      </c>
      <c r="N19" t="s">
        <v>7</v>
      </c>
      <c r="P19">
        <f t="shared" ref="P19" si="70">IF(C19=D19,0,((E19-D19)-(C19-E19))/(C19-D19))</f>
        <v>-0.54016913319238935</v>
      </c>
      <c r="Q19">
        <f t="shared" ref="Q19" si="71">F19*P19</f>
        <v>-4476518.8097251616</v>
      </c>
      <c r="R19">
        <f t="shared" ref="R19" si="72">R20+Q19</f>
        <v>-551295227.51020968</v>
      </c>
      <c r="S19">
        <f t="shared" ref="S19" si="73">R19/100000</f>
        <v>-5512.9522751020968</v>
      </c>
      <c r="T19">
        <f t="shared" ref="T19" si="74">S19/1000</f>
        <v>-5.512952275102097</v>
      </c>
    </row>
    <row r="20" spans="1:20" x14ac:dyDescent="0.25">
      <c r="A20" s="5">
        <v>44573</v>
      </c>
      <c r="B20">
        <v>2.1836000000000002</v>
      </c>
      <c r="C20">
        <v>2.3006000000000002</v>
      </c>
      <c r="D20">
        <v>2.1610999999999998</v>
      </c>
      <c r="E20">
        <v>2.2511999999999999</v>
      </c>
      <c r="F20">
        <v>7597872</v>
      </c>
      <c r="G20">
        <v>2.2511999999999999</v>
      </c>
      <c r="L20" t="s">
        <v>8</v>
      </c>
      <c r="M20" t="s">
        <v>8</v>
      </c>
      <c r="N20" t="s">
        <v>7</v>
      </c>
      <c r="P20">
        <f t="shared" ref="P20" si="75">IF(C20=D20,0,((E20-D20)-(C20-E20))/(C20-D20))</f>
        <v>0.29175627240143098</v>
      </c>
      <c r="Q20">
        <f t="shared" ref="Q20" si="76">F20*P20</f>
        <v>2216726.8129032054</v>
      </c>
      <c r="R20">
        <f t="shared" ref="R20" si="77">R21+Q20</f>
        <v>-546818708.70048451</v>
      </c>
      <c r="S20">
        <f t="shared" ref="S20" si="78">R20/100000</f>
        <v>-5468.1870870048451</v>
      </c>
      <c r="T20">
        <f t="shared" ref="T20" si="79">S20/1000</f>
        <v>-5.4681870870048455</v>
      </c>
    </row>
    <row r="21" spans="1:20" x14ac:dyDescent="0.25">
      <c r="A21" s="5">
        <v>44572</v>
      </c>
      <c r="B21">
        <v>2.1057000000000001</v>
      </c>
      <c r="C21">
        <v>2.1991999999999998</v>
      </c>
      <c r="D21">
        <v>2.0594000000000001</v>
      </c>
      <c r="E21">
        <v>2.1838000000000002</v>
      </c>
      <c r="F21">
        <v>10621377</v>
      </c>
      <c r="G21">
        <v>2.1838000000000002</v>
      </c>
      <c r="L21" t="s">
        <v>8</v>
      </c>
      <c r="M21" t="s">
        <v>7</v>
      </c>
      <c r="N21" t="s">
        <v>7</v>
      </c>
      <c r="P21">
        <f t="shared" ref="P21" si="80">IF(C21=D21,0,((E21-D21)-(C21-E21))/(C21-D21))</f>
        <v>0.77968526466381016</v>
      </c>
      <c r="Q21">
        <f t="shared" ref="Q21" si="81">F21*P21</f>
        <v>8281331.1373391058</v>
      </c>
      <c r="R21">
        <f t="shared" ref="R21" si="82">R22+Q21</f>
        <v>-549035435.51338768</v>
      </c>
      <c r="S21">
        <f t="shared" ref="S21" si="83">R21/100000</f>
        <v>-5490.3543551338771</v>
      </c>
      <c r="T21">
        <f t="shared" ref="T21" si="84">S21/1000</f>
        <v>-5.4903543551338769</v>
      </c>
    </row>
    <row r="22" spans="1:20" x14ac:dyDescent="0.25">
      <c r="A22" s="5">
        <v>44571</v>
      </c>
      <c r="B22">
        <v>2.2323</v>
      </c>
      <c r="C22">
        <v>2.3228</v>
      </c>
      <c r="D22">
        <v>1.9308000000000001</v>
      </c>
      <c r="E22">
        <v>2.1044</v>
      </c>
      <c r="F22">
        <v>13725736</v>
      </c>
      <c r="G22">
        <v>2.1044</v>
      </c>
      <c r="L22" t="s">
        <v>7</v>
      </c>
      <c r="M22" t="s">
        <v>7</v>
      </c>
      <c r="N22" t="s">
        <v>7</v>
      </c>
      <c r="P22">
        <f t="shared" ref="P22" si="85">IF(C22=D22,0,((E22-D22)-(C22-E22))/(C22-D22))</f>
        <v>-0.11428571428571419</v>
      </c>
      <c r="Q22">
        <f t="shared" ref="Q22" si="86">F22*P22</f>
        <v>-1568655.5428571415</v>
      </c>
      <c r="R22">
        <f t="shared" ref="R22" si="87">R23+Q22</f>
        <v>-557316766.6507268</v>
      </c>
      <c r="S22">
        <f t="shared" ref="S22" si="88">R22/100000</f>
        <v>-5573.1676665072682</v>
      </c>
      <c r="T22">
        <f t="shared" ref="T22" si="89">S22/1000</f>
        <v>-5.5731676665072678</v>
      </c>
    </row>
    <row r="23" spans="1:20" x14ac:dyDescent="0.25">
      <c r="A23" s="5">
        <v>44570</v>
      </c>
      <c r="B23">
        <v>2.2277999999999998</v>
      </c>
      <c r="C23">
        <v>2.3399000000000001</v>
      </c>
      <c r="D23">
        <v>2.133</v>
      </c>
      <c r="E23">
        <v>2.2301000000000002</v>
      </c>
      <c r="F23">
        <v>10949052</v>
      </c>
      <c r="G23">
        <v>2.2301000000000002</v>
      </c>
      <c r="L23" t="s">
        <v>8</v>
      </c>
      <c r="M23" t="s">
        <v>7</v>
      </c>
      <c r="N23" t="s">
        <v>8</v>
      </c>
      <c r="P23">
        <f t="shared" ref="P23" si="90">IF(C23=D23,0,((E23-D23)-(C23-E23))/(C23-D23))</f>
        <v>-6.1382310294826999E-2</v>
      </c>
      <c r="Q23">
        <f t="shared" ref="Q23" si="91">F23*P23</f>
        <v>-672078.10729819618</v>
      </c>
      <c r="R23">
        <f t="shared" ref="R23" si="92">R24+Q23</f>
        <v>-555748111.10786963</v>
      </c>
      <c r="S23">
        <f t="shared" ref="S23" si="93">R23/100000</f>
        <v>-5557.4811110786959</v>
      </c>
      <c r="T23">
        <f t="shared" ref="T23" si="94">S23/1000</f>
        <v>-5.5574811110786957</v>
      </c>
    </row>
    <row r="24" spans="1:20" x14ac:dyDescent="0.25">
      <c r="A24" s="5">
        <v>44569</v>
      </c>
      <c r="B24">
        <v>2.4015</v>
      </c>
      <c r="C24">
        <v>2.5350000000000001</v>
      </c>
      <c r="D24">
        <v>2.1183000000000001</v>
      </c>
      <c r="E24">
        <v>2.2277999999999998</v>
      </c>
      <c r="F24">
        <v>12884612</v>
      </c>
      <c r="G24">
        <v>2.2277999999999998</v>
      </c>
      <c r="L24" t="s">
        <v>7</v>
      </c>
      <c r="M24" t="s">
        <v>7</v>
      </c>
      <c r="N24" t="s">
        <v>8</v>
      </c>
      <c r="P24">
        <f t="shared" ref="P24" si="95">IF(C24=D24,0,((E24-D24)-(C24-E24))/(C24-D24))</f>
        <v>-0.47444204463643058</v>
      </c>
      <c r="Q24">
        <f t="shared" ref="Q24" si="96">F24*P24</f>
        <v>-6113001.6616270887</v>
      </c>
      <c r="R24">
        <f t="shared" ref="R24" si="97">R25+Q24</f>
        <v>-555076033.00057137</v>
      </c>
      <c r="S24">
        <f t="shared" ref="S24" si="98">R24/100000</f>
        <v>-5550.7603300057135</v>
      </c>
      <c r="T24">
        <f t="shared" ref="T24" si="99">S24/1000</f>
        <v>-5.5507603300057138</v>
      </c>
    </row>
    <row r="25" spans="1:20" x14ac:dyDescent="0.25">
      <c r="A25" s="5">
        <v>44568</v>
      </c>
      <c r="B25">
        <v>2.4047000000000001</v>
      </c>
      <c r="C25">
        <v>2.5800999999999998</v>
      </c>
      <c r="D25">
        <v>2.3338999999999999</v>
      </c>
      <c r="E25">
        <v>2.4030999999999998</v>
      </c>
      <c r="F25">
        <v>26530986</v>
      </c>
      <c r="G25">
        <v>2.4030999999999998</v>
      </c>
      <c r="L25" t="s">
        <v>7</v>
      </c>
      <c r="M25" t="s">
        <v>8</v>
      </c>
      <c r="N25" t="s">
        <v>8</v>
      </c>
      <c r="P25">
        <f t="shared" ref="P25" si="100">IF(C25=D25,0,((E25-D25)-(C25-E25))/(C25-D25))</f>
        <v>-0.4378554021121045</v>
      </c>
      <c r="Q25">
        <f t="shared" ref="Q25" si="101">F25*P25</f>
        <v>-11616735.543460615</v>
      </c>
      <c r="R25">
        <f t="shared" ref="R25" si="102">R26+Q25</f>
        <v>-548963031.33894432</v>
      </c>
      <c r="S25">
        <f t="shared" ref="S25" si="103">R25/100000</f>
        <v>-5489.6303133894435</v>
      </c>
      <c r="T25">
        <f t="shared" ref="T25" si="104">S25/1000</f>
        <v>-5.4896303133894433</v>
      </c>
    </row>
    <row r="26" spans="1:20" x14ac:dyDescent="0.25">
      <c r="A26" s="5">
        <v>44567</v>
      </c>
      <c r="B26">
        <v>2.1474000000000002</v>
      </c>
      <c r="C26">
        <v>2.6675</v>
      </c>
      <c r="D26">
        <v>2.1398000000000001</v>
      </c>
      <c r="E26">
        <v>2.4047999999999998</v>
      </c>
      <c r="F26">
        <v>39519158</v>
      </c>
      <c r="G26">
        <v>2.4047999999999998</v>
      </c>
      <c r="L26" t="s">
        <v>8</v>
      </c>
      <c r="M26" t="s">
        <v>8</v>
      </c>
      <c r="N26" t="s">
        <v>8</v>
      </c>
      <c r="P26">
        <f t="shared" ref="P26" si="105">IF(C26=D26,0,((E26-D26)-(C26-E26))/(C26-D26))</f>
        <v>4.3585370475640048E-3</v>
      </c>
      <c r="Q26">
        <f t="shared" ref="Q26" si="106">F26*P26</f>
        <v>172245.71423153541</v>
      </c>
      <c r="R26">
        <f t="shared" ref="R26" si="107">R27+Q26</f>
        <v>-537346295.79548371</v>
      </c>
      <c r="S26">
        <f t="shared" ref="S26" si="108">R26/100000</f>
        <v>-5373.4629579548373</v>
      </c>
      <c r="T26">
        <f t="shared" ref="T26" si="109">S26/1000</f>
        <v>-5.3734629579548372</v>
      </c>
    </row>
    <row r="27" spans="1:20" x14ac:dyDescent="0.25">
      <c r="A27" s="5">
        <v>44566</v>
      </c>
      <c r="B27">
        <v>2.1315</v>
      </c>
      <c r="C27">
        <v>2.52</v>
      </c>
      <c r="D27">
        <v>2.0335000000000001</v>
      </c>
      <c r="E27">
        <v>2.1476000000000002</v>
      </c>
      <c r="F27">
        <v>29370569</v>
      </c>
      <c r="G27">
        <v>2.1476000000000002</v>
      </c>
      <c r="L27" t="s">
        <v>8</v>
      </c>
      <c r="M27" t="s">
        <v>8</v>
      </c>
      <c r="N27" t="s">
        <v>8</v>
      </c>
      <c r="P27">
        <f t="shared" ref="P27" si="110">IF(C27=D27,0,((E27-D27)-(C27-E27))/(C27-D27))</f>
        <v>-0.53093525179856071</v>
      </c>
      <c r="Q27">
        <f t="shared" ref="Q27" si="111">F27*P27</f>
        <v>-15593870.447482001</v>
      </c>
      <c r="R27">
        <f t="shared" ref="R27" si="112">R28+Q27</f>
        <v>-537518541.5097152</v>
      </c>
      <c r="S27">
        <f t="shared" ref="S27" si="113">R27/100000</f>
        <v>-5375.1854150971521</v>
      </c>
      <c r="T27">
        <f t="shared" ref="T27" si="114">S27/1000</f>
        <v>-5.3751854150971523</v>
      </c>
    </row>
    <row r="28" spans="1:20" x14ac:dyDescent="0.25">
      <c r="A28" s="5">
        <v>44565</v>
      </c>
      <c r="B28">
        <v>2.1817000000000002</v>
      </c>
      <c r="C28">
        <v>2.3050000000000002</v>
      </c>
      <c r="D28">
        <v>2.0550999999999999</v>
      </c>
      <c r="E28">
        <v>2.1328999999999998</v>
      </c>
      <c r="F28">
        <v>19208683</v>
      </c>
      <c r="G28">
        <v>2.1328999999999998</v>
      </c>
      <c r="L28" t="s">
        <v>8</v>
      </c>
      <c r="M28" t="s">
        <v>7</v>
      </c>
      <c r="N28" t="s">
        <v>8</v>
      </c>
      <c r="P28">
        <f t="shared" ref="P28" si="115">IF(C28=D28,0,((E28-D28)-(C28-E28))/(C28-D28))</f>
        <v>-0.37735094037615208</v>
      </c>
      <c r="Q28">
        <f t="shared" ref="Q28" si="116">F28*P28</f>
        <v>-7248414.5934374062</v>
      </c>
      <c r="R28">
        <f t="shared" ref="R28" si="117">R29+Q28</f>
        <v>-521924671.06223321</v>
      </c>
      <c r="S28">
        <f t="shared" ref="S28" si="118">R28/100000</f>
        <v>-5219.2467106223321</v>
      </c>
      <c r="T28">
        <f t="shared" ref="T28" si="119">S28/1000</f>
        <v>-5.2192467106223317</v>
      </c>
    </row>
    <row r="29" spans="1:20" x14ac:dyDescent="0.25">
      <c r="A29" s="5">
        <v>44564</v>
      </c>
      <c r="B29">
        <v>1.897</v>
      </c>
      <c r="C29">
        <v>2.7239</v>
      </c>
      <c r="D29">
        <v>1.8406</v>
      </c>
      <c r="E29">
        <v>2.181</v>
      </c>
      <c r="F29">
        <v>84471294</v>
      </c>
      <c r="G29">
        <v>2.181</v>
      </c>
      <c r="L29" t="s">
        <v>7</v>
      </c>
      <c r="M29" t="s">
        <v>8</v>
      </c>
      <c r="N29" t="s">
        <v>8</v>
      </c>
      <c r="P29">
        <f t="shared" ref="P29" si="120">IF(C29=D29,0,((E29-D29)-(C29-E29))/(C29-D29))</f>
        <v>-0.22925393411072106</v>
      </c>
      <c r="Q29">
        <f t="shared" ref="Q29" si="121">F29*P29</f>
        <v>-19365376.468923349</v>
      </c>
      <c r="R29">
        <f t="shared" ref="R29" si="122">R30+Q29</f>
        <v>-514676256.46879578</v>
      </c>
      <c r="S29">
        <f t="shared" ref="S29" si="123">R29/100000</f>
        <v>-5146.7625646879578</v>
      </c>
      <c r="T29">
        <f t="shared" ref="T29" si="124">S29/1000</f>
        <v>-5.1467625646879576</v>
      </c>
    </row>
    <row r="30" spans="1:20" x14ac:dyDescent="0.25">
      <c r="A30" s="5">
        <v>44563</v>
      </c>
      <c r="B30">
        <v>1.9683999999999999</v>
      </c>
      <c r="C30">
        <v>1.9899</v>
      </c>
      <c r="D30">
        <v>1.867</v>
      </c>
      <c r="E30">
        <v>1.897</v>
      </c>
      <c r="F30">
        <v>7054007</v>
      </c>
      <c r="G30">
        <v>1.897</v>
      </c>
      <c r="L30" t="s">
        <v>7</v>
      </c>
      <c r="M30" t="s">
        <v>7</v>
      </c>
      <c r="N30" t="s">
        <v>7</v>
      </c>
      <c r="P30">
        <f t="shared" ref="P30" si="125">IF(C30=D30,0,((E30-D30)-(C30-E30))/(C30-D30))</f>
        <v>-0.51179820992676939</v>
      </c>
      <c r="Q30">
        <f t="shared" ref="Q30" si="126">F30*P30</f>
        <v>-3610228.1554109007</v>
      </c>
      <c r="R30">
        <f t="shared" ref="R30" si="127">R31+Q30</f>
        <v>-495310879.99987245</v>
      </c>
      <c r="S30">
        <f t="shared" ref="S30" si="128">R30/100000</f>
        <v>-4953.1087999987249</v>
      </c>
      <c r="T30">
        <f t="shared" ref="T30" si="129">S30/1000</f>
        <v>-4.9531087999987244</v>
      </c>
    </row>
    <row r="31" spans="1:20" x14ac:dyDescent="0.25">
      <c r="A31" s="5">
        <v>44562</v>
      </c>
      <c r="B31">
        <v>1.9460999999999999</v>
      </c>
      <c r="C31">
        <v>2.1173000000000002</v>
      </c>
      <c r="D31">
        <v>1.94</v>
      </c>
      <c r="E31">
        <v>1.9699</v>
      </c>
      <c r="F31">
        <v>11392661</v>
      </c>
      <c r="G31">
        <v>1.9699</v>
      </c>
      <c r="L31" t="s">
        <v>8</v>
      </c>
      <c r="M31" t="s">
        <v>7</v>
      </c>
      <c r="N31" t="s">
        <v>7</v>
      </c>
      <c r="P31">
        <f t="shared" ref="P31" si="130">IF(C31=D31,0,((E31-D31)-(C31-E31))/(C31-D31))</f>
        <v>-0.66271855611957142</v>
      </c>
      <c r="Q31">
        <f t="shared" ref="Q31" si="131">F31*P31</f>
        <v>-7550127.8482797528</v>
      </c>
      <c r="R31">
        <f t="shared" ref="R31" si="132">R32+Q31</f>
        <v>-491700651.84446156</v>
      </c>
      <c r="S31">
        <f t="shared" ref="S31" si="133">R31/100000</f>
        <v>-4917.0065184446157</v>
      </c>
      <c r="T31">
        <f t="shared" ref="T31" si="134">S31/1000</f>
        <v>-4.9170065184446159</v>
      </c>
    </row>
    <row r="32" spans="1:20" x14ac:dyDescent="0.25">
      <c r="A32" s="5">
        <v>44561</v>
      </c>
      <c r="B32">
        <v>2.0396999999999998</v>
      </c>
      <c r="C32">
        <v>2.17</v>
      </c>
      <c r="D32">
        <v>1.8939999999999999</v>
      </c>
      <c r="E32">
        <v>1.9481999999999999</v>
      </c>
      <c r="F32">
        <v>22823777</v>
      </c>
      <c r="G32">
        <v>1.9481999999999999</v>
      </c>
      <c r="L32" t="s">
        <v>7</v>
      </c>
      <c r="M32" t="s">
        <v>7</v>
      </c>
      <c r="N32" t="s">
        <v>7</v>
      </c>
      <c r="P32">
        <f t="shared" ref="P32" si="135">IF(C32=D32,0,((E32-D32)-(C32-E32))/(C32-D32))</f>
        <v>-0.6072463768115941</v>
      </c>
      <c r="Q32">
        <f t="shared" ref="Q32" si="136">F32*P32</f>
        <v>-13859655.888405794</v>
      </c>
      <c r="R32">
        <f t="shared" ref="R32" si="137">R33+Q32</f>
        <v>-484150523.99618179</v>
      </c>
      <c r="S32">
        <f t="shared" ref="S32" si="138">R32/100000</f>
        <v>-4841.505239961818</v>
      </c>
      <c r="T32">
        <f t="shared" ref="T32" si="139">S32/1000</f>
        <v>-4.8415052399618181</v>
      </c>
    </row>
    <row r="33" spans="1:20" x14ac:dyDescent="0.25">
      <c r="A33" s="5">
        <v>44560</v>
      </c>
      <c r="B33">
        <v>2.4466000000000001</v>
      </c>
      <c r="C33">
        <v>2.85</v>
      </c>
      <c r="D33">
        <v>1.9946999999999999</v>
      </c>
      <c r="E33">
        <v>2.0402999999999998</v>
      </c>
      <c r="F33">
        <v>53985821</v>
      </c>
      <c r="G33">
        <v>2.0402999999999998</v>
      </c>
      <c r="L33" t="s">
        <v>7</v>
      </c>
      <c r="M33" t="s">
        <v>7</v>
      </c>
      <c r="N33" t="s">
        <v>7</v>
      </c>
      <c r="P33">
        <f t="shared" ref="P33" si="140">IF(C33=D33,0,((E33-D33)-(C33-E33))/(C33-D33))</f>
        <v>-0.89337074710627884</v>
      </c>
      <c r="Q33">
        <f t="shared" ref="Q33" si="141">F33*P33</f>
        <v>-48229353.23991584</v>
      </c>
      <c r="R33">
        <f t="shared" ref="R33" si="142">R34+Q33</f>
        <v>-470290868.10777599</v>
      </c>
      <c r="S33">
        <f t="shared" ref="S33" si="143">R33/100000</f>
        <v>-4702.9086810777599</v>
      </c>
      <c r="T33">
        <f t="shared" ref="T33" si="144">S33/1000</f>
        <v>-4.7029086810777603</v>
      </c>
    </row>
    <row r="34" spans="1:20" x14ac:dyDescent="0.25">
      <c r="A34" s="5">
        <v>44559</v>
      </c>
      <c r="B34">
        <v>1.7359</v>
      </c>
      <c r="C34">
        <v>3.0381</v>
      </c>
      <c r="D34">
        <v>1.7331000000000001</v>
      </c>
      <c r="E34">
        <v>2.4481999999999999</v>
      </c>
      <c r="F34">
        <v>104710989</v>
      </c>
      <c r="G34">
        <v>2.4481999999999999</v>
      </c>
      <c r="L34" t="s">
        <v>8</v>
      </c>
      <c r="M34" t="s">
        <v>8</v>
      </c>
      <c r="N34" t="s">
        <v>8</v>
      </c>
      <c r="P34">
        <f t="shared" ref="P34" si="145">IF(C34=D34,0,((E34-D34)-(C34-E34))/(C34-D34))</f>
        <v>9.5938697318007485E-2</v>
      </c>
      <c r="Q34">
        <f t="shared" ref="Q34" si="146">F34*P34</f>
        <v>10045835.879540211</v>
      </c>
      <c r="R34">
        <f t="shared" ref="R34" si="147">R35+Q34</f>
        <v>-422061514.86786014</v>
      </c>
      <c r="S34">
        <f t="shared" ref="S34" si="148">R34/100000</f>
        <v>-4220.6151486786011</v>
      </c>
      <c r="T34">
        <f t="shared" ref="T34" si="149">S34/1000</f>
        <v>-4.2206151486786014</v>
      </c>
    </row>
    <row r="35" spans="1:20" x14ac:dyDescent="0.25">
      <c r="A35" s="5">
        <v>44558</v>
      </c>
      <c r="B35">
        <v>1.8288</v>
      </c>
      <c r="C35">
        <v>2.0232999999999999</v>
      </c>
      <c r="D35">
        <v>1.67</v>
      </c>
      <c r="E35">
        <v>1.736</v>
      </c>
      <c r="F35">
        <v>14173639</v>
      </c>
      <c r="G35">
        <v>1.736</v>
      </c>
      <c r="L35" t="s">
        <v>7</v>
      </c>
      <c r="M35" t="s">
        <v>7</v>
      </c>
      <c r="N35" t="s">
        <v>7</v>
      </c>
      <c r="P35">
        <f t="shared" ref="P35" si="150">IF(C35=D35,0,((E35-D35)-(C35-E35))/(C35-D35))</f>
        <v>-0.62637984715539163</v>
      </c>
      <c r="Q35">
        <f t="shared" ref="Q35" si="151">F35*P35</f>
        <v>-8878081.8304556981</v>
      </c>
      <c r="R35">
        <f t="shared" ref="R35" si="152">R36+Q35</f>
        <v>-432107350.74740034</v>
      </c>
      <c r="S35">
        <f t="shared" ref="S35" si="153">R35/100000</f>
        <v>-4321.0735074740032</v>
      </c>
      <c r="T35">
        <f t="shared" ref="T35" si="154">S35/1000</f>
        <v>-4.3210735074740034</v>
      </c>
    </row>
    <row r="36" spans="1:20" x14ac:dyDescent="0.25">
      <c r="A36" s="5">
        <v>44557</v>
      </c>
      <c r="B36">
        <v>1.8469</v>
      </c>
      <c r="C36">
        <v>1.8898999999999999</v>
      </c>
      <c r="D36">
        <v>1.8101</v>
      </c>
      <c r="E36">
        <v>1.8306</v>
      </c>
      <c r="F36">
        <v>5561614</v>
      </c>
      <c r="G36">
        <v>1.8306</v>
      </c>
      <c r="L36" t="s">
        <v>7</v>
      </c>
      <c r="M36" t="s">
        <v>7</v>
      </c>
      <c r="N36" t="s">
        <v>7</v>
      </c>
      <c r="P36">
        <f t="shared" ref="P36" si="155">IF(C36=D36,0,((E36-D36)-(C36-E36))/(C36-D36))</f>
        <v>-0.48621553884711788</v>
      </c>
      <c r="Q36">
        <f t="shared" ref="Q36" si="156">F36*P36</f>
        <v>-2704143.1478696745</v>
      </c>
      <c r="R36">
        <f t="shared" ref="R36" si="157">R37+Q36</f>
        <v>-423229268.91694462</v>
      </c>
      <c r="S36">
        <f t="shared" ref="S36" si="158">R36/100000</f>
        <v>-4232.292689169446</v>
      </c>
      <c r="T36">
        <f t="shared" ref="T36" si="159">S36/1000</f>
        <v>-4.2322926891694461</v>
      </c>
    </row>
    <row r="37" spans="1:20" x14ac:dyDescent="0.25">
      <c r="A37" s="5">
        <v>44556</v>
      </c>
      <c r="B37">
        <v>1.8918999999999999</v>
      </c>
      <c r="C37">
        <v>1.9327000000000001</v>
      </c>
      <c r="D37">
        <v>1.8331999999999999</v>
      </c>
      <c r="E37">
        <v>1.8489</v>
      </c>
      <c r="F37">
        <v>5319608</v>
      </c>
      <c r="G37">
        <v>1.8489</v>
      </c>
      <c r="L37" t="s">
        <v>7</v>
      </c>
      <c r="M37" t="s">
        <v>7</v>
      </c>
      <c r="N37" t="s">
        <v>7</v>
      </c>
      <c r="P37">
        <f t="shared" ref="P37" si="160">IF(C37=D37,0,((E37-D37)-(C37-E37))/(C37-D37))</f>
        <v>-0.68442211055276336</v>
      </c>
      <c r="Q37">
        <f t="shared" ref="Q37" si="161">F37*P37</f>
        <v>-3640857.3346733642</v>
      </c>
      <c r="R37">
        <f t="shared" ref="R37" si="162">R38+Q37</f>
        <v>-420525125.76907498</v>
      </c>
      <c r="S37">
        <f t="shared" ref="S37" si="163">R37/100000</f>
        <v>-4205.2512576907502</v>
      </c>
      <c r="T37">
        <f t="shared" ref="T37" si="164">S37/1000</f>
        <v>-4.2052512576907501</v>
      </c>
    </row>
    <row r="38" spans="1:20" x14ac:dyDescent="0.25">
      <c r="A38" s="5">
        <v>44555</v>
      </c>
      <c r="B38">
        <v>1.8889</v>
      </c>
      <c r="C38">
        <v>1.9708000000000001</v>
      </c>
      <c r="D38">
        <v>1.8463000000000001</v>
      </c>
      <c r="E38">
        <v>1.8903000000000001</v>
      </c>
      <c r="F38">
        <v>7799684</v>
      </c>
      <c r="G38">
        <v>1.8903000000000001</v>
      </c>
      <c r="L38" t="s">
        <v>7</v>
      </c>
      <c r="M38" t="s">
        <v>7</v>
      </c>
      <c r="N38" t="s">
        <v>7</v>
      </c>
      <c r="P38">
        <f t="shared" ref="P38" si="165">IF(C38=D38,0,((E38-D38)-(C38-E38))/(C38-D38))</f>
        <v>-0.29317269076305191</v>
      </c>
      <c r="Q38">
        <f t="shared" ref="Q38" si="166">F38*P38</f>
        <v>-2286654.3453815239</v>
      </c>
      <c r="R38">
        <f t="shared" ref="R38" si="167">R39+Q38</f>
        <v>-416884268.43440163</v>
      </c>
      <c r="S38">
        <f t="shared" ref="S38" si="168">R38/100000</f>
        <v>-4168.8426843440166</v>
      </c>
      <c r="T38">
        <f t="shared" ref="T38" si="169">S38/1000</f>
        <v>-4.1688426843440167</v>
      </c>
    </row>
    <row r="39" spans="1:20" x14ac:dyDescent="0.25">
      <c r="A39" s="5">
        <v>44554</v>
      </c>
      <c r="B39">
        <v>1.9419999999999999</v>
      </c>
      <c r="C39">
        <v>2.077</v>
      </c>
      <c r="D39">
        <v>1.8660000000000001</v>
      </c>
      <c r="E39">
        <v>1.8898999999999999</v>
      </c>
      <c r="F39">
        <v>13521965</v>
      </c>
      <c r="G39">
        <v>1.8898999999999999</v>
      </c>
      <c r="L39" t="s">
        <v>8</v>
      </c>
      <c r="M39" t="s">
        <v>7</v>
      </c>
      <c r="N39" t="s">
        <v>7</v>
      </c>
      <c r="P39">
        <f t="shared" ref="P39" si="170">IF(C39=D39,0,((E39-D39)-(C39-E39))/(C39-D39))</f>
        <v>-0.77345971563981208</v>
      </c>
      <c r="Q39">
        <f t="shared" ref="Q39" si="171">F39*P39</f>
        <v>-10458695.203791492</v>
      </c>
      <c r="R39">
        <f t="shared" ref="R39" si="172">R40+Q39</f>
        <v>-414597614.08902013</v>
      </c>
      <c r="S39">
        <f t="shared" ref="S39" si="173">R39/100000</f>
        <v>-4145.9761408902013</v>
      </c>
      <c r="T39">
        <f t="shared" ref="T39" si="174">S39/1000</f>
        <v>-4.1459761408902009</v>
      </c>
    </row>
    <row r="40" spans="1:20" x14ac:dyDescent="0.25">
      <c r="A40" s="5">
        <v>44553</v>
      </c>
      <c r="B40">
        <v>1.9438</v>
      </c>
      <c r="C40">
        <v>2.0354999999999999</v>
      </c>
      <c r="D40">
        <v>1.7807999999999999</v>
      </c>
      <c r="E40">
        <v>1.9419999999999999</v>
      </c>
      <c r="F40">
        <v>14434459</v>
      </c>
      <c r="G40">
        <v>1.9419999999999999</v>
      </c>
      <c r="L40" t="s">
        <v>7</v>
      </c>
      <c r="M40" t="s">
        <v>7</v>
      </c>
      <c r="N40" t="s">
        <v>7</v>
      </c>
      <c r="P40">
        <f t="shared" ref="P40" si="175">IF(C40=D40,0,((E40-D40)-(C40-E40))/(C40-D40))</f>
        <v>0.26580290537887757</v>
      </c>
      <c r="Q40">
        <f t="shared" ref="Q40" si="176">F40*P40</f>
        <v>3836721.139772288</v>
      </c>
      <c r="R40">
        <f t="shared" ref="R40" si="177">R41+Q40</f>
        <v>-404138918.88522863</v>
      </c>
      <c r="S40">
        <f t="shared" ref="S40" si="178">R40/100000</f>
        <v>-4041.3891888522862</v>
      </c>
      <c r="T40">
        <f t="shared" ref="T40" si="179">S40/1000</f>
        <v>-4.0413891888522864</v>
      </c>
    </row>
    <row r="41" spans="1:20" x14ac:dyDescent="0.25">
      <c r="A41" s="5">
        <v>44552</v>
      </c>
      <c r="B41">
        <v>2.0059</v>
      </c>
      <c r="C41">
        <v>2.0655000000000001</v>
      </c>
      <c r="D41">
        <v>1.9</v>
      </c>
      <c r="E41">
        <v>1.9413</v>
      </c>
      <c r="F41">
        <v>11081036</v>
      </c>
      <c r="G41">
        <v>1.9413</v>
      </c>
      <c r="L41" t="s">
        <v>7</v>
      </c>
      <c r="M41" t="s">
        <v>8</v>
      </c>
      <c r="N41" t="s">
        <v>7</v>
      </c>
      <c r="P41">
        <f t="shared" ref="P41" si="180">IF(C41=D41,0,((E41-D41)-(C41-E41))/(C41-D41))</f>
        <v>-0.50090634441087534</v>
      </c>
      <c r="Q41">
        <f t="shared" ref="Q41" si="181">F41*P41</f>
        <v>-5550561.2350453082</v>
      </c>
      <c r="R41">
        <f t="shared" ref="R41" si="182">R42+Q41</f>
        <v>-407975640.02500093</v>
      </c>
      <c r="S41">
        <f t="shared" ref="S41" si="183">R41/100000</f>
        <v>-4079.7564002500094</v>
      </c>
      <c r="T41">
        <f t="shared" ref="T41" si="184">S41/1000</f>
        <v>-4.0797564002500097</v>
      </c>
    </row>
    <row r="42" spans="1:20" x14ac:dyDescent="0.25">
      <c r="A42" s="5">
        <v>44551</v>
      </c>
      <c r="B42">
        <v>2.0670000000000002</v>
      </c>
      <c r="C42">
        <v>2.2040999999999999</v>
      </c>
      <c r="D42">
        <v>1.9629000000000001</v>
      </c>
      <c r="E42">
        <v>2.0091000000000001</v>
      </c>
      <c r="F42">
        <v>18777114</v>
      </c>
      <c r="G42">
        <v>2.0091000000000001</v>
      </c>
      <c r="L42" t="s">
        <v>8</v>
      </c>
      <c r="M42" t="s">
        <v>8</v>
      </c>
      <c r="N42" t="s">
        <v>7</v>
      </c>
      <c r="P42">
        <f t="shared" ref="P42" si="185">IF(C42=D42,0,((E42-D42)-(C42-E42))/(C42-D42))</f>
        <v>-0.61691542288557177</v>
      </c>
      <c r="Q42">
        <f t="shared" ref="Q42" si="186">F42*P42</f>
        <v>-11583891.223880591</v>
      </c>
      <c r="R42">
        <f t="shared" ref="R42" si="187">R43+Q42</f>
        <v>-402425078.78995562</v>
      </c>
      <c r="S42">
        <f t="shared" ref="S42" si="188">R42/100000</f>
        <v>-4024.2507878995561</v>
      </c>
      <c r="T42">
        <f t="shared" ref="T42" si="189">S42/1000</f>
        <v>-4.0242507878995557</v>
      </c>
    </row>
    <row r="43" spans="1:20" x14ac:dyDescent="0.25">
      <c r="A43" s="5">
        <v>44550</v>
      </c>
      <c r="B43">
        <v>1.8755999999999999</v>
      </c>
      <c r="C43">
        <v>2.2799999999999998</v>
      </c>
      <c r="D43">
        <v>1.86</v>
      </c>
      <c r="E43">
        <v>2.0653000000000001</v>
      </c>
      <c r="F43">
        <v>45685207</v>
      </c>
      <c r="G43">
        <v>2.0653000000000001</v>
      </c>
      <c r="L43" t="s">
        <v>7</v>
      </c>
      <c r="M43" t="s">
        <v>7</v>
      </c>
      <c r="N43" t="s">
        <v>7</v>
      </c>
      <c r="P43">
        <f t="shared" ref="P43" si="190">IF(C43=D43,0,((E43-D43)-(C43-E43))/(C43-D43))</f>
        <v>-2.2380952380951519E-2</v>
      </c>
      <c r="Q43">
        <f t="shared" ref="Q43" si="191">F43*P43</f>
        <v>-1022478.4423809131</v>
      </c>
      <c r="R43">
        <f t="shared" ref="R43" si="192">R44+Q43</f>
        <v>-390841187.56607503</v>
      </c>
      <c r="S43">
        <f t="shared" ref="S43" si="193">R43/100000</f>
        <v>-3908.4118756607504</v>
      </c>
      <c r="T43">
        <f t="shared" ref="T43" si="194">S43/1000</f>
        <v>-3.9084118756607502</v>
      </c>
    </row>
    <row r="44" spans="1:20" x14ac:dyDescent="0.25">
      <c r="A44" s="5">
        <v>44549</v>
      </c>
      <c r="B44">
        <v>1.9512</v>
      </c>
      <c r="C44">
        <v>2.298</v>
      </c>
      <c r="D44">
        <v>1.85</v>
      </c>
      <c r="E44">
        <v>1.8746</v>
      </c>
      <c r="F44">
        <v>46246515</v>
      </c>
      <c r="G44">
        <v>1.8746</v>
      </c>
      <c r="L44" t="s">
        <v>8</v>
      </c>
      <c r="M44" t="s">
        <v>8</v>
      </c>
      <c r="N44" t="s">
        <v>7</v>
      </c>
      <c r="P44">
        <f t="shared" ref="P44" si="195">IF(C44=D44,0,((E44-D44)-(C44-E44))/(C44-D44))</f>
        <v>-0.8901785714285716</v>
      </c>
      <c r="Q44">
        <f t="shared" ref="Q44" si="196">F44*P44</f>
        <v>-41167656.656250007</v>
      </c>
      <c r="R44">
        <f t="shared" ref="R44" si="197">R45+Q44</f>
        <v>-389818709.12369412</v>
      </c>
      <c r="S44">
        <f t="shared" ref="S44" si="198">R44/100000</f>
        <v>-3898.1870912369413</v>
      </c>
      <c r="T44">
        <f t="shared" ref="T44" si="199">S44/1000</f>
        <v>-3.8981870912369412</v>
      </c>
    </row>
    <row r="45" spans="1:20" x14ac:dyDescent="0.25">
      <c r="A45" s="5">
        <v>44548</v>
      </c>
      <c r="B45">
        <v>1.84</v>
      </c>
      <c r="C45">
        <v>2.17</v>
      </c>
      <c r="D45">
        <v>1.6475</v>
      </c>
      <c r="E45">
        <v>1.9484999999999999</v>
      </c>
      <c r="F45">
        <v>48910966</v>
      </c>
      <c r="G45">
        <v>1.9484999999999999</v>
      </c>
      <c r="L45" t="s">
        <v>7</v>
      </c>
      <c r="M45" t="s">
        <v>7</v>
      </c>
      <c r="N45" t="s">
        <v>7</v>
      </c>
      <c r="P45">
        <f t="shared" ref="P45" si="200">IF(C45=D45,0,((E45-D45)-(C45-E45))/(C45-D45))</f>
        <v>0.15215311004784671</v>
      </c>
      <c r="Q45">
        <f t="shared" ref="Q45" si="201">F45*P45</f>
        <v>7441955.5923444889</v>
      </c>
      <c r="R45">
        <f t="shared" ref="R45" si="202">R46+Q45</f>
        <v>-348651052.46744412</v>
      </c>
      <c r="S45">
        <f t="shared" ref="S45" si="203">R45/100000</f>
        <v>-3486.5105246744411</v>
      </c>
      <c r="T45">
        <f t="shared" ref="T45" si="204">S45/1000</f>
        <v>-3.4865105246744412</v>
      </c>
    </row>
    <row r="46" spans="1:20" x14ac:dyDescent="0.25">
      <c r="A46" s="5">
        <v>44547</v>
      </c>
      <c r="B46">
        <v>2.5775000000000001</v>
      </c>
      <c r="C46">
        <v>2.75</v>
      </c>
      <c r="D46">
        <v>1.7764</v>
      </c>
      <c r="E46">
        <v>1.8385</v>
      </c>
      <c r="F46">
        <v>93744454</v>
      </c>
      <c r="G46">
        <v>1.8385</v>
      </c>
      <c r="L46" t="s">
        <v>7</v>
      </c>
      <c r="M46" t="s">
        <v>7</v>
      </c>
      <c r="N46" t="s">
        <v>7</v>
      </c>
      <c r="P46">
        <f t="shared" ref="P46" si="205">IF(C46=D46,0,((E46-D46)-(C46-E46))/(C46-D46))</f>
        <v>-0.87243221035332774</v>
      </c>
      <c r="Q46">
        <f t="shared" ref="Q46" si="206">F46*P46</f>
        <v>-81785681.21158585</v>
      </c>
      <c r="R46">
        <f t="shared" ref="R46" si="207">R47+Q46</f>
        <v>-356093008.05978858</v>
      </c>
      <c r="S46">
        <f t="shared" ref="S46" si="208">R46/100000</f>
        <v>-3560.930080597886</v>
      </c>
      <c r="T46">
        <f t="shared" ref="T46" si="209">S46/1000</f>
        <v>-3.5609300805978861</v>
      </c>
    </row>
    <row r="47" spans="1:20" x14ac:dyDescent="0.25">
      <c r="A47" s="5">
        <v>44546</v>
      </c>
      <c r="B47">
        <v>1.2331000000000001</v>
      </c>
      <c r="C47">
        <v>2.88</v>
      </c>
      <c r="D47">
        <v>1.2162999999999999</v>
      </c>
      <c r="E47">
        <v>2.5775000000000001</v>
      </c>
      <c r="F47">
        <v>192269766</v>
      </c>
      <c r="G47">
        <v>2.5775000000000001</v>
      </c>
      <c r="L47" t="s">
        <v>8</v>
      </c>
      <c r="M47" t="s">
        <v>8</v>
      </c>
      <c r="N47" t="s">
        <v>8</v>
      </c>
      <c r="P47">
        <f t="shared" ref="P47" si="210">IF(C47=D47,0,((E47-D47)-(C47-E47))/(C47-D47))</f>
        <v>0.63635270781991971</v>
      </c>
      <c r="Q47">
        <f t="shared" ref="Q47" si="211">F47*P47</f>
        <v>122351386.22600234</v>
      </c>
      <c r="R47">
        <f t="shared" ref="R47" si="212">R48+Q47</f>
        <v>-274307326.84820271</v>
      </c>
      <c r="S47">
        <f t="shared" ref="S47" si="213">R47/100000</f>
        <v>-2743.0732684820268</v>
      </c>
      <c r="T47">
        <f t="shared" ref="T47" si="214">S47/1000</f>
        <v>-2.7430732684820267</v>
      </c>
    </row>
    <row r="48" spans="1:20" x14ac:dyDescent="0.25">
      <c r="A48" s="5">
        <v>44545</v>
      </c>
      <c r="B48">
        <v>1.284</v>
      </c>
      <c r="C48">
        <v>1.284</v>
      </c>
      <c r="D48">
        <v>1.1220000000000001</v>
      </c>
      <c r="E48">
        <v>1.2321</v>
      </c>
      <c r="F48">
        <v>10807747</v>
      </c>
      <c r="G48">
        <v>1.2321</v>
      </c>
      <c r="L48" t="s">
        <v>7</v>
      </c>
      <c r="M48" t="s">
        <v>7</v>
      </c>
      <c r="N48" t="s">
        <v>7</v>
      </c>
      <c r="P48">
        <f t="shared" ref="P48" si="215">IF(C48=D48,0,((E48-D48)-(C48-E48))/(C48-D48))</f>
        <v>0.35925925925925822</v>
      </c>
      <c r="Q48">
        <f t="shared" ref="Q48" si="216">F48*P48</f>
        <v>3882783.1814814704</v>
      </c>
      <c r="R48">
        <f t="shared" ref="R48" si="217">R49+Q48</f>
        <v>-396658713.07420504</v>
      </c>
      <c r="S48">
        <f t="shared" ref="S48" si="218">R48/100000</f>
        <v>-3966.5871307420502</v>
      </c>
      <c r="T48">
        <f t="shared" ref="T48" si="219">S48/1000</f>
        <v>-3.9665871307420502</v>
      </c>
    </row>
    <row r="49" spans="1:20" x14ac:dyDescent="0.25">
      <c r="A49" s="5">
        <v>44544</v>
      </c>
      <c r="B49">
        <v>1.2451000000000001</v>
      </c>
      <c r="C49">
        <v>1.4830000000000001</v>
      </c>
      <c r="D49">
        <v>1.2161</v>
      </c>
      <c r="E49">
        <v>1.2882</v>
      </c>
      <c r="F49">
        <v>18920372</v>
      </c>
      <c r="G49">
        <v>1.2882</v>
      </c>
      <c r="L49" t="s">
        <v>8</v>
      </c>
      <c r="M49" t="s">
        <v>8</v>
      </c>
      <c r="N49" t="s">
        <v>7</v>
      </c>
      <c r="P49">
        <f t="shared" ref="P49" si="220">IF(C49=D49,0,((E49-D49)-(C49-E49))/(C49-D49))</f>
        <v>-0.45972274260022467</v>
      </c>
      <c r="Q49">
        <f t="shared" ref="Q49" si="221">F49*P49</f>
        <v>-8698125.3068564981</v>
      </c>
      <c r="R49">
        <f t="shared" ref="R49" si="222">R50+Q49</f>
        <v>-400541496.25568652</v>
      </c>
      <c r="S49">
        <f t="shared" ref="S49" si="223">R49/100000</f>
        <v>-4005.4149625568652</v>
      </c>
      <c r="T49">
        <f t="shared" ref="T49" si="224">S49/1000</f>
        <v>-4.0054149625568654</v>
      </c>
    </row>
    <row r="50" spans="1:20" x14ac:dyDescent="0.25">
      <c r="A50" s="5">
        <v>44543</v>
      </c>
      <c r="B50">
        <v>1.5528999999999999</v>
      </c>
      <c r="C50">
        <v>1.5577000000000001</v>
      </c>
      <c r="D50">
        <v>1.212</v>
      </c>
      <c r="E50">
        <v>1.2457</v>
      </c>
      <c r="F50">
        <v>14755738</v>
      </c>
      <c r="G50">
        <v>1.2457</v>
      </c>
      <c r="L50" t="s">
        <v>7</v>
      </c>
      <c r="M50" t="s">
        <v>7</v>
      </c>
      <c r="N50" t="s">
        <v>7</v>
      </c>
      <c r="P50">
        <f t="shared" ref="P50" si="225">IF(C50=D50,0,((E50-D50)-(C50-E50))/(C50-D50))</f>
        <v>-0.80503326583743096</v>
      </c>
      <c r="Q50">
        <f t="shared" ref="Q50" si="226">F50*P50</f>
        <v>-11878859.951981481</v>
      </c>
      <c r="R50">
        <f t="shared" ref="R50" si="227">R51+Q50</f>
        <v>-391843370.94883001</v>
      </c>
      <c r="S50">
        <f t="shared" ref="S50" si="228">R50/100000</f>
        <v>-3918.4337094882999</v>
      </c>
      <c r="T50">
        <f t="shared" ref="T50" si="229">S50/1000</f>
        <v>-3.9184337094882999</v>
      </c>
    </row>
    <row r="51" spans="1:20" x14ac:dyDescent="0.25">
      <c r="A51" s="5">
        <v>44542</v>
      </c>
      <c r="B51">
        <v>1.6911</v>
      </c>
      <c r="C51">
        <v>1.77</v>
      </c>
      <c r="D51">
        <v>1.5</v>
      </c>
      <c r="E51">
        <v>1.5506</v>
      </c>
      <c r="F51">
        <v>9303534</v>
      </c>
      <c r="G51">
        <v>1.5506</v>
      </c>
      <c r="L51" t="s">
        <v>7</v>
      </c>
      <c r="M51" t="s">
        <v>7</v>
      </c>
      <c r="N51" t="s">
        <v>7</v>
      </c>
      <c r="P51">
        <f t="shared" ref="P51" si="230">IF(C51=D51,0,((E51-D51)-(C51-E51))/(C51-D51))</f>
        <v>-0.6251851851851854</v>
      </c>
      <c r="Q51">
        <f t="shared" ref="Q51" si="231">F51*P51</f>
        <v>-5816431.6266666688</v>
      </c>
      <c r="R51">
        <f t="shared" ref="R51" si="232">R52+Q51</f>
        <v>-379964510.99684852</v>
      </c>
      <c r="S51">
        <f t="shared" ref="S51" si="233">R51/100000</f>
        <v>-3799.645109968485</v>
      </c>
      <c r="T51">
        <f t="shared" ref="T51" si="234">S51/1000</f>
        <v>-3.7996451099684849</v>
      </c>
    </row>
    <row r="52" spans="1:20" x14ac:dyDescent="0.25">
      <c r="A52" s="5">
        <v>44541</v>
      </c>
      <c r="B52">
        <v>1.6277999999999999</v>
      </c>
      <c r="C52">
        <v>1.6547000000000001</v>
      </c>
      <c r="D52">
        <v>1.5712999999999999</v>
      </c>
      <c r="E52">
        <v>1.6301000000000001</v>
      </c>
      <c r="F52">
        <v>494204</v>
      </c>
      <c r="G52">
        <v>1.6301000000000001</v>
      </c>
      <c r="L52" t="s">
        <v>7</v>
      </c>
      <c r="M52" t="s">
        <v>7</v>
      </c>
      <c r="N52" t="s">
        <v>7</v>
      </c>
      <c r="P52">
        <f t="shared" ref="P52" si="235">IF(C52=D52,0,((E52-D52)-(C52-E52))/(C52-D52))</f>
        <v>0.41007194244604522</v>
      </c>
      <c r="Q52">
        <f t="shared" ref="Q52" si="236">F52*P52</f>
        <v>202659.19424460534</v>
      </c>
      <c r="R52">
        <f t="shared" ref="R52" si="237">R53+Q52</f>
        <v>-374148079.37018186</v>
      </c>
      <c r="S52">
        <f t="shared" ref="S52" si="238">R52/100000</f>
        <v>-3741.4807937018186</v>
      </c>
      <c r="T52">
        <f t="shared" ref="T52" si="239">S52/1000</f>
        <v>-3.7414807937018186</v>
      </c>
    </row>
    <row r="53" spans="1:20" x14ac:dyDescent="0.25">
      <c r="A53" s="5">
        <v>44540</v>
      </c>
      <c r="B53">
        <v>1.7991999999999999</v>
      </c>
      <c r="C53">
        <v>2.2000000000000002</v>
      </c>
      <c r="D53">
        <v>1.5960000000000001</v>
      </c>
      <c r="E53">
        <v>1.6276999999999999</v>
      </c>
      <c r="F53">
        <v>22093716</v>
      </c>
      <c r="G53">
        <v>1.6276999999999999</v>
      </c>
      <c r="L53" t="s">
        <v>7</v>
      </c>
      <c r="M53" t="s">
        <v>7</v>
      </c>
      <c r="N53" t="s">
        <v>7</v>
      </c>
      <c r="P53">
        <f t="shared" ref="P53" si="240">IF(C53=D53,0,((E53-D53)-(C53-E53))/(C53-D53))</f>
        <v>-0.89503311258278195</v>
      </c>
      <c r="Q53">
        <f t="shared" ref="Q53" si="241">F53*P53</f>
        <v>-19774607.40000001</v>
      </c>
      <c r="R53">
        <f t="shared" ref="R53" si="242">R54+Q53</f>
        <v>-374350738.56442648</v>
      </c>
      <c r="S53">
        <f t="shared" ref="S53" si="243">R53/100000</f>
        <v>-3743.507385644265</v>
      </c>
      <c r="T53">
        <f t="shared" ref="T53" si="244">S53/1000</f>
        <v>-3.7435073856442651</v>
      </c>
    </row>
    <row r="54" spans="1:20" x14ac:dyDescent="0.25">
      <c r="A54" s="5">
        <v>44539</v>
      </c>
      <c r="B54">
        <v>2.1120000000000001</v>
      </c>
      <c r="C54">
        <v>2.17</v>
      </c>
      <c r="D54">
        <v>1.7613000000000001</v>
      </c>
      <c r="E54">
        <v>1.7950999999999999</v>
      </c>
      <c r="F54">
        <v>15248582</v>
      </c>
      <c r="G54">
        <v>1.7950999999999999</v>
      </c>
      <c r="L54" t="s">
        <v>7</v>
      </c>
      <c r="M54" t="s">
        <v>7</v>
      </c>
      <c r="N54" t="s">
        <v>7</v>
      </c>
      <c r="P54">
        <f t="shared" ref="P54" si="245">IF(C54=D54,0,((E54-D54)-(C54-E54))/(C54-D54))</f>
        <v>-0.83459750428187007</v>
      </c>
      <c r="Q54">
        <f t="shared" ref="Q54" si="246">F54*P54</f>
        <v>-12726428.481037447</v>
      </c>
      <c r="R54">
        <f t="shared" ref="R54" si="247">R55+Q54</f>
        <v>-354576131.16442645</v>
      </c>
      <c r="S54">
        <f t="shared" ref="S54" si="248">R54/100000</f>
        <v>-3545.7613116442644</v>
      </c>
      <c r="T54">
        <f t="shared" ref="T54" si="249">S54/1000</f>
        <v>-3.5457613116442643</v>
      </c>
    </row>
    <row r="55" spans="1:20" x14ac:dyDescent="0.25">
      <c r="A55" s="5">
        <v>44538</v>
      </c>
      <c r="B55">
        <v>2.2627999999999999</v>
      </c>
      <c r="C55">
        <v>2.5499999999999998</v>
      </c>
      <c r="D55">
        <v>2.1044</v>
      </c>
      <c r="E55">
        <v>2.1118000000000001</v>
      </c>
      <c r="F55">
        <v>15417515</v>
      </c>
      <c r="G55">
        <v>2.1118000000000001</v>
      </c>
      <c r="L55" t="s">
        <v>7</v>
      </c>
      <c r="M55" t="s">
        <v>7</v>
      </c>
      <c r="N55" t="s">
        <v>7</v>
      </c>
      <c r="P55">
        <f t="shared" ref="P55" si="250">IF(C55=D55,0,((E55-D55)-(C55-E55))/(C55-D55))</f>
        <v>-0.96678635547576264</v>
      </c>
      <c r="Q55">
        <f t="shared" ref="Q55" si="251">F55*P55</f>
        <v>-14905443.137342902</v>
      </c>
      <c r="R55">
        <f t="shared" ref="R55" si="252">R56+Q55</f>
        <v>-341849702.68338901</v>
      </c>
      <c r="S55">
        <f t="shared" ref="S55" si="253">R55/100000</f>
        <v>-3418.4970268338902</v>
      </c>
      <c r="T55">
        <f t="shared" ref="T55" si="254">S55/1000</f>
        <v>-3.4184970268338901</v>
      </c>
    </row>
    <row r="56" spans="1:20" x14ac:dyDescent="0.25">
      <c r="A56" s="5">
        <v>44537</v>
      </c>
      <c r="B56">
        <v>2.75</v>
      </c>
      <c r="C56">
        <v>2.8944000000000001</v>
      </c>
      <c r="D56">
        <v>2.21</v>
      </c>
      <c r="E56">
        <v>2.2587000000000002</v>
      </c>
      <c r="F56">
        <v>15160959</v>
      </c>
      <c r="G56">
        <v>2.2587000000000002</v>
      </c>
      <c r="L56" t="s">
        <v>7</v>
      </c>
      <c r="M56" t="s">
        <v>7</v>
      </c>
      <c r="N56" t="s">
        <v>7</v>
      </c>
      <c r="P56">
        <f t="shared" ref="P56" si="255">IF(C56=D56,0,((E56-D56)-(C56-E56))/(C56-D56))</f>
        <v>-0.85768556399766172</v>
      </c>
      <c r="Q56">
        <f t="shared" ref="Q56" si="256">F56*P56</f>
        <v>-13003335.670660425</v>
      </c>
      <c r="R56">
        <f t="shared" ref="R56" si="257">R57+Q56</f>
        <v>-326944259.54604608</v>
      </c>
      <c r="S56">
        <f t="shared" ref="S56" si="258">R56/100000</f>
        <v>-3269.4425954604608</v>
      </c>
      <c r="T56">
        <f t="shared" ref="T56" si="259">S56/1000</f>
        <v>-3.2694425954604607</v>
      </c>
    </row>
    <row r="57" spans="1:20" x14ac:dyDescent="0.25">
      <c r="A57" s="5">
        <v>44536</v>
      </c>
      <c r="B57">
        <v>2.9264000000000001</v>
      </c>
      <c r="C57">
        <v>3.5221</v>
      </c>
      <c r="D57">
        <v>2.5265</v>
      </c>
      <c r="E57">
        <v>2.7463000000000002</v>
      </c>
      <c r="F57">
        <v>52272877</v>
      </c>
      <c r="G57">
        <v>2.7463000000000002</v>
      </c>
      <c r="L57" t="s">
        <v>8</v>
      </c>
      <c r="M57" t="s">
        <v>8</v>
      </c>
      <c r="N57" t="s">
        <v>8</v>
      </c>
      <c r="P57">
        <f t="shared" ref="P57" si="260">IF(C57=D57,0,((E57-D57)-(C57-E57))/(C57-D57))</f>
        <v>-0.55845721173161866</v>
      </c>
      <c r="Q57">
        <f t="shared" ref="Q57" si="261">F57*P57</f>
        <v>-29192165.13860986</v>
      </c>
      <c r="R57">
        <f t="shared" ref="R57" si="262">R58+Q57</f>
        <v>-313940923.87538564</v>
      </c>
      <c r="S57">
        <f t="shared" ref="S57" si="263">R57/100000</f>
        <v>-3139.4092387538562</v>
      </c>
      <c r="T57">
        <f t="shared" ref="T57" si="264">S57/1000</f>
        <v>-3.1394092387538564</v>
      </c>
    </row>
    <row r="58" spans="1:20" x14ac:dyDescent="0.25">
      <c r="A58" s="5">
        <v>44535</v>
      </c>
      <c r="B58">
        <v>2.7746</v>
      </c>
      <c r="C58">
        <v>3.395</v>
      </c>
      <c r="D58">
        <v>2.1255999999999999</v>
      </c>
      <c r="E58">
        <v>2.9350999999999998</v>
      </c>
      <c r="F58">
        <v>39410200</v>
      </c>
      <c r="G58">
        <v>2.9350999999999998</v>
      </c>
      <c r="L58" t="s">
        <v>7</v>
      </c>
      <c r="M58" t="s">
        <v>7</v>
      </c>
      <c r="N58" t="s">
        <v>7</v>
      </c>
      <c r="P58">
        <f t="shared" ref="P58" si="265">IF(C58=D58,0,((E58-D58)-(C58-E58))/(C58-D58))</f>
        <v>0.2754057034819597</v>
      </c>
      <c r="Q58">
        <f t="shared" ref="Q58" si="266">F58*P58</f>
        <v>10853793.855364729</v>
      </c>
      <c r="R58">
        <f t="shared" ref="R58" si="267">R59+Q58</f>
        <v>-284748758.73677576</v>
      </c>
      <c r="S58">
        <f t="shared" ref="S58" si="268">R58/100000</f>
        <v>-2847.4875873677574</v>
      </c>
      <c r="T58">
        <f t="shared" ref="T58" si="269">S58/1000</f>
        <v>-2.8474875873677576</v>
      </c>
    </row>
    <row r="59" spans="1:20" x14ac:dyDescent="0.25">
      <c r="A59" s="5">
        <v>44534</v>
      </c>
      <c r="B59">
        <v>3.6476999999999999</v>
      </c>
      <c r="C59">
        <v>3.9211999999999998</v>
      </c>
      <c r="D59">
        <v>2.4645000000000001</v>
      </c>
      <c r="E59">
        <v>2.7724000000000002</v>
      </c>
      <c r="F59">
        <v>62862998</v>
      </c>
      <c r="G59">
        <v>2.7724000000000002</v>
      </c>
      <c r="L59" t="s">
        <v>7</v>
      </c>
      <c r="M59" t="s">
        <v>7</v>
      </c>
      <c r="N59" t="s">
        <v>7</v>
      </c>
      <c r="P59">
        <f t="shared" ref="P59" si="270">IF(C59=D59,0,((E59-D59)-(C59-E59))/(C59-D59))</f>
        <v>-0.57726367817670055</v>
      </c>
      <c r="Q59">
        <f t="shared" ref="Q59" si="271">F59*P59</f>
        <v>-36288525.446694568</v>
      </c>
      <c r="R59">
        <f t="shared" ref="R59" si="272">R60+Q59</f>
        <v>-295602552.5921405</v>
      </c>
      <c r="S59">
        <f t="shared" ref="S59" si="273">R59/100000</f>
        <v>-2956.025525921405</v>
      </c>
      <c r="T59">
        <f t="shared" ref="T59" si="274">S59/1000</f>
        <v>-2.956025525921405</v>
      </c>
    </row>
    <row r="60" spans="1:20" x14ac:dyDescent="0.25">
      <c r="A60" s="5">
        <v>44533</v>
      </c>
      <c r="B60">
        <v>2.8279000000000001</v>
      </c>
      <c r="C60">
        <v>5.7031000000000001</v>
      </c>
      <c r="D60">
        <v>2.8182999999999998</v>
      </c>
      <c r="E60">
        <v>3.6482999999999999</v>
      </c>
      <c r="F60">
        <v>311420880.50999999</v>
      </c>
      <c r="G60">
        <v>3.6482999999999999</v>
      </c>
      <c r="L60" t="s">
        <v>8</v>
      </c>
      <c r="M60" t="s">
        <v>8</v>
      </c>
      <c r="N60" t="s">
        <v>8</v>
      </c>
      <c r="P60">
        <f t="shared" ref="P60" si="275">IF(C60=D60,0,((E60-D60)-(C60-E60))/(C60-D60))</f>
        <v>-0.42457016084303939</v>
      </c>
      <c r="Q60">
        <f t="shared" ref="Q60" si="276">F60*P60</f>
        <v>-132220013.32801165</v>
      </c>
      <c r="R60">
        <f t="shared" ref="R60" si="277">R61+Q60</f>
        <v>-259314027.14544594</v>
      </c>
      <c r="S60">
        <f t="shared" ref="S60" si="278">R60/100000</f>
        <v>-2593.1402714544593</v>
      </c>
      <c r="T60">
        <f t="shared" ref="T60" si="279">S60/1000</f>
        <v>-2.5931402714544594</v>
      </c>
    </row>
    <row r="61" spans="1:20" x14ac:dyDescent="0.25">
      <c r="A61" s="5">
        <v>44532</v>
      </c>
      <c r="B61">
        <v>0.62839999999999996</v>
      </c>
      <c r="C61">
        <v>3.55</v>
      </c>
      <c r="D61">
        <v>0.6</v>
      </c>
      <c r="E61">
        <v>2.8281000000000001</v>
      </c>
      <c r="F61">
        <v>520399890.47000003</v>
      </c>
      <c r="G61">
        <v>2.8281000000000001</v>
      </c>
      <c r="L61" t="s">
        <v>8</v>
      </c>
      <c r="M61" t="s">
        <v>8</v>
      </c>
      <c r="N61" t="s">
        <v>8</v>
      </c>
      <c r="P61">
        <f t="shared" ref="P61" si="280">IF(C61=D61,0,((E61-D61)-(C61-E61))/(C61-D61))</f>
        <v>0.51057627118644078</v>
      </c>
      <c r="Q61">
        <f t="shared" ref="Q61" si="281">F61*P61</f>
        <v>265703835.60200483</v>
      </c>
      <c r="R61">
        <f t="shared" ref="R61" si="282">R62+Q61</f>
        <v>-127094013.81743431</v>
      </c>
      <c r="S61">
        <f t="shared" ref="S61" si="283">R61/100000</f>
        <v>-1270.940138174343</v>
      </c>
      <c r="T61">
        <f t="shared" ref="T61" si="284">S61/1000</f>
        <v>-1.270940138174343</v>
      </c>
    </row>
    <row r="62" spans="1:20" x14ac:dyDescent="0.25">
      <c r="A62" s="5">
        <v>44531</v>
      </c>
      <c r="B62">
        <v>0.6079</v>
      </c>
      <c r="C62">
        <v>0.68</v>
      </c>
      <c r="D62">
        <v>0.60350000000000004</v>
      </c>
      <c r="E62">
        <v>0.62719999999999998</v>
      </c>
      <c r="F62">
        <v>4837295</v>
      </c>
      <c r="G62">
        <v>0.62719999999999998</v>
      </c>
      <c r="L62" t="s">
        <v>7</v>
      </c>
      <c r="M62" t="s">
        <v>8</v>
      </c>
      <c r="N62" t="s">
        <v>7</v>
      </c>
      <c r="P62">
        <f t="shared" ref="P62" si="285">IF(C62=D62,0,((E62-D62)-(C62-E62))/(C62-D62))</f>
        <v>-0.38039215686274669</v>
      </c>
      <c r="Q62">
        <f t="shared" ref="Q62" si="286">F62*P62</f>
        <v>-1840069.0784313802</v>
      </c>
      <c r="R62">
        <f t="shared" ref="R62" si="287">R63+Q62</f>
        <v>-392797849.41943914</v>
      </c>
      <c r="S62">
        <f t="shared" ref="S62" si="288">R62/100000</f>
        <v>-3927.9784941943913</v>
      </c>
      <c r="T62">
        <f t="shared" ref="T62" si="289">S62/1000</f>
        <v>-3.9279784941943912</v>
      </c>
    </row>
    <row r="63" spans="1:20" x14ac:dyDescent="0.25">
      <c r="A63" s="5">
        <v>44530</v>
      </c>
      <c r="B63">
        <v>0.60740000000000005</v>
      </c>
      <c r="C63">
        <v>0.68799999999999994</v>
      </c>
      <c r="D63">
        <v>0.60199999999999998</v>
      </c>
      <c r="E63">
        <v>0.60799999999999998</v>
      </c>
      <c r="F63">
        <v>4272933</v>
      </c>
      <c r="G63">
        <v>0.60799999999999998</v>
      </c>
      <c r="L63" t="s">
        <v>8</v>
      </c>
      <c r="M63" t="s">
        <v>8</v>
      </c>
      <c r="N63" t="s">
        <v>7</v>
      </c>
      <c r="P63">
        <f t="shared" ref="P63" si="290">IF(C63=D63,0,((E63-D63)-(C63-E63))/(C63-D63))</f>
        <v>-0.86046511627906963</v>
      </c>
      <c r="Q63">
        <f t="shared" ref="Q63" si="291">F63*P63</f>
        <v>-3676709.7906976738</v>
      </c>
      <c r="R63">
        <f t="shared" ref="R63" si="292">R64+Q63</f>
        <v>-390957780.34100777</v>
      </c>
      <c r="S63">
        <f t="shared" ref="S63" si="293">R63/100000</f>
        <v>-3909.5778034100776</v>
      </c>
      <c r="T63">
        <f t="shared" ref="T63" si="294">S63/1000</f>
        <v>-3.9095778034100777</v>
      </c>
    </row>
    <row r="64" spans="1:20" x14ac:dyDescent="0.25">
      <c r="A64" s="5">
        <v>44529</v>
      </c>
      <c r="B64">
        <v>0.58599999999999997</v>
      </c>
      <c r="C64">
        <v>0.64600000000000002</v>
      </c>
      <c r="D64">
        <v>0.57330000000000003</v>
      </c>
      <c r="E64">
        <v>0.60940000000000005</v>
      </c>
      <c r="F64">
        <v>2614088</v>
      </c>
      <c r="G64">
        <v>0.60940000000000005</v>
      </c>
      <c r="L64" t="s">
        <v>8</v>
      </c>
      <c r="M64" t="s">
        <v>8</v>
      </c>
      <c r="N64" t="s">
        <v>7</v>
      </c>
      <c r="P64">
        <f t="shared" ref="P64" si="295">IF(C64=D64,0,((E64-D64)-(C64-E64))/(C64-D64))</f>
        <v>-6.877579092158804E-3</v>
      </c>
      <c r="Q64">
        <f t="shared" ref="Q64" si="296">F64*P64</f>
        <v>-17978.596973863223</v>
      </c>
      <c r="R64">
        <f t="shared" ref="R64" si="297">R65+Q64</f>
        <v>-387281070.55031008</v>
      </c>
      <c r="S64">
        <f t="shared" ref="S64" si="298">R64/100000</f>
        <v>-3872.810705503101</v>
      </c>
      <c r="T64">
        <f t="shared" ref="T64" si="299">S64/1000</f>
        <v>-3.8728107055031011</v>
      </c>
    </row>
    <row r="65" spans="1:20" x14ac:dyDescent="0.25">
      <c r="A65" s="5">
        <v>44528</v>
      </c>
      <c r="B65">
        <v>0.58340000000000003</v>
      </c>
      <c r="C65">
        <v>0.60599999999999998</v>
      </c>
      <c r="D65">
        <v>0.54669999999999996</v>
      </c>
      <c r="E65">
        <v>0.58599999999999997</v>
      </c>
      <c r="F65">
        <v>1139954</v>
      </c>
      <c r="G65">
        <v>0.58599999999999997</v>
      </c>
      <c r="L65" t="s">
        <v>7</v>
      </c>
      <c r="M65" t="s">
        <v>7</v>
      </c>
      <c r="N65" t="s">
        <v>7</v>
      </c>
      <c r="P65">
        <f t="shared" ref="P65" si="300">IF(C65=D65,0,((E65-D65)-(C65-E65))/(C65-D65))</f>
        <v>0.32546374367622222</v>
      </c>
      <c r="Q65">
        <f t="shared" ref="Q65" si="301">F65*P65</f>
        <v>371013.69645868422</v>
      </c>
      <c r="R65">
        <f t="shared" ref="R65" si="302">R66+Q65</f>
        <v>-387263091.95333624</v>
      </c>
      <c r="S65">
        <f t="shared" ref="S65" si="303">R65/100000</f>
        <v>-3872.6309195333624</v>
      </c>
      <c r="T65">
        <f t="shared" ref="T65" si="304">S65/1000</f>
        <v>-3.8726309195333624</v>
      </c>
    </row>
    <row r="66" spans="1:20" x14ac:dyDescent="0.25">
      <c r="A66" s="5">
        <v>44527</v>
      </c>
      <c r="B66">
        <v>0.56120000000000003</v>
      </c>
      <c r="C66">
        <v>0.6</v>
      </c>
      <c r="D66">
        <v>0.55720000000000003</v>
      </c>
      <c r="E66">
        <v>0.58440000000000003</v>
      </c>
      <c r="F66">
        <v>1391895</v>
      </c>
      <c r="G66">
        <v>0.58440000000000003</v>
      </c>
      <c r="L66" t="s">
        <v>8</v>
      </c>
      <c r="M66" t="s">
        <v>7</v>
      </c>
      <c r="N66" t="s">
        <v>7</v>
      </c>
      <c r="P66">
        <f t="shared" ref="P66" si="305">IF(C66=D66,0,((E66-D66)-(C66-E66))/(C66-D66))</f>
        <v>0.27102803738317915</v>
      </c>
      <c r="Q66">
        <f t="shared" ref="Q66" si="306">F66*P66</f>
        <v>377242.57009346015</v>
      </c>
      <c r="R66">
        <f t="shared" ref="R66" si="307">R67+Q66</f>
        <v>-387634105.64979494</v>
      </c>
      <c r="S66">
        <f t="shared" ref="S66" si="308">R66/100000</f>
        <v>-3876.3410564979495</v>
      </c>
      <c r="T66">
        <f t="shared" ref="T66" si="309">S66/1000</f>
        <v>-3.8763410564979495</v>
      </c>
    </row>
    <row r="67" spans="1:20" x14ac:dyDescent="0.25">
      <c r="A67" s="5">
        <v>44526</v>
      </c>
      <c r="B67">
        <v>0.64059999999999995</v>
      </c>
      <c r="C67">
        <v>0.66490000000000005</v>
      </c>
      <c r="D67">
        <v>0.55069999999999997</v>
      </c>
      <c r="E67">
        <v>0.56059999999999999</v>
      </c>
      <c r="F67">
        <v>2553088</v>
      </c>
      <c r="G67">
        <v>0.56059999999999999</v>
      </c>
      <c r="L67" t="s">
        <v>7</v>
      </c>
      <c r="M67" t="s">
        <v>7</v>
      </c>
      <c r="N67" t="s">
        <v>7</v>
      </c>
      <c r="P67">
        <f t="shared" ref="P67" si="310">IF(C67=D67,0,((E67-D67)-(C67-E67))/(C67-D67))</f>
        <v>-0.82661996497373003</v>
      </c>
      <c r="Q67">
        <f t="shared" ref="Q67" si="311">F67*P67</f>
        <v>-2110433.5131348507</v>
      </c>
      <c r="R67">
        <f t="shared" ref="R67" si="312">R68+Q67</f>
        <v>-388011348.21988839</v>
      </c>
      <c r="S67">
        <f t="shared" ref="S67" si="313">R67/100000</f>
        <v>-3880.113482198884</v>
      </c>
      <c r="T67">
        <f t="shared" ref="T67" si="314">S67/1000</f>
        <v>-3.8801134821988841</v>
      </c>
    </row>
    <row r="68" spans="1:20" x14ac:dyDescent="0.25">
      <c r="A68" s="5">
        <v>44525</v>
      </c>
      <c r="B68">
        <v>0.60489999999999999</v>
      </c>
      <c r="C68">
        <v>0.66479999999999995</v>
      </c>
      <c r="D68">
        <v>0.60199999999999998</v>
      </c>
      <c r="E68">
        <v>0.64170000000000005</v>
      </c>
      <c r="F68">
        <v>1737871</v>
      </c>
      <c r="G68">
        <v>0.64170000000000005</v>
      </c>
      <c r="L68" t="s">
        <v>8</v>
      </c>
      <c r="M68" t="s">
        <v>7</v>
      </c>
      <c r="N68" t="s">
        <v>7</v>
      </c>
      <c r="P68">
        <f t="shared" ref="P68" si="315">IF(C68=D68,0,((E68-D68)-(C68-E68))/(C68-D68))</f>
        <v>0.26433121019108563</v>
      </c>
      <c r="Q68">
        <f t="shared" ref="Q68" si="316">F68*P68</f>
        <v>459373.54458599217</v>
      </c>
      <c r="R68">
        <f t="shared" ref="R68" si="317">R69+Q68</f>
        <v>-385900914.70675355</v>
      </c>
      <c r="S68">
        <f t="shared" ref="S68" si="318">R68/100000</f>
        <v>-3859.0091470675357</v>
      </c>
      <c r="T68">
        <f t="shared" ref="T68" si="319">S68/1000</f>
        <v>-3.8590091470675358</v>
      </c>
    </row>
    <row r="69" spans="1:20" x14ac:dyDescent="0.25">
      <c r="A69" s="5">
        <v>44524</v>
      </c>
      <c r="B69">
        <v>0.62880000000000003</v>
      </c>
      <c r="C69">
        <v>0.63500000000000001</v>
      </c>
      <c r="D69">
        <v>0.61</v>
      </c>
      <c r="E69">
        <v>0.6119</v>
      </c>
      <c r="F69">
        <v>387723</v>
      </c>
      <c r="G69">
        <v>0.6119</v>
      </c>
      <c r="L69" t="s">
        <v>8</v>
      </c>
      <c r="M69" t="s">
        <v>7</v>
      </c>
      <c r="N69" t="s">
        <v>7</v>
      </c>
      <c r="P69">
        <f t="shared" ref="P69" si="320">IF(C69=D69,0,((E69-D69)-(C69-E69))/(C69-D69))</f>
        <v>-0.84799999999999909</v>
      </c>
      <c r="Q69">
        <f t="shared" ref="Q69" si="321">F69*P69</f>
        <v>-328789.10399999964</v>
      </c>
      <c r="R69">
        <f t="shared" ref="R69" si="322">R70+Q69</f>
        <v>-386360288.25133955</v>
      </c>
      <c r="S69">
        <f t="shared" ref="S69" si="323">R69/100000</f>
        <v>-3863.6028825133953</v>
      </c>
      <c r="T69">
        <f t="shared" ref="T69" si="324">S69/1000</f>
        <v>-3.8636028825133955</v>
      </c>
    </row>
    <row r="70" spans="1:20" x14ac:dyDescent="0.25">
      <c r="A70" s="5">
        <v>44523</v>
      </c>
      <c r="B70">
        <v>0.60670000000000002</v>
      </c>
      <c r="C70">
        <v>0.64859999999999995</v>
      </c>
      <c r="D70">
        <v>0.60070000000000001</v>
      </c>
      <c r="E70">
        <v>0.62880000000000003</v>
      </c>
      <c r="F70">
        <v>2081008</v>
      </c>
      <c r="G70">
        <v>0.62880000000000003</v>
      </c>
      <c r="L70" t="s">
        <v>8</v>
      </c>
      <c r="M70" t="s">
        <v>7</v>
      </c>
      <c r="N70" t="s">
        <v>7</v>
      </c>
      <c r="P70">
        <f t="shared" ref="P70" si="325">IF(C70=D70,0,((E70-D70)-(C70-E70))/(C70-D70))</f>
        <v>0.17327766179540907</v>
      </c>
      <c r="Q70">
        <f t="shared" ref="Q70" si="326">F70*P70</f>
        <v>360592.20041754062</v>
      </c>
      <c r="R70">
        <f t="shared" ref="R70" si="327">R71+Q70</f>
        <v>-386031499.14733958</v>
      </c>
      <c r="S70">
        <f t="shared" ref="S70" si="328">R70/100000</f>
        <v>-3860.3149914733958</v>
      </c>
      <c r="T70">
        <f t="shared" ref="T70" si="329">S70/1000</f>
        <v>-3.8603149914733956</v>
      </c>
    </row>
    <row r="71" spans="1:20" x14ac:dyDescent="0.25">
      <c r="A71" s="5">
        <v>44522</v>
      </c>
      <c r="B71">
        <v>0.62390000000000001</v>
      </c>
      <c r="C71">
        <v>0.63660000000000005</v>
      </c>
      <c r="D71">
        <v>0.59509999999999996</v>
      </c>
      <c r="E71">
        <v>0.60670000000000002</v>
      </c>
      <c r="F71">
        <v>1475297</v>
      </c>
      <c r="G71">
        <v>0.60670000000000002</v>
      </c>
      <c r="L71" t="s">
        <v>7</v>
      </c>
      <c r="M71" t="s">
        <v>7</v>
      </c>
      <c r="N71" t="s">
        <v>7</v>
      </c>
      <c r="P71">
        <f t="shared" ref="P71" si="330">IF(C71=D71,0,((E71-D71)-(C71-E71))/(C71-D71))</f>
        <v>-0.44096385542168537</v>
      </c>
      <c r="Q71">
        <f t="shared" ref="Q71" si="331">F71*P71</f>
        <v>-650552.65301204612</v>
      </c>
      <c r="R71">
        <f t="shared" ref="R71" si="332">R72+Q71</f>
        <v>-386392091.3477571</v>
      </c>
      <c r="S71">
        <f t="shared" ref="S71" si="333">R71/100000</f>
        <v>-3863.920913477571</v>
      </c>
      <c r="T71">
        <f t="shared" ref="T71" si="334">S71/1000</f>
        <v>-3.8639209134775712</v>
      </c>
    </row>
    <row r="72" spans="1:20" x14ac:dyDescent="0.25">
      <c r="A72" s="5">
        <v>44521</v>
      </c>
      <c r="B72">
        <v>0.65269999999999995</v>
      </c>
      <c r="C72">
        <v>0.69</v>
      </c>
      <c r="D72">
        <v>0.62260000000000004</v>
      </c>
      <c r="E72">
        <v>0.624</v>
      </c>
      <c r="F72">
        <v>3425955</v>
      </c>
      <c r="G72">
        <v>0.624</v>
      </c>
      <c r="L72" t="s">
        <v>7</v>
      </c>
      <c r="M72" t="s">
        <v>8</v>
      </c>
      <c r="N72" t="s">
        <v>7</v>
      </c>
      <c r="P72">
        <f t="shared" ref="P72" si="335">IF(C72=D72,0,((E72-D72)-(C72-E72))/(C72-D72))</f>
        <v>-0.95845697329376978</v>
      </c>
      <c r="Q72">
        <f t="shared" ref="Q72" si="336">F72*P72</f>
        <v>-3283630.459940657</v>
      </c>
      <c r="R72">
        <f t="shared" ref="R72" si="337">R73+Q72</f>
        <v>-385741538.69474506</v>
      </c>
      <c r="S72">
        <f t="shared" ref="S72" si="338">R72/100000</f>
        <v>-3857.4153869474508</v>
      </c>
      <c r="T72">
        <f t="shared" ref="T72" si="339">S72/1000</f>
        <v>-3.8574153869474506</v>
      </c>
    </row>
    <row r="73" spans="1:20" x14ac:dyDescent="0.25">
      <c r="A73" s="5">
        <v>44520</v>
      </c>
      <c r="B73">
        <v>0.60060000000000002</v>
      </c>
      <c r="C73">
        <v>0.73499999999999999</v>
      </c>
      <c r="D73">
        <v>0.59850000000000003</v>
      </c>
      <c r="E73">
        <v>0.65249999999999997</v>
      </c>
      <c r="F73">
        <v>8179070</v>
      </c>
      <c r="G73">
        <v>0.65249999999999997</v>
      </c>
      <c r="L73" t="s">
        <v>8</v>
      </c>
      <c r="M73" t="s">
        <v>8</v>
      </c>
      <c r="N73" t="s">
        <v>7</v>
      </c>
      <c r="P73">
        <f t="shared" ref="P73" si="340">IF(C73=D73,0,((E73-D73)-(C73-E73))/(C73-D73))</f>
        <v>-0.20879120879120946</v>
      </c>
      <c r="Q73">
        <f t="shared" ref="Q73" si="341">F73*P73</f>
        <v>-1707717.9120879176</v>
      </c>
      <c r="R73">
        <f t="shared" ref="R73" si="342">R74+Q73</f>
        <v>-382457908.23480439</v>
      </c>
      <c r="S73">
        <f t="shared" ref="S73" si="343">R73/100000</f>
        <v>-3824.5790823480438</v>
      </c>
      <c r="T73">
        <f t="shared" ref="T73" si="344">S73/1000</f>
        <v>-3.8245790823480439</v>
      </c>
    </row>
    <row r="74" spans="1:20" x14ac:dyDescent="0.25">
      <c r="A74" s="5">
        <v>44519</v>
      </c>
      <c r="B74">
        <v>0.55259999999999998</v>
      </c>
      <c r="C74">
        <v>0.61980000000000002</v>
      </c>
      <c r="D74">
        <v>0.54349999999999998</v>
      </c>
      <c r="E74">
        <v>0.60060000000000002</v>
      </c>
      <c r="F74">
        <v>1164055</v>
      </c>
      <c r="G74">
        <v>0.60060000000000002</v>
      </c>
      <c r="L74" t="s">
        <v>8</v>
      </c>
      <c r="M74" t="s">
        <v>7</v>
      </c>
      <c r="N74" t="s">
        <v>7</v>
      </c>
      <c r="P74">
        <f t="shared" ref="P74" si="345">IF(C74=D74,0,((E74-D74)-(C74-E74))/(C74-D74))</f>
        <v>0.4967234600262127</v>
      </c>
      <c r="Q74">
        <f t="shared" ref="Q74" si="346">F74*P74</f>
        <v>578213.42726081307</v>
      </c>
      <c r="R74">
        <f t="shared" ref="R74" si="347">R75+Q74</f>
        <v>-380750190.32271647</v>
      </c>
      <c r="S74">
        <f t="shared" ref="S74" si="348">R74/100000</f>
        <v>-3807.5019032271648</v>
      </c>
      <c r="T74">
        <f t="shared" ref="T74" si="349">S74/1000</f>
        <v>-3.8075019032271649</v>
      </c>
    </row>
    <row r="75" spans="1:20" x14ac:dyDescent="0.25">
      <c r="A75" s="5">
        <v>44518</v>
      </c>
      <c r="B75">
        <v>0.61460000000000004</v>
      </c>
      <c r="C75">
        <v>0.62790000000000001</v>
      </c>
      <c r="D75">
        <v>0.5323</v>
      </c>
      <c r="E75">
        <v>0.55000000000000004</v>
      </c>
      <c r="F75">
        <v>1692386</v>
      </c>
      <c r="G75">
        <v>0.55000000000000004</v>
      </c>
      <c r="L75" t="s">
        <v>7</v>
      </c>
      <c r="M75" t="s">
        <v>7</v>
      </c>
      <c r="N75" t="s">
        <v>7</v>
      </c>
      <c r="P75">
        <f t="shared" ref="P75" si="350">IF(C75=D75,0,((E75-D75)-(C75-E75))/(C75-D75))</f>
        <v>-0.62970711297071036</v>
      </c>
      <c r="Q75">
        <f t="shared" ref="Q75" si="351">F75*P75</f>
        <v>-1065707.5020920485</v>
      </c>
      <c r="R75">
        <f t="shared" ref="R75" si="352">R76+Q75</f>
        <v>-381328403.74997729</v>
      </c>
      <c r="S75">
        <f t="shared" ref="S75" si="353">R75/100000</f>
        <v>-3813.2840374997727</v>
      </c>
      <c r="T75">
        <f t="shared" ref="T75" si="354">S75/1000</f>
        <v>-3.8132840374997725</v>
      </c>
    </row>
    <row r="76" spans="1:20" x14ac:dyDescent="0.25">
      <c r="A76" s="5">
        <v>44517</v>
      </c>
      <c r="B76">
        <v>0.58750000000000002</v>
      </c>
      <c r="C76">
        <v>0.63990000000000002</v>
      </c>
      <c r="D76">
        <v>0.5635</v>
      </c>
      <c r="E76">
        <v>0.61409999999999998</v>
      </c>
      <c r="F76">
        <v>2063869</v>
      </c>
      <c r="G76">
        <v>0.61409999999999998</v>
      </c>
      <c r="L76" t="s">
        <v>8</v>
      </c>
      <c r="M76" t="s">
        <v>7</v>
      </c>
      <c r="N76" t="s">
        <v>7</v>
      </c>
      <c r="P76">
        <f t="shared" ref="P76" si="355">IF(C76=D76,0,((E76-D76)-(C76-E76))/(C76-D76))</f>
        <v>0.32460732984293095</v>
      </c>
      <c r="Q76">
        <f t="shared" ref="Q76" si="356">F76*P76</f>
        <v>669947.00523560005</v>
      </c>
      <c r="R76">
        <f t="shared" ref="R76" si="357">R77+Q76</f>
        <v>-380262696.24788523</v>
      </c>
      <c r="S76">
        <f t="shared" ref="S76" si="358">R76/100000</f>
        <v>-3802.6269624788524</v>
      </c>
      <c r="T76">
        <f t="shared" ref="T76" si="359">S76/1000</f>
        <v>-3.8026269624788522</v>
      </c>
    </row>
    <row r="77" spans="1:20" x14ac:dyDescent="0.25">
      <c r="A77" s="5">
        <v>44516</v>
      </c>
      <c r="B77">
        <v>0.66410000000000002</v>
      </c>
      <c r="C77">
        <v>0.66659999999999997</v>
      </c>
      <c r="D77">
        <v>0.57389999999999997</v>
      </c>
      <c r="E77">
        <v>0.58830000000000005</v>
      </c>
      <c r="F77">
        <v>1751279</v>
      </c>
      <c r="G77">
        <v>0.58830000000000005</v>
      </c>
      <c r="L77" t="s">
        <v>7</v>
      </c>
      <c r="M77" t="s">
        <v>7</v>
      </c>
      <c r="N77" t="s">
        <v>7</v>
      </c>
      <c r="P77">
        <f t="shared" ref="P77" si="360">IF(C77=D77,0,((E77-D77)-(C77-E77))/(C77-D77))</f>
        <v>-0.68932038834951281</v>
      </c>
      <c r="Q77">
        <f t="shared" ref="Q77" si="361">F77*P77</f>
        <v>-1207192.3203883464</v>
      </c>
      <c r="R77">
        <f t="shared" ref="R77" si="362">R78+Q77</f>
        <v>-380932643.25312084</v>
      </c>
      <c r="S77">
        <f t="shared" ref="S77" si="363">R77/100000</f>
        <v>-3809.3264325312084</v>
      </c>
      <c r="T77">
        <f t="shared" ref="T77" si="364">S77/1000</f>
        <v>-3.8093264325312086</v>
      </c>
    </row>
    <row r="78" spans="1:20" x14ac:dyDescent="0.25">
      <c r="A78" s="5">
        <v>44515</v>
      </c>
      <c r="B78">
        <v>0.69359999999999999</v>
      </c>
      <c r="C78">
        <v>0.69569999999999999</v>
      </c>
      <c r="D78">
        <v>0.65610000000000002</v>
      </c>
      <c r="E78">
        <v>0.66420000000000001</v>
      </c>
      <c r="F78">
        <v>1427589</v>
      </c>
      <c r="G78">
        <v>0.66420000000000001</v>
      </c>
      <c r="L78" t="s">
        <v>7</v>
      </c>
      <c r="M78" t="s">
        <v>7</v>
      </c>
      <c r="N78" t="s">
        <v>8</v>
      </c>
      <c r="P78">
        <f t="shared" ref="P78" si="365">IF(C78=D78,0,((E78-D78)-(C78-E78))/(C78-D78))</f>
        <v>-0.59090909090909083</v>
      </c>
      <c r="Q78">
        <f t="shared" ref="Q78" si="366">F78*P78</f>
        <v>-843575.31818181812</v>
      </c>
      <c r="R78">
        <f t="shared" ref="R78" si="367">R79+Q78</f>
        <v>-379725450.93273252</v>
      </c>
      <c r="S78">
        <f t="shared" ref="S78" si="368">R78/100000</f>
        <v>-3797.2545093273252</v>
      </c>
      <c r="T78">
        <f t="shared" ref="T78" si="369">S78/1000</f>
        <v>-3.7972545093273253</v>
      </c>
    </row>
    <row r="79" spans="1:20" x14ac:dyDescent="0.25">
      <c r="A79" s="5">
        <v>44514</v>
      </c>
      <c r="B79">
        <v>0.68259999999999998</v>
      </c>
      <c r="C79">
        <v>0.69399999999999995</v>
      </c>
      <c r="D79">
        <v>0.67049999999999998</v>
      </c>
      <c r="E79">
        <v>0.69169999999999998</v>
      </c>
      <c r="F79">
        <v>732291</v>
      </c>
      <c r="G79">
        <v>0.69169999999999998</v>
      </c>
      <c r="L79" t="s">
        <v>7</v>
      </c>
      <c r="M79" t="s">
        <v>7</v>
      </c>
      <c r="N79" t="s">
        <v>8</v>
      </c>
      <c r="P79">
        <f t="shared" ref="P79" si="370">IF(C79=D79,0,((E79-D79)-(C79-E79))/(C79-D79))</f>
        <v>0.80425531914893855</v>
      </c>
      <c r="Q79">
        <f t="shared" ref="Q79" si="371">F79*P79</f>
        <v>588948.93191489531</v>
      </c>
      <c r="R79">
        <f t="shared" ref="R79" si="372">R80+Q79</f>
        <v>-378881875.61455071</v>
      </c>
      <c r="S79">
        <f t="shared" ref="S79" si="373">R79/100000</f>
        <v>-3788.818756145507</v>
      </c>
      <c r="T79">
        <f t="shared" ref="T79" si="374">S79/1000</f>
        <v>-3.7888187561455071</v>
      </c>
    </row>
    <row r="80" spans="1:20" x14ac:dyDescent="0.25">
      <c r="A80" s="5">
        <v>44513</v>
      </c>
      <c r="B80">
        <v>0.67889999999999995</v>
      </c>
      <c r="C80">
        <v>0.69040000000000001</v>
      </c>
      <c r="D80">
        <v>0.67520000000000002</v>
      </c>
      <c r="E80">
        <v>0.68259999999999998</v>
      </c>
      <c r="F80">
        <v>536851</v>
      </c>
      <c r="G80">
        <v>0.68259999999999998</v>
      </c>
      <c r="L80" t="s">
        <v>7</v>
      </c>
      <c r="M80" t="s">
        <v>7</v>
      </c>
      <c r="N80" t="s">
        <v>8</v>
      </c>
      <c r="P80">
        <f t="shared" ref="P80" si="375">IF(C80=D80,0,((E80-D80)-(C80-E80))/(C80-D80))</f>
        <v>-2.6315789473688633E-2</v>
      </c>
      <c r="Q80">
        <f t="shared" ref="Q80" si="376">F80*P80</f>
        <v>-14127.657894739215</v>
      </c>
      <c r="R80">
        <f t="shared" ref="R80" si="377">R81+Q80</f>
        <v>-379470824.54646558</v>
      </c>
      <c r="S80">
        <f t="shared" ref="S80" si="378">R80/100000</f>
        <v>-3794.7082454646556</v>
      </c>
      <c r="T80">
        <f t="shared" ref="T80" si="379">S80/1000</f>
        <v>-3.7947082454646557</v>
      </c>
    </row>
    <row r="81" spans="1:20" x14ac:dyDescent="0.25">
      <c r="A81" s="5">
        <v>44512</v>
      </c>
      <c r="B81">
        <v>0.70509999999999995</v>
      </c>
      <c r="C81">
        <v>0.70509999999999995</v>
      </c>
      <c r="D81">
        <v>0.65049999999999997</v>
      </c>
      <c r="E81">
        <v>0.67969999999999997</v>
      </c>
      <c r="F81">
        <v>1442910</v>
      </c>
      <c r="G81">
        <v>0.67969999999999997</v>
      </c>
      <c r="L81" t="s">
        <v>7</v>
      </c>
      <c r="M81" t="s">
        <v>7</v>
      </c>
      <c r="N81" t="s">
        <v>8</v>
      </c>
      <c r="P81">
        <f t="shared" ref="P81" si="380">IF(C81=D81,0,((E81-D81)-(C81-E81))/(C81-D81))</f>
        <v>6.9597069597070085E-2</v>
      </c>
      <c r="Q81">
        <f t="shared" ref="Q81" si="381">F81*P81</f>
        <v>100422.3076923084</v>
      </c>
      <c r="R81">
        <f t="shared" ref="R81" si="382">R82+Q81</f>
        <v>-379456696.88857085</v>
      </c>
      <c r="S81">
        <f t="shared" ref="S81" si="383">R81/100000</f>
        <v>-3794.5669688857083</v>
      </c>
      <c r="T81">
        <f t="shared" ref="T81" si="384">S81/1000</f>
        <v>-3.7945669688857082</v>
      </c>
    </row>
    <row r="82" spans="1:20" x14ac:dyDescent="0.25">
      <c r="A82" s="5">
        <v>44511</v>
      </c>
      <c r="B82">
        <v>0.65380000000000005</v>
      </c>
      <c r="C82">
        <v>0.73</v>
      </c>
      <c r="D82">
        <v>0.64870000000000005</v>
      </c>
      <c r="E82">
        <v>0.70620000000000005</v>
      </c>
      <c r="F82">
        <v>2684084</v>
      </c>
      <c r="G82">
        <v>0.70620000000000005</v>
      </c>
      <c r="L82" t="s">
        <v>8</v>
      </c>
      <c r="M82" t="s">
        <v>7</v>
      </c>
      <c r="N82" t="s">
        <v>8</v>
      </c>
      <c r="P82">
        <f t="shared" ref="P82" si="385">IF(C82=D82,0,((E82-D82)-(C82-E82))/(C82-D82))</f>
        <v>0.41451414514145257</v>
      </c>
      <c r="Q82">
        <f t="shared" ref="Q82" si="386">F82*P82</f>
        <v>1112590.7847478506</v>
      </c>
      <c r="R82">
        <f t="shared" ref="R82" si="387">R83+Q82</f>
        <v>-379557119.19626313</v>
      </c>
      <c r="S82">
        <f t="shared" ref="S82" si="388">R82/100000</f>
        <v>-3795.5711919626315</v>
      </c>
      <c r="T82">
        <f t="shared" ref="T82" si="389">S82/1000</f>
        <v>-3.7955711919626314</v>
      </c>
    </row>
    <row r="83" spans="1:20" x14ac:dyDescent="0.25">
      <c r="A83" s="5">
        <v>44510</v>
      </c>
      <c r="B83">
        <v>0.66539999999999999</v>
      </c>
      <c r="C83">
        <v>0.72499999999999998</v>
      </c>
      <c r="D83">
        <v>0.63</v>
      </c>
      <c r="E83">
        <v>0.65390000000000004</v>
      </c>
      <c r="F83">
        <v>3106362</v>
      </c>
      <c r="G83">
        <v>0.65390000000000004</v>
      </c>
      <c r="L83" t="s">
        <v>7</v>
      </c>
      <c r="M83" t="s">
        <v>7</v>
      </c>
      <c r="N83" t="s">
        <v>8</v>
      </c>
      <c r="P83">
        <f t="shared" ref="P83" si="390">IF(C83=D83,0,((E83-D83)-(C83-E83))/(C83-D83))</f>
        <v>-0.49684210526315709</v>
      </c>
      <c r="Q83">
        <f t="shared" ref="Q83" si="391">F83*P83</f>
        <v>-1543371.4357894713</v>
      </c>
      <c r="R83">
        <f t="shared" ref="R83" si="392">R84+Q83</f>
        <v>-380669709.98101097</v>
      </c>
      <c r="S83">
        <f t="shared" ref="S83" si="393">R83/100000</f>
        <v>-3806.6970998101096</v>
      </c>
      <c r="T83">
        <f t="shared" ref="T83" si="394">S83/1000</f>
        <v>-3.8066970998101097</v>
      </c>
    </row>
    <row r="84" spans="1:20" x14ac:dyDescent="0.25">
      <c r="A84" s="5">
        <v>44509</v>
      </c>
      <c r="B84">
        <v>0.66390000000000005</v>
      </c>
      <c r="C84">
        <v>0.67779999999999996</v>
      </c>
      <c r="D84">
        <v>0.65059999999999996</v>
      </c>
      <c r="E84">
        <v>0.66490000000000005</v>
      </c>
      <c r="F84">
        <v>1511953</v>
      </c>
      <c r="G84">
        <v>0.66490000000000005</v>
      </c>
      <c r="L84" t="s">
        <v>7</v>
      </c>
      <c r="M84" t="s">
        <v>7</v>
      </c>
      <c r="N84" t="s">
        <v>8</v>
      </c>
      <c r="P84">
        <f t="shared" ref="P84" si="395">IF(C84=D84,0,((E84-D84)-(C84-E84))/(C84-D84))</f>
        <v>5.1470588235300693E-2</v>
      </c>
      <c r="Q84">
        <f t="shared" ref="Q84" si="396">F84*P84</f>
        <v>77821.110294127589</v>
      </c>
      <c r="R84">
        <f t="shared" ref="R84" si="397">R85+Q84</f>
        <v>-379126338.54522151</v>
      </c>
      <c r="S84">
        <f t="shared" ref="S84" si="398">R84/100000</f>
        <v>-3791.2633854522151</v>
      </c>
      <c r="T84">
        <f t="shared" ref="T84" si="399">S84/1000</f>
        <v>-3.7912633854522149</v>
      </c>
    </row>
    <row r="85" spans="1:20" x14ac:dyDescent="0.25">
      <c r="A85" s="5">
        <v>44508</v>
      </c>
      <c r="B85">
        <v>0.65969999999999995</v>
      </c>
      <c r="C85">
        <v>0.66859999999999997</v>
      </c>
      <c r="D85">
        <v>0.65429999999999999</v>
      </c>
      <c r="E85">
        <v>0.66320000000000001</v>
      </c>
      <c r="F85">
        <v>1021715</v>
      </c>
      <c r="G85">
        <v>0.66320000000000001</v>
      </c>
      <c r="L85" t="s">
        <v>7</v>
      </c>
      <c r="M85" t="s">
        <v>7</v>
      </c>
      <c r="N85" t="s">
        <v>8</v>
      </c>
      <c r="P85">
        <f t="shared" ref="P85" si="400">IF(C85=D85,0,((E85-D85)-(C85-E85))/(C85-D85))</f>
        <v>0.24475524475524921</v>
      </c>
      <c r="Q85">
        <f t="shared" ref="Q85" si="401">F85*P85</f>
        <v>250070.10489510946</v>
      </c>
      <c r="R85">
        <f t="shared" ref="R85" si="402">R86+Q85</f>
        <v>-379204159.65551561</v>
      </c>
      <c r="S85">
        <f t="shared" ref="S85" si="403">R85/100000</f>
        <v>-3792.041596555156</v>
      </c>
      <c r="T85">
        <f t="shared" ref="T85" si="404">S85/1000</f>
        <v>-3.7920415965551562</v>
      </c>
    </row>
    <row r="86" spans="1:20" x14ac:dyDescent="0.25">
      <c r="A86" s="5">
        <v>44507</v>
      </c>
      <c r="B86">
        <v>0.66879999999999995</v>
      </c>
      <c r="C86">
        <v>0.67400000000000004</v>
      </c>
      <c r="D86">
        <v>0.65139999999999998</v>
      </c>
      <c r="E86">
        <v>0.65859999999999996</v>
      </c>
      <c r="F86">
        <v>956440</v>
      </c>
      <c r="G86">
        <v>0.65859999999999996</v>
      </c>
      <c r="L86" t="s">
        <v>7</v>
      </c>
      <c r="M86" t="s">
        <v>7</v>
      </c>
      <c r="N86" t="s">
        <v>8</v>
      </c>
      <c r="P86">
        <f t="shared" ref="P86" si="405">IF(C86=D86,0,((E86-D86)-(C86-E86))/(C86-D86))</f>
        <v>-0.36283185840708287</v>
      </c>
      <c r="Q86">
        <f t="shared" ref="Q86" si="406">F86*P86</f>
        <v>-347026.90265487036</v>
      </c>
      <c r="R86">
        <f t="shared" ref="R86" si="407">R87+Q86</f>
        <v>-379454229.76041073</v>
      </c>
      <c r="S86">
        <f t="shared" ref="S86" si="408">R86/100000</f>
        <v>-3794.5422976041073</v>
      </c>
      <c r="T86">
        <f t="shared" ref="T86" si="409">S86/1000</f>
        <v>-3.7945422976041074</v>
      </c>
    </row>
    <row r="87" spans="1:20" x14ac:dyDescent="0.25">
      <c r="A87" s="5">
        <v>44506</v>
      </c>
      <c r="B87">
        <v>0.66739999999999999</v>
      </c>
      <c r="C87">
        <v>0.67220000000000002</v>
      </c>
      <c r="D87">
        <v>0.64159999999999995</v>
      </c>
      <c r="E87">
        <v>0.6673</v>
      </c>
      <c r="F87">
        <v>944328</v>
      </c>
      <c r="G87">
        <v>0.6673</v>
      </c>
      <c r="L87" t="s">
        <v>7</v>
      </c>
      <c r="M87" t="s">
        <v>7</v>
      </c>
      <c r="N87" t="s">
        <v>8</v>
      </c>
      <c r="P87">
        <f t="shared" ref="P87" si="410">IF(C87=D87,0,((E87-D87)-(C87-E87))/(C87-D87))</f>
        <v>0.67973856209150296</v>
      </c>
      <c r="Q87">
        <f t="shared" ref="Q87" si="411">F87*P87</f>
        <v>641896.15686274483</v>
      </c>
      <c r="R87">
        <f t="shared" ref="R87" si="412">R88+Q87</f>
        <v>-379107202.85775584</v>
      </c>
      <c r="S87">
        <f t="shared" ref="S87" si="413">R87/100000</f>
        <v>-3791.0720285775583</v>
      </c>
      <c r="T87">
        <f t="shared" ref="T87" si="414">S87/1000</f>
        <v>-3.7910720285775583</v>
      </c>
    </row>
    <row r="88" spans="1:20" x14ac:dyDescent="0.25">
      <c r="A88" s="5">
        <v>44505</v>
      </c>
      <c r="B88">
        <v>0.67510000000000003</v>
      </c>
      <c r="C88">
        <v>0.6895</v>
      </c>
      <c r="D88">
        <v>0.6663</v>
      </c>
      <c r="E88">
        <v>0.66849999999999998</v>
      </c>
      <c r="F88">
        <v>1209935</v>
      </c>
      <c r="G88">
        <v>0.66849999999999998</v>
      </c>
      <c r="L88" t="s">
        <v>7</v>
      </c>
      <c r="M88" t="s">
        <v>8</v>
      </c>
      <c r="N88" t="s">
        <v>8</v>
      </c>
      <c r="P88">
        <f t="shared" ref="P88" si="415">IF(C88=D88,0,((E88-D88)-(C88-E88))/(C88-D88))</f>
        <v>-0.81034482758620863</v>
      </c>
      <c r="Q88">
        <f t="shared" ref="Q88" si="416">F88*P88</f>
        <v>-980464.56896551931</v>
      </c>
      <c r="R88">
        <f t="shared" ref="R88" si="417">R89+Q88</f>
        <v>-379749099.01461858</v>
      </c>
      <c r="S88">
        <f t="shared" ref="S88" si="418">R88/100000</f>
        <v>-3797.4909901461856</v>
      </c>
      <c r="T88">
        <f t="shared" ref="T88" si="419">S88/1000</f>
        <v>-3.7974909901461857</v>
      </c>
    </row>
    <row r="89" spans="1:20" x14ac:dyDescent="0.25">
      <c r="A89" s="5">
        <v>44504</v>
      </c>
      <c r="B89">
        <v>0.67659999999999998</v>
      </c>
      <c r="C89">
        <v>0.68520000000000003</v>
      </c>
      <c r="D89">
        <v>0.66090000000000004</v>
      </c>
      <c r="E89">
        <v>0.67330000000000001</v>
      </c>
      <c r="F89">
        <v>1612901</v>
      </c>
      <c r="G89">
        <v>0.67330000000000001</v>
      </c>
      <c r="L89" t="s">
        <v>7</v>
      </c>
      <c r="M89" t="s">
        <v>8</v>
      </c>
      <c r="N89" t="s">
        <v>8</v>
      </c>
      <c r="P89">
        <f t="shared" ref="P89" si="420">IF(C89=D89,0,((E89-D89)-(C89-E89))/(C89-D89))</f>
        <v>2.0576131687240543E-2</v>
      </c>
      <c r="Q89">
        <f t="shared" ref="Q89" si="421">F89*P89</f>
        <v>33187.263374481961</v>
      </c>
      <c r="R89">
        <f t="shared" ref="R89" si="422">R90+Q89</f>
        <v>-378768634.44565308</v>
      </c>
      <c r="S89">
        <f t="shared" ref="S89" si="423">R89/100000</f>
        <v>-3787.6863444565306</v>
      </c>
      <c r="T89">
        <f t="shared" ref="T89" si="424">S89/1000</f>
        <v>-3.7876863444565307</v>
      </c>
    </row>
    <row r="90" spans="1:20" x14ac:dyDescent="0.25">
      <c r="A90" s="5">
        <v>44503</v>
      </c>
      <c r="B90">
        <v>0.68159999999999998</v>
      </c>
      <c r="C90">
        <v>0.76</v>
      </c>
      <c r="D90">
        <v>0.65249999999999997</v>
      </c>
      <c r="E90">
        <v>0.67659999999999998</v>
      </c>
      <c r="F90">
        <v>5683045</v>
      </c>
      <c r="G90">
        <v>0.67659999999999998</v>
      </c>
      <c r="L90" t="s">
        <v>8</v>
      </c>
      <c r="M90" t="s">
        <v>8</v>
      </c>
      <c r="N90" t="s">
        <v>8</v>
      </c>
      <c r="P90">
        <f t="shared" ref="P90" si="425">IF(C90=D90,0,((E90-D90)-(C90-E90))/(C90-D90))</f>
        <v>-0.55162790697674413</v>
      </c>
      <c r="Q90">
        <f t="shared" ref="Q90" si="426">F90*P90</f>
        <v>-3134926.2186046508</v>
      </c>
      <c r="R90">
        <f t="shared" ref="R90" si="427">R91+Q90</f>
        <v>-378801821.70902759</v>
      </c>
      <c r="S90">
        <f t="shared" ref="S90" si="428">R90/100000</f>
        <v>-3788.0182170902758</v>
      </c>
      <c r="T90">
        <f t="shared" ref="T90" si="429">S90/1000</f>
        <v>-3.7880182170902756</v>
      </c>
    </row>
    <row r="91" spans="1:20" x14ac:dyDescent="0.25">
      <c r="A91" s="5">
        <v>44502</v>
      </c>
      <c r="B91">
        <v>0.64580000000000004</v>
      </c>
      <c r="C91">
        <v>0.69850000000000001</v>
      </c>
      <c r="D91">
        <v>0.64029999999999998</v>
      </c>
      <c r="E91">
        <v>0.68110000000000004</v>
      </c>
      <c r="F91">
        <v>4621935</v>
      </c>
      <c r="G91">
        <v>0.68110000000000004</v>
      </c>
      <c r="L91" t="s">
        <v>8</v>
      </c>
      <c r="M91" t="s">
        <v>7</v>
      </c>
      <c r="N91" t="s">
        <v>8</v>
      </c>
      <c r="P91">
        <f t="shared" ref="P91" si="430">IF(C91=D91,0,((E91-D91)-(C91-E91))/(C91-D91))</f>
        <v>0.40206185567010438</v>
      </c>
      <c r="Q91">
        <f t="shared" ref="Q91" si="431">F91*P91</f>
        <v>1858303.7628866038</v>
      </c>
      <c r="R91">
        <f t="shared" ref="R91" si="432">R92+Q91</f>
        <v>-375666895.49042296</v>
      </c>
      <c r="S91">
        <f t="shared" ref="S91" si="433">R91/100000</f>
        <v>-3756.6689549042298</v>
      </c>
      <c r="T91">
        <f t="shared" ref="T91" si="434">S91/1000</f>
        <v>-3.7566689549042298</v>
      </c>
    </row>
    <row r="92" spans="1:20" x14ac:dyDescent="0.25">
      <c r="A92" s="5">
        <v>44501</v>
      </c>
      <c r="B92">
        <v>0.65639999999999998</v>
      </c>
      <c r="C92">
        <v>0.67320000000000002</v>
      </c>
      <c r="D92">
        <v>0.64</v>
      </c>
      <c r="E92">
        <v>0.64529999999999998</v>
      </c>
      <c r="F92">
        <v>1777987</v>
      </c>
      <c r="G92">
        <v>0.64529999999999998</v>
      </c>
      <c r="L92" t="s">
        <v>8</v>
      </c>
      <c r="M92" t="s">
        <v>7</v>
      </c>
      <c r="N92" t="s">
        <v>8</v>
      </c>
      <c r="P92">
        <f t="shared" ref="P92" si="435">IF(C92=D92,0,((E92-D92)-(C92-E92))/(C92-D92))</f>
        <v>-0.68072289156626686</v>
      </c>
      <c r="Q92">
        <f t="shared" ref="Q92" si="436">F92*P92</f>
        <v>-1210316.4518072321</v>
      </c>
      <c r="R92">
        <f t="shared" ref="R92" si="437">R93+Q92</f>
        <v>-377525199.25330955</v>
      </c>
      <c r="S92">
        <f t="shared" ref="S92" si="438">R92/100000</f>
        <v>-3775.2519925330953</v>
      </c>
      <c r="T92">
        <f t="shared" ref="T92" si="439">S92/1000</f>
        <v>-3.7752519925330952</v>
      </c>
    </row>
    <row r="93" spans="1:20" x14ac:dyDescent="0.25">
      <c r="A93" s="5">
        <v>44500</v>
      </c>
      <c r="B93">
        <v>0.65749999999999997</v>
      </c>
      <c r="C93">
        <v>0.7</v>
      </c>
      <c r="D93">
        <v>0.62470000000000003</v>
      </c>
      <c r="E93">
        <v>0.65669999999999995</v>
      </c>
      <c r="F93">
        <v>3214297</v>
      </c>
      <c r="G93">
        <v>0.65669999999999995</v>
      </c>
      <c r="L93" t="s">
        <v>7</v>
      </c>
      <c r="M93" t="s">
        <v>7</v>
      </c>
      <c r="N93" t="s">
        <v>8</v>
      </c>
      <c r="P93">
        <f t="shared" ref="P93" si="440">IF(C93=D93,0,((E93-D93)-(C93-E93))/(C93-D93))</f>
        <v>-0.15006640106241831</v>
      </c>
      <c r="Q93">
        <f t="shared" ref="Q93" si="441">F93*P93</f>
        <v>-482357.98273572797</v>
      </c>
      <c r="R93">
        <f t="shared" ref="R93" si="442">R94+Q93</f>
        <v>-376314882.80150229</v>
      </c>
      <c r="S93">
        <f t="shared" ref="S93" si="443">R93/100000</f>
        <v>-3763.1488280150229</v>
      </c>
      <c r="T93">
        <f t="shared" ref="T93" si="444">S93/1000</f>
        <v>-3.7631488280150229</v>
      </c>
    </row>
    <row r="94" spans="1:20" x14ac:dyDescent="0.25">
      <c r="A94" s="5">
        <v>44499</v>
      </c>
      <c r="B94">
        <v>0.67779999999999996</v>
      </c>
      <c r="C94">
        <v>0.7016</v>
      </c>
      <c r="D94">
        <v>0.65</v>
      </c>
      <c r="E94">
        <v>0.65490000000000004</v>
      </c>
      <c r="F94">
        <v>2231489</v>
      </c>
      <c r="G94">
        <v>0.65490000000000004</v>
      </c>
      <c r="L94" t="s">
        <v>7</v>
      </c>
      <c r="M94" t="s">
        <v>7</v>
      </c>
      <c r="N94" t="s">
        <v>8</v>
      </c>
      <c r="P94">
        <f t="shared" ref="P94" si="445">IF(C94=D94,0,((E94-D94)-(C94-E94))/(C94-D94))</f>
        <v>-0.81007751937984429</v>
      </c>
      <c r="Q94">
        <f t="shared" ref="Q94" si="446">F94*P94</f>
        <v>-1807679.0736434094</v>
      </c>
      <c r="R94">
        <f t="shared" ref="R94" si="447">R95+Q94</f>
        <v>-375832524.81876653</v>
      </c>
      <c r="S94">
        <f t="shared" ref="S94" si="448">R94/100000</f>
        <v>-3758.3252481876652</v>
      </c>
      <c r="T94">
        <f t="shared" ref="T94" si="449">S94/1000</f>
        <v>-3.7583252481876652</v>
      </c>
    </row>
    <row r="95" spans="1:20" x14ac:dyDescent="0.25">
      <c r="A95" s="5">
        <v>44498</v>
      </c>
      <c r="B95">
        <v>0.65800000000000003</v>
      </c>
      <c r="C95">
        <v>0.72389999999999999</v>
      </c>
      <c r="D95">
        <v>0.6542</v>
      </c>
      <c r="E95">
        <v>0.67749999999999999</v>
      </c>
      <c r="F95">
        <v>2969988</v>
      </c>
      <c r="G95">
        <v>0.67749999999999999</v>
      </c>
      <c r="L95" t="s">
        <v>8</v>
      </c>
      <c r="M95" t="s">
        <v>7</v>
      </c>
      <c r="N95" t="s">
        <v>8</v>
      </c>
      <c r="P95">
        <f t="shared" ref="P95" si="450">IF(C95=D95,0,((E95-D95)-(C95-E95))/(C95-D95))</f>
        <v>-0.33142037302725991</v>
      </c>
      <c r="Q95">
        <f t="shared" ref="Q95" si="451">F95*P95</f>
        <v>-984314.53084648564</v>
      </c>
      <c r="R95">
        <f t="shared" ref="R95" si="452">R96+Q95</f>
        <v>-374024845.74512315</v>
      </c>
      <c r="S95">
        <f t="shared" ref="S95" si="453">R95/100000</f>
        <v>-3740.2484574512314</v>
      </c>
      <c r="T95">
        <f t="shared" ref="T95" si="454">S95/1000</f>
        <v>-3.7402484574512314</v>
      </c>
    </row>
    <row r="96" spans="1:20" x14ac:dyDescent="0.25">
      <c r="A96" s="5">
        <v>44497</v>
      </c>
      <c r="B96">
        <v>0.65700000000000003</v>
      </c>
      <c r="C96">
        <v>0.6714</v>
      </c>
      <c r="D96">
        <v>0.625</v>
      </c>
      <c r="E96">
        <v>0.65820000000000001</v>
      </c>
      <c r="F96">
        <v>1957856</v>
      </c>
      <c r="G96">
        <v>0.65820000000000001</v>
      </c>
      <c r="L96" t="s">
        <v>7</v>
      </c>
      <c r="M96" t="s">
        <v>7</v>
      </c>
      <c r="N96" t="s">
        <v>8</v>
      </c>
      <c r="P96">
        <f t="shared" ref="P96" si="455">IF(C96=D96,0,((E96-D96)-(C96-E96))/(C96-D96))</f>
        <v>0.43103448275862111</v>
      </c>
      <c r="Q96">
        <f t="shared" ref="Q96" si="456">F96*P96</f>
        <v>843903.44827586284</v>
      </c>
      <c r="R96">
        <f t="shared" ref="R96" si="457">R97+Q96</f>
        <v>-373040531.21427667</v>
      </c>
      <c r="S96">
        <f t="shared" ref="S96" si="458">R96/100000</f>
        <v>-3730.4053121427669</v>
      </c>
      <c r="T96">
        <f t="shared" ref="T96" si="459">S96/1000</f>
        <v>-3.7304053121427669</v>
      </c>
    </row>
    <row r="97" spans="1:20" x14ac:dyDescent="0.25">
      <c r="A97" s="5">
        <v>44496</v>
      </c>
      <c r="B97">
        <v>0.74160000000000004</v>
      </c>
      <c r="C97">
        <v>0.78390000000000004</v>
      </c>
      <c r="D97">
        <v>0.63739999999999997</v>
      </c>
      <c r="E97">
        <v>0.65669999999999995</v>
      </c>
      <c r="F97">
        <v>3391276</v>
      </c>
      <c r="G97">
        <v>0.65669999999999995</v>
      </c>
      <c r="L97" t="s">
        <v>7</v>
      </c>
      <c r="M97" t="s">
        <v>7</v>
      </c>
      <c r="N97" t="s">
        <v>8</v>
      </c>
      <c r="P97">
        <f t="shared" ref="P97" si="460">IF(C97=D97,0,((E97-D97)-(C97-E97))/(C97-D97))</f>
        <v>-0.73651877133105836</v>
      </c>
      <c r="Q97">
        <f t="shared" ref="Q97" si="461">F97*P97</f>
        <v>-2497738.4327645064</v>
      </c>
      <c r="R97">
        <f t="shared" ref="R97" si="462">R98+Q97</f>
        <v>-373884434.66255254</v>
      </c>
      <c r="S97">
        <f t="shared" ref="S97" si="463">R97/100000</f>
        <v>-3738.8443466255253</v>
      </c>
      <c r="T97">
        <f t="shared" ref="T97" si="464">S97/1000</f>
        <v>-3.7388443466255254</v>
      </c>
    </row>
    <row r="98" spans="1:20" x14ac:dyDescent="0.25">
      <c r="A98" s="5">
        <v>44495</v>
      </c>
      <c r="B98">
        <v>0.76490000000000002</v>
      </c>
      <c r="C98">
        <v>0.83950000000000002</v>
      </c>
      <c r="D98">
        <v>0.73819999999999997</v>
      </c>
      <c r="E98">
        <v>0.74219999999999997</v>
      </c>
      <c r="F98">
        <v>4888692</v>
      </c>
      <c r="G98">
        <v>0.74219999999999997</v>
      </c>
      <c r="L98" t="s">
        <v>7</v>
      </c>
      <c r="M98" t="s">
        <v>7</v>
      </c>
      <c r="N98" t="s">
        <v>8</v>
      </c>
      <c r="P98">
        <f t="shared" ref="P98" si="465">IF(C98=D98,0,((E98-D98)-(C98-E98))/(C98-D98))</f>
        <v>-0.92102665350444224</v>
      </c>
      <c r="Q98">
        <f t="shared" ref="Q98" si="466">F98*P98</f>
        <v>-4502615.6327739386</v>
      </c>
      <c r="R98">
        <f t="shared" ref="R98" si="467">R99+Q98</f>
        <v>-371386696.22978801</v>
      </c>
      <c r="S98">
        <f t="shared" ref="S98" si="468">R98/100000</f>
        <v>-3713.86696229788</v>
      </c>
      <c r="T98">
        <f t="shared" ref="T98" si="469">S98/1000</f>
        <v>-3.7138669622978799</v>
      </c>
    </row>
    <row r="99" spans="1:20" x14ac:dyDescent="0.25">
      <c r="A99" s="5">
        <v>44494</v>
      </c>
      <c r="B99">
        <v>0.69630000000000003</v>
      </c>
      <c r="C99">
        <v>0.86799999999999999</v>
      </c>
      <c r="D99">
        <v>0.68779999999999997</v>
      </c>
      <c r="E99">
        <v>0.76280000000000003</v>
      </c>
      <c r="F99">
        <v>13346762</v>
      </c>
      <c r="G99">
        <v>0.76280000000000003</v>
      </c>
      <c r="L99" t="s">
        <v>8</v>
      </c>
      <c r="M99" t="s">
        <v>8</v>
      </c>
      <c r="N99" t="s">
        <v>8</v>
      </c>
      <c r="P99">
        <f t="shared" ref="P99" si="470">IF(C99=D99,0,((E99-D99)-(C99-E99))/(C99-D99))</f>
        <v>-0.16759156492785732</v>
      </c>
      <c r="Q99">
        <f t="shared" ref="Q99" si="471">F99*P99</f>
        <v>-2236804.7302996586</v>
      </c>
      <c r="R99">
        <f t="shared" ref="R99" si="472">R100+Q99</f>
        <v>-366884080.59701407</v>
      </c>
      <c r="S99">
        <f t="shared" ref="S99" si="473">R99/100000</f>
        <v>-3668.8408059701405</v>
      </c>
      <c r="T99">
        <f t="shared" ref="T99" si="474">S99/1000</f>
        <v>-3.6688408059701407</v>
      </c>
    </row>
    <row r="100" spans="1:20" x14ac:dyDescent="0.25">
      <c r="A100" s="5">
        <v>44493</v>
      </c>
      <c r="B100">
        <v>0.7046</v>
      </c>
      <c r="C100">
        <v>0.73599999999999999</v>
      </c>
      <c r="D100">
        <v>0.68200000000000005</v>
      </c>
      <c r="E100">
        <v>0.6946</v>
      </c>
      <c r="F100">
        <v>2329250</v>
      </c>
      <c r="G100">
        <v>0.6946</v>
      </c>
      <c r="L100" t="s">
        <v>8</v>
      </c>
      <c r="M100" t="s">
        <v>7</v>
      </c>
      <c r="N100" t="s">
        <v>8</v>
      </c>
      <c r="P100">
        <f t="shared" ref="P100" si="475">IF(C100=D100,0,((E100-D100)-(C100-E100))/(C100-D100))</f>
        <v>-0.53333333333333488</v>
      </c>
      <c r="Q100">
        <f t="shared" ref="Q100" si="476">F100*P100</f>
        <v>-1242266.6666666702</v>
      </c>
      <c r="R100">
        <f t="shared" ref="R100" si="477">R101+Q100</f>
        <v>-364647275.86671442</v>
      </c>
      <c r="S100">
        <f t="shared" ref="S100" si="478">R100/100000</f>
        <v>-3646.4727586671443</v>
      </c>
      <c r="T100">
        <f t="shared" ref="T100" si="479">S100/1000</f>
        <v>-3.6464727586671444</v>
      </c>
    </row>
    <row r="101" spans="1:20" x14ac:dyDescent="0.25">
      <c r="A101" s="5">
        <v>44492</v>
      </c>
      <c r="B101">
        <v>0.65869999999999995</v>
      </c>
      <c r="C101">
        <v>0.71899999999999997</v>
      </c>
      <c r="D101">
        <v>0.65569999999999995</v>
      </c>
      <c r="E101">
        <v>0.7046</v>
      </c>
      <c r="F101">
        <v>1701463</v>
      </c>
      <c r="G101">
        <v>0.7046</v>
      </c>
      <c r="L101" t="s">
        <v>8</v>
      </c>
      <c r="M101" t="s">
        <v>7</v>
      </c>
      <c r="N101" t="s">
        <v>8</v>
      </c>
      <c r="P101">
        <f t="shared" ref="P101" si="480">IF(C101=D101,0,((E101-D101)-(C101-E101))/(C101-D101))</f>
        <v>0.54502369668246564</v>
      </c>
      <c r="Q101">
        <f t="shared" ref="Q101" si="481">F101*P101</f>
        <v>927337.65402843803</v>
      </c>
      <c r="R101">
        <f t="shared" ref="R101" si="482">R102+Q101</f>
        <v>-363405009.20004773</v>
      </c>
      <c r="S101">
        <f t="shared" ref="S101" si="483">R101/100000</f>
        <v>-3634.0500920004774</v>
      </c>
      <c r="T101">
        <f t="shared" ref="T101" si="484">S101/1000</f>
        <v>-3.6340500920004772</v>
      </c>
    </row>
    <row r="102" spans="1:20" x14ac:dyDescent="0.25">
      <c r="A102" s="5">
        <v>44491</v>
      </c>
      <c r="B102">
        <v>0.67659999999999998</v>
      </c>
      <c r="C102">
        <v>0.71389999999999998</v>
      </c>
      <c r="D102">
        <v>0.64990000000000003</v>
      </c>
      <c r="E102">
        <v>0.65880000000000005</v>
      </c>
      <c r="F102">
        <v>1676203</v>
      </c>
      <c r="G102">
        <v>0.65880000000000005</v>
      </c>
      <c r="L102" t="s">
        <v>7</v>
      </c>
      <c r="M102" t="s">
        <v>7</v>
      </c>
      <c r="N102" t="s">
        <v>8</v>
      </c>
      <c r="P102">
        <f t="shared" ref="P102" si="485">IF(C102=D102,0,((E102-D102)-(C102-E102))/(C102-D102))</f>
        <v>-0.72187499999999916</v>
      </c>
      <c r="Q102">
        <f t="shared" ref="Q102" si="486">F102*P102</f>
        <v>-1210009.0406249985</v>
      </c>
      <c r="R102">
        <f t="shared" ref="R102" si="487">R103+Q102</f>
        <v>-364332346.85407615</v>
      </c>
      <c r="S102">
        <f t="shared" ref="S102" si="488">R102/100000</f>
        <v>-3643.3234685407615</v>
      </c>
      <c r="T102">
        <f t="shared" ref="T102" si="489">S102/1000</f>
        <v>-3.6433234685407614</v>
      </c>
    </row>
    <row r="103" spans="1:20" x14ac:dyDescent="0.25">
      <c r="A103" s="5">
        <v>44490</v>
      </c>
      <c r="B103">
        <v>0.68310000000000004</v>
      </c>
      <c r="C103">
        <v>0.79590000000000005</v>
      </c>
      <c r="D103">
        <v>0.66659999999999997</v>
      </c>
      <c r="E103">
        <v>0.67530000000000001</v>
      </c>
      <c r="F103">
        <v>6434246</v>
      </c>
      <c r="G103">
        <v>0.67530000000000001</v>
      </c>
      <c r="L103" t="s">
        <v>8</v>
      </c>
      <c r="M103" t="s">
        <v>8</v>
      </c>
      <c r="N103" t="s">
        <v>8</v>
      </c>
      <c r="P103">
        <f t="shared" ref="P103" si="490">IF(C103=D103,0,((E103-D103)-(C103-E103))/(C103-D103))</f>
        <v>-0.86542923433874652</v>
      </c>
      <c r="Q103">
        <f t="shared" ref="Q103" si="491">F103*P103</f>
        <v>-5568384.5893271426</v>
      </c>
      <c r="R103">
        <f t="shared" ref="R103" si="492">R104+Q103</f>
        <v>-363122337.81345117</v>
      </c>
      <c r="S103">
        <f t="shared" ref="S103" si="493">R103/100000</f>
        <v>-3631.2233781345117</v>
      </c>
      <c r="T103">
        <f t="shared" ref="T103" si="494">S103/1000</f>
        <v>-3.6312233781345116</v>
      </c>
    </row>
    <row r="104" spans="1:20" x14ac:dyDescent="0.25">
      <c r="A104" s="5">
        <v>44489</v>
      </c>
      <c r="B104">
        <v>0.66739999999999999</v>
      </c>
      <c r="C104">
        <v>0.77</v>
      </c>
      <c r="D104">
        <v>0.66149999999999998</v>
      </c>
      <c r="E104">
        <v>0.68210000000000004</v>
      </c>
      <c r="F104">
        <v>7074324</v>
      </c>
      <c r="G104">
        <v>0.68210000000000004</v>
      </c>
      <c r="L104" t="s">
        <v>8</v>
      </c>
      <c r="M104" t="s">
        <v>8</v>
      </c>
      <c r="N104" t="s">
        <v>8</v>
      </c>
      <c r="P104">
        <f t="shared" ref="P104" si="495">IF(C104=D104,0,((E104-D104)-(C104-E104))/(C104-D104))</f>
        <v>-0.62027649769585147</v>
      </c>
      <c r="Q104">
        <f t="shared" ref="Q104" si="496">F104*P104</f>
        <v>-4388036.9142857064</v>
      </c>
      <c r="R104">
        <f t="shared" ref="R104" si="497">R105+Q104</f>
        <v>-357553953.22412401</v>
      </c>
      <c r="S104">
        <f t="shared" ref="S104" si="498">R104/100000</f>
        <v>-3575.5395322412401</v>
      </c>
      <c r="T104">
        <f t="shared" ref="T104" si="499">S104/1000</f>
        <v>-3.57553953224124</v>
      </c>
    </row>
    <row r="105" spans="1:20" x14ac:dyDescent="0.25">
      <c r="A105" s="5">
        <v>44488</v>
      </c>
      <c r="B105">
        <v>0.63749999999999996</v>
      </c>
      <c r="C105">
        <v>0.69</v>
      </c>
      <c r="D105">
        <v>0.6371</v>
      </c>
      <c r="E105">
        <v>0.66639999999999999</v>
      </c>
      <c r="F105">
        <v>4239782</v>
      </c>
      <c r="G105">
        <v>0.66639999999999999</v>
      </c>
      <c r="L105" t="s">
        <v>8</v>
      </c>
      <c r="M105" t="s">
        <v>8</v>
      </c>
      <c r="N105" t="s">
        <v>7</v>
      </c>
      <c r="P105">
        <f t="shared" ref="P105" si="500">IF(C105=D105,0,((E105-D105)-(C105-E105))/(C105-D105))</f>
        <v>0.10775047258979289</v>
      </c>
      <c r="Q105">
        <f t="shared" ref="Q105" si="501">F105*P105</f>
        <v>456838.5141776973</v>
      </c>
      <c r="R105">
        <f t="shared" ref="R105" si="502">R106+Q105</f>
        <v>-353165916.30983829</v>
      </c>
      <c r="S105">
        <f t="shared" ref="S105" si="503">R105/100000</f>
        <v>-3531.659163098383</v>
      </c>
      <c r="T105">
        <f t="shared" ref="T105" si="504">S105/1000</f>
        <v>-3.5316591630983831</v>
      </c>
    </row>
    <row r="106" spans="1:20" x14ac:dyDescent="0.25">
      <c r="A106" s="5">
        <v>44487</v>
      </c>
      <c r="B106">
        <v>0.62329999999999997</v>
      </c>
      <c r="C106">
        <v>0.69389999999999996</v>
      </c>
      <c r="D106">
        <v>0.59809999999999997</v>
      </c>
      <c r="E106">
        <v>0.63829999999999998</v>
      </c>
      <c r="F106">
        <v>6939101</v>
      </c>
      <c r="G106">
        <v>0.63829999999999998</v>
      </c>
      <c r="L106" t="s">
        <v>7</v>
      </c>
      <c r="M106" t="s">
        <v>8</v>
      </c>
      <c r="N106" t="s">
        <v>7</v>
      </c>
      <c r="P106">
        <f t="shared" ref="P106" si="505">IF(C106=D106,0,((E106-D106)-(C106-E106))/(C106-D106))</f>
        <v>-0.16075156576200386</v>
      </c>
      <c r="Q106">
        <f t="shared" ref="Q106" si="506">F106*P106</f>
        <v>-1115471.3507306867</v>
      </c>
      <c r="R106">
        <f t="shared" ref="R106" si="507">R107+Q106</f>
        <v>-353622754.82401597</v>
      </c>
      <c r="S106">
        <f t="shared" ref="S106" si="508">R106/100000</f>
        <v>-3536.2275482401596</v>
      </c>
      <c r="T106">
        <f t="shared" ref="T106" si="509">S106/1000</f>
        <v>-3.5362275482401597</v>
      </c>
    </row>
    <row r="107" spans="1:20" x14ac:dyDescent="0.25">
      <c r="A107" s="5">
        <v>44486</v>
      </c>
      <c r="B107">
        <v>0.61180000000000001</v>
      </c>
      <c r="C107">
        <v>0.69199999999999995</v>
      </c>
      <c r="D107">
        <v>0.6</v>
      </c>
      <c r="E107">
        <v>0.62190000000000001</v>
      </c>
      <c r="F107">
        <v>6894400</v>
      </c>
      <c r="G107">
        <v>0.62190000000000001</v>
      </c>
      <c r="L107" t="s">
        <v>8</v>
      </c>
      <c r="M107" t="s">
        <v>8</v>
      </c>
      <c r="N107" t="s">
        <v>7</v>
      </c>
      <c r="P107">
        <f t="shared" ref="P107" si="510">IF(C107=D107,0,((E107-D107)-(C107-E107))/(C107-D107))</f>
        <v>-0.52391304347826007</v>
      </c>
      <c r="Q107">
        <f t="shared" ref="Q107" si="511">F107*P107</f>
        <v>-3612066.0869565164</v>
      </c>
      <c r="R107">
        <f t="shared" ref="R107" si="512">R108+Q107</f>
        <v>-352507283.47328532</v>
      </c>
      <c r="S107">
        <f t="shared" ref="S107" si="513">R107/100000</f>
        <v>-3525.0728347328532</v>
      </c>
      <c r="T107">
        <f t="shared" ref="T107" si="514">S107/1000</f>
        <v>-3.5250728347328533</v>
      </c>
    </row>
    <row r="108" spans="1:20" x14ac:dyDescent="0.25">
      <c r="A108" s="5">
        <v>44485</v>
      </c>
      <c r="B108">
        <v>0.61119999999999997</v>
      </c>
      <c r="C108">
        <v>0.65169999999999995</v>
      </c>
      <c r="D108">
        <v>0.59560000000000002</v>
      </c>
      <c r="E108">
        <v>0.61170000000000002</v>
      </c>
      <c r="F108">
        <v>3249297</v>
      </c>
      <c r="G108">
        <v>0.61170000000000002</v>
      </c>
      <c r="L108" t="s">
        <v>8</v>
      </c>
      <c r="M108" t="s">
        <v>7</v>
      </c>
      <c r="N108" t="s">
        <v>7</v>
      </c>
      <c r="P108">
        <f t="shared" ref="P108" si="515">IF(C108=D108,0,((E108-D108)-(C108-E108))/(C108-D108))</f>
        <v>-0.42602495543671931</v>
      </c>
      <c r="Q108">
        <f t="shared" ref="Q108" si="516">F108*P108</f>
        <v>-1384281.6096256657</v>
      </c>
      <c r="R108">
        <f t="shared" ref="R108" si="517">R109+Q108</f>
        <v>-348895217.38632882</v>
      </c>
      <c r="S108">
        <f t="shared" ref="S108" si="518">R108/100000</f>
        <v>-3488.952173863288</v>
      </c>
      <c r="T108">
        <f t="shared" ref="T108" si="519">S108/1000</f>
        <v>-3.488952173863288</v>
      </c>
    </row>
    <row r="109" spans="1:20" x14ac:dyDescent="0.25">
      <c r="A109" s="5">
        <v>44484</v>
      </c>
      <c r="B109">
        <v>0.59299999999999997</v>
      </c>
      <c r="C109">
        <v>0.63</v>
      </c>
      <c r="D109">
        <v>0.56010000000000004</v>
      </c>
      <c r="E109">
        <v>0.61140000000000005</v>
      </c>
      <c r="F109">
        <v>4492177</v>
      </c>
      <c r="G109">
        <v>0.61140000000000005</v>
      </c>
      <c r="L109" t="s">
        <v>7</v>
      </c>
      <c r="M109" t="s">
        <v>7</v>
      </c>
      <c r="N109" t="s">
        <v>7</v>
      </c>
      <c r="P109">
        <f t="shared" ref="P109" si="520">IF(C109=D109,0,((E109-D109)-(C109-E109))/(C109-D109))</f>
        <v>0.46781115879828439</v>
      </c>
      <c r="Q109">
        <f t="shared" ref="Q109" si="521">F109*P109</f>
        <v>2101490.5278970008</v>
      </c>
      <c r="R109">
        <f t="shared" ref="R109" si="522">R110+Q109</f>
        <v>-347510935.77670318</v>
      </c>
      <c r="S109">
        <f t="shared" ref="S109" si="523">R109/100000</f>
        <v>-3475.1093577670317</v>
      </c>
      <c r="T109">
        <f t="shared" ref="T109" si="524">S109/1000</f>
        <v>-3.4751093577670318</v>
      </c>
    </row>
    <row r="110" spans="1:20" x14ac:dyDescent="0.25">
      <c r="A110" s="5">
        <v>44483</v>
      </c>
      <c r="B110">
        <v>0.59360000000000002</v>
      </c>
      <c r="C110">
        <v>0.60880000000000001</v>
      </c>
      <c r="D110">
        <v>0.58589999999999998</v>
      </c>
      <c r="E110">
        <v>0.59379999999999999</v>
      </c>
      <c r="F110">
        <v>2785409</v>
      </c>
      <c r="G110">
        <v>0.59379999999999999</v>
      </c>
      <c r="L110" t="s">
        <v>7</v>
      </c>
      <c r="M110" t="s">
        <v>8</v>
      </c>
      <c r="N110" t="s">
        <v>7</v>
      </c>
      <c r="P110">
        <f t="shared" ref="P110" si="525">IF(C110=D110,0,((E110-D110)-(C110-E110))/(C110-D110))</f>
        <v>-0.31004366812227013</v>
      </c>
      <c r="Q110">
        <f t="shared" ref="Q110" si="526">F110*P110</f>
        <v>-863598.42358078435</v>
      </c>
      <c r="R110">
        <f t="shared" ref="R110" si="527">R111+Q110</f>
        <v>-349612426.30460018</v>
      </c>
      <c r="S110">
        <f t="shared" ref="S110" si="528">R110/100000</f>
        <v>-3496.1242630460019</v>
      </c>
      <c r="T110">
        <f t="shared" ref="T110" si="529">S110/1000</f>
        <v>-3.4961242630460019</v>
      </c>
    </row>
    <row r="111" spans="1:20" x14ac:dyDescent="0.25">
      <c r="A111" s="5">
        <v>44482</v>
      </c>
      <c r="B111">
        <v>0.57550000000000001</v>
      </c>
      <c r="C111">
        <v>0.69</v>
      </c>
      <c r="D111">
        <v>0.56389999999999996</v>
      </c>
      <c r="E111">
        <v>0.59419999999999995</v>
      </c>
      <c r="F111">
        <v>26360787</v>
      </c>
      <c r="G111">
        <v>0.59419999999999995</v>
      </c>
      <c r="L111" t="s">
        <v>8</v>
      </c>
      <c r="M111" t="s">
        <v>8</v>
      </c>
      <c r="N111" t="s">
        <v>7</v>
      </c>
      <c r="P111">
        <f t="shared" ref="P111" si="530">IF(C111=D111,0,((E111-D111)-(C111-E111))/(C111-D111))</f>
        <v>-0.5194290245836638</v>
      </c>
      <c r="Q111">
        <f t="shared" ref="Q111" si="531">F111*P111</f>
        <v>-13692557.878667725</v>
      </c>
      <c r="R111">
        <f t="shared" ref="R111" si="532">R112+Q111</f>
        <v>-348748827.88101941</v>
      </c>
      <c r="S111">
        <f t="shared" ref="S111" si="533">R111/100000</f>
        <v>-3487.4882788101941</v>
      </c>
      <c r="T111">
        <f t="shared" ref="T111" si="534">S111/1000</f>
        <v>-3.487488278810194</v>
      </c>
    </row>
    <row r="112" spans="1:20" x14ac:dyDescent="0.25">
      <c r="A112" s="5">
        <v>44481</v>
      </c>
      <c r="B112">
        <v>0.58779999999999999</v>
      </c>
      <c r="C112">
        <v>0.6</v>
      </c>
      <c r="D112">
        <v>0.54430000000000001</v>
      </c>
      <c r="E112">
        <v>0.57689999999999997</v>
      </c>
      <c r="F112">
        <v>3398420</v>
      </c>
      <c r="G112">
        <v>0.57689999999999997</v>
      </c>
      <c r="L112" t="s">
        <v>7</v>
      </c>
      <c r="M112" t="s">
        <v>7</v>
      </c>
      <c r="N112" t="s">
        <v>7</v>
      </c>
      <c r="P112">
        <f t="shared" ref="P112" si="535">IF(C112=D112,0,((E112-D112)-(C112-E112))/(C112-D112))</f>
        <v>0.17055655296229727</v>
      </c>
      <c r="Q112">
        <f t="shared" ref="Q112" si="536">F112*P112</f>
        <v>579622.80071813031</v>
      </c>
      <c r="R112">
        <f t="shared" ref="R112" si="537">R113+Q112</f>
        <v>-335056270.0023517</v>
      </c>
      <c r="S112">
        <f t="shared" ref="S112" si="538">R112/100000</f>
        <v>-3350.5627000235172</v>
      </c>
      <c r="T112">
        <f t="shared" ref="T112" si="539">S112/1000</f>
        <v>-3.3505627000235174</v>
      </c>
    </row>
    <row r="113" spans="1:20" x14ac:dyDescent="0.25">
      <c r="A113" s="5">
        <v>44480</v>
      </c>
      <c r="B113">
        <v>0.57950000000000002</v>
      </c>
      <c r="C113">
        <v>0.6018</v>
      </c>
      <c r="D113">
        <v>0.56389999999999996</v>
      </c>
      <c r="E113">
        <v>0.58789999999999998</v>
      </c>
      <c r="F113">
        <v>1394447</v>
      </c>
      <c r="G113">
        <v>0.58789999999999998</v>
      </c>
      <c r="L113" t="s">
        <v>7</v>
      </c>
      <c r="M113" t="s">
        <v>7</v>
      </c>
      <c r="N113" t="s">
        <v>7</v>
      </c>
      <c r="P113">
        <f t="shared" ref="P113" si="540">IF(C113=D113,0,((E113-D113)-(C113-E113))/(C113-D113))</f>
        <v>0.26649076517150361</v>
      </c>
      <c r="Q113">
        <f t="shared" ref="Q113" si="541">F113*P113</f>
        <v>371607.24802110769</v>
      </c>
      <c r="R113">
        <f t="shared" ref="R113" si="542">R114+Q113</f>
        <v>-335635892.80306983</v>
      </c>
      <c r="S113">
        <f t="shared" ref="S113" si="543">R113/100000</f>
        <v>-3356.3589280306983</v>
      </c>
      <c r="T113">
        <f t="shared" ref="T113" si="544">S113/1000</f>
        <v>-3.3563589280306982</v>
      </c>
    </row>
    <row r="114" spans="1:20" x14ac:dyDescent="0.25">
      <c r="A114" s="5">
        <v>44479</v>
      </c>
      <c r="B114">
        <v>0.59040000000000004</v>
      </c>
      <c r="C114">
        <v>0.62339999999999995</v>
      </c>
      <c r="D114">
        <v>0.56320000000000003</v>
      </c>
      <c r="E114">
        <v>0.57979999999999998</v>
      </c>
      <c r="F114">
        <v>2630939</v>
      </c>
      <c r="G114">
        <v>0.57979999999999998</v>
      </c>
      <c r="L114" t="s">
        <v>7</v>
      </c>
      <c r="M114" t="s">
        <v>7</v>
      </c>
      <c r="N114" t="s">
        <v>7</v>
      </c>
      <c r="P114">
        <f t="shared" ref="P114" si="545">IF(C114=D114,0,((E114-D114)-(C114-E114))/(C114-D114))</f>
        <v>-0.44850498338870531</v>
      </c>
      <c r="Q114">
        <f t="shared" ref="Q114" si="546">F114*P114</f>
        <v>-1179989.252491697</v>
      </c>
      <c r="R114">
        <f t="shared" ref="R114" si="547">R115+Q114</f>
        <v>-336007500.05109096</v>
      </c>
      <c r="S114">
        <f t="shared" ref="S114" si="548">R114/100000</f>
        <v>-3360.0750005109094</v>
      </c>
      <c r="T114">
        <f t="shared" ref="T114" si="549">S114/1000</f>
        <v>-3.3600750005109092</v>
      </c>
    </row>
    <row r="115" spans="1:20" x14ac:dyDescent="0.25">
      <c r="A115" s="5">
        <v>44478</v>
      </c>
      <c r="B115">
        <v>0.59119999999999995</v>
      </c>
      <c r="C115">
        <v>0.63029999999999997</v>
      </c>
      <c r="D115">
        <v>0.57850000000000001</v>
      </c>
      <c r="E115">
        <v>0.58979999999999999</v>
      </c>
      <c r="F115">
        <v>5121413</v>
      </c>
      <c r="G115">
        <v>0.58979999999999999</v>
      </c>
      <c r="L115" t="s">
        <v>8</v>
      </c>
      <c r="M115" t="s">
        <v>7</v>
      </c>
      <c r="N115" t="s">
        <v>8</v>
      </c>
      <c r="P115">
        <f t="shared" ref="P115" si="550">IF(C115=D115,0,((E115-D115)-(C115-E115))/(C115-D115))</f>
        <v>-0.56370656370656425</v>
      </c>
      <c r="Q115">
        <f t="shared" ref="Q115" si="551">F115*P115</f>
        <v>-2886974.1235521263</v>
      </c>
      <c r="R115">
        <f t="shared" ref="R115" si="552">R116+Q115</f>
        <v>-334827510.79859924</v>
      </c>
      <c r="S115">
        <f t="shared" ref="S115" si="553">R115/100000</f>
        <v>-3348.2751079859922</v>
      </c>
      <c r="T115">
        <f t="shared" ref="T115" si="554">S115/1000</f>
        <v>-3.3482751079859923</v>
      </c>
    </row>
    <row r="116" spans="1:20" x14ac:dyDescent="0.25">
      <c r="A116" s="5">
        <v>44477</v>
      </c>
      <c r="B116">
        <v>0.59079999999999999</v>
      </c>
      <c r="C116">
        <v>0.60089999999999999</v>
      </c>
      <c r="D116">
        <v>0.57320000000000004</v>
      </c>
      <c r="E116">
        <v>0.58819999999999995</v>
      </c>
      <c r="F116">
        <v>2375014</v>
      </c>
      <c r="G116">
        <v>0.58819999999999995</v>
      </c>
      <c r="L116" t="s">
        <v>7</v>
      </c>
      <c r="M116" t="s">
        <v>7</v>
      </c>
      <c r="N116" t="s">
        <v>8</v>
      </c>
      <c r="P116">
        <f t="shared" ref="P116" si="555">IF(C116=D116,0,((E116-D116)-(C116-E116))/(C116-D116))</f>
        <v>8.303249097472426E-2</v>
      </c>
      <c r="Q116">
        <f t="shared" ref="Q116" si="556">F116*P116</f>
        <v>197203.32851984375</v>
      </c>
      <c r="R116">
        <f t="shared" ref="R116" si="557">R117+Q116</f>
        <v>-331940536.6750471</v>
      </c>
      <c r="S116">
        <f t="shared" ref="S116" si="558">R116/100000</f>
        <v>-3319.4053667504709</v>
      </c>
      <c r="T116">
        <f t="shared" ref="T116" si="559">S116/1000</f>
        <v>-3.319405366750471</v>
      </c>
    </row>
    <row r="117" spans="1:20" x14ac:dyDescent="0.25">
      <c r="A117" s="5">
        <v>44476</v>
      </c>
      <c r="B117">
        <v>0.58140000000000003</v>
      </c>
      <c r="C117">
        <v>0.77500000000000002</v>
      </c>
      <c r="D117">
        <v>0.56020000000000003</v>
      </c>
      <c r="E117">
        <v>0.59160000000000001</v>
      </c>
      <c r="F117">
        <v>18925941</v>
      </c>
      <c r="G117">
        <v>0.59160000000000001</v>
      </c>
      <c r="L117" t="s">
        <v>8</v>
      </c>
      <c r="M117" t="s">
        <v>8</v>
      </c>
      <c r="N117" t="s">
        <v>8</v>
      </c>
      <c r="P117">
        <f t="shared" ref="P117" si="560">IF(C117=D117,0,((E117-D117)-(C117-E117))/(C117-D117))</f>
        <v>-0.70763500931098711</v>
      </c>
      <c r="Q117">
        <f t="shared" ref="Q117" si="561">F117*P117</f>
        <v>-13392658.435754193</v>
      </c>
      <c r="R117">
        <f t="shared" ref="R117" si="562">R118+Q117</f>
        <v>-332137740.00356692</v>
      </c>
      <c r="S117">
        <f t="shared" ref="S117" si="563">R117/100000</f>
        <v>-3321.3774000356693</v>
      </c>
      <c r="T117">
        <f t="shared" ref="T117" si="564">S117/1000</f>
        <v>-3.3213774000356695</v>
      </c>
    </row>
    <row r="118" spans="1:20" x14ac:dyDescent="0.25">
      <c r="A118" s="5">
        <v>44475</v>
      </c>
      <c r="B118">
        <v>0.5696</v>
      </c>
      <c r="C118">
        <v>0.58179999999999998</v>
      </c>
      <c r="D118">
        <v>0.52600000000000002</v>
      </c>
      <c r="E118">
        <v>0.58079999999999998</v>
      </c>
      <c r="F118">
        <v>2370930</v>
      </c>
      <c r="G118">
        <v>0.58079999999999998</v>
      </c>
      <c r="L118" t="s">
        <v>7</v>
      </c>
      <c r="M118" t="s">
        <v>8</v>
      </c>
      <c r="N118" t="s">
        <v>7</v>
      </c>
      <c r="P118">
        <f t="shared" ref="P118" si="565">IF(C118=D118,0,((E118-D118)-(C118-E118))/(C118-D118))</f>
        <v>0.96415770609318996</v>
      </c>
      <c r="Q118">
        <f t="shared" ref="Q118" si="566">F118*P118</f>
        <v>2285950.4301075269</v>
      </c>
      <c r="R118">
        <f t="shared" ref="R118" si="567">R119+Q118</f>
        <v>-318745081.56781274</v>
      </c>
      <c r="S118">
        <f t="shared" ref="S118" si="568">R118/100000</f>
        <v>-3187.4508156781276</v>
      </c>
      <c r="T118">
        <f t="shared" ref="T118" si="569">S118/1000</f>
        <v>-3.1874508156781274</v>
      </c>
    </row>
    <row r="119" spans="1:20" x14ac:dyDescent="0.25">
      <c r="A119" s="5">
        <v>44474</v>
      </c>
      <c r="B119">
        <v>0.55359999999999998</v>
      </c>
      <c r="C119">
        <v>0.5958</v>
      </c>
      <c r="D119">
        <v>0.55030000000000001</v>
      </c>
      <c r="E119">
        <v>0.56820000000000004</v>
      </c>
      <c r="F119">
        <v>1999131</v>
      </c>
      <c r="G119">
        <v>0.56820000000000004</v>
      </c>
      <c r="L119" t="s">
        <v>8</v>
      </c>
      <c r="M119" t="s">
        <v>8</v>
      </c>
      <c r="N119" t="s">
        <v>7</v>
      </c>
      <c r="P119">
        <f t="shared" ref="P119" si="570">IF(C119=D119,0,((E119-D119)-(C119-E119))/(C119-D119))</f>
        <v>-0.21318681318681174</v>
      </c>
      <c r="Q119">
        <f t="shared" ref="Q119" si="571">F119*P119</f>
        <v>-426188.36703296413</v>
      </c>
      <c r="R119">
        <f t="shared" ref="R119" si="572">R120+Q119</f>
        <v>-321031031.99792027</v>
      </c>
      <c r="S119">
        <f t="shared" ref="S119" si="573">R119/100000</f>
        <v>-3210.3103199792026</v>
      </c>
      <c r="T119">
        <f t="shared" ref="T119" si="574">S119/1000</f>
        <v>-3.2103103199792025</v>
      </c>
    </row>
    <row r="120" spans="1:20" x14ac:dyDescent="0.25">
      <c r="A120" s="5">
        <v>44473</v>
      </c>
      <c r="B120">
        <v>0.56710000000000005</v>
      </c>
      <c r="C120">
        <v>0.56799999999999995</v>
      </c>
      <c r="D120">
        <v>0.53820000000000001</v>
      </c>
      <c r="E120">
        <v>0.55449999999999999</v>
      </c>
      <c r="F120">
        <v>1220187</v>
      </c>
      <c r="G120">
        <v>0.55449999999999999</v>
      </c>
      <c r="L120" t="s">
        <v>7</v>
      </c>
      <c r="M120" t="s">
        <v>8</v>
      </c>
      <c r="N120" t="s">
        <v>7</v>
      </c>
      <c r="P120">
        <f t="shared" ref="P120" si="575">IF(C120=D120,0,((E120-D120)-(C120-E120))/(C120-D120))</f>
        <v>9.3959731543625191E-2</v>
      </c>
      <c r="Q120">
        <f t="shared" ref="Q120" si="576">F120*P120</f>
        <v>114648.4429530214</v>
      </c>
      <c r="R120">
        <f t="shared" ref="R120" si="577">R121+Q120</f>
        <v>-320604843.63088733</v>
      </c>
      <c r="S120">
        <f t="shared" ref="S120" si="578">R120/100000</f>
        <v>-3206.0484363088731</v>
      </c>
      <c r="T120">
        <f t="shared" ref="T120" si="579">S120/1000</f>
        <v>-3.206048436308873</v>
      </c>
    </row>
    <row r="121" spans="1:20" x14ac:dyDescent="0.25">
      <c r="A121" s="5">
        <v>44472</v>
      </c>
      <c r="B121">
        <v>0.55920000000000003</v>
      </c>
      <c r="C121">
        <v>0.58650000000000002</v>
      </c>
      <c r="D121">
        <v>0.54459999999999997</v>
      </c>
      <c r="E121">
        <v>0.56389999999999996</v>
      </c>
      <c r="F121">
        <v>1799193</v>
      </c>
      <c r="G121">
        <v>0.56389999999999996</v>
      </c>
      <c r="L121" t="s">
        <v>8</v>
      </c>
      <c r="M121" t="s">
        <v>8</v>
      </c>
      <c r="N121" t="s">
        <v>7</v>
      </c>
      <c r="P121">
        <f t="shared" ref="P121" si="580">IF(C121=D121,0,((E121-D121)-(C121-E121))/(C121-D121))</f>
        <v>-7.8758949880670087E-2</v>
      </c>
      <c r="Q121">
        <f t="shared" ref="Q121" si="581">F121*P121</f>
        <v>-141702.55131265245</v>
      </c>
      <c r="R121">
        <f t="shared" ref="R121" si="582">R122+Q121</f>
        <v>-320719492.07384038</v>
      </c>
      <c r="S121">
        <f t="shared" ref="S121" si="583">R121/100000</f>
        <v>-3207.1949207384037</v>
      </c>
      <c r="T121">
        <f t="shared" ref="T121" si="584">S121/1000</f>
        <v>-3.2071949207384036</v>
      </c>
    </row>
    <row r="122" spans="1:20" x14ac:dyDescent="0.25">
      <c r="A122" s="5">
        <v>44471</v>
      </c>
      <c r="B122">
        <v>0.54769999999999996</v>
      </c>
      <c r="C122">
        <v>0.57899999999999996</v>
      </c>
      <c r="D122">
        <v>0.53169999999999995</v>
      </c>
      <c r="E122">
        <v>0.55810000000000004</v>
      </c>
      <c r="F122">
        <v>2465549</v>
      </c>
      <c r="G122">
        <v>0.55810000000000004</v>
      </c>
      <c r="L122" t="s">
        <v>8</v>
      </c>
      <c r="M122" t="s">
        <v>7</v>
      </c>
      <c r="N122" t="s">
        <v>7</v>
      </c>
      <c r="P122">
        <f t="shared" ref="P122" si="585">IF(C122=D122,0,((E122-D122)-(C122-E122))/(C122-D122))</f>
        <v>0.11627906976744547</v>
      </c>
      <c r="Q122">
        <f t="shared" ref="Q122" si="586">F122*P122</f>
        <v>286691.74418605538</v>
      </c>
      <c r="R122">
        <f t="shared" ref="R122" si="587">R123+Q122</f>
        <v>-320577789.52252775</v>
      </c>
      <c r="S122">
        <f t="shared" ref="S122" si="588">R122/100000</f>
        <v>-3205.7778952252775</v>
      </c>
      <c r="T122">
        <f t="shared" ref="T122" si="589">S122/1000</f>
        <v>-3.2057778952252773</v>
      </c>
    </row>
    <row r="123" spans="1:20" x14ac:dyDescent="0.25">
      <c r="A123" s="5">
        <v>44470</v>
      </c>
      <c r="B123">
        <v>0.51900000000000002</v>
      </c>
      <c r="C123">
        <v>0.56169999999999998</v>
      </c>
      <c r="D123">
        <v>0.50860000000000005</v>
      </c>
      <c r="E123">
        <v>0.54949999999999999</v>
      </c>
      <c r="F123">
        <v>3357119</v>
      </c>
      <c r="G123">
        <v>0.54949999999999999</v>
      </c>
      <c r="L123" t="s">
        <v>8</v>
      </c>
      <c r="M123" t="s">
        <v>7</v>
      </c>
      <c r="N123" t="s">
        <v>7</v>
      </c>
      <c r="P123">
        <f t="shared" ref="P123" si="590">IF(C123=D123,0,((E123-D123)-(C123-E123))/(C123-D123))</f>
        <v>0.5404896421845572</v>
      </c>
      <c r="Q123">
        <f t="shared" ref="Q123" si="591">F123*P123</f>
        <v>1814488.0470809785</v>
      </c>
      <c r="R123">
        <f t="shared" ref="R123" si="592">R124+Q123</f>
        <v>-320864481.2667138</v>
      </c>
      <c r="S123">
        <f t="shared" ref="S123" si="593">R123/100000</f>
        <v>-3208.644812667138</v>
      </c>
      <c r="T123">
        <f t="shared" ref="T123" si="594">S123/1000</f>
        <v>-3.2086448126671381</v>
      </c>
    </row>
    <row r="124" spans="1:20" x14ac:dyDescent="0.25">
      <c r="A124" s="5">
        <v>44469</v>
      </c>
      <c r="B124">
        <v>0.49730000000000002</v>
      </c>
      <c r="C124">
        <v>0.52910000000000001</v>
      </c>
      <c r="D124">
        <v>0.49440000000000001</v>
      </c>
      <c r="E124">
        <v>0.51900000000000002</v>
      </c>
      <c r="F124">
        <v>1758746</v>
      </c>
      <c r="G124">
        <v>0.51900000000000002</v>
      </c>
      <c r="L124" t="s">
        <v>8</v>
      </c>
      <c r="M124" t="s">
        <v>7</v>
      </c>
      <c r="N124" t="s">
        <v>7</v>
      </c>
      <c r="P124">
        <f t="shared" ref="P124" si="595">IF(C124=D124,0,((E124-D124)-(C124-E124))/(C124-D124))</f>
        <v>0.41786743515850172</v>
      </c>
      <c r="Q124">
        <f t="shared" ref="Q124" si="596">F124*P124</f>
        <v>734922.68011527427</v>
      </c>
      <c r="R124">
        <f t="shared" ref="R124" si="597">R125+Q124</f>
        <v>-322678969.31379479</v>
      </c>
      <c r="S124">
        <f t="shared" ref="S124" si="598">R124/100000</f>
        <v>-3226.7896931379478</v>
      </c>
      <c r="T124">
        <f t="shared" ref="T124" si="599">S124/1000</f>
        <v>-3.2267896931379476</v>
      </c>
    </row>
    <row r="125" spans="1:20" x14ac:dyDescent="0.25">
      <c r="A125" s="5">
        <v>44468</v>
      </c>
      <c r="B125">
        <v>0.4914</v>
      </c>
      <c r="C125">
        <v>0.52370000000000005</v>
      </c>
      <c r="D125">
        <v>0.48799999999999999</v>
      </c>
      <c r="E125">
        <v>0.49790000000000001</v>
      </c>
      <c r="F125">
        <v>1474692.97</v>
      </c>
      <c r="G125">
        <v>0.49790000000000001</v>
      </c>
      <c r="L125" t="s">
        <v>8</v>
      </c>
      <c r="M125" t="s">
        <v>7</v>
      </c>
      <c r="N125" t="s">
        <v>7</v>
      </c>
      <c r="P125">
        <f t="shared" ref="P125" si="600">IF(C125=D125,0,((E125-D125)-(C125-E125))/(C125-D125))</f>
        <v>-0.44537815126050412</v>
      </c>
      <c r="Q125">
        <f t="shared" ref="Q125" si="601">F125*P125</f>
        <v>-656796.02865546208</v>
      </c>
      <c r="R125">
        <f t="shared" ref="R125" si="602">R126+Q125</f>
        <v>-323413891.99391007</v>
      </c>
      <c r="S125">
        <f t="shared" ref="S125" si="603">R125/100000</f>
        <v>-3234.1389199391006</v>
      </c>
      <c r="T125">
        <f t="shared" ref="T125" si="604">S125/1000</f>
        <v>-3.2341389199391006</v>
      </c>
    </row>
    <row r="126" spans="1:20" x14ac:dyDescent="0.25">
      <c r="A126" s="5">
        <v>44467</v>
      </c>
      <c r="B126">
        <v>0.5232</v>
      </c>
      <c r="C126">
        <v>0.53110000000000002</v>
      </c>
      <c r="D126">
        <v>0.49</v>
      </c>
      <c r="E126">
        <v>0.49259999999999998</v>
      </c>
      <c r="F126">
        <v>3324630.61</v>
      </c>
      <c r="G126">
        <v>0.49259999999999998</v>
      </c>
      <c r="L126" t="s">
        <v>7</v>
      </c>
      <c r="M126" t="s">
        <v>7</v>
      </c>
      <c r="N126" t="s">
        <v>7</v>
      </c>
      <c r="P126">
        <f t="shared" ref="P126" si="605">IF(C126=D126,0,((E126-D126)-(C126-E126))/(C126-D126))</f>
        <v>-0.87347931873479367</v>
      </c>
      <c r="Q126">
        <f t="shared" ref="Q126" si="606">F126*P126</f>
        <v>-2903996.0802676412</v>
      </c>
      <c r="R126">
        <f t="shared" ref="R126" si="607">R127+Q126</f>
        <v>-322757095.9652546</v>
      </c>
      <c r="S126">
        <f t="shared" ref="S126" si="608">R126/100000</f>
        <v>-3227.5709596525462</v>
      </c>
      <c r="T126">
        <f t="shared" ref="T126" si="609">S126/1000</f>
        <v>-3.2275709596525464</v>
      </c>
    </row>
    <row r="127" spans="1:20" x14ac:dyDescent="0.25">
      <c r="A127" s="5">
        <v>44466</v>
      </c>
      <c r="B127">
        <v>0.5454</v>
      </c>
      <c r="C127">
        <v>0.57999999999999996</v>
      </c>
      <c r="D127">
        <v>0.52110000000000001</v>
      </c>
      <c r="E127">
        <v>0.52380000000000004</v>
      </c>
      <c r="F127">
        <v>4080127</v>
      </c>
      <c r="G127">
        <v>0.52380000000000004</v>
      </c>
      <c r="L127" t="s">
        <v>8</v>
      </c>
      <c r="M127" t="s">
        <v>7</v>
      </c>
      <c r="N127" t="s">
        <v>7</v>
      </c>
      <c r="P127">
        <f t="shared" ref="P127" si="610">IF(C127=D127,0,((E127-D127)-(C127-E127))/(C127-D127))</f>
        <v>-0.90831918505942144</v>
      </c>
      <c r="Q127">
        <f t="shared" ref="Q127" si="611">F127*P127</f>
        <v>-3706057.6315789418</v>
      </c>
      <c r="R127">
        <f t="shared" ref="R127" si="612">R128+Q127</f>
        <v>-319853099.88498694</v>
      </c>
      <c r="S127">
        <f t="shared" ref="S127" si="613">R127/100000</f>
        <v>-3198.5309988498693</v>
      </c>
      <c r="T127">
        <f t="shared" ref="T127" si="614">S127/1000</f>
        <v>-3.1985309988498694</v>
      </c>
    </row>
    <row r="128" spans="1:20" x14ac:dyDescent="0.25">
      <c r="A128" s="5">
        <v>44465</v>
      </c>
      <c r="B128">
        <v>0.57969999999999999</v>
      </c>
      <c r="C128">
        <v>0.58109999999999995</v>
      </c>
      <c r="D128">
        <v>0.50770000000000004</v>
      </c>
      <c r="E128">
        <v>0.54610000000000003</v>
      </c>
      <c r="F128">
        <v>4495640.83</v>
      </c>
      <c r="G128">
        <v>0.54610000000000003</v>
      </c>
      <c r="L128" t="s">
        <v>7</v>
      </c>
      <c r="M128" t="s">
        <v>7</v>
      </c>
      <c r="N128" t="s">
        <v>7</v>
      </c>
      <c r="P128">
        <f t="shared" ref="P128" si="615">IF(C128=D128,0,((E128-D128)-(C128-E128))/(C128-D128))</f>
        <v>4.6321525885559586E-2</v>
      </c>
      <c r="Q128">
        <f t="shared" ref="Q128" si="616">F128*P128</f>
        <v>208244.94307902359</v>
      </c>
      <c r="R128">
        <f t="shared" ref="R128" si="617">R129+Q128</f>
        <v>-316147042.25340801</v>
      </c>
      <c r="S128">
        <f t="shared" ref="S128" si="618">R128/100000</f>
        <v>-3161.4704225340802</v>
      </c>
      <c r="T128">
        <f t="shared" ref="T128" si="619">S128/1000</f>
        <v>-3.1614704225340802</v>
      </c>
    </row>
    <row r="129" spans="1:20" x14ac:dyDescent="0.25">
      <c r="A129" s="5">
        <v>44464</v>
      </c>
      <c r="B129">
        <v>0.60050000000000003</v>
      </c>
      <c r="C129">
        <v>0.61280000000000001</v>
      </c>
      <c r="D129">
        <v>0.56489999999999996</v>
      </c>
      <c r="E129">
        <v>0.58099999999999996</v>
      </c>
      <c r="F129">
        <v>1631956</v>
      </c>
      <c r="G129">
        <v>0.58099999999999996</v>
      </c>
      <c r="L129" t="s">
        <v>7</v>
      </c>
      <c r="M129" t="s">
        <v>7</v>
      </c>
      <c r="N129" t="s">
        <v>7</v>
      </c>
      <c r="P129">
        <f t="shared" ref="P129" si="620">IF(C129=D129,0,((E129-D129)-(C129-E129))/(C129-D129))</f>
        <v>-0.32776617954071041</v>
      </c>
      <c r="Q129">
        <f t="shared" ref="Q129" si="621">F129*P129</f>
        <v>-534899.98329853965</v>
      </c>
      <c r="R129">
        <f t="shared" ref="R129" si="622">R130+Q129</f>
        <v>-316355287.19648701</v>
      </c>
      <c r="S129">
        <f t="shared" ref="S129" si="623">R129/100000</f>
        <v>-3163.5528719648701</v>
      </c>
      <c r="T129">
        <f t="shared" ref="T129" si="624">S129/1000</f>
        <v>-3.1635528719648702</v>
      </c>
    </row>
    <row r="130" spans="1:20" x14ac:dyDescent="0.25">
      <c r="A130" s="5">
        <v>44463</v>
      </c>
      <c r="B130">
        <v>0.65400000000000003</v>
      </c>
      <c r="C130">
        <v>0.68</v>
      </c>
      <c r="D130">
        <v>0.5655</v>
      </c>
      <c r="E130">
        <v>0.59940000000000004</v>
      </c>
      <c r="F130">
        <v>3204620</v>
      </c>
      <c r="G130">
        <v>0.59940000000000004</v>
      </c>
      <c r="L130" t="s">
        <v>8</v>
      </c>
      <c r="M130" t="s">
        <v>8</v>
      </c>
      <c r="N130" t="s">
        <v>7</v>
      </c>
      <c r="P130">
        <f t="shared" ref="P130" si="625">IF(C130=D130,0,((E130-D130)-(C130-E130))/(C130-D130))</f>
        <v>-0.40786026200873315</v>
      </c>
      <c r="Q130">
        <f t="shared" ref="Q130" si="626">F130*P130</f>
        <v>-1307037.1528384264</v>
      </c>
      <c r="R130">
        <f t="shared" ref="R130" si="627">R131+Q130</f>
        <v>-315820387.21318847</v>
      </c>
      <c r="S130">
        <f t="shared" ref="S130" si="628">R130/100000</f>
        <v>-3158.2038721318845</v>
      </c>
      <c r="T130">
        <f t="shared" ref="T130" si="629">S130/1000</f>
        <v>-3.1582038721318844</v>
      </c>
    </row>
    <row r="131" spans="1:20" x14ac:dyDescent="0.25">
      <c r="A131" s="5">
        <v>44462</v>
      </c>
      <c r="B131">
        <v>0.63090000000000002</v>
      </c>
      <c r="C131">
        <v>0.65949999999999998</v>
      </c>
      <c r="D131">
        <v>0.62029999999999996</v>
      </c>
      <c r="E131">
        <v>0.65359999999999996</v>
      </c>
      <c r="F131">
        <v>1877817</v>
      </c>
      <c r="G131">
        <v>0.65359999999999996</v>
      </c>
      <c r="L131" t="s">
        <v>8</v>
      </c>
      <c r="M131" t="s">
        <v>7</v>
      </c>
      <c r="N131" t="s">
        <v>7</v>
      </c>
      <c r="P131">
        <f t="shared" ref="P131" si="630">IF(C131=D131,0,((E131-D131)-(C131-E131))/(C131-D131))</f>
        <v>0.69897959183673397</v>
      </c>
      <c r="Q131">
        <f t="shared" ref="Q131" si="631">F131*P131</f>
        <v>1312555.7602040803</v>
      </c>
      <c r="R131">
        <f t="shared" ref="R131" si="632">R132+Q131</f>
        <v>-314513350.06035006</v>
      </c>
      <c r="S131">
        <f t="shared" ref="S131" si="633">R131/100000</f>
        <v>-3145.1335006035006</v>
      </c>
      <c r="T131">
        <f t="shared" ref="T131" si="634">S131/1000</f>
        <v>-3.1451335006035004</v>
      </c>
    </row>
    <row r="132" spans="1:20" x14ac:dyDescent="0.25">
      <c r="A132" s="5">
        <v>44461</v>
      </c>
      <c r="B132">
        <v>0.57799999999999996</v>
      </c>
      <c r="C132">
        <v>0.65900000000000003</v>
      </c>
      <c r="D132">
        <v>0.56430000000000002</v>
      </c>
      <c r="E132">
        <v>0.63049999999999995</v>
      </c>
      <c r="F132">
        <v>4015089</v>
      </c>
      <c r="G132">
        <v>0.63049999999999995</v>
      </c>
      <c r="L132" t="s">
        <v>8</v>
      </c>
      <c r="M132" t="s">
        <v>7</v>
      </c>
      <c r="N132" t="s">
        <v>7</v>
      </c>
      <c r="P132">
        <f t="shared" ref="P132" si="635">IF(C132=D132,0,((E132-D132)-(C132-E132))/(C132-D132))</f>
        <v>0.39809926082365199</v>
      </c>
      <c r="Q132">
        <f t="shared" ref="Q132" si="636">F132*P132</f>
        <v>1598403.9630411761</v>
      </c>
      <c r="R132">
        <f t="shared" ref="R132" si="637">R133+Q132</f>
        <v>-315825905.82055414</v>
      </c>
      <c r="S132">
        <f t="shared" ref="S132" si="638">R132/100000</f>
        <v>-3158.2590582055414</v>
      </c>
      <c r="T132">
        <f t="shared" ref="T132" si="639">S132/1000</f>
        <v>-3.1582590582055414</v>
      </c>
    </row>
    <row r="133" spans="1:20" x14ac:dyDescent="0.25">
      <c r="A133" s="5">
        <v>44460</v>
      </c>
      <c r="B133">
        <v>0.62849999999999995</v>
      </c>
      <c r="C133">
        <v>0.64949999999999997</v>
      </c>
      <c r="D133">
        <v>0.56999999999999995</v>
      </c>
      <c r="E133">
        <v>0.57569999999999999</v>
      </c>
      <c r="F133">
        <v>2869505</v>
      </c>
      <c r="G133">
        <v>0.57569999999999999</v>
      </c>
      <c r="L133" t="s">
        <v>7</v>
      </c>
      <c r="M133" t="s">
        <v>7</v>
      </c>
      <c r="N133" t="s">
        <v>8</v>
      </c>
      <c r="P133">
        <f t="shared" ref="P133" si="640">IF(C133=D133,0,((E133-D133)-(C133-E133))/(C133-D133))</f>
        <v>-0.85660377358490469</v>
      </c>
      <c r="Q133">
        <f t="shared" ref="Q133" si="641">F133*P133</f>
        <v>-2458028.8113207519</v>
      </c>
      <c r="R133">
        <f t="shared" ref="R133" si="642">R134+Q133</f>
        <v>-317424309.78359532</v>
      </c>
      <c r="S133">
        <f t="shared" ref="S133" si="643">R133/100000</f>
        <v>-3174.2430978359534</v>
      </c>
      <c r="T133">
        <f t="shared" ref="T133" si="644">S133/1000</f>
        <v>-3.1742430978359533</v>
      </c>
    </row>
    <row r="134" spans="1:20" x14ac:dyDescent="0.25">
      <c r="A134" s="5">
        <v>44459</v>
      </c>
      <c r="B134">
        <v>0.6855</v>
      </c>
      <c r="C134">
        <v>0.68740000000000001</v>
      </c>
      <c r="D134">
        <v>0.63890000000000002</v>
      </c>
      <c r="E134">
        <v>0.64929999999999999</v>
      </c>
      <c r="F134">
        <v>1844709</v>
      </c>
      <c r="G134">
        <v>0.64929999999999999</v>
      </c>
      <c r="L134" t="s">
        <v>7</v>
      </c>
      <c r="M134" t="s">
        <v>7</v>
      </c>
      <c r="N134" t="s">
        <v>8</v>
      </c>
      <c r="P134">
        <f t="shared" ref="P134" si="645">IF(C134=D134,0,((E134-D134)-(C134-E134))/(C134-D134))</f>
        <v>-0.571134020618558</v>
      </c>
      <c r="Q134">
        <f t="shared" ref="Q134" si="646">F134*P134</f>
        <v>-1053576.0680412394</v>
      </c>
      <c r="R134">
        <f t="shared" ref="R134" si="647">R135+Q134</f>
        <v>-314966280.9722746</v>
      </c>
      <c r="S134">
        <f t="shared" ref="S134" si="648">R134/100000</f>
        <v>-3149.6628097227458</v>
      </c>
      <c r="T134">
        <f t="shared" ref="T134" si="649">S134/1000</f>
        <v>-3.1496628097227459</v>
      </c>
    </row>
    <row r="135" spans="1:20" x14ac:dyDescent="0.25">
      <c r="A135" s="5">
        <v>44458</v>
      </c>
      <c r="B135">
        <v>0.72650000000000003</v>
      </c>
      <c r="C135">
        <v>0.76200000000000001</v>
      </c>
      <c r="D135">
        <v>0.67479999999999996</v>
      </c>
      <c r="E135">
        <v>0.68689999999999996</v>
      </c>
      <c r="F135">
        <v>2903477</v>
      </c>
      <c r="G135">
        <v>0.68689999999999996</v>
      </c>
      <c r="L135" t="s">
        <v>8</v>
      </c>
      <c r="M135" t="s">
        <v>8</v>
      </c>
      <c r="N135" t="s">
        <v>8</v>
      </c>
      <c r="P135">
        <f t="shared" ref="P135" si="650">IF(C135=D135,0,((E135-D135)-(C135-E135))/(C135-D135))</f>
        <v>-0.72247706422018365</v>
      </c>
      <c r="Q135">
        <f t="shared" ref="Q135" si="651">F135*P135</f>
        <v>-2097695.5389908263</v>
      </c>
      <c r="R135">
        <f t="shared" ref="R135" si="652">R136+Q135</f>
        <v>-313912704.90423334</v>
      </c>
      <c r="S135">
        <f t="shared" ref="S135" si="653">R135/100000</f>
        <v>-3139.1270490423335</v>
      </c>
      <c r="T135">
        <f t="shared" ref="T135" si="654">S135/1000</f>
        <v>-3.1391270490423335</v>
      </c>
    </row>
    <row r="136" spans="1:20" x14ac:dyDescent="0.25">
      <c r="A136" s="5">
        <v>44457</v>
      </c>
      <c r="B136">
        <v>0.69359999999999999</v>
      </c>
      <c r="C136">
        <v>0.75549999999999995</v>
      </c>
      <c r="D136">
        <v>0.68859999999999999</v>
      </c>
      <c r="E136">
        <v>0.72340000000000004</v>
      </c>
      <c r="F136">
        <v>4333412</v>
      </c>
      <c r="G136">
        <v>0.72340000000000004</v>
      </c>
      <c r="L136" t="s">
        <v>8</v>
      </c>
      <c r="M136" t="s">
        <v>8</v>
      </c>
      <c r="N136" t="s">
        <v>8</v>
      </c>
      <c r="P136">
        <f t="shared" ref="P136" si="655">IF(C136=D136,0,((E136-D136)-(C136-E136))/(C136-D136))</f>
        <v>4.0358744394621053E-2</v>
      </c>
      <c r="Q136">
        <f t="shared" ref="Q136" si="656">F136*P136</f>
        <v>174891.0672645836</v>
      </c>
      <c r="R136">
        <f t="shared" ref="R136" si="657">R137+Q136</f>
        <v>-311815009.36524248</v>
      </c>
      <c r="S136">
        <f t="shared" ref="S136" si="658">R136/100000</f>
        <v>-3118.1500936524249</v>
      </c>
      <c r="T136">
        <f t="shared" ref="T136" si="659">S136/1000</f>
        <v>-3.1181500936524249</v>
      </c>
    </row>
    <row r="137" spans="1:20" x14ac:dyDescent="0.25">
      <c r="A137" s="5">
        <v>44456</v>
      </c>
      <c r="B137">
        <v>0.68389999999999995</v>
      </c>
      <c r="C137">
        <v>0.73</v>
      </c>
      <c r="D137">
        <v>0.67120000000000002</v>
      </c>
      <c r="E137">
        <v>0.69359999999999999</v>
      </c>
      <c r="F137">
        <v>3374359</v>
      </c>
      <c r="G137">
        <v>0.69359999999999999</v>
      </c>
      <c r="L137" t="s">
        <v>8</v>
      </c>
      <c r="M137" t="s">
        <v>8</v>
      </c>
      <c r="N137" t="s">
        <v>7</v>
      </c>
      <c r="P137">
        <f t="shared" ref="P137" si="660">IF(C137=D137,0,((E137-D137)-(C137-E137))/(C137-D137))</f>
        <v>-0.23809523809523844</v>
      </c>
      <c r="Q137">
        <f t="shared" ref="Q137" si="661">F137*P137</f>
        <v>-803418.80952381075</v>
      </c>
      <c r="R137">
        <f t="shared" ref="R137" si="662">R138+Q137</f>
        <v>-311989900.43250704</v>
      </c>
      <c r="S137">
        <f t="shared" ref="S137" si="663">R137/100000</f>
        <v>-3119.8990043250706</v>
      </c>
      <c r="T137">
        <f t="shared" ref="T137" si="664">S137/1000</f>
        <v>-3.1198990043250707</v>
      </c>
    </row>
    <row r="138" spans="1:20" x14ac:dyDescent="0.25">
      <c r="A138" s="5">
        <v>44455</v>
      </c>
      <c r="B138">
        <v>0.6885</v>
      </c>
      <c r="C138">
        <v>0.7</v>
      </c>
      <c r="D138">
        <v>0.65949999999999998</v>
      </c>
      <c r="E138">
        <v>0.68200000000000005</v>
      </c>
      <c r="F138">
        <v>1877826</v>
      </c>
      <c r="G138">
        <v>0.68200000000000005</v>
      </c>
      <c r="L138" t="s">
        <v>8</v>
      </c>
      <c r="M138" t="s">
        <v>8</v>
      </c>
      <c r="N138" t="s">
        <v>7</v>
      </c>
      <c r="P138">
        <f t="shared" ref="P138" si="665">IF(C138=D138,0,((E138-D138)-(C138-E138))/(C138-D138))</f>
        <v>0.11111111111111538</v>
      </c>
      <c r="Q138">
        <f t="shared" ref="Q138" si="666">F138*P138</f>
        <v>208647.33333334135</v>
      </c>
      <c r="R138">
        <f t="shared" ref="R138" si="667">R139+Q138</f>
        <v>-311186481.62298322</v>
      </c>
      <c r="S138">
        <f t="shared" ref="S138" si="668">R138/100000</f>
        <v>-3111.8648162298323</v>
      </c>
      <c r="T138">
        <f t="shared" ref="T138" si="669">S138/1000</f>
        <v>-3.1118648162298324</v>
      </c>
    </row>
    <row r="139" spans="1:20" x14ac:dyDescent="0.25">
      <c r="A139" s="5">
        <v>44454</v>
      </c>
      <c r="B139">
        <v>0.65549999999999997</v>
      </c>
      <c r="C139">
        <v>0.69699999999999995</v>
      </c>
      <c r="D139">
        <v>0.64500000000000002</v>
      </c>
      <c r="E139">
        <v>0.68859999999999999</v>
      </c>
      <c r="F139">
        <v>3174986</v>
      </c>
      <c r="G139">
        <v>0.68859999999999999</v>
      </c>
      <c r="L139" t="s">
        <v>8</v>
      </c>
      <c r="M139" t="s">
        <v>8</v>
      </c>
      <c r="N139" t="s">
        <v>7</v>
      </c>
      <c r="P139">
        <f t="shared" ref="P139" si="670">IF(C139=D139,0,((E139-D139)-(C139-E139))/(C139-D139))</f>
        <v>0.67692307692307796</v>
      </c>
      <c r="Q139">
        <f t="shared" ref="Q139" si="671">F139*P139</f>
        <v>2149221.2923076954</v>
      </c>
      <c r="R139">
        <f t="shared" ref="R139" si="672">R140+Q139</f>
        <v>-311395128.95631653</v>
      </c>
      <c r="S139">
        <f t="shared" ref="S139" si="673">R139/100000</f>
        <v>-3113.9512895631651</v>
      </c>
      <c r="T139">
        <f t="shared" ref="T139" si="674">S139/1000</f>
        <v>-3.1139512895631651</v>
      </c>
    </row>
    <row r="140" spans="1:20" x14ac:dyDescent="0.25">
      <c r="A140" s="5">
        <v>44453</v>
      </c>
      <c r="B140">
        <v>0.66279999999999994</v>
      </c>
      <c r="C140">
        <v>0.67200000000000004</v>
      </c>
      <c r="D140">
        <v>0.63719999999999999</v>
      </c>
      <c r="E140">
        <v>0.65469999999999995</v>
      </c>
      <c r="F140">
        <v>1591286</v>
      </c>
      <c r="G140">
        <v>0.65469999999999995</v>
      </c>
      <c r="L140" t="s">
        <v>7</v>
      </c>
      <c r="M140" t="s">
        <v>8</v>
      </c>
      <c r="N140" t="s">
        <v>7</v>
      </c>
      <c r="P140">
        <f t="shared" ref="P140" si="675">IF(C140=D140,0,((E140-D140)-(C140-E140))/(C140-D140))</f>
        <v>5.7471264367777771E-3</v>
      </c>
      <c r="Q140">
        <f t="shared" ref="Q140" si="676">F140*P140</f>
        <v>9145.3218390743623</v>
      </c>
      <c r="R140">
        <f t="shared" ref="R140" si="677">R141+Q140</f>
        <v>-313544350.24862421</v>
      </c>
      <c r="S140">
        <f t="shared" ref="S140" si="678">R140/100000</f>
        <v>-3135.4435024862419</v>
      </c>
      <c r="T140">
        <f t="shared" ref="T140" si="679">S140/1000</f>
        <v>-3.1354435024862419</v>
      </c>
    </row>
    <row r="141" spans="1:20" x14ac:dyDescent="0.25">
      <c r="A141" s="5">
        <v>44452</v>
      </c>
      <c r="B141">
        <v>0.64459999999999995</v>
      </c>
      <c r="C141">
        <v>0.69299999999999995</v>
      </c>
      <c r="D141">
        <v>0.59899999999999998</v>
      </c>
      <c r="E141">
        <v>0.66300000000000003</v>
      </c>
      <c r="F141">
        <v>6177907</v>
      </c>
      <c r="G141">
        <v>0.66300000000000003</v>
      </c>
      <c r="L141" t="s">
        <v>8</v>
      </c>
      <c r="M141" t="s">
        <v>8</v>
      </c>
      <c r="N141" t="s">
        <v>7</v>
      </c>
      <c r="P141">
        <f t="shared" ref="P141" si="680">IF(C141=D141,0,((E141-D141)-(C141-E141))/(C141-D141))</f>
        <v>0.3617021276595761</v>
      </c>
      <c r="Q141">
        <f t="shared" ref="Q141" si="681">F141*P141</f>
        <v>2234562.1063829889</v>
      </c>
      <c r="R141">
        <f t="shared" ref="R141" si="682">R142+Q141</f>
        <v>-313553495.5704633</v>
      </c>
      <c r="S141">
        <f t="shared" ref="S141" si="683">R141/100000</f>
        <v>-3135.5349557046329</v>
      </c>
      <c r="T141">
        <f t="shared" ref="T141" si="684">S141/1000</f>
        <v>-3.135534955704633</v>
      </c>
    </row>
    <row r="142" spans="1:20" x14ac:dyDescent="0.25">
      <c r="A142" s="5">
        <v>44451</v>
      </c>
      <c r="B142">
        <v>0.62229999999999996</v>
      </c>
      <c r="C142">
        <v>0.65849999999999997</v>
      </c>
      <c r="D142">
        <v>0.61129999999999995</v>
      </c>
      <c r="E142">
        <v>0.64659999999999995</v>
      </c>
      <c r="F142">
        <v>1071370</v>
      </c>
      <c r="G142">
        <v>0.64659999999999995</v>
      </c>
      <c r="L142" t="s">
        <v>8</v>
      </c>
      <c r="M142" t="s">
        <v>7</v>
      </c>
      <c r="N142" t="s">
        <v>7</v>
      </c>
      <c r="P142">
        <f t="shared" ref="P142" si="685">IF(C142=D142,0,((E142-D142)-(C142-E142))/(C142-D142))</f>
        <v>0.49576271186440607</v>
      </c>
      <c r="Q142">
        <f t="shared" ref="Q142" si="686">F142*P142</f>
        <v>531145.29661016876</v>
      </c>
      <c r="R142">
        <f t="shared" ref="R142" si="687">R143+Q142</f>
        <v>-315788057.67684627</v>
      </c>
      <c r="S142">
        <f t="shared" ref="S142" si="688">R142/100000</f>
        <v>-3157.8805767684626</v>
      </c>
      <c r="T142">
        <f t="shared" ref="T142" si="689">S142/1000</f>
        <v>-3.1578805767684623</v>
      </c>
    </row>
    <row r="143" spans="1:20" x14ac:dyDescent="0.25">
      <c r="A143" s="5">
        <v>44450</v>
      </c>
      <c r="B143">
        <v>0.623</v>
      </c>
      <c r="C143">
        <v>0.65339999999999998</v>
      </c>
      <c r="D143">
        <v>0.61250000000000004</v>
      </c>
      <c r="E143">
        <v>0.62309999999999999</v>
      </c>
      <c r="F143">
        <v>1236695</v>
      </c>
      <c r="G143">
        <v>0.62309999999999999</v>
      </c>
      <c r="L143" t="s">
        <v>8</v>
      </c>
      <c r="M143" t="s">
        <v>7</v>
      </c>
      <c r="N143" t="s">
        <v>7</v>
      </c>
      <c r="P143">
        <f t="shared" ref="P143" si="690">IF(C143=D143,0,((E143-D143)-(C143-E143))/(C143-D143))</f>
        <v>-0.48166259168704356</v>
      </c>
      <c r="Q143">
        <f t="shared" ref="Q143" si="691">F143*P143</f>
        <v>-595669.71882640838</v>
      </c>
      <c r="R143">
        <f t="shared" ref="R143" si="692">R144+Q143</f>
        <v>-316319202.97345644</v>
      </c>
      <c r="S143">
        <f t="shared" ref="S143" si="693">R143/100000</f>
        <v>-3163.1920297345646</v>
      </c>
      <c r="T143">
        <f t="shared" ref="T143" si="694">S143/1000</f>
        <v>-3.1631920297345646</v>
      </c>
    </row>
    <row r="144" spans="1:20" x14ac:dyDescent="0.25">
      <c r="A144" s="5">
        <v>44449</v>
      </c>
      <c r="B144">
        <v>0.64239999999999997</v>
      </c>
      <c r="C144">
        <v>0.67</v>
      </c>
      <c r="D144">
        <v>0.58860000000000001</v>
      </c>
      <c r="E144">
        <v>0.623</v>
      </c>
      <c r="F144">
        <v>2031599</v>
      </c>
      <c r="G144">
        <v>0.623</v>
      </c>
      <c r="L144" t="s">
        <v>7</v>
      </c>
      <c r="M144" t="s">
        <v>7</v>
      </c>
      <c r="N144" t="s">
        <v>7</v>
      </c>
      <c r="P144">
        <f t="shared" ref="P144" si="695">IF(C144=D144,0,((E144-D144)-(C144-E144))/(C144-D144))</f>
        <v>-0.15479115479115543</v>
      </c>
      <c r="Q144">
        <f t="shared" ref="Q144" si="696">F144*P144</f>
        <v>-314473.55528255657</v>
      </c>
      <c r="R144">
        <f t="shared" ref="R144" si="697">R145+Q144</f>
        <v>-315723533.25463003</v>
      </c>
      <c r="S144">
        <f t="shared" ref="S144" si="698">R144/100000</f>
        <v>-3157.2353325463005</v>
      </c>
      <c r="T144">
        <f t="shared" ref="T144" si="699">S144/1000</f>
        <v>-3.1572353325463003</v>
      </c>
    </row>
    <row r="145" spans="1:20" x14ac:dyDescent="0.25">
      <c r="A145" s="5">
        <v>44448</v>
      </c>
      <c r="B145">
        <v>0.63800000000000001</v>
      </c>
      <c r="C145">
        <v>0.67210000000000003</v>
      </c>
      <c r="D145">
        <v>0.62490000000000001</v>
      </c>
      <c r="E145">
        <v>0.64239999999999997</v>
      </c>
      <c r="F145">
        <v>1603320</v>
      </c>
      <c r="G145">
        <v>0.64239999999999997</v>
      </c>
      <c r="L145" t="s">
        <v>8</v>
      </c>
      <c r="M145" t="s">
        <v>7</v>
      </c>
      <c r="N145" t="s">
        <v>7</v>
      </c>
      <c r="P145">
        <f t="shared" ref="P145" si="700">IF(C145=D145,0,((E145-D145)-(C145-E145))/(C145-D145))</f>
        <v>-0.25847457627118842</v>
      </c>
      <c r="Q145">
        <f t="shared" ref="Q145" si="701">F145*P145</f>
        <v>-414417.45762712182</v>
      </c>
      <c r="R145">
        <f t="shared" ref="R145" si="702">R146+Q145</f>
        <v>-315409059.6993475</v>
      </c>
      <c r="S145">
        <f t="shared" ref="S145" si="703">R145/100000</f>
        <v>-3154.0905969934752</v>
      </c>
      <c r="T145">
        <f t="shared" ref="T145" si="704">S145/1000</f>
        <v>-3.1540905969934752</v>
      </c>
    </row>
    <row r="146" spans="1:20" x14ac:dyDescent="0.25">
      <c r="A146" s="5">
        <v>44447</v>
      </c>
      <c r="B146">
        <v>0.65569999999999995</v>
      </c>
      <c r="C146">
        <v>0.67120000000000002</v>
      </c>
      <c r="D146">
        <v>0.58040000000000003</v>
      </c>
      <c r="E146">
        <v>0.63800000000000001</v>
      </c>
      <c r="F146">
        <v>2274260</v>
      </c>
      <c r="G146">
        <v>0.63800000000000001</v>
      </c>
      <c r="L146" t="s">
        <v>8</v>
      </c>
      <c r="M146" t="s">
        <v>7</v>
      </c>
      <c r="N146" t="s">
        <v>7</v>
      </c>
      <c r="P146">
        <f t="shared" ref="P146" si="705">IF(C146=D146,0,((E146-D146)-(C146-E146))/(C146-D146))</f>
        <v>0.26872246696035218</v>
      </c>
      <c r="Q146">
        <f t="shared" ref="Q146" si="706">F146*P146</f>
        <v>611144.75770925055</v>
      </c>
      <c r="R146">
        <f t="shared" ref="R146" si="707">R147+Q146</f>
        <v>-314994642.24172038</v>
      </c>
      <c r="S146">
        <f t="shared" ref="S146" si="708">R146/100000</f>
        <v>-3149.9464224172038</v>
      </c>
      <c r="T146">
        <f t="shared" ref="T146" si="709">S146/1000</f>
        <v>-3.1499464224172038</v>
      </c>
    </row>
    <row r="147" spans="1:20" x14ac:dyDescent="0.25">
      <c r="A147" s="5">
        <v>44446</v>
      </c>
      <c r="B147">
        <v>0.79549999999999998</v>
      </c>
      <c r="C147">
        <v>0.83230000000000004</v>
      </c>
      <c r="D147">
        <v>0.56000000000000005</v>
      </c>
      <c r="E147">
        <v>0.65569999999999995</v>
      </c>
      <c r="F147">
        <v>5105332.1500000004</v>
      </c>
      <c r="G147">
        <v>0.65569999999999995</v>
      </c>
      <c r="L147" t="s">
        <v>7</v>
      </c>
      <c r="M147" t="s">
        <v>7</v>
      </c>
      <c r="N147" t="s">
        <v>7</v>
      </c>
      <c r="P147">
        <f t="shared" ref="P147" si="710">IF(C147=D147,0,((E147-D147)-(C147-E147))/(C147-D147))</f>
        <v>-0.29709878810135953</v>
      </c>
      <c r="Q147">
        <f t="shared" ref="Q147" si="711">F147*P147</f>
        <v>-1516787.9946199085</v>
      </c>
      <c r="R147">
        <f t="shared" ref="R147" si="712">R148+Q147</f>
        <v>-315605786.99942964</v>
      </c>
      <c r="S147">
        <f t="shared" ref="S147" si="713">R147/100000</f>
        <v>-3156.0578699942967</v>
      </c>
      <c r="T147">
        <f t="shared" ref="T147" si="714">S147/1000</f>
        <v>-3.1560578699942967</v>
      </c>
    </row>
    <row r="148" spans="1:20" x14ac:dyDescent="0.25">
      <c r="A148" s="5">
        <v>44445</v>
      </c>
      <c r="B148">
        <v>0.77549999999999997</v>
      </c>
      <c r="C148">
        <v>0.81630000000000003</v>
      </c>
      <c r="D148">
        <v>0.75</v>
      </c>
      <c r="E148">
        <v>0.79500000000000004</v>
      </c>
      <c r="F148">
        <v>3571930</v>
      </c>
      <c r="G148">
        <v>0.79500000000000004</v>
      </c>
      <c r="L148" t="s">
        <v>7</v>
      </c>
      <c r="M148" t="s">
        <v>8</v>
      </c>
      <c r="N148" t="s">
        <v>8</v>
      </c>
      <c r="P148">
        <f t="shared" ref="P148" si="715">IF(C148=D148,0,((E148-D148)-(C148-E148))/(C148-D148))</f>
        <v>0.35746606334841696</v>
      </c>
      <c r="Q148">
        <f t="shared" ref="Q148" si="716">F148*P148</f>
        <v>1276843.7556561111</v>
      </c>
      <c r="R148">
        <f t="shared" ref="R148" si="717">R149+Q148</f>
        <v>-314088999.00480974</v>
      </c>
      <c r="S148">
        <f t="shared" ref="S148" si="718">R148/100000</f>
        <v>-3140.8899900480974</v>
      </c>
      <c r="T148">
        <f t="shared" ref="T148" si="719">S148/1000</f>
        <v>-3.1408899900480973</v>
      </c>
    </row>
    <row r="149" spans="1:20" x14ac:dyDescent="0.25">
      <c r="A149" s="5">
        <v>44444</v>
      </c>
      <c r="B149">
        <v>0.73950000000000005</v>
      </c>
      <c r="C149">
        <v>0.83299999999999996</v>
      </c>
      <c r="D149">
        <v>0.73919999999999997</v>
      </c>
      <c r="E149">
        <v>0.77410000000000001</v>
      </c>
      <c r="F149">
        <v>5483311.8700000001</v>
      </c>
      <c r="G149">
        <v>0.77410000000000001</v>
      </c>
      <c r="L149" t="s">
        <v>8</v>
      </c>
      <c r="M149" t="s">
        <v>8</v>
      </c>
      <c r="N149" t="s">
        <v>8</v>
      </c>
      <c r="P149">
        <f t="shared" ref="P149" si="720">IF(C149=D149,0,((E149-D149)-(C149-E149))/(C149-D149))</f>
        <v>-0.25586353944562806</v>
      </c>
      <c r="Q149">
        <f t="shared" ref="Q149" si="721">F149*P149</f>
        <v>-1402979.5829424255</v>
      </c>
      <c r="R149">
        <f t="shared" ref="R149" si="722">R150+Q149</f>
        <v>-315365842.76046586</v>
      </c>
      <c r="S149">
        <f t="shared" ref="S149" si="723">R149/100000</f>
        <v>-3153.6584276046588</v>
      </c>
      <c r="T149">
        <f t="shared" ref="T149" si="724">S149/1000</f>
        <v>-3.1536584276046589</v>
      </c>
    </row>
    <row r="150" spans="1:20" x14ac:dyDescent="0.25">
      <c r="A150" s="5">
        <v>44443</v>
      </c>
      <c r="B150">
        <v>0.72640000000000005</v>
      </c>
      <c r="C150">
        <v>0.77610000000000001</v>
      </c>
      <c r="D150">
        <v>0.71589999999999998</v>
      </c>
      <c r="E150">
        <v>0.73970000000000002</v>
      </c>
      <c r="F150">
        <v>3100039</v>
      </c>
      <c r="G150">
        <v>0.73970000000000002</v>
      </c>
      <c r="L150" t="s">
        <v>8</v>
      </c>
      <c r="M150" t="s">
        <v>8</v>
      </c>
      <c r="N150" t="s">
        <v>8</v>
      </c>
      <c r="P150">
        <f t="shared" ref="P150" si="725">IF(C150=D150,0,((E150-D150)-(C150-E150))/(C150-D150))</f>
        <v>-0.20930232558139433</v>
      </c>
      <c r="Q150">
        <f t="shared" ref="Q150" si="726">F150*P150</f>
        <v>-648845.37209302012</v>
      </c>
      <c r="R150">
        <f t="shared" ref="R150" si="727">R151+Q150</f>
        <v>-313962863.17752343</v>
      </c>
      <c r="S150">
        <f t="shared" ref="S150" si="728">R150/100000</f>
        <v>-3139.6286317752342</v>
      </c>
      <c r="T150">
        <f t="shared" ref="T150" si="729">S150/1000</f>
        <v>-3.1396286317752344</v>
      </c>
    </row>
    <row r="151" spans="1:20" x14ac:dyDescent="0.25">
      <c r="A151" s="5">
        <v>44442</v>
      </c>
      <c r="B151">
        <v>0.74439999999999995</v>
      </c>
      <c r="C151">
        <v>0.75209999999999999</v>
      </c>
      <c r="D151">
        <v>0.7208</v>
      </c>
      <c r="E151">
        <v>0.72640000000000005</v>
      </c>
      <c r="F151">
        <v>1853943</v>
      </c>
      <c r="G151">
        <v>0.72640000000000005</v>
      </c>
      <c r="L151" t="s">
        <v>8</v>
      </c>
      <c r="M151" t="s">
        <v>8</v>
      </c>
      <c r="N151" t="s">
        <v>8</v>
      </c>
      <c r="P151">
        <f t="shared" ref="P151" si="730">IF(C151=D151,0,((E151-D151)-(C151-E151))/(C151-D151))</f>
        <v>-0.64217252396165814</v>
      </c>
      <c r="Q151">
        <f t="shared" ref="Q151" si="731">F151*P151</f>
        <v>-1190551.2555910484</v>
      </c>
      <c r="R151">
        <f t="shared" ref="R151" si="732">R152+Q151</f>
        <v>-313314017.80543041</v>
      </c>
      <c r="S151">
        <f t="shared" ref="S151" si="733">R151/100000</f>
        <v>-3133.1401780543042</v>
      </c>
      <c r="T151">
        <f t="shared" ref="T151" si="734">S151/1000</f>
        <v>-3.1331401780543042</v>
      </c>
    </row>
    <row r="152" spans="1:20" x14ac:dyDescent="0.25">
      <c r="A152" s="5">
        <v>44441</v>
      </c>
      <c r="B152">
        <v>0.74209999999999998</v>
      </c>
      <c r="C152">
        <v>0.77</v>
      </c>
      <c r="D152">
        <v>0.73560000000000003</v>
      </c>
      <c r="E152">
        <v>0.74419999999999997</v>
      </c>
      <c r="F152">
        <v>1483102</v>
      </c>
      <c r="G152">
        <v>0.74419999999999997</v>
      </c>
      <c r="L152" t="s">
        <v>8</v>
      </c>
      <c r="M152" t="s">
        <v>8</v>
      </c>
      <c r="N152" t="s">
        <v>8</v>
      </c>
      <c r="P152">
        <f t="shared" ref="P152" si="735">IF(C152=D152,0,((E152-D152)-(C152-E152))/(C152-D152))</f>
        <v>-0.50000000000000322</v>
      </c>
      <c r="Q152">
        <f t="shared" ref="Q152" si="736">F152*P152</f>
        <v>-741551.00000000477</v>
      </c>
      <c r="R152">
        <f t="shared" ref="R152" si="737">R153+Q152</f>
        <v>-312123466.54983938</v>
      </c>
      <c r="S152">
        <f t="shared" ref="S152" si="738">R152/100000</f>
        <v>-3121.234665498394</v>
      </c>
      <c r="T152">
        <f t="shared" ref="T152" si="739">S152/1000</f>
        <v>-3.121234665498394</v>
      </c>
    </row>
    <row r="153" spans="1:20" x14ac:dyDescent="0.25">
      <c r="A153" s="5">
        <v>44440</v>
      </c>
      <c r="B153">
        <v>0.72760000000000002</v>
      </c>
      <c r="C153">
        <v>0.74790000000000001</v>
      </c>
      <c r="D153">
        <v>0.71360000000000001</v>
      </c>
      <c r="E153">
        <v>0.74209999999999998</v>
      </c>
      <c r="F153">
        <v>1455699</v>
      </c>
      <c r="G153">
        <v>0.74209999999999998</v>
      </c>
      <c r="L153" t="s">
        <v>7</v>
      </c>
      <c r="M153" t="s">
        <v>8</v>
      </c>
      <c r="N153" t="s">
        <v>8</v>
      </c>
      <c r="P153">
        <f t="shared" ref="P153" si="740">IF(C153=D153,0,((E153-D153)-(C153-E153))/(C153-D153))</f>
        <v>0.66180758017492547</v>
      </c>
      <c r="Q153">
        <f t="shared" ref="Q153" si="741">F153*P153</f>
        <v>963392.63265305886</v>
      </c>
      <c r="R153">
        <f t="shared" ref="R153" si="742">R154+Q153</f>
        <v>-311381915.54983938</v>
      </c>
      <c r="S153">
        <f t="shared" ref="S153" si="743">R153/100000</f>
        <v>-3113.8191554983937</v>
      </c>
      <c r="T153">
        <f t="shared" ref="T153" si="744">S153/1000</f>
        <v>-3.1138191554983936</v>
      </c>
    </row>
    <row r="154" spans="1:20" x14ac:dyDescent="0.25">
      <c r="A154" s="5">
        <v>44439</v>
      </c>
      <c r="B154">
        <v>0.71650000000000003</v>
      </c>
      <c r="C154">
        <v>0.76739999999999997</v>
      </c>
      <c r="D154">
        <v>0.70699999999999996</v>
      </c>
      <c r="E154">
        <v>0.72760000000000002</v>
      </c>
      <c r="F154">
        <v>1870827</v>
      </c>
      <c r="G154">
        <v>0.72760000000000002</v>
      </c>
      <c r="L154" t="s">
        <v>7</v>
      </c>
      <c r="M154" t="s">
        <v>8</v>
      </c>
      <c r="N154" t="s">
        <v>8</v>
      </c>
      <c r="P154">
        <f t="shared" ref="P154" si="745">IF(C154=D154,0,((E154-D154)-(C154-E154))/(C154-D154))</f>
        <v>-0.31788079470198477</v>
      </c>
      <c r="Q154">
        <f t="shared" ref="Q154" si="746">F154*P154</f>
        <v>-594699.97350993007</v>
      </c>
      <c r="R154">
        <f t="shared" ref="R154" si="747">R155+Q154</f>
        <v>-312345308.18249243</v>
      </c>
      <c r="S154">
        <f t="shared" ref="S154" si="748">R154/100000</f>
        <v>-3123.4530818249245</v>
      </c>
      <c r="T154">
        <f t="shared" ref="T154" si="749">S154/1000</f>
        <v>-3.1234530818249246</v>
      </c>
    </row>
    <row r="155" spans="1:20" x14ac:dyDescent="0.25">
      <c r="A155" s="5">
        <v>44438</v>
      </c>
      <c r="B155">
        <v>0.73040000000000005</v>
      </c>
      <c r="C155">
        <v>0.81889999999999996</v>
      </c>
      <c r="D155">
        <v>0.7157</v>
      </c>
      <c r="E155">
        <v>0.71630000000000005</v>
      </c>
      <c r="F155">
        <v>7753174.3300000001</v>
      </c>
      <c r="G155">
        <v>0.71630000000000005</v>
      </c>
      <c r="L155" t="s">
        <v>8</v>
      </c>
      <c r="M155" t="s">
        <v>8</v>
      </c>
      <c r="N155" t="s">
        <v>8</v>
      </c>
      <c r="P155">
        <f t="shared" ref="P155" si="750">IF(C155=D155,0,((E155-D155)-(C155-E155))/(C155-D155))</f>
        <v>-0.98837209302325491</v>
      </c>
      <c r="Q155">
        <f t="shared" ref="Q155" si="751">F155*P155</f>
        <v>-7663021.1401162725</v>
      </c>
      <c r="R155">
        <f t="shared" ref="R155" si="752">R156+Q155</f>
        <v>-311750608.20898253</v>
      </c>
      <c r="S155">
        <f t="shared" ref="S155" si="753">R155/100000</f>
        <v>-3117.5060820898252</v>
      </c>
      <c r="T155">
        <f t="shared" ref="T155" si="754">S155/1000</f>
        <v>-3.1175060820898253</v>
      </c>
    </row>
    <row r="156" spans="1:20" x14ac:dyDescent="0.25">
      <c r="A156" s="5">
        <v>44437</v>
      </c>
      <c r="B156">
        <v>0.69159999999999999</v>
      </c>
      <c r="C156">
        <v>0.75549999999999995</v>
      </c>
      <c r="D156">
        <v>0.66080000000000005</v>
      </c>
      <c r="E156">
        <v>0.73140000000000005</v>
      </c>
      <c r="F156">
        <v>2803041</v>
      </c>
      <c r="G156">
        <v>0.73140000000000005</v>
      </c>
      <c r="L156" t="s">
        <v>8</v>
      </c>
      <c r="M156" t="s">
        <v>8</v>
      </c>
      <c r="N156" t="s">
        <v>8</v>
      </c>
      <c r="P156">
        <f t="shared" ref="P156" si="755">IF(C156=D156,0,((E156-D156)-(C156-E156))/(C156-D156))</f>
        <v>0.49102428722281044</v>
      </c>
      <c r="Q156">
        <f t="shared" ref="Q156" si="756">F156*P156</f>
        <v>1376361.2090813138</v>
      </c>
      <c r="R156">
        <f t="shared" ref="R156" si="757">R157+Q156</f>
        <v>-304087587.06886625</v>
      </c>
      <c r="S156">
        <f t="shared" ref="S156" si="758">R156/100000</f>
        <v>-3040.8758706886624</v>
      </c>
      <c r="T156">
        <f t="shared" ref="T156" si="759">S156/1000</f>
        <v>-3.0408758706886623</v>
      </c>
    </row>
    <row r="157" spans="1:20" x14ac:dyDescent="0.25">
      <c r="A157" s="5">
        <v>44436</v>
      </c>
      <c r="B157">
        <v>0.71460000000000001</v>
      </c>
      <c r="C157">
        <v>0.71809999999999996</v>
      </c>
      <c r="D157">
        <v>0.68520000000000003</v>
      </c>
      <c r="E157">
        <v>0.69099999999999995</v>
      </c>
      <c r="F157">
        <v>1320573</v>
      </c>
      <c r="G157">
        <v>0.69099999999999995</v>
      </c>
      <c r="L157" t="s">
        <v>8</v>
      </c>
      <c r="M157" t="s">
        <v>7</v>
      </c>
      <c r="N157" t="s">
        <v>8</v>
      </c>
      <c r="P157">
        <f t="shared" ref="P157" si="760">IF(C157=D157,0,((E157-D157)-(C157-E157))/(C157-D157))</f>
        <v>-0.64741641337386446</v>
      </c>
      <c r="Q157">
        <f t="shared" ref="Q157" si="761">F157*P157</f>
        <v>-854960.63525836426</v>
      </c>
      <c r="R157">
        <f t="shared" ref="R157" si="762">R158+Q157</f>
        <v>-305463948.27794755</v>
      </c>
      <c r="S157">
        <f t="shared" ref="S157" si="763">R157/100000</f>
        <v>-3054.6394827794757</v>
      </c>
      <c r="T157">
        <f t="shared" ref="T157" si="764">S157/1000</f>
        <v>-3.0546394827794758</v>
      </c>
    </row>
    <row r="158" spans="1:20" x14ac:dyDescent="0.25">
      <c r="A158" s="5">
        <v>44435</v>
      </c>
      <c r="B158">
        <v>0.66</v>
      </c>
      <c r="C158">
        <v>0.78</v>
      </c>
      <c r="D158">
        <v>0.64300000000000002</v>
      </c>
      <c r="E158">
        <v>0.71460000000000001</v>
      </c>
      <c r="F158">
        <v>4636973.37</v>
      </c>
      <c r="G158">
        <v>0.71460000000000001</v>
      </c>
      <c r="L158" t="s">
        <v>7</v>
      </c>
      <c r="M158" t="s">
        <v>7</v>
      </c>
      <c r="N158" t="s">
        <v>8</v>
      </c>
      <c r="P158">
        <f t="shared" ref="P158" si="765">IF(C158=D158,0,((E158-D158)-(C158-E158))/(C158-D158))</f>
        <v>4.5255474452554616E-2</v>
      </c>
      <c r="Q158">
        <f t="shared" ref="Q158" si="766">F158*P158</f>
        <v>209848.42988321109</v>
      </c>
      <c r="R158">
        <f t="shared" ref="R158" si="767">R159+Q158</f>
        <v>-304608987.64268917</v>
      </c>
      <c r="S158">
        <f t="shared" ref="S158" si="768">R158/100000</f>
        <v>-3046.0898764268918</v>
      </c>
      <c r="T158">
        <f t="shared" ref="T158" si="769">S158/1000</f>
        <v>-3.0460898764268918</v>
      </c>
    </row>
    <row r="159" spans="1:20" x14ac:dyDescent="0.25">
      <c r="A159" s="5">
        <v>44434</v>
      </c>
      <c r="B159">
        <v>0.73329999999999995</v>
      </c>
      <c r="C159">
        <v>0.73780000000000001</v>
      </c>
      <c r="D159">
        <v>0.65669999999999995</v>
      </c>
      <c r="E159">
        <v>0.66</v>
      </c>
      <c r="F159">
        <v>4021559.65</v>
      </c>
      <c r="G159">
        <v>0.66</v>
      </c>
      <c r="L159" t="s">
        <v>7</v>
      </c>
      <c r="M159" t="s">
        <v>7</v>
      </c>
      <c r="N159" t="s">
        <v>8</v>
      </c>
      <c r="P159">
        <f t="shared" ref="P159" si="770">IF(C159=D159,0,((E159-D159)-(C159-E159))/(C159-D159))</f>
        <v>-0.91861898890258742</v>
      </c>
      <c r="Q159">
        <f t="shared" ref="Q159" si="771">F159*P159</f>
        <v>-3694281.0594944432</v>
      </c>
      <c r="R159">
        <f t="shared" ref="R159" si="772">R160+Q159</f>
        <v>-304818836.07257235</v>
      </c>
      <c r="S159">
        <f t="shared" ref="S159" si="773">R159/100000</f>
        <v>-3048.1883607257237</v>
      </c>
      <c r="T159">
        <f t="shared" ref="T159" si="774">S159/1000</f>
        <v>-3.0481883607257236</v>
      </c>
    </row>
    <row r="160" spans="1:20" x14ac:dyDescent="0.25">
      <c r="A160" s="5">
        <v>44433</v>
      </c>
      <c r="B160">
        <v>0.72840000000000005</v>
      </c>
      <c r="C160">
        <v>0.85809999999999997</v>
      </c>
      <c r="D160">
        <v>0.71860000000000002</v>
      </c>
      <c r="E160">
        <v>0.73280000000000001</v>
      </c>
      <c r="F160">
        <v>19052916.07</v>
      </c>
      <c r="G160">
        <v>0.73280000000000001</v>
      </c>
      <c r="L160" t="s">
        <v>8</v>
      </c>
      <c r="M160" t="s">
        <v>8</v>
      </c>
      <c r="N160" t="s">
        <v>8</v>
      </c>
      <c r="P160">
        <f t="shared" ref="P160" si="775">IF(C160=D160,0,((E160-D160)-(C160-E160))/(C160-D160))</f>
        <v>-0.79641577060931912</v>
      </c>
      <c r="Q160">
        <f t="shared" ref="Q160" si="776">F160*P160</f>
        <v>-15174042.83424373</v>
      </c>
      <c r="R160">
        <f t="shared" ref="R160" si="777">R161+Q160</f>
        <v>-301124555.01307791</v>
      </c>
      <c r="S160">
        <f t="shared" ref="S160" si="778">R160/100000</f>
        <v>-3011.2455501307791</v>
      </c>
      <c r="T160">
        <f t="shared" ref="T160" si="779">S160/1000</f>
        <v>-3.0112455501307789</v>
      </c>
    </row>
    <row r="161" spans="1:20" x14ac:dyDescent="0.25">
      <c r="A161" s="5">
        <v>44432</v>
      </c>
      <c r="B161">
        <v>0.7278</v>
      </c>
      <c r="C161">
        <v>0.76719999999999999</v>
      </c>
      <c r="D161">
        <v>0.6925</v>
      </c>
      <c r="E161">
        <v>0.72840000000000005</v>
      </c>
      <c r="F161">
        <v>21075787.949999999</v>
      </c>
      <c r="G161">
        <v>0.72840000000000005</v>
      </c>
      <c r="L161" t="s">
        <v>7</v>
      </c>
      <c r="M161" t="s">
        <v>8</v>
      </c>
      <c r="N161" t="s">
        <v>7</v>
      </c>
      <c r="P161">
        <f t="shared" ref="P161" si="780">IF(C161=D161,0,((E161-D161)-(C161-E161))/(C161-D161))</f>
        <v>-3.8821954484603786E-2</v>
      </c>
      <c r="Q161">
        <f t="shared" ref="Q161" si="781">F161*P161</f>
        <v>-818203.28052206093</v>
      </c>
      <c r="R161">
        <f t="shared" ref="R161" si="782">R162+Q161</f>
        <v>-285950512.1788342</v>
      </c>
      <c r="S161">
        <f t="shared" ref="S161" si="783">R161/100000</f>
        <v>-2859.505121788342</v>
      </c>
      <c r="T161">
        <f t="shared" ref="T161" si="784">S161/1000</f>
        <v>-2.859505121788342</v>
      </c>
    </row>
    <row r="162" spans="1:20" x14ac:dyDescent="0.25">
      <c r="A162" s="5">
        <v>44431</v>
      </c>
      <c r="B162">
        <v>0.73629999999999995</v>
      </c>
      <c r="C162">
        <v>0.74909999999999999</v>
      </c>
      <c r="D162">
        <v>0.71699999999999997</v>
      </c>
      <c r="E162">
        <v>0.7278</v>
      </c>
      <c r="F162">
        <v>2069343.6</v>
      </c>
      <c r="G162">
        <v>0.7278</v>
      </c>
      <c r="L162" t="s">
        <v>7</v>
      </c>
      <c r="M162" t="s">
        <v>8</v>
      </c>
      <c r="N162" t="s">
        <v>7</v>
      </c>
      <c r="P162">
        <f t="shared" ref="P162" si="785">IF(C162=D162,0,((E162-D162)-(C162-E162))/(C162-D162))</f>
        <v>-0.32710280373831613</v>
      </c>
      <c r="Q162">
        <f t="shared" ref="Q162" si="786">F162*P162</f>
        <v>-676888.09345794062</v>
      </c>
      <c r="R162">
        <f t="shared" ref="R162" si="787">R163+Q162</f>
        <v>-285132308.89831215</v>
      </c>
      <c r="S162">
        <f t="shared" ref="S162" si="788">R162/100000</f>
        <v>-2851.3230889831216</v>
      </c>
      <c r="T162">
        <f t="shared" ref="T162" si="789">S162/1000</f>
        <v>-2.8513230889831216</v>
      </c>
    </row>
    <row r="163" spans="1:20" x14ac:dyDescent="0.25">
      <c r="A163" s="5">
        <v>44430</v>
      </c>
      <c r="B163">
        <v>0.72399999999999998</v>
      </c>
      <c r="C163">
        <v>0.72889999999999999</v>
      </c>
      <c r="D163">
        <v>0.70860000000000001</v>
      </c>
      <c r="E163">
        <v>0.70899999999999996</v>
      </c>
      <c r="F163">
        <v>420517.03</v>
      </c>
      <c r="G163">
        <v>0.70899999999999996</v>
      </c>
      <c r="L163" t="s">
        <v>7</v>
      </c>
      <c r="M163" t="s">
        <v>8</v>
      </c>
      <c r="N163" t="s">
        <v>7</v>
      </c>
      <c r="P163">
        <f t="shared" ref="P163" si="790">IF(C163=D163,0,((E163-D163)-(C163-E163))/(C163-D163))</f>
        <v>-0.96059113300493038</v>
      </c>
      <c r="Q163">
        <f t="shared" ref="Q163" si="791">F163*P163</f>
        <v>-403944.93029556831</v>
      </c>
      <c r="R163">
        <f t="shared" ref="R163" si="792">R164+Q163</f>
        <v>-284455420.80485421</v>
      </c>
      <c r="S163">
        <f t="shared" ref="S163" si="793">R163/100000</f>
        <v>-2844.554208048542</v>
      </c>
      <c r="T163">
        <f t="shared" ref="T163" si="794">S163/1000</f>
        <v>-2.844554208048542</v>
      </c>
    </row>
    <row r="164" spans="1:20" x14ac:dyDescent="0.25">
      <c r="A164" s="5">
        <v>44429</v>
      </c>
      <c r="B164">
        <v>0.74260000000000004</v>
      </c>
      <c r="C164">
        <v>0.75019999999999998</v>
      </c>
      <c r="D164">
        <v>0.71709999999999996</v>
      </c>
      <c r="E164">
        <v>0.7258</v>
      </c>
      <c r="F164">
        <v>5504310.7699999996</v>
      </c>
      <c r="G164">
        <v>0.7258</v>
      </c>
      <c r="L164" t="s">
        <v>7</v>
      </c>
      <c r="M164" t="s">
        <v>8</v>
      </c>
      <c r="N164" t="s">
        <v>7</v>
      </c>
      <c r="P164">
        <f t="shared" ref="P164" si="795">IF(C164=D164,0,((E164-D164)-(C164-E164))/(C164-D164))</f>
        <v>-0.47432024169184073</v>
      </c>
      <c r="Q164">
        <f t="shared" ref="Q164" si="796">F164*P164</f>
        <v>-2610806.0147734019</v>
      </c>
      <c r="R164">
        <f t="shared" ref="R164" si="797">R165+Q164</f>
        <v>-284051475.87455863</v>
      </c>
      <c r="S164">
        <f t="shared" ref="S164" si="798">R164/100000</f>
        <v>-2840.5147587455863</v>
      </c>
      <c r="T164">
        <f t="shared" ref="T164" si="799">S164/1000</f>
        <v>-2.8405147587455861</v>
      </c>
    </row>
    <row r="165" spans="1:20" x14ac:dyDescent="0.25">
      <c r="A165" s="5">
        <v>44428</v>
      </c>
      <c r="B165">
        <v>0.7339</v>
      </c>
      <c r="C165">
        <v>0.79</v>
      </c>
      <c r="D165">
        <v>0.72819999999999996</v>
      </c>
      <c r="E165">
        <v>0.74270000000000003</v>
      </c>
      <c r="F165">
        <v>3899268.77</v>
      </c>
      <c r="G165">
        <v>0.74270000000000003</v>
      </c>
      <c r="L165" t="s">
        <v>8</v>
      </c>
      <c r="M165" t="s">
        <v>8</v>
      </c>
      <c r="N165" t="s">
        <v>7</v>
      </c>
      <c r="P165">
        <f t="shared" ref="P165" si="800">IF(C165=D165,0,((E165-D165)-(C165-E165))/(C165-D165))</f>
        <v>-0.53074433656957765</v>
      </c>
      <c r="Q165">
        <f t="shared" ref="Q165" si="801">F165*P165</f>
        <v>-2069514.8164401231</v>
      </c>
      <c r="R165">
        <f t="shared" ref="R165" si="802">R166+Q165</f>
        <v>-281440669.8597852</v>
      </c>
      <c r="S165">
        <f t="shared" ref="S165" si="803">R165/100000</f>
        <v>-2814.406698597852</v>
      </c>
      <c r="T165">
        <f t="shared" ref="T165" si="804">S165/1000</f>
        <v>-2.814406698597852</v>
      </c>
    </row>
    <row r="166" spans="1:20" x14ac:dyDescent="0.25">
      <c r="A166" s="5">
        <v>44427</v>
      </c>
      <c r="B166">
        <v>0.65939999999999999</v>
      </c>
      <c r="C166">
        <v>0.75</v>
      </c>
      <c r="D166">
        <v>0.65449999999999997</v>
      </c>
      <c r="E166">
        <v>0.73229999999999995</v>
      </c>
      <c r="F166">
        <v>5791235.3099999996</v>
      </c>
      <c r="G166">
        <v>0.73229999999999995</v>
      </c>
      <c r="L166" t="s">
        <v>8</v>
      </c>
      <c r="M166" t="s">
        <v>8</v>
      </c>
      <c r="N166" t="s">
        <v>7</v>
      </c>
      <c r="P166">
        <f t="shared" ref="P166" si="805">IF(C166=D166,0,((E166-D166)-(C166-E166))/(C166-D166))</f>
        <v>0.62931937172774777</v>
      </c>
      <c r="Q166">
        <f t="shared" ref="Q166" si="806">F166*P166</f>
        <v>3644536.5668167481</v>
      </c>
      <c r="R166">
        <f t="shared" ref="R166" si="807">R167+Q166</f>
        <v>-279371155.04334509</v>
      </c>
      <c r="S166">
        <f t="shared" ref="S166" si="808">R166/100000</f>
        <v>-2793.7115504334511</v>
      </c>
      <c r="T166">
        <f t="shared" ref="T166" si="809">S166/1000</f>
        <v>-2.7937115504334509</v>
      </c>
    </row>
    <row r="167" spans="1:20" x14ac:dyDescent="0.25">
      <c r="A167" s="5">
        <v>44426</v>
      </c>
      <c r="B167">
        <v>0.63129999999999997</v>
      </c>
      <c r="C167">
        <v>0.70179999999999998</v>
      </c>
      <c r="D167">
        <v>0.61439999999999995</v>
      </c>
      <c r="E167">
        <v>0.66059999999999997</v>
      </c>
      <c r="F167">
        <v>5979922.4299999997</v>
      </c>
      <c r="G167">
        <v>0.66059999999999997</v>
      </c>
      <c r="L167" t="s">
        <v>7</v>
      </c>
      <c r="M167" t="s">
        <v>7</v>
      </c>
      <c r="N167" t="s">
        <v>7</v>
      </c>
      <c r="P167">
        <f t="shared" ref="P167" si="810">IF(C167=D167,0,((E167-D167)-(C167-E167))/(C167-D167))</f>
        <v>5.7208237986270054E-2</v>
      </c>
      <c r="Q167">
        <f t="shared" ref="Q167" si="811">F167*P167</f>
        <v>342100.8255148743</v>
      </c>
      <c r="R167">
        <f t="shared" ref="R167" si="812">R168+Q167</f>
        <v>-283015691.61016184</v>
      </c>
      <c r="S167">
        <f t="shared" ref="S167" si="813">R167/100000</f>
        <v>-2830.1569161016182</v>
      </c>
      <c r="T167">
        <f t="shared" ref="T167" si="814">S167/1000</f>
        <v>-2.8301569161016182</v>
      </c>
    </row>
    <row r="168" spans="1:20" x14ac:dyDescent="0.25">
      <c r="A168" s="5">
        <v>44425</v>
      </c>
      <c r="B168">
        <v>0.67689999999999995</v>
      </c>
      <c r="C168">
        <v>0.6895</v>
      </c>
      <c r="D168">
        <v>0.62549999999999994</v>
      </c>
      <c r="E168">
        <v>0.63129999999999997</v>
      </c>
      <c r="F168">
        <v>1910149.85</v>
      </c>
      <c r="G168">
        <v>0.63129999999999997</v>
      </c>
      <c r="L168" t="s">
        <v>7</v>
      </c>
      <c r="M168" t="s">
        <v>7</v>
      </c>
      <c r="N168" t="s">
        <v>7</v>
      </c>
      <c r="P168">
        <f t="shared" ref="P168" si="815">IF(C168=D168,0,((E168-D168)-(C168-E168))/(C168-D168))</f>
        <v>-0.81874999999999931</v>
      </c>
      <c r="Q168">
        <f t="shared" ref="Q168" si="816">F168*P168</f>
        <v>-1563935.1896874988</v>
      </c>
      <c r="R168">
        <f t="shared" ref="R168" si="817">R169+Q168</f>
        <v>-283357792.43567669</v>
      </c>
      <c r="S168">
        <f t="shared" ref="S168" si="818">R168/100000</f>
        <v>-2833.5779243567667</v>
      </c>
      <c r="T168">
        <f t="shared" ref="T168" si="819">S168/1000</f>
        <v>-2.8335779243567667</v>
      </c>
    </row>
    <row r="169" spans="1:20" x14ac:dyDescent="0.25">
      <c r="A169" s="5">
        <v>44424</v>
      </c>
      <c r="B169">
        <v>0.70340000000000003</v>
      </c>
      <c r="C169">
        <v>0.72140000000000004</v>
      </c>
      <c r="D169">
        <v>0.65890000000000004</v>
      </c>
      <c r="E169">
        <v>0.67720000000000002</v>
      </c>
      <c r="F169">
        <v>2889944.45</v>
      </c>
      <c r="G169">
        <v>0.67720000000000002</v>
      </c>
      <c r="L169" t="s">
        <v>7</v>
      </c>
      <c r="M169" t="s">
        <v>7</v>
      </c>
      <c r="N169" t="s">
        <v>7</v>
      </c>
      <c r="P169">
        <f t="shared" ref="P169" si="820">IF(C169=D169,0,((E169-D169)-(C169-E169))/(C169-D169))</f>
        <v>-0.41440000000000055</v>
      </c>
      <c r="Q169">
        <f t="shared" ref="Q169" si="821">F169*P169</f>
        <v>-1197592.9800800018</v>
      </c>
      <c r="R169">
        <f t="shared" ref="R169" si="822">R170+Q169</f>
        <v>-281793857.2459892</v>
      </c>
      <c r="S169">
        <f t="shared" ref="S169" si="823">R169/100000</f>
        <v>-2817.9385724598919</v>
      </c>
      <c r="T169">
        <f t="shared" ref="T169" si="824">S169/1000</f>
        <v>-2.8179385724598918</v>
      </c>
    </row>
    <row r="170" spans="1:20" x14ac:dyDescent="0.25">
      <c r="A170" s="5">
        <v>44423</v>
      </c>
      <c r="B170">
        <v>0.69479999999999997</v>
      </c>
      <c r="C170">
        <v>0.72</v>
      </c>
      <c r="D170">
        <v>0.66959999999999997</v>
      </c>
      <c r="E170">
        <v>0.70550000000000002</v>
      </c>
      <c r="F170">
        <v>4917680.76</v>
      </c>
      <c r="G170">
        <v>0.70550000000000002</v>
      </c>
      <c r="L170" t="s">
        <v>7</v>
      </c>
      <c r="M170" t="s">
        <v>7</v>
      </c>
      <c r="N170" t="s">
        <v>7</v>
      </c>
      <c r="P170">
        <f t="shared" ref="P170" si="825">IF(C170=D170,0,((E170-D170)-(C170-E170))/(C170-D170))</f>
        <v>0.42460317460317631</v>
      </c>
      <c r="Q170">
        <f t="shared" ref="Q170" si="826">F170*P170</f>
        <v>2088062.8623809607</v>
      </c>
      <c r="R170">
        <f t="shared" ref="R170" si="827">R171+Q170</f>
        <v>-280596264.26590919</v>
      </c>
      <c r="S170">
        <f t="shared" ref="S170" si="828">R170/100000</f>
        <v>-2805.9626426590921</v>
      </c>
      <c r="T170">
        <f t="shared" ref="T170" si="829">S170/1000</f>
        <v>-2.8059626426590922</v>
      </c>
    </row>
    <row r="171" spans="1:20" x14ac:dyDescent="0.25">
      <c r="A171" s="5">
        <v>44422</v>
      </c>
      <c r="B171">
        <v>0.7248</v>
      </c>
      <c r="C171">
        <v>0.755</v>
      </c>
      <c r="D171">
        <v>0.68200000000000005</v>
      </c>
      <c r="E171">
        <v>0.69430000000000003</v>
      </c>
      <c r="F171">
        <v>4064830.27</v>
      </c>
      <c r="G171">
        <v>0.69430000000000003</v>
      </c>
      <c r="L171" t="s">
        <v>7</v>
      </c>
      <c r="M171" t="s">
        <v>8</v>
      </c>
      <c r="N171" t="s">
        <v>7</v>
      </c>
      <c r="P171">
        <f t="shared" ref="P171" si="830">IF(C171=D171,0,((E171-D171)-(C171-E171))/(C171-D171))</f>
        <v>-0.66301369863013737</v>
      </c>
      <c r="Q171">
        <f t="shared" ref="Q171" si="831">F171*P171</f>
        <v>-2695038.1516164402</v>
      </c>
      <c r="R171">
        <f t="shared" ref="R171" si="832">R172+Q171</f>
        <v>-282684327.12829018</v>
      </c>
      <c r="S171">
        <f t="shared" ref="S171" si="833">R171/100000</f>
        <v>-2826.8432712829017</v>
      </c>
      <c r="T171">
        <f t="shared" ref="T171" si="834">S171/1000</f>
        <v>-2.8268432712829017</v>
      </c>
    </row>
    <row r="172" spans="1:20" x14ac:dyDescent="0.25">
      <c r="A172" s="5">
        <v>44421</v>
      </c>
      <c r="B172">
        <v>0.6321</v>
      </c>
      <c r="C172">
        <v>0.79900000000000004</v>
      </c>
      <c r="D172">
        <v>0.62480000000000002</v>
      </c>
      <c r="E172">
        <v>0.72499999999999998</v>
      </c>
      <c r="F172">
        <v>13403218.98</v>
      </c>
      <c r="G172">
        <v>0.72499999999999998</v>
      </c>
      <c r="L172" t="s">
        <v>8</v>
      </c>
      <c r="M172" t="s">
        <v>8</v>
      </c>
      <c r="N172" t="s">
        <v>7</v>
      </c>
      <c r="P172">
        <f t="shared" ref="P172" si="835">IF(C172=D172,0,((E172-D172)-(C172-E172))/(C172-D172))</f>
        <v>0.1504018369690005</v>
      </c>
      <c r="Q172">
        <f t="shared" ref="Q172" si="836">F172*P172</f>
        <v>2015868.7558897734</v>
      </c>
      <c r="R172">
        <f t="shared" ref="R172" si="837">R173+Q172</f>
        <v>-279989288.97667372</v>
      </c>
      <c r="S172">
        <f t="shared" ref="S172" si="838">R172/100000</f>
        <v>-2799.8928897667374</v>
      </c>
      <c r="T172">
        <f t="shared" ref="T172" si="839">S172/1000</f>
        <v>-2.7998928897667374</v>
      </c>
    </row>
    <row r="173" spans="1:20" x14ac:dyDescent="0.25">
      <c r="A173" s="5">
        <v>44420</v>
      </c>
      <c r="B173">
        <v>0.63949999999999996</v>
      </c>
      <c r="C173">
        <v>0.65380000000000005</v>
      </c>
      <c r="D173">
        <v>0.60560000000000003</v>
      </c>
      <c r="E173">
        <v>0.6321</v>
      </c>
      <c r="F173">
        <v>4088961.71</v>
      </c>
      <c r="G173">
        <v>0.6321</v>
      </c>
      <c r="L173" t="s">
        <v>7</v>
      </c>
      <c r="M173" t="s">
        <v>7</v>
      </c>
      <c r="N173" t="s">
        <v>7</v>
      </c>
      <c r="P173">
        <f t="shared" ref="P173" si="840">IF(C173=D173,0,((E173-D173)-(C173-E173))/(C173-D173))</f>
        <v>9.9585062240662103E-2</v>
      </c>
      <c r="Q173">
        <f t="shared" ref="Q173" si="841">F173*P173</f>
        <v>407199.50639003416</v>
      </c>
      <c r="R173">
        <f t="shared" ref="R173" si="842">R174+Q173</f>
        <v>-282005157.7325635</v>
      </c>
      <c r="S173">
        <f t="shared" ref="S173" si="843">R173/100000</f>
        <v>-2820.0515773256348</v>
      </c>
      <c r="T173">
        <f t="shared" ref="T173" si="844">S173/1000</f>
        <v>-2.8200515773256347</v>
      </c>
    </row>
    <row r="174" spans="1:20" x14ac:dyDescent="0.25">
      <c r="A174" s="5">
        <v>44419</v>
      </c>
      <c r="B174">
        <v>0.64319999999999999</v>
      </c>
      <c r="C174">
        <v>0.70989999999999998</v>
      </c>
      <c r="D174">
        <v>0.61799999999999999</v>
      </c>
      <c r="E174">
        <v>0.63949999999999996</v>
      </c>
      <c r="F174">
        <v>10045978.1</v>
      </c>
      <c r="G174">
        <v>0.63949999999999996</v>
      </c>
      <c r="L174" t="s">
        <v>8</v>
      </c>
      <c r="M174" t="s">
        <v>7</v>
      </c>
      <c r="N174" t="s">
        <v>7</v>
      </c>
      <c r="P174">
        <f t="shared" ref="P174" si="845">IF(C174=D174,0,((E174-D174)-(C174-E174))/(C174-D174))</f>
        <v>-0.53210010881392888</v>
      </c>
      <c r="Q174">
        <f t="shared" ref="Q174" si="846">F174*P174</f>
        <v>-5345466.0401523467</v>
      </c>
      <c r="R174">
        <f t="shared" ref="R174" si="847">R175+Q174</f>
        <v>-282412357.23895353</v>
      </c>
      <c r="S174">
        <f t="shared" ref="S174" si="848">R174/100000</f>
        <v>-2824.1235723895352</v>
      </c>
      <c r="T174">
        <f t="shared" ref="T174" si="849">S174/1000</f>
        <v>-2.824123572389535</v>
      </c>
    </row>
    <row r="175" spans="1:20" x14ac:dyDescent="0.25">
      <c r="A175" s="5">
        <v>44418</v>
      </c>
      <c r="B175">
        <v>0.65900000000000003</v>
      </c>
      <c r="C175">
        <v>0.67549999999999999</v>
      </c>
      <c r="D175">
        <v>0.62260000000000004</v>
      </c>
      <c r="E175">
        <v>0.64329999999999998</v>
      </c>
      <c r="F175">
        <v>6193403.7300000004</v>
      </c>
      <c r="G175">
        <v>0.64329999999999998</v>
      </c>
      <c r="L175" t="s">
        <v>8</v>
      </c>
      <c r="M175" t="s">
        <v>7</v>
      </c>
      <c r="N175" t="s">
        <v>8</v>
      </c>
      <c r="P175">
        <f t="shared" ref="P175" si="850">IF(C175=D175,0,((E175-D175)-(C175-E175))/(C175-D175))</f>
        <v>-0.21739130434782755</v>
      </c>
      <c r="Q175">
        <f t="shared" ref="Q175" si="851">F175*P175</f>
        <v>-1346392.1152174005</v>
      </c>
      <c r="R175">
        <f t="shared" ref="R175" si="852">R176+Q175</f>
        <v>-277066891.19880116</v>
      </c>
      <c r="S175">
        <f t="shared" ref="S175" si="853">R175/100000</f>
        <v>-2770.6689119880116</v>
      </c>
      <c r="T175">
        <f t="shared" ref="T175" si="854">S175/1000</f>
        <v>-2.7706689119880115</v>
      </c>
    </row>
    <row r="176" spans="1:20" x14ac:dyDescent="0.25">
      <c r="A176" s="5">
        <v>44417</v>
      </c>
      <c r="B176">
        <v>0.65100000000000002</v>
      </c>
      <c r="C176">
        <v>0.74</v>
      </c>
      <c r="D176">
        <v>0.63200000000000001</v>
      </c>
      <c r="E176">
        <v>0.65890000000000004</v>
      </c>
      <c r="F176">
        <v>11133012.869999999</v>
      </c>
      <c r="G176">
        <v>0.65890000000000004</v>
      </c>
      <c r="L176" t="s">
        <v>7</v>
      </c>
      <c r="M176" t="s">
        <v>7</v>
      </c>
      <c r="N176" t="s">
        <v>8</v>
      </c>
      <c r="P176">
        <f t="shared" ref="P176" si="855">IF(C176=D176,0,((E176-D176)-(C176-E176))/(C176-D176))</f>
        <v>-0.50185185185185111</v>
      </c>
      <c r="Q176">
        <f t="shared" ref="Q176" si="856">F176*P176</f>
        <v>-5587123.1254999917</v>
      </c>
      <c r="R176">
        <f t="shared" ref="R176" si="857">R177+Q176</f>
        <v>-275720499.08358377</v>
      </c>
      <c r="S176">
        <f t="shared" ref="S176" si="858">R176/100000</f>
        <v>-2757.2049908358376</v>
      </c>
      <c r="T176">
        <f t="shared" ref="T176" si="859">S176/1000</f>
        <v>-2.7572049908358376</v>
      </c>
    </row>
    <row r="177" spans="1:20" x14ac:dyDescent="0.25">
      <c r="A177" s="5">
        <v>44416</v>
      </c>
      <c r="B177">
        <v>0.72430000000000005</v>
      </c>
      <c r="C177">
        <v>0.75219999999999998</v>
      </c>
      <c r="D177">
        <v>0.63859999999999995</v>
      </c>
      <c r="E177">
        <v>0.65010000000000001</v>
      </c>
      <c r="F177">
        <v>14464770.289999999</v>
      </c>
      <c r="G177">
        <v>0.65010000000000001</v>
      </c>
      <c r="L177" t="s">
        <v>7</v>
      </c>
      <c r="M177" t="s">
        <v>7</v>
      </c>
      <c r="N177" t="s">
        <v>8</v>
      </c>
      <c r="P177">
        <f t="shared" ref="P177" si="860">IF(C177=D177,0,((E177-D177)-(C177-E177))/(C177-D177))</f>
        <v>-0.79753521126760452</v>
      </c>
      <c r="Q177">
        <f t="shared" ref="Q177" si="861">F177*P177</f>
        <v>-11536163.629172519</v>
      </c>
      <c r="R177">
        <f t="shared" ref="R177" si="862">R178+Q177</f>
        <v>-270133375.95808381</v>
      </c>
      <c r="S177">
        <f t="shared" ref="S177" si="863">R177/100000</f>
        <v>-2701.333759580838</v>
      </c>
      <c r="T177">
        <f t="shared" ref="T177" si="864">S177/1000</f>
        <v>-2.7013337595808378</v>
      </c>
    </row>
    <row r="178" spans="1:20" x14ac:dyDescent="0.25">
      <c r="A178" s="5">
        <v>44415</v>
      </c>
      <c r="B178">
        <v>0.74570000000000003</v>
      </c>
      <c r="C178">
        <v>0.83160000000000001</v>
      </c>
      <c r="D178">
        <v>0.66820000000000002</v>
      </c>
      <c r="E178">
        <v>0.72440000000000004</v>
      </c>
      <c r="F178">
        <v>45339114.82</v>
      </c>
      <c r="G178">
        <v>0.72440000000000004</v>
      </c>
      <c r="L178" t="s">
        <v>7</v>
      </c>
      <c r="M178" t="s">
        <v>7</v>
      </c>
      <c r="N178" t="s">
        <v>8</v>
      </c>
      <c r="P178">
        <f t="shared" ref="P178" si="865">IF(C178=D178,0,((E178-D178)-(C178-E178))/(C178-D178))</f>
        <v>-0.31211750305997515</v>
      </c>
      <c r="Q178">
        <f t="shared" ref="Q178" si="866">F178*P178</f>
        <v>-14151131.308567915</v>
      </c>
      <c r="R178">
        <f t="shared" ref="R178" si="867">R179+Q178</f>
        <v>-258597212.32891127</v>
      </c>
      <c r="S178">
        <f t="shared" ref="S178" si="868">R178/100000</f>
        <v>-2585.9721232891129</v>
      </c>
      <c r="T178">
        <f t="shared" ref="T178" si="869">S178/1000</f>
        <v>-2.5859721232891131</v>
      </c>
    </row>
    <row r="179" spans="1:20" x14ac:dyDescent="0.25">
      <c r="A179" s="5">
        <v>44414</v>
      </c>
      <c r="B179">
        <v>0.50719999999999998</v>
      </c>
      <c r="C179">
        <v>0.89</v>
      </c>
      <c r="D179">
        <v>0.49580000000000002</v>
      </c>
      <c r="E179">
        <v>0.74509999999999998</v>
      </c>
      <c r="F179">
        <v>94901818.049999997</v>
      </c>
      <c r="G179">
        <v>0.74509999999999998</v>
      </c>
      <c r="L179" t="s">
        <v>8</v>
      </c>
      <c r="M179" t="s">
        <v>8</v>
      </c>
      <c r="N179" t="s">
        <v>8</v>
      </c>
      <c r="P179">
        <f t="shared" ref="P179" si="870">IF(C179=D179,0,((E179-D179)-(C179-E179))/(C179-D179))</f>
        <v>0.26484018264840165</v>
      </c>
      <c r="Q179">
        <f t="shared" ref="Q179" si="871">F179*P179</f>
        <v>25133814.826027378</v>
      </c>
      <c r="R179">
        <f t="shared" ref="R179" si="872">R180+Q179</f>
        <v>-244446081.02034336</v>
      </c>
      <c r="S179">
        <f t="shared" ref="S179" si="873">R179/100000</f>
        <v>-2444.4608102034335</v>
      </c>
      <c r="T179">
        <f t="shared" ref="T179" si="874">S179/1000</f>
        <v>-2.4444608102034335</v>
      </c>
    </row>
    <row r="180" spans="1:20" x14ac:dyDescent="0.25">
      <c r="A180" s="5">
        <v>44413</v>
      </c>
      <c r="B180">
        <v>0.4819</v>
      </c>
      <c r="C180">
        <v>0.52710000000000001</v>
      </c>
      <c r="D180">
        <v>0.47810000000000002</v>
      </c>
      <c r="E180">
        <v>0.5071</v>
      </c>
      <c r="F180">
        <v>3611233.95</v>
      </c>
      <c r="G180">
        <v>0.5071</v>
      </c>
      <c r="L180" t="s">
        <v>8</v>
      </c>
      <c r="M180" t="s">
        <v>8</v>
      </c>
      <c r="N180" t="s">
        <v>8</v>
      </c>
      <c r="P180">
        <f t="shared" ref="P180" si="875">IF(C180=D180,0,((E180-D180)-(C180-E180))/(C180-D180))</f>
        <v>0.18367346938775417</v>
      </c>
      <c r="Q180">
        <f t="shared" ref="Q180" si="876">F180*P180</f>
        <v>663287.86836734356</v>
      </c>
      <c r="R180">
        <f t="shared" ref="R180" si="877">R181+Q180</f>
        <v>-269579895.84637076</v>
      </c>
      <c r="S180">
        <f t="shared" ref="S180" si="878">R180/100000</f>
        <v>-2695.7989584637075</v>
      </c>
      <c r="T180">
        <f t="shared" ref="T180" si="879">S180/1000</f>
        <v>-2.6957989584637074</v>
      </c>
    </row>
    <row r="181" spans="1:20" x14ac:dyDescent="0.25">
      <c r="A181" s="5">
        <v>44412</v>
      </c>
      <c r="B181">
        <v>0.46379999999999999</v>
      </c>
      <c r="C181">
        <v>0.48849999999999999</v>
      </c>
      <c r="D181">
        <v>0.4622</v>
      </c>
      <c r="E181">
        <v>0.48170000000000002</v>
      </c>
      <c r="F181">
        <v>1058533.51</v>
      </c>
      <c r="G181">
        <v>0.48170000000000002</v>
      </c>
      <c r="L181" t="s">
        <v>8</v>
      </c>
      <c r="M181" t="s">
        <v>8</v>
      </c>
      <c r="N181" t="s">
        <v>7</v>
      </c>
      <c r="P181">
        <f t="shared" ref="P181" si="880">IF(C181=D181,0,((E181-D181)-(C181-E181))/(C181-D181))</f>
        <v>0.48288973384030603</v>
      </c>
      <c r="Q181">
        <f t="shared" ref="Q181" si="881">F181*P181</f>
        <v>511154.96490494494</v>
      </c>
      <c r="R181">
        <f t="shared" ref="R181" si="882">R182+Q181</f>
        <v>-270243183.71473807</v>
      </c>
      <c r="S181">
        <f t="shared" ref="S181" si="883">R181/100000</f>
        <v>-2702.4318371473805</v>
      </c>
      <c r="T181">
        <f t="shared" ref="T181" si="884">S181/1000</f>
        <v>-2.7024318371473806</v>
      </c>
    </row>
    <row r="182" spans="1:20" x14ac:dyDescent="0.25">
      <c r="A182" s="5">
        <v>44411</v>
      </c>
      <c r="B182">
        <v>0.46729999999999999</v>
      </c>
      <c r="C182">
        <v>0.48370000000000002</v>
      </c>
      <c r="D182">
        <v>0.45050000000000001</v>
      </c>
      <c r="E182">
        <v>0.4637</v>
      </c>
      <c r="F182">
        <v>1062322.77</v>
      </c>
      <c r="G182">
        <v>0.4637</v>
      </c>
      <c r="L182" t="s">
        <v>7</v>
      </c>
      <c r="M182" t="s">
        <v>8</v>
      </c>
      <c r="N182" t="s">
        <v>7</v>
      </c>
      <c r="P182">
        <f t="shared" ref="P182" si="885">IF(C182=D182,0,((E182-D182)-(C182-E182))/(C182-D182))</f>
        <v>-0.20481927710843453</v>
      </c>
      <c r="Q182">
        <f t="shared" ref="Q182" si="886">F182*P182</f>
        <v>-217584.18180722976</v>
      </c>
      <c r="R182">
        <f t="shared" ref="R182" si="887">R183+Q182</f>
        <v>-270754338.67964303</v>
      </c>
      <c r="S182">
        <f t="shared" ref="S182" si="888">R182/100000</f>
        <v>-2707.5433867964302</v>
      </c>
      <c r="T182">
        <f t="shared" ref="T182" si="889">S182/1000</f>
        <v>-2.7075433867964303</v>
      </c>
    </row>
    <row r="183" spans="1:20" x14ac:dyDescent="0.25">
      <c r="A183" s="5">
        <v>44410</v>
      </c>
      <c r="B183">
        <v>0.46929999999999999</v>
      </c>
      <c r="C183">
        <v>0.48209999999999997</v>
      </c>
      <c r="D183">
        <v>0.46010000000000001</v>
      </c>
      <c r="E183">
        <v>0.46700000000000003</v>
      </c>
      <c r="F183">
        <v>1009655.96</v>
      </c>
      <c r="G183">
        <v>0.46700000000000003</v>
      </c>
      <c r="L183" t="s">
        <v>7</v>
      </c>
      <c r="M183" t="s">
        <v>8</v>
      </c>
      <c r="N183" t="s">
        <v>7</v>
      </c>
      <c r="P183">
        <f t="shared" ref="P183" si="890">IF(C183=D183,0,((E183-D183)-(C183-E183))/(C183-D183))</f>
        <v>-0.37272727272727013</v>
      </c>
      <c r="Q183">
        <f t="shared" ref="Q183" si="891">F183*P183</f>
        <v>-376326.31236363371</v>
      </c>
      <c r="R183">
        <f t="shared" ref="R183" si="892">R184+Q183</f>
        <v>-270536754.49783581</v>
      </c>
      <c r="S183">
        <f t="shared" ref="S183" si="893">R183/100000</f>
        <v>-2705.3675449783582</v>
      </c>
      <c r="T183">
        <f t="shared" ref="T183" si="894">S183/1000</f>
        <v>-2.7053675449783583</v>
      </c>
    </row>
    <row r="184" spans="1:20" x14ac:dyDescent="0.25">
      <c r="A184" s="5">
        <v>44409</v>
      </c>
      <c r="B184">
        <v>0.49180000000000001</v>
      </c>
      <c r="C184">
        <v>0.50800000000000001</v>
      </c>
      <c r="D184">
        <v>0.46500000000000002</v>
      </c>
      <c r="E184">
        <v>0.46939999999999998</v>
      </c>
      <c r="F184">
        <v>1437223.32</v>
      </c>
      <c r="G184">
        <v>0.46939999999999998</v>
      </c>
      <c r="L184" t="s">
        <v>7</v>
      </c>
      <c r="M184" t="s">
        <v>8</v>
      </c>
      <c r="N184" t="s">
        <v>7</v>
      </c>
      <c r="P184">
        <f t="shared" ref="P184" si="895">IF(C184=D184,0,((E184-D184)-(C184-E184))/(C184-D184))</f>
        <v>-0.79534883720930416</v>
      </c>
      <c r="Q184">
        <f t="shared" ref="Q184" si="896">F184*P184</f>
        <v>-1143093.8963720957</v>
      </c>
      <c r="R184">
        <f t="shared" ref="R184" si="897">R185+Q184</f>
        <v>-270160428.18547219</v>
      </c>
      <c r="S184">
        <f t="shared" ref="S184" si="898">R184/100000</f>
        <v>-2701.6042818547221</v>
      </c>
      <c r="T184">
        <f t="shared" ref="T184" si="899">S184/1000</f>
        <v>-2.7016042818547219</v>
      </c>
    </row>
    <row r="185" spans="1:20" x14ac:dyDescent="0.25">
      <c r="A185" s="5">
        <v>44408</v>
      </c>
      <c r="B185">
        <v>0.48849999999999999</v>
      </c>
      <c r="C185">
        <v>0.50239999999999996</v>
      </c>
      <c r="D185">
        <v>0.47820000000000001</v>
      </c>
      <c r="E185">
        <v>0.49120000000000003</v>
      </c>
      <c r="F185">
        <v>1770895.06</v>
      </c>
      <c r="G185">
        <v>0.49120000000000003</v>
      </c>
      <c r="L185" t="s">
        <v>8</v>
      </c>
      <c r="M185" t="s">
        <v>8</v>
      </c>
      <c r="N185" t="s">
        <v>7</v>
      </c>
      <c r="P185">
        <f t="shared" ref="P185" si="900">IF(C185=D185,0,((E185-D185)-(C185-E185))/(C185-D185))</f>
        <v>7.4380165289259642E-2</v>
      </c>
      <c r="Q185">
        <f t="shared" ref="Q185" si="901">F185*P185</f>
        <v>131719.46727273337</v>
      </c>
      <c r="R185">
        <f t="shared" ref="R185" si="902">R186+Q185</f>
        <v>-269017334.28910011</v>
      </c>
      <c r="S185">
        <f t="shared" ref="S185" si="903">R185/100000</f>
        <v>-2690.1733428910011</v>
      </c>
      <c r="T185">
        <f t="shared" ref="T185" si="904">S185/1000</f>
        <v>-2.6901733428910011</v>
      </c>
    </row>
    <row r="186" spans="1:20" x14ac:dyDescent="0.25">
      <c r="A186" s="5">
        <v>44407</v>
      </c>
      <c r="B186">
        <v>0.47670000000000001</v>
      </c>
      <c r="C186">
        <v>0.48899999999999999</v>
      </c>
      <c r="D186">
        <v>0.45150000000000001</v>
      </c>
      <c r="E186">
        <v>0.4879</v>
      </c>
      <c r="F186">
        <v>2204237.73</v>
      </c>
      <c r="G186">
        <v>0.4879</v>
      </c>
      <c r="L186" t="s">
        <v>8</v>
      </c>
      <c r="M186" t="s">
        <v>8</v>
      </c>
      <c r="N186" t="s">
        <v>7</v>
      </c>
      <c r="P186">
        <f t="shared" ref="P186" si="905">IF(C186=D186,0,((E186-D186)-(C186-E186))/(C186-D186))</f>
        <v>0.9413333333333338</v>
      </c>
      <c r="Q186">
        <f t="shared" ref="Q186" si="906">F186*P186</f>
        <v>2074922.4498400011</v>
      </c>
      <c r="R186">
        <f t="shared" ref="R186" si="907">R187+Q186</f>
        <v>-269149053.75637287</v>
      </c>
      <c r="S186">
        <f t="shared" ref="S186" si="908">R186/100000</f>
        <v>-2691.4905375637286</v>
      </c>
      <c r="T186">
        <f t="shared" ref="T186" si="909">S186/1000</f>
        <v>-2.6914905375637286</v>
      </c>
    </row>
    <row r="187" spans="1:20" x14ac:dyDescent="0.25">
      <c r="A187" s="5">
        <v>44406</v>
      </c>
      <c r="B187">
        <v>0.4592</v>
      </c>
      <c r="C187">
        <v>0.48259999999999997</v>
      </c>
      <c r="D187">
        <v>0.45029999999999998</v>
      </c>
      <c r="E187">
        <v>0.47649999999999998</v>
      </c>
      <c r="F187">
        <v>2053469.66</v>
      </c>
      <c r="G187">
        <v>0.47649999999999998</v>
      </c>
      <c r="L187" t="s">
        <v>7</v>
      </c>
      <c r="M187" t="s">
        <v>8</v>
      </c>
      <c r="N187" t="s">
        <v>7</v>
      </c>
      <c r="P187">
        <f t="shared" ref="P187" si="910">IF(C187=D187,0,((E187-D187)-(C187-E187))/(C187-D187))</f>
        <v>0.62229102167182693</v>
      </c>
      <c r="Q187">
        <f t="shared" ref="Q187" si="911">F187*P187</f>
        <v>1277855.732693499</v>
      </c>
      <c r="R187">
        <f t="shared" ref="R187" si="912">R188+Q187</f>
        <v>-271223976.20621288</v>
      </c>
      <c r="S187">
        <f t="shared" ref="S187" si="913">R187/100000</f>
        <v>-2712.2397620621286</v>
      </c>
      <c r="T187">
        <f t="shared" ref="T187" si="914">S187/1000</f>
        <v>-2.7122397620621288</v>
      </c>
    </row>
    <row r="188" spans="1:20" x14ac:dyDescent="0.25">
      <c r="A188" s="5">
        <v>44405</v>
      </c>
      <c r="B188">
        <v>0.46650000000000003</v>
      </c>
      <c r="C188">
        <v>0.48220000000000002</v>
      </c>
      <c r="D188">
        <v>0.45</v>
      </c>
      <c r="E188">
        <v>0.45989999999999998</v>
      </c>
      <c r="F188">
        <v>2976426.15</v>
      </c>
      <c r="G188">
        <v>0.45989999999999998</v>
      </c>
      <c r="L188" t="s">
        <v>8</v>
      </c>
      <c r="M188" t="s">
        <v>8</v>
      </c>
      <c r="N188" t="s">
        <v>7</v>
      </c>
      <c r="P188">
        <f t="shared" ref="P188" si="915">IF(C188=D188,0,((E188-D188)-(C188-E188))/(C188-D188))</f>
        <v>-0.38509316770186569</v>
      </c>
      <c r="Q188">
        <f t="shared" ref="Q188" si="916">F188*P188</f>
        <v>-1146201.3745341685</v>
      </c>
      <c r="R188">
        <f t="shared" ref="R188" si="917">R189+Q188</f>
        <v>-272501831.93890637</v>
      </c>
      <c r="S188">
        <f t="shared" ref="S188" si="918">R188/100000</f>
        <v>-2725.0183193890639</v>
      </c>
      <c r="T188">
        <f t="shared" ref="T188" si="919">S188/1000</f>
        <v>-2.725018319389064</v>
      </c>
    </row>
    <row r="189" spans="1:20" x14ac:dyDescent="0.25">
      <c r="A189" s="5">
        <v>44404</v>
      </c>
      <c r="B189">
        <v>0.44450000000000001</v>
      </c>
      <c r="C189">
        <v>0.47220000000000001</v>
      </c>
      <c r="D189">
        <v>0.43</v>
      </c>
      <c r="E189">
        <v>0.46629999999999999</v>
      </c>
      <c r="F189">
        <v>5498399.9500000002</v>
      </c>
      <c r="G189">
        <v>0.46629999999999999</v>
      </c>
      <c r="L189" t="s">
        <v>7</v>
      </c>
      <c r="M189" t="s">
        <v>8</v>
      </c>
      <c r="N189" t="s">
        <v>7</v>
      </c>
      <c r="P189">
        <f t="shared" ref="P189" si="920">IF(C189=D189,0,((E189-D189)-(C189-E189))/(C189-D189))</f>
        <v>0.72037914691943061</v>
      </c>
      <c r="Q189">
        <f t="shared" ref="Q189" si="921">F189*P189</f>
        <v>3960932.6654028399</v>
      </c>
      <c r="R189">
        <f t="shared" ref="R189" si="922">R190+Q189</f>
        <v>-271355630.56437218</v>
      </c>
      <c r="S189">
        <f t="shared" ref="S189" si="923">R189/100000</f>
        <v>-2713.5563056437218</v>
      </c>
      <c r="T189">
        <f t="shared" ref="T189" si="924">S189/1000</f>
        <v>-2.713556305643722</v>
      </c>
    </row>
    <row r="190" spans="1:20" x14ac:dyDescent="0.25">
      <c r="A190" s="5">
        <v>44403</v>
      </c>
      <c r="B190">
        <v>0.45689999999999997</v>
      </c>
      <c r="C190">
        <v>0.48709999999999998</v>
      </c>
      <c r="D190">
        <v>0.43780000000000002</v>
      </c>
      <c r="E190">
        <v>0.44479999999999997</v>
      </c>
      <c r="F190">
        <v>4075568.4</v>
      </c>
      <c r="G190">
        <v>0.44479999999999997</v>
      </c>
      <c r="L190" t="s">
        <v>8</v>
      </c>
      <c r="M190" t="s">
        <v>8</v>
      </c>
      <c r="N190" t="s">
        <v>7</v>
      </c>
      <c r="P190">
        <f t="shared" ref="P190" si="925">IF(C190=D190,0,((E190-D190)-(C190-E190))/(C190-D190))</f>
        <v>-0.7160243407707928</v>
      </c>
      <c r="Q190">
        <f t="shared" ref="Q190" si="926">F190*P190</f>
        <v>-2918206.1768762749</v>
      </c>
      <c r="R190">
        <f t="shared" ref="R190" si="927">R191+Q190</f>
        <v>-275316563.22977501</v>
      </c>
      <c r="S190">
        <f t="shared" ref="S190" si="928">R190/100000</f>
        <v>-2753.1656322977501</v>
      </c>
      <c r="T190">
        <f t="shared" ref="T190" si="929">S190/1000</f>
        <v>-2.7531656322977502</v>
      </c>
    </row>
    <row r="191" spans="1:20" x14ac:dyDescent="0.25">
      <c r="A191" s="5">
        <v>44402</v>
      </c>
      <c r="B191">
        <v>0.44140000000000001</v>
      </c>
      <c r="C191">
        <v>0.45900000000000002</v>
      </c>
      <c r="D191">
        <v>0.42309999999999998</v>
      </c>
      <c r="E191">
        <v>0.45639999999999997</v>
      </c>
      <c r="F191">
        <v>3791488.43</v>
      </c>
      <c r="G191">
        <v>0.45639999999999997</v>
      </c>
      <c r="L191" t="s">
        <v>8</v>
      </c>
      <c r="M191" t="s">
        <v>8</v>
      </c>
      <c r="N191" t="s">
        <v>7</v>
      </c>
      <c r="P191">
        <f t="shared" ref="P191" si="930">IF(C191=D191,0,((E191-D191)-(C191-E191))/(C191-D191))</f>
        <v>0.85515320334261591</v>
      </c>
      <c r="Q191">
        <f t="shared" ref="Q191" si="931">F191*P191</f>
        <v>3242303.4763509659</v>
      </c>
      <c r="R191">
        <f t="shared" ref="R191" si="932">R192+Q191</f>
        <v>-272398357.05289876</v>
      </c>
      <c r="S191">
        <f t="shared" ref="S191" si="933">R191/100000</f>
        <v>-2723.9835705289875</v>
      </c>
      <c r="T191">
        <f t="shared" ref="T191:T197" si="934">S191/1000</f>
        <v>-2.7239835705289877</v>
      </c>
    </row>
    <row r="192" spans="1:20" x14ac:dyDescent="0.25">
      <c r="A192" s="5">
        <v>44401</v>
      </c>
      <c r="B192">
        <v>0.435</v>
      </c>
      <c r="C192">
        <v>0.44700000000000001</v>
      </c>
      <c r="D192">
        <v>0.43080000000000002</v>
      </c>
      <c r="E192">
        <v>0.441</v>
      </c>
      <c r="F192">
        <v>2202694.9300000002</v>
      </c>
      <c r="G192">
        <v>0.441</v>
      </c>
      <c r="L192" t="s">
        <v>8</v>
      </c>
      <c r="M192" t="s">
        <v>8</v>
      </c>
      <c r="N192" t="s">
        <v>7</v>
      </c>
      <c r="P192">
        <f t="shared" ref="P192" si="935">IF(C192=D192,0,((E192-D192)-(C192-E192))/(C192-D192))</f>
        <v>0.25925925925925825</v>
      </c>
      <c r="Q192">
        <f t="shared" ref="Q192" si="936">F192*P192</f>
        <v>571069.05592592375</v>
      </c>
      <c r="R192">
        <f t="shared" ref="R192" si="937">R193+Q192</f>
        <v>-275640660.52924973</v>
      </c>
      <c r="S192">
        <f t="shared" ref="S192" si="938">R192/100000</f>
        <v>-2756.4066052924973</v>
      </c>
      <c r="T192">
        <f t="shared" si="934"/>
        <v>-2.7564066052924971</v>
      </c>
    </row>
    <row r="193" spans="1:20" x14ac:dyDescent="0.25">
      <c r="A193" s="5">
        <v>44400</v>
      </c>
      <c r="B193">
        <v>0.42080000000000001</v>
      </c>
      <c r="C193">
        <v>0.43640000000000001</v>
      </c>
      <c r="D193">
        <v>0.41339999999999999</v>
      </c>
      <c r="E193">
        <v>0.43459999999999999</v>
      </c>
      <c r="F193">
        <v>1904218.68</v>
      </c>
      <c r="G193">
        <v>0.43459999999999999</v>
      </c>
      <c r="L193" t="s">
        <v>8</v>
      </c>
      <c r="M193" t="s">
        <v>8</v>
      </c>
      <c r="N193" t="s">
        <v>7</v>
      </c>
      <c r="P193">
        <f t="shared" ref="P193" si="939">IF(C193=D193,0,((E193-D193)-(C193-E193))/(C193-D193))</f>
        <v>0.84347826086956323</v>
      </c>
      <c r="Q193">
        <f t="shared" ref="Q193" si="940">F193*P193</f>
        <v>1606167.0605217353</v>
      </c>
      <c r="R193">
        <f t="shared" ref="R193" si="941">R194+Q193</f>
        <v>-276211729.58517563</v>
      </c>
      <c r="S193">
        <f t="shared" ref="S193" si="942">R193/100000</f>
        <v>-2762.1172958517564</v>
      </c>
      <c r="T193">
        <f t="shared" si="934"/>
        <v>-2.7621172958517564</v>
      </c>
    </row>
    <row r="194" spans="1:20" x14ac:dyDescent="0.25">
      <c r="A194" s="5">
        <v>44399</v>
      </c>
      <c r="B194">
        <v>0.4158</v>
      </c>
      <c r="C194">
        <v>0.43880000000000002</v>
      </c>
      <c r="D194">
        <v>0.40910000000000002</v>
      </c>
      <c r="E194">
        <v>0.42009999999999997</v>
      </c>
      <c r="F194">
        <v>2778979.2</v>
      </c>
      <c r="G194">
        <v>0.42009999999999997</v>
      </c>
      <c r="L194" t="s">
        <v>8</v>
      </c>
      <c r="M194" t="s">
        <v>8</v>
      </c>
      <c r="N194" t="s">
        <v>7</v>
      </c>
      <c r="P194">
        <f t="shared" ref="P194" si="943">IF(C194=D194,0,((E194-D194)-(C194-E194))/(C194-D194))</f>
        <v>-0.25925925925926246</v>
      </c>
      <c r="Q194">
        <f t="shared" ref="Q194" si="944">F194*P194</f>
        <v>-720476.08888889779</v>
      </c>
      <c r="R194">
        <f t="shared" ref="R194" si="945">R195+Q194</f>
        <v>-277817896.64569736</v>
      </c>
      <c r="S194">
        <f t="shared" ref="S194" si="946">R194/100000</f>
        <v>-2778.1789664569737</v>
      </c>
      <c r="T194">
        <f t="shared" si="934"/>
        <v>-2.7781789664569736</v>
      </c>
    </row>
    <row r="195" spans="1:20" x14ac:dyDescent="0.25">
      <c r="A195" s="5">
        <v>44398</v>
      </c>
      <c r="B195">
        <v>0.38440000000000002</v>
      </c>
      <c r="C195">
        <v>0.43280000000000002</v>
      </c>
      <c r="D195">
        <v>0.38100000000000001</v>
      </c>
      <c r="E195">
        <v>0.41570000000000001</v>
      </c>
      <c r="F195">
        <v>1710144.06</v>
      </c>
      <c r="G195">
        <v>0.41570000000000001</v>
      </c>
      <c r="L195" t="s">
        <v>8</v>
      </c>
      <c r="M195" t="s">
        <v>7</v>
      </c>
      <c r="N195" t="s">
        <v>7</v>
      </c>
      <c r="P195">
        <f t="shared" ref="P195" si="947">IF(C195=D195,0,((E195-D195)-(C195-E195))/(C195-D195))</f>
        <v>0.33976833976833976</v>
      </c>
      <c r="Q195">
        <f t="shared" ref="Q195" si="948">F195*P195</f>
        <v>581052.80803088797</v>
      </c>
      <c r="R195">
        <f t="shared" ref="R195" si="949">R196+Q195</f>
        <v>-277097420.55680847</v>
      </c>
      <c r="S195">
        <f t="shared" ref="S195" si="950">R195/100000</f>
        <v>-2770.9742055680849</v>
      </c>
      <c r="T195">
        <f t="shared" si="934"/>
        <v>-2.770974205568085</v>
      </c>
    </row>
    <row r="196" spans="1:20" x14ac:dyDescent="0.25">
      <c r="A196" s="5">
        <v>44397</v>
      </c>
      <c r="B196">
        <v>0.4158</v>
      </c>
      <c r="C196">
        <v>0.41980000000000001</v>
      </c>
      <c r="D196">
        <v>0.3715</v>
      </c>
      <c r="E196">
        <v>0.38419999999999999</v>
      </c>
      <c r="F196">
        <v>1325567.9099999999</v>
      </c>
      <c r="G196">
        <v>0.38419999999999999</v>
      </c>
      <c r="L196" t="s">
        <v>7</v>
      </c>
      <c r="M196" t="s">
        <v>7</v>
      </c>
      <c r="N196" t="s">
        <v>7</v>
      </c>
      <c r="P196">
        <f t="shared" ref="P196" si="951">IF(C196=D196,0,((E196-D196)-(C196-E196))/(C196-D196))</f>
        <v>-0.47412008281573553</v>
      </c>
      <c r="Q196">
        <f t="shared" ref="Q196" si="952">F196*P196</f>
        <v>-628478.3672670814</v>
      </c>
      <c r="R196">
        <f t="shared" ref="R196" si="953">R197+Q196</f>
        <v>-277678473.36483938</v>
      </c>
      <c r="S196">
        <f t="shared" ref="S196" si="954">R196/100000</f>
        <v>-2776.7847336483937</v>
      </c>
      <c r="T196">
        <f t="shared" si="934"/>
        <v>-2.7767847336483937</v>
      </c>
    </row>
    <row r="197" spans="1:20" x14ac:dyDescent="0.25">
      <c r="A197" s="5">
        <v>44396</v>
      </c>
      <c r="B197">
        <v>0.43209999999999998</v>
      </c>
      <c r="C197">
        <v>0.4451</v>
      </c>
      <c r="D197">
        <v>0.40229999999999999</v>
      </c>
      <c r="E197">
        <v>0.41539999999999999</v>
      </c>
      <c r="F197">
        <v>2356842.06</v>
      </c>
      <c r="G197">
        <v>0</v>
      </c>
      <c r="L197" t="s">
        <v>7</v>
      </c>
      <c r="M197" t="s">
        <v>7</v>
      </c>
      <c r="N197" t="s">
        <v>7</v>
      </c>
      <c r="P197">
        <f t="shared" ref="P197" si="955">IF(C197=D197,0,((E197-D197)-(C197-E197))/(C197-D197))</f>
        <v>-0.38785046728971967</v>
      </c>
      <c r="Q197">
        <f t="shared" ref="Q197" si="956">F197*P197</f>
        <v>-914102.2942990656</v>
      </c>
      <c r="R197">
        <f t="shared" ref="R197" si="957">R198+Q197</f>
        <v>-277049994.9975723</v>
      </c>
      <c r="S197">
        <f t="shared" ref="S197" si="958">R197/100000</f>
        <v>-2770.4999499757232</v>
      </c>
      <c r="T197">
        <f t="shared" si="934"/>
        <v>-2.770499949975723</v>
      </c>
    </row>
    <row r="198" spans="1:20" x14ac:dyDescent="0.25">
      <c r="A198" s="5">
        <v>44395</v>
      </c>
      <c r="B198">
        <v>0.44379999999999997</v>
      </c>
      <c r="C198">
        <v>0.46379999999999999</v>
      </c>
      <c r="D198">
        <v>0.42709999999999998</v>
      </c>
      <c r="E198">
        <v>0.43209999999999998</v>
      </c>
      <c r="F198">
        <v>2849434.19</v>
      </c>
      <c r="G198">
        <v>0</v>
      </c>
      <c r="L198" t="s">
        <v>7</v>
      </c>
      <c r="M198" t="s">
        <v>7</v>
      </c>
      <c r="N198" t="s">
        <v>7</v>
      </c>
      <c r="P198">
        <f t="shared" ref="P198:P261" si="959">IF(C198=D198,0,((E198-D198)-(C198-E198))/(C198-D198))</f>
        <v>-0.72752043596730231</v>
      </c>
      <c r="Q198">
        <f t="shared" ref="Q198:Q261" si="960">F198*P198</f>
        <v>-2073021.6041689368</v>
      </c>
      <c r="R198">
        <f t="shared" ref="R198:R261" si="961">R199+Q198</f>
        <v>-276135892.70327324</v>
      </c>
      <c r="S198">
        <f t="shared" ref="S198:S261" si="962">R198/100000</f>
        <v>-2761.3589270327325</v>
      </c>
      <c r="T198">
        <f t="shared" ref="T198:T261" si="963">S198/1000</f>
        <v>-2.7613589270327323</v>
      </c>
    </row>
    <row r="199" spans="1:20" x14ac:dyDescent="0.25">
      <c r="A199" s="5">
        <v>44394</v>
      </c>
      <c r="B199">
        <v>0.4506</v>
      </c>
      <c r="C199">
        <v>0.498</v>
      </c>
      <c r="D199">
        <v>0.4425</v>
      </c>
      <c r="E199">
        <v>0.44369999999999998</v>
      </c>
      <c r="F199">
        <v>5428192.8799999999</v>
      </c>
      <c r="G199">
        <v>0</v>
      </c>
      <c r="L199" t="s">
        <v>7</v>
      </c>
      <c r="M199" t="s">
        <v>8</v>
      </c>
      <c r="N199" t="s">
        <v>7</v>
      </c>
      <c r="P199">
        <f t="shared" si="959"/>
        <v>-0.95675675675675753</v>
      </c>
      <c r="Q199">
        <f t="shared" si="960"/>
        <v>-5193460.2149189226</v>
      </c>
      <c r="R199">
        <f t="shared" si="961"/>
        <v>-274062871.09910429</v>
      </c>
      <c r="S199">
        <f t="shared" si="962"/>
        <v>-2740.6287109910427</v>
      </c>
      <c r="T199">
        <f t="shared" si="963"/>
        <v>-2.7406287109910425</v>
      </c>
    </row>
    <row r="200" spans="1:20" x14ac:dyDescent="0.25">
      <c r="A200" s="5">
        <v>44393</v>
      </c>
      <c r="B200">
        <v>0.44359999999999999</v>
      </c>
      <c r="C200">
        <v>0.51429999999999998</v>
      </c>
      <c r="D200">
        <v>0.4163</v>
      </c>
      <c r="E200">
        <v>0.4506</v>
      </c>
      <c r="F200">
        <v>7895897.9000000004</v>
      </c>
      <c r="G200">
        <v>0</v>
      </c>
      <c r="L200" t="s">
        <v>8</v>
      </c>
      <c r="M200" t="s">
        <v>8</v>
      </c>
      <c r="N200" t="s">
        <v>7</v>
      </c>
      <c r="P200">
        <f t="shared" si="959"/>
        <v>-0.29999999999999988</v>
      </c>
      <c r="Q200">
        <f t="shared" si="960"/>
        <v>-2368769.3699999992</v>
      </c>
      <c r="R200">
        <f t="shared" si="961"/>
        <v>-268869410.88418537</v>
      </c>
      <c r="S200">
        <f t="shared" si="962"/>
        <v>-2688.6941088418539</v>
      </c>
      <c r="T200">
        <f t="shared" si="963"/>
        <v>-2.6886941088418541</v>
      </c>
    </row>
    <row r="201" spans="1:20" x14ac:dyDescent="0.25">
      <c r="A201" s="5">
        <v>44392</v>
      </c>
      <c r="B201">
        <v>0.4612</v>
      </c>
      <c r="C201">
        <v>0.47689999999999999</v>
      </c>
      <c r="D201">
        <v>0.4259</v>
      </c>
      <c r="E201">
        <v>0.44529999999999997</v>
      </c>
      <c r="F201">
        <v>3231710.43</v>
      </c>
      <c r="G201">
        <v>0</v>
      </c>
      <c r="L201" t="s">
        <v>8</v>
      </c>
      <c r="M201" t="s">
        <v>7</v>
      </c>
      <c r="N201" t="s">
        <v>7</v>
      </c>
      <c r="P201">
        <f t="shared" si="959"/>
        <v>-0.23921568627451073</v>
      </c>
      <c r="Q201">
        <f t="shared" si="960"/>
        <v>-773075.82835294423</v>
      </c>
      <c r="R201">
        <f t="shared" si="961"/>
        <v>-266500641.51418537</v>
      </c>
      <c r="S201">
        <f t="shared" si="962"/>
        <v>-2665.0064151418537</v>
      </c>
      <c r="T201">
        <f t="shared" si="963"/>
        <v>-2.6650064151418538</v>
      </c>
    </row>
    <row r="202" spans="1:20" x14ac:dyDescent="0.25">
      <c r="A202" s="5">
        <v>44391</v>
      </c>
      <c r="B202">
        <v>0.441</v>
      </c>
      <c r="C202">
        <v>0.48320000000000002</v>
      </c>
      <c r="D202">
        <v>0.42280000000000001</v>
      </c>
      <c r="E202">
        <v>0.46110000000000001</v>
      </c>
      <c r="F202">
        <v>3476759.51</v>
      </c>
      <c r="G202">
        <v>0</v>
      </c>
      <c r="L202" t="s">
        <v>7</v>
      </c>
      <c r="M202" t="s">
        <v>7</v>
      </c>
      <c r="N202" t="s">
        <v>7</v>
      </c>
      <c r="P202">
        <f t="shared" si="959"/>
        <v>0.26821192052980114</v>
      </c>
      <c r="Q202">
        <f t="shared" si="960"/>
        <v>932508.34539735026</v>
      </c>
      <c r="R202">
        <f t="shared" si="961"/>
        <v>-265727565.68583241</v>
      </c>
      <c r="S202">
        <f t="shared" si="962"/>
        <v>-2657.2756568583241</v>
      </c>
      <c r="T202">
        <f t="shared" si="963"/>
        <v>-2.657275656858324</v>
      </c>
    </row>
    <row r="203" spans="1:20" x14ac:dyDescent="0.25">
      <c r="A203" s="5">
        <v>44390</v>
      </c>
      <c r="B203">
        <v>0.46949999999999997</v>
      </c>
      <c r="C203">
        <v>0.47660000000000002</v>
      </c>
      <c r="D203">
        <v>0.434</v>
      </c>
      <c r="E203">
        <v>0.44090000000000001</v>
      </c>
      <c r="F203">
        <v>2363752.4900000002</v>
      </c>
      <c r="G203">
        <v>0</v>
      </c>
      <c r="L203" t="s">
        <v>7</v>
      </c>
      <c r="M203" t="s">
        <v>7</v>
      </c>
      <c r="N203" t="s">
        <v>7</v>
      </c>
      <c r="P203">
        <f t="shared" si="959"/>
        <v>-0.67605633802816845</v>
      </c>
      <c r="Q203">
        <f t="shared" si="960"/>
        <v>-1598029.852394365</v>
      </c>
      <c r="R203">
        <f t="shared" si="961"/>
        <v>-266660074.03122976</v>
      </c>
      <c r="S203">
        <f t="shared" si="962"/>
        <v>-2666.6007403122976</v>
      </c>
      <c r="T203">
        <f t="shared" si="963"/>
        <v>-2.6666007403122975</v>
      </c>
    </row>
    <row r="204" spans="1:20" x14ac:dyDescent="0.25">
      <c r="A204" s="5">
        <v>44389</v>
      </c>
      <c r="B204">
        <v>0.49690000000000001</v>
      </c>
      <c r="C204">
        <v>0.5071</v>
      </c>
      <c r="D204">
        <v>0.46</v>
      </c>
      <c r="E204">
        <v>0.47049999999999997</v>
      </c>
      <c r="F204">
        <v>3452685.16</v>
      </c>
      <c r="G204">
        <v>0</v>
      </c>
      <c r="L204" t="s">
        <v>7</v>
      </c>
      <c r="M204" t="s">
        <v>7</v>
      </c>
      <c r="N204" t="s">
        <v>7</v>
      </c>
      <c r="P204">
        <f t="shared" si="959"/>
        <v>-0.5541401273885368</v>
      </c>
      <c r="Q204">
        <f t="shared" si="960"/>
        <v>-1913271.3943949107</v>
      </c>
      <c r="R204">
        <f t="shared" si="961"/>
        <v>-265062044.17883539</v>
      </c>
      <c r="S204">
        <f t="shared" si="962"/>
        <v>-2650.6204417883541</v>
      </c>
      <c r="T204">
        <f t="shared" si="963"/>
        <v>-2.6506204417883543</v>
      </c>
    </row>
    <row r="205" spans="1:20" x14ac:dyDescent="0.25">
      <c r="A205" s="5">
        <v>44388</v>
      </c>
      <c r="B205">
        <v>0.44</v>
      </c>
      <c r="C205">
        <v>0.56000000000000005</v>
      </c>
      <c r="D205">
        <v>0.43959999999999999</v>
      </c>
      <c r="E205">
        <v>0.49719999999999998</v>
      </c>
      <c r="F205">
        <v>19966057.25</v>
      </c>
      <c r="G205">
        <v>0</v>
      </c>
      <c r="L205" t="s">
        <v>8</v>
      </c>
      <c r="M205" t="s">
        <v>8</v>
      </c>
      <c r="N205" t="s">
        <v>7</v>
      </c>
      <c r="P205">
        <f t="shared" si="959"/>
        <v>-4.3189368770764874E-2</v>
      </c>
      <c r="Q205">
        <f t="shared" si="960"/>
        <v>-862321.40946845361</v>
      </c>
      <c r="R205">
        <f t="shared" si="961"/>
        <v>-263148772.78444049</v>
      </c>
      <c r="S205">
        <f t="shared" si="962"/>
        <v>-2631.4877278444051</v>
      </c>
      <c r="T205">
        <f t="shared" si="963"/>
        <v>-2.6314877278444051</v>
      </c>
    </row>
    <row r="206" spans="1:20" x14ac:dyDescent="0.25">
      <c r="A206" s="5">
        <v>44387</v>
      </c>
      <c r="B206">
        <v>0.44500000000000001</v>
      </c>
      <c r="C206">
        <v>0.46960000000000002</v>
      </c>
      <c r="D206">
        <v>0.43169999999999997</v>
      </c>
      <c r="E206">
        <v>0.43980000000000002</v>
      </c>
      <c r="F206">
        <v>3391881.1</v>
      </c>
      <c r="G206">
        <v>0</v>
      </c>
      <c r="L206" t="s">
        <v>8</v>
      </c>
      <c r="M206" t="s">
        <v>7</v>
      </c>
      <c r="N206" t="s">
        <v>7</v>
      </c>
      <c r="P206">
        <f t="shared" si="959"/>
        <v>-0.57255936675461516</v>
      </c>
      <c r="Q206">
        <f t="shared" si="960"/>
        <v>-1942053.2947229475</v>
      </c>
      <c r="R206">
        <f t="shared" si="961"/>
        <v>-262286451.37497205</v>
      </c>
      <c r="S206">
        <f t="shared" si="962"/>
        <v>-2622.8645137497206</v>
      </c>
      <c r="T206">
        <f t="shared" si="963"/>
        <v>-2.6228645137497204</v>
      </c>
    </row>
    <row r="207" spans="1:20" x14ac:dyDescent="0.25">
      <c r="A207" s="5">
        <v>44386</v>
      </c>
      <c r="B207">
        <v>0.42580000000000001</v>
      </c>
      <c r="C207">
        <v>0.47</v>
      </c>
      <c r="D207">
        <v>0.41360000000000002</v>
      </c>
      <c r="E207">
        <v>0.4451</v>
      </c>
      <c r="F207">
        <v>2850977.97</v>
      </c>
      <c r="G207">
        <v>0</v>
      </c>
      <c r="L207" t="s">
        <v>7</v>
      </c>
      <c r="M207" t="s">
        <v>7</v>
      </c>
      <c r="N207" t="s">
        <v>7</v>
      </c>
      <c r="P207">
        <f t="shared" si="959"/>
        <v>0.1170212765957447</v>
      </c>
      <c r="Q207">
        <f t="shared" si="960"/>
        <v>333625.08159574476</v>
      </c>
      <c r="R207">
        <f t="shared" si="961"/>
        <v>-260344398.0802491</v>
      </c>
      <c r="S207">
        <f t="shared" si="962"/>
        <v>-2603.4439808024908</v>
      </c>
      <c r="T207">
        <f t="shared" si="963"/>
        <v>-2.6034439808024907</v>
      </c>
    </row>
    <row r="208" spans="1:20" x14ac:dyDescent="0.25">
      <c r="A208" s="5">
        <v>44385</v>
      </c>
      <c r="B208">
        <v>0.45779999999999998</v>
      </c>
      <c r="C208">
        <v>0.4587</v>
      </c>
      <c r="D208">
        <v>0.42049999999999998</v>
      </c>
      <c r="E208">
        <v>0.42530000000000001</v>
      </c>
      <c r="F208">
        <v>1748222.24</v>
      </c>
      <c r="G208">
        <v>0</v>
      </c>
      <c r="L208" t="s">
        <v>7</v>
      </c>
      <c r="M208" t="s">
        <v>7</v>
      </c>
      <c r="N208" t="s">
        <v>7</v>
      </c>
      <c r="P208">
        <f t="shared" si="959"/>
        <v>-0.74869109947643853</v>
      </c>
      <c r="Q208">
        <f t="shared" si="960"/>
        <v>-1308878.4309947621</v>
      </c>
      <c r="R208">
        <f t="shared" si="961"/>
        <v>-260678023.16184485</v>
      </c>
      <c r="S208">
        <f t="shared" si="962"/>
        <v>-2606.7802316184484</v>
      </c>
      <c r="T208">
        <f t="shared" si="963"/>
        <v>-2.6067802316184485</v>
      </c>
    </row>
    <row r="209" spans="1:20" x14ac:dyDescent="0.25">
      <c r="A209" s="5">
        <v>44384</v>
      </c>
      <c r="B209">
        <v>0.46060000000000001</v>
      </c>
      <c r="C209">
        <v>0.47960000000000003</v>
      </c>
      <c r="D209">
        <v>0.45500000000000002</v>
      </c>
      <c r="E209">
        <v>0.4577</v>
      </c>
      <c r="F209">
        <v>2433686.89</v>
      </c>
      <c r="G209">
        <v>0</v>
      </c>
      <c r="L209" t="s">
        <v>8</v>
      </c>
      <c r="M209" t="s">
        <v>8</v>
      </c>
      <c r="N209" t="s">
        <v>7</v>
      </c>
      <c r="P209">
        <f t="shared" si="959"/>
        <v>-0.78048780487805047</v>
      </c>
      <c r="Q209">
        <f t="shared" si="960"/>
        <v>-1899462.9385365895</v>
      </c>
      <c r="R209">
        <f t="shared" si="961"/>
        <v>-259369144.7308501</v>
      </c>
      <c r="S209">
        <f t="shared" si="962"/>
        <v>-2593.6914473085012</v>
      </c>
      <c r="T209">
        <f t="shared" si="963"/>
        <v>-2.5936914473085011</v>
      </c>
    </row>
    <row r="210" spans="1:20" x14ac:dyDescent="0.25">
      <c r="A210" s="5">
        <v>44383</v>
      </c>
      <c r="B210">
        <v>0.46200000000000002</v>
      </c>
      <c r="C210">
        <v>0.47539999999999999</v>
      </c>
      <c r="D210">
        <v>0.44890000000000002</v>
      </c>
      <c r="E210">
        <v>0.45900000000000002</v>
      </c>
      <c r="F210">
        <v>1927535.96</v>
      </c>
      <c r="G210">
        <v>0</v>
      </c>
      <c r="L210" t="s">
        <v>8</v>
      </c>
      <c r="M210" t="s">
        <v>8</v>
      </c>
      <c r="N210" t="s">
        <v>7</v>
      </c>
      <c r="P210">
        <f t="shared" si="959"/>
        <v>-0.23773584905660303</v>
      </c>
      <c r="Q210">
        <f t="shared" si="960"/>
        <v>-458244.39803773438</v>
      </c>
      <c r="R210">
        <f t="shared" si="961"/>
        <v>-257469681.79231352</v>
      </c>
      <c r="S210">
        <f t="shared" si="962"/>
        <v>-2574.6968179231353</v>
      </c>
      <c r="T210">
        <f t="shared" si="963"/>
        <v>-2.5746968179231353</v>
      </c>
    </row>
    <row r="211" spans="1:20" x14ac:dyDescent="0.25">
      <c r="A211" s="5">
        <v>44382</v>
      </c>
      <c r="B211">
        <v>0.46710000000000002</v>
      </c>
      <c r="C211">
        <v>0.46970000000000001</v>
      </c>
      <c r="D211">
        <v>0.43640000000000001</v>
      </c>
      <c r="E211">
        <v>0.46300000000000002</v>
      </c>
      <c r="F211">
        <v>2642069.8199999998</v>
      </c>
      <c r="G211">
        <v>0</v>
      </c>
      <c r="L211" t="s">
        <v>7</v>
      </c>
      <c r="M211" t="s">
        <v>8</v>
      </c>
      <c r="N211" t="s">
        <v>7</v>
      </c>
      <c r="P211">
        <f t="shared" si="959"/>
        <v>0.59759759759759856</v>
      </c>
      <c r="Q211">
        <f t="shared" si="960"/>
        <v>1578894.5771171195</v>
      </c>
      <c r="R211">
        <f t="shared" si="961"/>
        <v>-257011437.39427578</v>
      </c>
      <c r="S211">
        <f t="shared" si="962"/>
        <v>-2570.114373942758</v>
      </c>
      <c r="T211">
        <f t="shared" si="963"/>
        <v>-2.5701143739427579</v>
      </c>
    </row>
    <row r="212" spans="1:20" x14ac:dyDescent="0.25">
      <c r="A212" s="5">
        <v>44381</v>
      </c>
      <c r="B212">
        <v>0.45900000000000002</v>
      </c>
      <c r="C212">
        <v>0.52</v>
      </c>
      <c r="D212">
        <v>0.4486</v>
      </c>
      <c r="E212">
        <v>0.46710000000000002</v>
      </c>
      <c r="F212">
        <v>8459588.3300000001</v>
      </c>
      <c r="G212">
        <v>0</v>
      </c>
      <c r="L212" t="s">
        <v>8</v>
      </c>
      <c r="M212" t="s">
        <v>8</v>
      </c>
      <c r="N212" t="s">
        <v>7</v>
      </c>
      <c r="P212">
        <f t="shared" si="959"/>
        <v>-0.48179271708683441</v>
      </c>
      <c r="Q212">
        <f t="shared" si="960"/>
        <v>-4075768.0469467761</v>
      </c>
      <c r="R212">
        <f t="shared" si="961"/>
        <v>-258590331.9713929</v>
      </c>
      <c r="S212">
        <f t="shared" si="962"/>
        <v>-2585.9033197139288</v>
      </c>
      <c r="T212">
        <f t="shared" si="963"/>
        <v>-2.5859033197139287</v>
      </c>
    </row>
    <row r="213" spans="1:20" x14ac:dyDescent="0.25">
      <c r="A213" s="5">
        <v>44380</v>
      </c>
      <c r="B213">
        <v>0.43780000000000002</v>
      </c>
      <c r="C213">
        <v>0.4758</v>
      </c>
      <c r="D213">
        <v>0.42749999999999999</v>
      </c>
      <c r="E213">
        <v>0.45900000000000002</v>
      </c>
      <c r="F213">
        <v>2177827.48</v>
      </c>
      <c r="G213">
        <v>0</v>
      </c>
      <c r="L213" t="s">
        <v>8</v>
      </c>
      <c r="M213" t="s">
        <v>8</v>
      </c>
      <c r="N213" t="s">
        <v>7</v>
      </c>
      <c r="P213">
        <f t="shared" si="959"/>
        <v>0.30434782608695743</v>
      </c>
      <c r="Q213">
        <f t="shared" si="960"/>
        <v>662817.05913043674</v>
      </c>
      <c r="R213">
        <f t="shared" si="961"/>
        <v>-254514563.92444614</v>
      </c>
      <c r="S213">
        <f t="shared" si="962"/>
        <v>-2545.1456392444616</v>
      </c>
      <c r="T213">
        <f t="shared" si="963"/>
        <v>-2.5451456392444616</v>
      </c>
    </row>
    <row r="214" spans="1:20" x14ac:dyDescent="0.25">
      <c r="A214" s="5">
        <v>44379</v>
      </c>
      <c r="B214">
        <v>0.43519999999999998</v>
      </c>
      <c r="C214">
        <v>0.4405</v>
      </c>
      <c r="D214">
        <v>0.4158</v>
      </c>
      <c r="E214">
        <v>0.43780000000000002</v>
      </c>
      <c r="F214">
        <v>1768836.79</v>
      </c>
      <c r="G214">
        <v>0</v>
      </c>
      <c r="L214" t="s">
        <v>7</v>
      </c>
      <c r="M214" t="s">
        <v>8</v>
      </c>
      <c r="N214" t="s">
        <v>7</v>
      </c>
      <c r="P214">
        <f t="shared" si="959"/>
        <v>0.78137651821862508</v>
      </c>
      <c r="Q214">
        <f t="shared" si="960"/>
        <v>1382127.5322672094</v>
      </c>
      <c r="R214">
        <f t="shared" si="961"/>
        <v>-255177380.98357657</v>
      </c>
      <c r="S214">
        <f t="shared" si="962"/>
        <v>-2551.7738098357659</v>
      </c>
      <c r="T214">
        <f t="shared" si="963"/>
        <v>-2.5517738098357658</v>
      </c>
    </row>
    <row r="215" spans="1:20" x14ac:dyDescent="0.25">
      <c r="A215" s="5">
        <v>44378</v>
      </c>
      <c r="B215">
        <v>0.4657</v>
      </c>
      <c r="C215">
        <v>0.46579999999999999</v>
      </c>
      <c r="D215">
        <v>0.41899999999999998</v>
      </c>
      <c r="E215">
        <v>0.434</v>
      </c>
      <c r="F215">
        <v>1961755.09</v>
      </c>
      <c r="G215">
        <v>0</v>
      </c>
      <c r="L215" t="s">
        <v>7</v>
      </c>
      <c r="M215" t="s">
        <v>8</v>
      </c>
      <c r="N215" t="s">
        <v>7</v>
      </c>
      <c r="P215">
        <f t="shared" si="959"/>
        <v>-0.35897435897435853</v>
      </c>
      <c r="Q215">
        <f t="shared" si="960"/>
        <v>-704219.77589743503</v>
      </c>
      <c r="R215">
        <f t="shared" si="961"/>
        <v>-256559508.51584378</v>
      </c>
      <c r="S215">
        <f t="shared" si="962"/>
        <v>-2565.595085158438</v>
      </c>
      <c r="T215">
        <f t="shared" si="963"/>
        <v>-2.5655950851584381</v>
      </c>
    </row>
    <row r="216" spans="1:20" x14ac:dyDescent="0.25">
      <c r="A216" s="5">
        <v>44377</v>
      </c>
      <c r="B216">
        <v>0.47089999999999999</v>
      </c>
      <c r="C216">
        <v>0.47449999999999998</v>
      </c>
      <c r="D216">
        <v>0.43669999999999998</v>
      </c>
      <c r="E216">
        <v>0.46579999999999999</v>
      </c>
      <c r="F216">
        <v>1715194.84</v>
      </c>
      <c r="G216">
        <v>0</v>
      </c>
      <c r="L216" t="s">
        <v>7</v>
      </c>
      <c r="M216" t="s">
        <v>8</v>
      </c>
      <c r="N216" t="s">
        <v>7</v>
      </c>
      <c r="P216">
        <f t="shared" si="959"/>
        <v>0.53968253968254043</v>
      </c>
      <c r="Q216">
        <f t="shared" si="960"/>
        <v>925660.70730158861</v>
      </c>
      <c r="R216">
        <f t="shared" si="961"/>
        <v>-255855288.73994634</v>
      </c>
      <c r="S216">
        <f t="shared" si="962"/>
        <v>-2558.5528873994635</v>
      </c>
      <c r="T216">
        <f t="shared" si="963"/>
        <v>-2.5585528873994634</v>
      </c>
    </row>
    <row r="217" spans="1:20" x14ac:dyDescent="0.25">
      <c r="A217" s="5">
        <v>44376</v>
      </c>
      <c r="B217">
        <v>0.4506</v>
      </c>
      <c r="C217">
        <v>0.49230000000000002</v>
      </c>
      <c r="D217">
        <v>0.45</v>
      </c>
      <c r="E217">
        <v>0.47089999999999999</v>
      </c>
      <c r="F217">
        <v>3248818.31</v>
      </c>
      <c r="G217">
        <v>0</v>
      </c>
      <c r="L217" t="s">
        <v>8</v>
      </c>
      <c r="M217" t="s">
        <v>8</v>
      </c>
      <c r="N217" t="s">
        <v>7</v>
      </c>
      <c r="P217">
        <f t="shared" si="959"/>
        <v>-1.1820330969268461E-2</v>
      </c>
      <c r="Q217">
        <f t="shared" si="960"/>
        <v>-38402.107683219423</v>
      </c>
      <c r="R217">
        <f t="shared" si="961"/>
        <v>-256780949.44724792</v>
      </c>
      <c r="S217">
        <f t="shared" si="962"/>
        <v>-2567.8094944724794</v>
      </c>
      <c r="T217">
        <f t="shared" si="963"/>
        <v>-2.5678094944724794</v>
      </c>
    </row>
    <row r="218" spans="1:20" x14ac:dyDescent="0.25">
      <c r="A218" s="5">
        <v>44375</v>
      </c>
      <c r="B218">
        <v>0.44800000000000001</v>
      </c>
      <c r="C218">
        <v>0.4617</v>
      </c>
      <c r="D218">
        <v>0.433</v>
      </c>
      <c r="E218">
        <v>0.45119999999999999</v>
      </c>
      <c r="F218">
        <v>2739661.91</v>
      </c>
      <c r="G218">
        <v>0</v>
      </c>
      <c r="L218" t="s">
        <v>8</v>
      </c>
      <c r="M218" t="s">
        <v>7</v>
      </c>
      <c r="N218" t="s">
        <v>7</v>
      </c>
      <c r="P218">
        <f t="shared" si="959"/>
        <v>0.26829268292682873</v>
      </c>
      <c r="Q218">
        <f t="shared" si="960"/>
        <v>735031.24414634006</v>
      </c>
      <c r="R218">
        <f t="shared" si="961"/>
        <v>-256742547.33956471</v>
      </c>
      <c r="S218">
        <f t="shared" si="962"/>
        <v>-2567.4254733956473</v>
      </c>
      <c r="T218">
        <f t="shared" si="963"/>
        <v>-2.5674254733956472</v>
      </c>
    </row>
    <row r="219" spans="1:20" x14ac:dyDescent="0.25">
      <c r="A219" s="5">
        <v>44374</v>
      </c>
      <c r="B219">
        <v>0.43690000000000001</v>
      </c>
      <c r="C219">
        <v>0.46089999999999998</v>
      </c>
      <c r="D219">
        <v>0.41539999999999999</v>
      </c>
      <c r="E219">
        <v>0.44800000000000001</v>
      </c>
      <c r="F219">
        <v>1905073.31</v>
      </c>
      <c r="G219">
        <v>0</v>
      </c>
      <c r="L219" t="s">
        <v>8</v>
      </c>
      <c r="M219" t="s">
        <v>7</v>
      </c>
      <c r="N219" t="s">
        <v>7</v>
      </c>
      <c r="P219">
        <f t="shared" si="959"/>
        <v>0.4329670329670342</v>
      </c>
      <c r="Q219">
        <f t="shared" si="960"/>
        <v>824833.93861538696</v>
      </c>
      <c r="R219">
        <f t="shared" si="961"/>
        <v>-257477578.58371106</v>
      </c>
      <c r="S219">
        <f t="shared" si="962"/>
        <v>-2574.7757858371106</v>
      </c>
      <c r="T219">
        <f t="shared" si="963"/>
        <v>-2.5747757858371108</v>
      </c>
    </row>
    <row r="220" spans="1:20" x14ac:dyDescent="0.25">
      <c r="A220" s="5">
        <v>44373</v>
      </c>
      <c r="B220">
        <v>0.42830000000000001</v>
      </c>
      <c r="C220">
        <v>0.4486</v>
      </c>
      <c r="D220">
        <v>0.4052</v>
      </c>
      <c r="E220">
        <v>0.43690000000000001</v>
      </c>
      <c r="F220">
        <v>1663405.5</v>
      </c>
      <c r="G220">
        <v>0</v>
      </c>
      <c r="L220" t="s">
        <v>7</v>
      </c>
      <c r="M220" t="s">
        <v>7</v>
      </c>
      <c r="N220" t="s">
        <v>7</v>
      </c>
      <c r="P220">
        <f t="shared" si="959"/>
        <v>0.46082949308755805</v>
      </c>
      <c r="Q220">
        <f t="shared" si="960"/>
        <v>766546.31336405606</v>
      </c>
      <c r="R220">
        <f t="shared" si="961"/>
        <v>-258302412.52232644</v>
      </c>
      <c r="S220">
        <f t="shared" si="962"/>
        <v>-2583.0241252232645</v>
      </c>
      <c r="T220">
        <f t="shared" si="963"/>
        <v>-2.5830241252232646</v>
      </c>
    </row>
    <row r="221" spans="1:20" x14ac:dyDescent="0.25">
      <c r="A221" s="5">
        <v>44372</v>
      </c>
      <c r="B221">
        <v>0.49</v>
      </c>
      <c r="C221">
        <v>0.50239999999999996</v>
      </c>
      <c r="D221">
        <v>0.42570000000000002</v>
      </c>
      <c r="E221">
        <v>0.42909999999999998</v>
      </c>
      <c r="F221">
        <v>1727249.24</v>
      </c>
      <c r="G221">
        <v>0</v>
      </c>
      <c r="L221" t="s">
        <v>7</v>
      </c>
      <c r="M221" t="s">
        <v>7</v>
      </c>
      <c r="N221" t="s">
        <v>7</v>
      </c>
      <c r="P221">
        <f t="shared" si="959"/>
        <v>-0.91134289439374283</v>
      </c>
      <c r="Q221">
        <f t="shared" si="960"/>
        <v>-1574116.3217209924</v>
      </c>
      <c r="R221">
        <f t="shared" si="961"/>
        <v>-259068958.8356905</v>
      </c>
      <c r="S221">
        <f t="shared" si="962"/>
        <v>-2590.689588356905</v>
      </c>
      <c r="T221">
        <f t="shared" si="963"/>
        <v>-2.5906895883569052</v>
      </c>
    </row>
    <row r="222" spans="1:20" x14ac:dyDescent="0.25">
      <c r="A222" s="5">
        <v>44371</v>
      </c>
      <c r="B222">
        <v>0.4869</v>
      </c>
      <c r="C222">
        <v>0.49730000000000002</v>
      </c>
      <c r="D222">
        <v>0.4526</v>
      </c>
      <c r="E222">
        <v>0.48920000000000002</v>
      </c>
      <c r="F222">
        <v>1757098.65</v>
      </c>
      <c r="G222">
        <v>0</v>
      </c>
      <c r="L222" t="s">
        <v>7</v>
      </c>
      <c r="M222" t="s">
        <v>8</v>
      </c>
      <c r="N222" t="s">
        <v>7</v>
      </c>
      <c r="P222">
        <f t="shared" si="959"/>
        <v>0.63758389261744997</v>
      </c>
      <c r="Q222">
        <f t="shared" si="960"/>
        <v>1120297.7969798662</v>
      </c>
      <c r="R222">
        <f t="shared" si="961"/>
        <v>-257494842.51396951</v>
      </c>
      <c r="S222">
        <f t="shared" si="962"/>
        <v>-2574.9484251396952</v>
      </c>
      <c r="T222">
        <f t="shared" si="963"/>
        <v>-2.5749484251396955</v>
      </c>
    </row>
    <row r="223" spans="1:20" x14ac:dyDescent="0.25">
      <c r="A223" s="5">
        <v>44370</v>
      </c>
      <c r="B223">
        <v>0.44569999999999999</v>
      </c>
      <c r="C223">
        <v>0.51990000000000003</v>
      </c>
      <c r="D223">
        <v>0.42309999999999998</v>
      </c>
      <c r="E223">
        <v>0.48449999999999999</v>
      </c>
      <c r="F223">
        <v>2360376.27</v>
      </c>
      <c r="G223">
        <v>0</v>
      </c>
      <c r="L223" t="s">
        <v>8</v>
      </c>
      <c r="M223" t="s">
        <v>8</v>
      </c>
      <c r="N223" t="s">
        <v>7</v>
      </c>
      <c r="P223">
        <f t="shared" si="959"/>
        <v>0.26859504132231354</v>
      </c>
      <c r="Q223">
        <f t="shared" si="960"/>
        <v>633985.36177685834</v>
      </c>
      <c r="R223">
        <f t="shared" si="961"/>
        <v>-258615140.31094939</v>
      </c>
      <c r="S223">
        <f t="shared" si="962"/>
        <v>-2586.1514031094939</v>
      </c>
      <c r="T223">
        <f t="shared" si="963"/>
        <v>-2.5861514031094939</v>
      </c>
    </row>
    <row r="224" spans="1:20" x14ac:dyDescent="0.25">
      <c r="A224" s="5">
        <v>44369</v>
      </c>
      <c r="B224">
        <v>0.50170000000000003</v>
      </c>
      <c r="C224">
        <v>0.52800000000000002</v>
      </c>
      <c r="D224">
        <v>0.38890000000000002</v>
      </c>
      <c r="E224">
        <v>0.4461</v>
      </c>
      <c r="F224">
        <v>6162024.7800000003</v>
      </c>
      <c r="G224">
        <v>0</v>
      </c>
      <c r="L224" t="s">
        <v>7</v>
      </c>
      <c r="M224" t="s">
        <v>7</v>
      </c>
      <c r="N224" t="s">
        <v>7</v>
      </c>
      <c r="P224">
        <f t="shared" si="959"/>
        <v>-0.17757009345794433</v>
      </c>
      <c r="Q224">
        <f t="shared" si="960"/>
        <v>-1094191.316074769</v>
      </c>
      <c r="R224">
        <f t="shared" si="961"/>
        <v>-259249125.67272624</v>
      </c>
      <c r="S224">
        <f t="shared" si="962"/>
        <v>-2592.4912567272622</v>
      </c>
      <c r="T224">
        <f t="shared" si="963"/>
        <v>-2.5924912567272624</v>
      </c>
    </row>
    <row r="225" spans="1:20" x14ac:dyDescent="0.25">
      <c r="A225" s="5">
        <v>44368</v>
      </c>
      <c r="B225">
        <v>0.63570000000000004</v>
      </c>
      <c r="C225">
        <v>0.63959999999999995</v>
      </c>
      <c r="D225">
        <v>0.50170000000000003</v>
      </c>
      <c r="E225">
        <v>0.50449999999999995</v>
      </c>
      <c r="F225">
        <v>3370671.55</v>
      </c>
      <c r="G225">
        <v>0</v>
      </c>
      <c r="L225" t="s">
        <v>7</v>
      </c>
      <c r="M225" t="s">
        <v>7</v>
      </c>
      <c r="N225" t="s">
        <v>7</v>
      </c>
      <c r="P225">
        <f t="shared" si="959"/>
        <v>-0.95939086294416365</v>
      </c>
      <c r="Q225">
        <f t="shared" si="960"/>
        <v>-3233791.4870558414</v>
      </c>
      <c r="R225">
        <f t="shared" si="961"/>
        <v>-258154934.35665148</v>
      </c>
      <c r="S225">
        <f t="shared" si="962"/>
        <v>-2581.5493435665148</v>
      </c>
      <c r="T225">
        <f t="shared" si="963"/>
        <v>-2.5815493435665147</v>
      </c>
    </row>
    <row r="226" spans="1:20" x14ac:dyDescent="0.25">
      <c r="A226" s="5">
        <v>44367</v>
      </c>
      <c r="B226">
        <v>0.64939999999999998</v>
      </c>
      <c r="C226">
        <v>0.66</v>
      </c>
      <c r="D226">
        <v>0.57850000000000001</v>
      </c>
      <c r="E226">
        <v>0.63500000000000001</v>
      </c>
      <c r="F226">
        <v>2618712.75</v>
      </c>
      <c r="G226">
        <v>0</v>
      </c>
      <c r="L226" t="s">
        <v>7</v>
      </c>
      <c r="M226" t="s">
        <v>7</v>
      </c>
      <c r="N226" t="s">
        <v>7</v>
      </c>
      <c r="P226">
        <f t="shared" si="959"/>
        <v>0.38650306748466218</v>
      </c>
      <c r="Q226">
        <f t="shared" si="960"/>
        <v>1012140.5107361953</v>
      </c>
      <c r="R226">
        <f t="shared" si="961"/>
        <v>-254921142.86959565</v>
      </c>
      <c r="S226">
        <f t="shared" si="962"/>
        <v>-2549.2114286959563</v>
      </c>
      <c r="T226">
        <f t="shared" si="963"/>
        <v>-2.5492114286959562</v>
      </c>
    </row>
    <row r="227" spans="1:20" x14ac:dyDescent="0.25">
      <c r="A227" s="5">
        <v>44366</v>
      </c>
      <c r="B227">
        <v>0.66810000000000003</v>
      </c>
      <c r="C227">
        <v>0.68559999999999999</v>
      </c>
      <c r="D227">
        <v>0.64319999999999999</v>
      </c>
      <c r="E227">
        <v>0.64900000000000002</v>
      </c>
      <c r="F227">
        <v>2014948</v>
      </c>
      <c r="G227">
        <v>0</v>
      </c>
      <c r="L227" t="s">
        <v>7</v>
      </c>
      <c r="M227" t="s">
        <v>7</v>
      </c>
      <c r="N227" t="s">
        <v>7</v>
      </c>
      <c r="P227">
        <f t="shared" si="959"/>
        <v>-0.72641509433962126</v>
      </c>
      <c r="Q227">
        <f t="shared" si="960"/>
        <v>-1463688.6415094312</v>
      </c>
      <c r="R227">
        <f t="shared" si="961"/>
        <v>-255933283.38033184</v>
      </c>
      <c r="S227">
        <f t="shared" si="962"/>
        <v>-2559.3328338033184</v>
      </c>
      <c r="T227">
        <f t="shared" si="963"/>
        <v>-2.5593328338033183</v>
      </c>
    </row>
    <row r="228" spans="1:20" x14ac:dyDescent="0.25">
      <c r="A228" s="5">
        <v>44365</v>
      </c>
      <c r="B228">
        <v>0.71540000000000004</v>
      </c>
      <c r="C228">
        <v>0.72860000000000003</v>
      </c>
      <c r="D228">
        <v>0.64300000000000002</v>
      </c>
      <c r="E228">
        <v>0.66669999999999996</v>
      </c>
      <c r="F228">
        <v>2576050.71</v>
      </c>
      <c r="G228">
        <v>0</v>
      </c>
      <c r="L228" t="s">
        <v>7</v>
      </c>
      <c r="M228" t="s">
        <v>7</v>
      </c>
      <c r="N228" t="s">
        <v>7</v>
      </c>
      <c r="P228">
        <f t="shared" si="959"/>
        <v>-0.44626168224299206</v>
      </c>
      <c r="Q228">
        <f t="shared" si="960"/>
        <v>-1149592.7233878542</v>
      </c>
      <c r="R228">
        <f t="shared" si="961"/>
        <v>-254469594.7388224</v>
      </c>
      <c r="S228">
        <f t="shared" si="962"/>
        <v>-2544.6959473882239</v>
      </c>
      <c r="T228">
        <f t="shared" si="963"/>
        <v>-2.5446959473882238</v>
      </c>
    </row>
    <row r="229" spans="1:20" x14ac:dyDescent="0.25">
      <c r="A229" s="5">
        <v>44364</v>
      </c>
      <c r="B229">
        <v>0.70850000000000002</v>
      </c>
      <c r="C229">
        <v>0.77229999999999999</v>
      </c>
      <c r="D229">
        <v>0.7</v>
      </c>
      <c r="E229">
        <v>0.71330000000000005</v>
      </c>
      <c r="F229">
        <v>3186904.5</v>
      </c>
      <c r="G229">
        <v>0</v>
      </c>
      <c r="L229" t="s">
        <v>8</v>
      </c>
      <c r="M229" t="s">
        <v>8</v>
      </c>
      <c r="N229" t="s">
        <v>7</v>
      </c>
      <c r="P229">
        <f t="shared" si="959"/>
        <v>-0.63208852005532268</v>
      </c>
      <c r="Q229">
        <f t="shared" si="960"/>
        <v>-2014405.748962648</v>
      </c>
      <c r="R229">
        <f t="shared" si="961"/>
        <v>-253320002.01543453</v>
      </c>
      <c r="S229">
        <f t="shared" si="962"/>
        <v>-2533.2000201543451</v>
      </c>
      <c r="T229">
        <f t="shared" si="963"/>
        <v>-2.5332000201543452</v>
      </c>
    </row>
    <row r="230" spans="1:20" x14ac:dyDescent="0.25">
      <c r="A230" s="5">
        <v>44363</v>
      </c>
      <c r="B230">
        <v>0.71660000000000001</v>
      </c>
      <c r="C230">
        <v>0.78710000000000002</v>
      </c>
      <c r="D230">
        <v>0.69799999999999995</v>
      </c>
      <c r="E230">
        <v>0.70850000000000002</v>
      </c>
      <c r="F230">
        <v>5678786.7699999996</v>
      </c>
      <c r="G230">
        <v>0</v>
      </c>
      <c r="L230" t="s">
        <v>7</v>
      </c>
      <c r="M230" t="s">
        <v>8</v>
      </c>
      <c r="N230" t="s">
        <v>7</v>
      </c>
      <c r="P230">
        <f t="shared" si="959"/>
        <v>-0.76430976430976305</v>
      </c>
      <c r="Q230">
        <f t="shared" si="960"/>
        <v>-4340352.1777440999</v>
      </c>
      <c r="R230">
        <f t="shared" si="961"/>
        <v>-251305596.26647189</v>
      </c>
      <c r="S230">
        <f t="shared" si="962"/>
        <v>-2513.0559626647191</v>
      </c>
      <c r="T230">
        <f t="shared" si="963"/>
        <v>-2.5130559626647191</v>
      </c>
    </row>
    <row r="231" spans="1:20" x14ac:dyDescent="0.25">
      <c r="A231" s="5">
        <v>44362</v>
      </c>
      <c r="B231">
        <v>0.71089999999999998</v>
      </c>
      <c r="C231">
        <v>0.79069999999999996</v>
      </c>
      <c r="D231">
        <v>0.69699999999999995</v>
      </c>
      <c r="E231">
        <v>0.71679999999999999</v>
      </c>
      <c r="F231">
        <v>6907503.79</v>
      </c>
      <c r="G231">
        <v>0</v>
      </c>
      <c r="L231" t="s">
        <v>8</v>
      </c>
      <c r="M231" t="s">
        <v>8</v>
      </c>
      <c r="N231" t="s">
        <v>7</v>
      </c>
      <c r="P231">
        <f t="shared" si="959"/>
        <v>-0.57737459978655203</v>
      </c>
      <c r="Q231">
        <f t="shared" si="960"/>
        <v>-3988217.2362753414</v>
      </c>
      <c r="R231">
        <f t="shared" si="961"/>
        <v>-246965244.0887278</v>
      </c>
      <c r="S231">
        <f t="shared" si="962"/>
        <v>-2469.6524408872779</v>
      </c>
      <c r="T231">
        <f t="shared" si="963"/>
        <v>-2.4696524408872778</v>
      </c>
    </row>
    <row r="232" spans="1:20" x14ac:dyDescent="0.25">
      <c r="A232" s="5">
        <v>44361</v>
      </c>
      <c r="B232">
        <v>0.65659999999999996</v>
      </c>
      <c r="C232">
        <v>0.72599999999999998</v>
      </c>
      <c r="D232">
        <v>0.64259999999999995</v>
      </c>
      <c r="E232">
        <v>0.71160000000000001</v>
      </c>
      <c r="F232">
        <v>4602448.79</v>
      </c>
      <c r="G232">
        <v>0</v>
      </c>
      <c r="L232" t="s">
        <v>8</v>
      </c>
      <c r="M232" t="s">
        <v>8</v>
      </c>
      <c r="N232" t="s">
        <v>7</v>
      </c>
      <c r="P232">
        <f t="shared" si="959"/>
        <v>0.65467625899280668</v>
      </c>
      <c r="Q232">
        <f t="shared" si="960"/>
        <v>3013113.9560431698</v>
      </c>
      <c r="R232">
        <f t="shared" si="961"/>
        <v>-242977026.85245246</v>
      </c>
      <c r="S232">
        <f t="shared" si="962"/>
        <v>-2429.7702685245245</v>
      </c>
      <c r="T232">
        <f t="shared" si="963"/>
        <v>-2.4297702685245244</v>
      </c>
    </row>
    <row r="233" spans="1:20" x14ac:dyDescent="0.25">
      <c r="A233" s="5">
        <v>44360</v>
      </c>
      <c r="B233">
        <v>0.64590000000000003</v>
      </c>
      <c r="C233">
        <v>0.6804</v>
      </c>
      <c r="D233">
        <v>0.60660000000000003</v>
      </c>
      <c r="E233">
        <v>0.65610000000000002</v>
      </c>
      <c r="F233">
        <v>4136882.19</v>
      </c>
      <c r="G233">
        <v>0</v>
      </c>
      <c r="L233" t="s">
        <v>8</v>
      </c>
      <c r="M233" t="s">
        <v>7</v>
      </c>
      <c r="N233" t="s">
        <v>7</v>
      </c>
      <c r="P233">
        <f t="shared" si="959"/>
        <v>0.34146341463414648</v>
      </c>
      <c r="Q233">
        <f t="shared" si="960"/>
        <v>1412593.918536586</v>
      </c>
      <c r="R233">
        <f t="shared" si="961"/>
        <v>-245990140.80849564</v>
      </c>
      <c r="S233">
        <f t="shared" si="962"/>
        <v>-2459.9014080849565</v>
      </c>
      <c r="T233">
        <f t="shared" si="963"/>
        <v>-2.4599014080849564</v>
      </c>
    </row>
    <row r="234" spans="1:20" x14ac:dyDescent="0.25">
      <c r="A234" s="5">
        <v>44359</v>
      </c>
      <c r="B234">
        <v>0.65890000000000004</v>
      </c>
      <c r="C234">
        <v>0.67800000000000005</v>
      </c>
      <c r="D234">
        <v>0.60329999999999995</v>
      </c>
      <c r="E234">
        <v>0.64600000000000002</v>
      </c>
      <c r="F234">
        <v>3455507.04</v>
      </c>
      <c r="G234">
        <v>0</v>
      </c>
      <c r="L234" t="s">
        <v>7</v>
      </c>
      <c r="M234" t="s">
        <v>7</v>
      </c>
      <c r="N234" t="s">
        <v>7</v>
      </c>
      <c r="P234">
        <f t="shared" si="959"/>
        <v>0.1432396251673364</v>
      </c>
      <c r="Q234">
        <f t="shared" si="960"/>
        <v>494965.53317269211</v>
      </c>
      <c r="R234">
        <f t="shared" si="961"/>
        <v>-247402734.72703221</v>
      </c>
      <c r="S234">
        <f t="shared" si="962"/>
        <v>-2474.027347270322</v>
      </c>
      <c r="T234">
        <f t="shared" si="963"/>
        <v>-2.4740273472703218</v>
      </c>
    </row>
    <row r="235" spans="1:20" x14ac:dyDescent="0.25">
      <c r="A235" s="5">
        <v>44358</v>
      </c>
      <c r="B235">
        <v>0.71850000000000003</v>
      </c>
      <c r="C235">
        <v>0.82799999999999996</v>
      </c>
      <c r="D235">
        <v>0.63339999999999996</v>
      </c>
      <c r="E235">
        <v>0.65890000000000004</v>
      </c>
      <c r="F235">
        <v>12808162.359999999</v>
      </c>
      <c r="G235">
        <v>0</v>
      </c>
      <c r="L235" t="s">
        <v>7</v>
      </c>
      <c r="M235" t="s">
        <v>7</v>
      </c>
      <c r="N235" t="s">
        <v>7</v>
      </c>
      <c r="P235">
        <f t="shared" si="959"/>
        <v>-0.7379239465570393</v>
      </c>
      <c r="Q235">
        <f t="shared" si="960"/>
        <v>-9451449.7168345228</v>
      </c>
      <c r="R235">
        <f t="shared" si="961"/>
        <v>-247897700.26020491</v>
      </c>
      <c r="S235">
        <f t="shared" si="962"/>
        <v>-2478.9770026020492</v>
      </c>
      <c r="T235">
        <f t="shared" si="963"/>
        <v>-2.4789770026020492</v>
      </c>
    </row>
    <row r="236" spans="1:20" x14ac:dyDescent="0.25">
      <c r="A236" s="5">
        <v>44357</v>
      </c>
      <c r="B236">
        <v>0.79390000000000005</v>
      </c>
      <c r="C236">
        <v>0.8</v>
      </c>
      <c r="D236">
        <v>0.7</v>
      </c>
      <c r="E236">
        <v>0.71599999999999997</v>
      </c>
      <c r="F236">
        <v>5453702.4699999997</v>
      </c>
      <c r="G236">
        <v>0</v>
      </c>
      <c r="L236" t="s">
        <v>7</v>
      </c>
      <c r="M236" t="s">
        <v>7</v>
      </c>
      <c r="N236" t="s">
        <v>7</v>
      </c>
      <c r="P236">
        <f t="shared" si="959"/>
        <v>-0.68</v>
      </c>
      <c r="Q236">
        <f t="shared" si="960"/>
        <v>-3708517.6795999999</v>
      </c>
      <c r="R236">
        <f t="shared" si="961"/>
        <v>-238446250.5433704</v>
      </c>
      <c r="S236">
        <f t="shared" si="962"/>
        <v>-2384.4625054337039</v>
      </c>
      <c r="T236">
        <f t="shared" si="963"/>
        <v>-2.3844625054337039</v>
      </c>
    </row>
    <row r="237" spans="1:20" x14ac:dyDescent="0.25">
      <c r="A237" s="5">
        <v>44356</v>
      </c>
      <c r="B237">
        <v>0.79479999999999995</v>
      </c>
      <c r="C237">
        <v>0.83199999999999996</v>
      </c>
      <c r="D237">
        <v>0.74109999999999998</v>
      </c>
      <c r="E237">
        <v>0.79390000000000005</v>
      </c>
      <c r="F237">
        <v>8490497.2100000009</v>
      </c>
      <c r="G237">
        <v>0</v>
      </c>
      <c r="L237" t="s">
        <v>8</v>
      </c>
      <c r="M237" t="s">
        <v>7</v>
      </c>
      <c r="N237" t="s">
        <v>7</v>
      </c>
      <c r="P237">
        <f t="shared" si="959"/>
        <v>0.16171617161716348</v>
      </c>
      <c r="Q237">
        <f t="shared" si="960"/>
        <v>1373050.7039274077</v>
      </c>
      <c r="R237">
        <f t="shared" si="961"/>
        <v>-234737732.8637704</v>
      </c>
      <c r="S237">
        <f t="shared" si="962"/>
        <v>-2347.3773286377041</v>
      </c>
      <c r="T237">
        <f t="shared" si="963"/>
        <v>-2.347377328637704</v>
      </c>
    </row>
    <row r="238" spans="1:20" x14ac:dyDescent="0.25">
      <c r="A238" s="5">
        <v>44355</v>
      </c>
      <c r="B238">
        <v>0.81130000000000002</v>
      </c>
      <c r="C238">
        <v>0.8599</v>
      </c>
      <c r="D238">
        <v>0.72170000000000001</v>
      </c>
      <c r="E238">
        <v>0.79139999999999999</v>
      </c>
      <c r="F238">
        <v>10480039.449999999</v>
      </c>
      <c r="G238">
        <v>0</v>
      </c>
      <c r="L238" t="s">
        <v>7</v>
      </c>
      <c r="M238" t="s">
        <v>7</v>
      </c>
      <c r="N238" t="s">
        <v>7</v>
      </c>
      <c r="P238">
        <f t="shared" si="959"/>
        <v>8.683068017365984E-3</v>
      </c>
      <c r="Q238">
        <f t="shared" si="960"/>
        <v>90998.895369028789</v>
      </c>
      <c r="R238">
        <f t="shared" si="961"/>
        <v>-236110783.56769779</v>
      </c>
      <c r="S238">
        <f t="shared" si="962"/>
        <v>-2361.1078356769781</v>
      </c>
      <c r="T238">
        <f t="shared" si="963"/>
        <v>-2.3611078356769779</v>
      </c>
    </row>
    <row r="239" spans="1:20" x14ac:dyDescent="0.25">
      <c r="A239" s="5">
        <v>44354</v>
      </c>
      <c r="B239">
        <v>0.95269999999999999</v>
      </c>
      <c r="C239">
        <v>0.98329999999999995</v>
      </c>
      <c r="D239">
        <v>0.78879999999999995</v>
      </c>
      <c r="E239">
        <v>0.81140000000000001</v>
      </c>
      <c r="F239">
        <v>10025528.65</v>
      </c>
      <c r="G239">
        <v>0</v>
      </c>
      <c r="L239" t="s">
        <v>7</v>
      </c>
      <c r="M239" t="s">
        <v>7</v>
      </c>
      <c r="N239" t="s">
        <v>7</v>
      </c>
      <c r="P239">
        <f t="shared" si="959"/>
        <v>-0.76760925449871398</v>
      </c>
      <c r="Q239">
        <f t="shared" si="960"/>
        <v>-7695688.5729819983</v>
      </c>
      <c r="R239">
        <f t="shared" si="961"/>
        <v>-236201782.46306682</v>
      </c>
      <c r="S239">
        <f t="shared" si="962"/>
        <v>-2362.0178246306682</v>
      </c>
      <c r="T239">
        <f t="shared" si="963"/>
        <v>-2.362017824630668</v>
      </c>
    </row>
    <row r="240" spans="1:20" x14ac:dyDescent="0.25">
      <c r="A240" s="5">
        <v>44353</v>
      </c>
      <c r="B240">
        <v>0.91649999999999998</v>
      </c>
      <c r="C240">
        <v>1.125</v>
      </c>
      <c r="D240">
        <v>0.87</v>
      </c>
      <c r="E240">
        <v>0.95330000000000004</v>
      </c>
      <c r="F240">
        <v>26807470.43</v>
      </c>
      <c r="G240">
        <v>0</v>
      </c>
      <c r="L240" t="s">
        <v>8</v>
      </c>
      <c r="M240" t="s">
        <v>8</v>
      </c>
      <c r="N240" t="s">
        <v>7</v>
      </c>
      <c r="P240">
        <f t="shared" si="959"/>
        <v>-0.34666666666666635</v>
      </c>
      <c r="Q240">
        <f t="shared" si="960"/>
        <v>-9293256.4157333244</v>
      </c>
      <c r="R240">
        <f t="shared" si="961"/>
        <v>-228506093.8900848</v>
      </c>
      <c r="S240">
        <f t="shared" si="962"/>
        <v>-2285.0609389008482</v>
      </c>
      <c r="T240">
        <f t="shared" si="963"/>
        <v>-2.2850609389008483</v>
      </c>
    </row>
    <row r="241" spans="1:20" x14ac:dyDescent="0.25">
      <c r="A241" s="5">
        <v>44352</v>
      </c>
      <c r="B241">
        <v>0.94730000000000003</v>
      </c>
      <c r="C241">
        <v>1.0210999999999999</v>
      </c>
      <c r="D241">
        <v>0.88219999999999998</v>
      </c>
      <c r="E241">
        <v>0.91390000000000005</v>
      </c>
      <c r="F241">
        <v>13419159.34</v>
      </c>
      <c r="G241">
        <v>0</v>
      </c>
      <c r="L241" t="s">
        <v>8</v>
      </c>
      <c r="M241" t="s">
        <v>7</v>
      </c>
      <c r="N241" t="s">
        <v>7</v>
      </c>
      <c r="P241">
        <f t="shared" si="959"/>
        <v>-0.54355651547876049</v>
      </c>
      <c r="Q241">
        <f t="shared" si="960"/>
        <v>-7294071.4915046636</v>
      </c>
      <c r="R241">
        <f t="shared" si="961"/>
        <v>-219212837.47435147</v>
      </c>
      <c r="S241">
        <f t="shared" si="962"/>
        <v>-2192.1283747435145</v>
      </c>
      <c r="T241">
        <f t="shared" si="963"/>
        <v>-2.1921283747435147</v>
      </c>
    </row>
    <row r="242" spans="1:20" x14ac:dyDescent="0.25">
      <c r="A242" s="5">
        <v>44351</v>
      </c>
      <c r="B242">
        <v>1.0096000000000001</v>
      </c>
      <c r="C242">
        <v>1.0879000000000001</v>
      </c>
      <c r="D242">
        <v>0.87109999999999999</v>
      </c>
      <c r="E242">
        <v>0.94530000000000003</v>
      </c>
      <c r="F242">
        <v>31206331.260000002</v>
      </c>
      <c r="G242">
        <v>0</v>
      </c>
      <c r="L242" t="s">
        <v>7</v>
      </c>
      <c r="M242" t="s">
        <v>7</v>
      </c>
      <c r="N242" t="s">
        <v>7</v>
      </c>
      <c r="P242">
        <f t="shared" si="959"/>
        <v>-0.31549815498154976</v>
      </c>
      <c r="Q242">
        <f t="shared" si="960"/>
        <v>-9845539.9362730607</v>
      </c>
      <c r="R242">
        <f t="shared" si="961"/>
        <v>-211918765.9828468</v>
      </c>
      <c r="S242">
        <f t="shared" si="962"/>
        <v>-2119.187659828468</v>
      </c>
      <c r="T242">
        <f t="shared" si="963"/>
        <v>-2.119187659828468</v>
      </c>
    </row>
    <row r="243" spans="1:20" x14ac:dyDescent="0.25">
      <c r="A243" s="5">
        <v>44350</v>
      </c>
      <c r="B243">
        <v>0.92989999999999995</v>
      </c>
      <c r="C243">
        <v>1.25</v>
      </c>
      <c r="D243">
        <v>0.92279999999999995</v>
      </c>
      <c r="E243">
        <v>1.0096000000000001</v>
      </c>
      <c r="F243">
        <v>77683076.900000006</v>
      </c>
      <c r="G243">
        <v>0</v>
      </c>
      <c r="L243" t="s">
        <v>8</v>
      </c>
      <c r="M243" t="s">
        <v>8</v>
      </c>
      <c r="N243" t="s">
        <v>8</v>
      </c>
      <c r="P243">
        <f t="shared" si="959"/>
        <v>-0.46943765281173538</v>
      </c>
      <c r="Q243">
        <f t="shared" si="960"/>
        <v>-36467361.283129543</v>
      </c>
      <c r="R243">
        <f t="shared" si="961"/>
        <v>-202073226.04657373</v>
      </c>
      <c r="S243">
        <f t="shared" si="962"/>
        <v>-2020.7322604657372</v>
      </c>
      <c r="T243">
        <f t="shared" si="963"/>
        <v>-2.0207322604657372</v>
      </c>
    </row>
    <row r="244" spans="1:20" x14ac:dyDescent="0.25">
      <c r="A244" s="5">
        <v>44349</v>
      </c>
      <c r="B244">
        <v>0.76239999999999997</v>
      </c>
      <c r="C244">
        <v>1.1649</v>
      </c>
      <c r="D244">
        <v>0.7167</v>
      </c>
      <c r="E244">
        <v>0.93420000000000003</v>
      </c>
      <c r="F244">
        <v>58300751.950000003</v>
      </c>
      <c r="G244">
        <v>0</v>
      </c>
      <c r="L244" t="s">
        <v>7</v>
      </c>
      <c r="M244" t="s">
        <v>8</v>
      </c>
      <c r="N244" t="s">
        <v>8</v>
      </c>
      <c r="P244">
        <f t="shared" si="959"/>
        <v>-2.9451137884872799E-2</v>
      </c>
      <c r="Q244">
        <f t="shared" si="960"/>
        <v>-1717023.4844712168</v>
      </c>
      <c r="R244">
        <f t="shared" si="961"/>
        <v>-165605864.76344419</v>
      </c>
      <c r="S244">
        <f t="shared" si="962"/>
        <v>-1656.0586476344417</v>
      </c>
      <c r="T244">
        <f t="shared" si="963"/>
        <v>-1.6560586476344417</v>
      </c>
    </row>
    <row r="245" spans="1:20" x14ac:dyDescent="0.25">
      <c r="A245" s="5">
        <v>44348</v>
      </c>
      <c r="B245">
        <v>0.83460000000000001</v>
      </c>
      <c r="C245">
        <v>0.85980000000000001</v>
      </c>
      <c r="D245">
        <v>0.73699999999999999</v>
      </c>
      <c r="E245">
        <v>0.76249999999999996</v>
      </c>
      <c r="F245">
        <v>11769041.470000001</v>
      </c>
      <c r="G245">
        <v>0</v>
      </c>
      <c r="L245" t="s">
        <v>7</v>
      </c>
      <c r="M245" t="s">
        <v>7</v>
      </c>
      <c r="N245" t="s">
        <v>8</v>
      </c>
      <c r="P245">
        <f t="shared" si="959"/>
        <v>-0.58469055374592893</v>
      </c>
      <c r="Q245">
        <f t="shared" si="960"/>
        <v>-6881247.3741531018</v>
      </c>
      <c r="R245">
        <f t="shared" si="961"/>
        <v>-163888841.27897295</v>
      </c>
      <c r="S245">
        <f t="shared" si="962"/>
        <v>-1638.8884127897295</v>
      </c>
      <c r="T245">
        <f t="shared" si="963"/>
        <v>-1.6388884127897294</v>
      </c>
    </row>
    <row r="246" spans="1:20" x14ac:dyDescent="0.25">
      <c r="A246" s="5">
        <v>44347</v>
      </c>
      <c r="B246">
        <v>0.78549999999999998</v>
      </c>
      <c r="C246">
        <v>0.98</v>
      </c>
      <c r="D246">
        <v>0.75070000000000003</v>
      </c>
      <c r="E246">
        <v>0.83220000000000005</v>
      </c>
      <c r="F246">
        <v>50318272.780000001</v>
      </c>
      <c r="G246">
        <v>0</v>
      </c>
      <c r="L246" t="s">
        <v>8</v>
      </c>
      <c r="M246" t="s">
        <v>8</v>
      </c>
      <c r="N246" t="s">
        <v>8</v>
      </c>
      <c r="P246">
        <f t="shared" si="959"/>
        <v>-0.2891408634976011</v>
      </c>
      <c r="Q246">
        <f t="shared" si="960"/>
        <v>-14549068.841317037</v>
      </c>
      <c r="R246">
        <f t="shared" si="961"/>
        <v>-157007593.90481985</v>
      </c>
      <c r="S246">
        <f t="shared" si="962"/>
        <v>-1570.0759390481985</v>
      </c>
      <c r="T246">
        <f t="shared" si="963"/>
        <v>-1.5700759390481984</v>
      </c>
    </row>
    <row r="247" spans="1:20" x14ac:dyDescent="0.25">
      <c r="A247" s="5">
        <v>44346</v>
      </c>
      <c r="B247">
        <v>0.59560000000000002</v>
      </c>
      <c r="C247">
        <v>0.93500000000000005</v>
      </c>
      <c r="D247">
        <v>0.56669999999999998</v>
      </c>
      <c r="E247">
        <v>0.78500000000000003</v>
      </c>
      <c r="F247">
        <v>70945901.579999998</v>
      </c>
      <c r="G247">
        <v>0</v>
      </c>
      <c r="L247" t="s">
        <v>8</v>
      </c>
      <c r="M247" t="s">
        <v>8</v>
      </c>
      <c r="N247" t="s">
        <v>8</v>
      </c>
      <c r="P247">
        <f t="shared" si="959"/>
        <v>0.18544664675536252</v>
      </c>
      <c r="Q247">
        <f t="shared" si="960"/>
        <v>13156679.549046975</v>
      </c>
      <c r="R247">
        <f t="shared" si="961"/>
        <v>-142458525.06350282</v>
      </c>
      <c r="S247">
        <f t="shared" si="962"/>
        <v>-1424.5852506350282</v>
      </c>
      <c r="T247">
        <f t="shared" si="963"/>
        <v>-1.4245852506350281</v>
      </c>
    </row>
    <row r="248" spans="1:20" x14ac:dyDescent="0.25">
      <c r="A248" s="5">
        <v>44345</v>
      </c>
      <c r="B248">
        <v>0.62819999999999998</v>
      </c>
      <c r="C248">
        <v>0.66249999999999998</v>
      </c>
      <c r="D248">
        <v>0.55530000000000002</v>
      </c>
      <c r="E248">
        <v>0.59809999999999997</v>
      </c>
      <c r="F248">
        <v>3767757.79</v>
      </c>
      <c r="G248">
        <v>0</v>
      </c>
      <c r="L248" t="s">
        <v>8</v>
      </c>
      <c r="M248" t="s">
        <v>7</v>
      </c>
      <c r="N248" t="s">
        <v>8</v>
      </c>
      <c r="P248">
        <f t="shared" si="959"/>
        <v>-0.2014925373134335</v>
      </c>
      <c r="Q248">
        <f t="shared" si="960"/>
        <v>-759175.07708955475</v>
      </c>
      <c r="R248">
        <f t="shared" si="961"/>
        <v>-155615204.61254978</v>
      </c>
      <c r="S248">
        <f t="shared" si="962"/>
        <v>-1556.1520461254979</v>
      </c>
      <c r="T248">
        <f t="shared" si="963"/>
        <v>-1.5561520461254978</v>
      </c>
    </row>
    <row r="249" spans="1:20" x14ac:dyDescent="0.25">
      <c r="A249" s="5">
        <v>44344</v>
      </c>
      <c r="B249">
        <v>0.66059999999999997</v>
      </c>
      <c r="C249">
        <v>0.72570000000000001</v>
      </c>
      <c r="D249">
        <v>0.55789999999999995</v>
      </c>
      <c r="E249">
        <v>0.62719999999999998</v>
      </c>
      <c r="F249">
        <v>11910223.699999999</v>
      </c>
      <c r="G249">
        <v>0</v>
      </c>
      <c r="L249" t="s">
        <v>7</v>
      </c>
      <c r="M249" t="s">
        <v>7</v>
      </c>
      <c r="N249" t="s">
        <v>8</v>
      </c>
      <c r="P249">
        <f t="shared" si="959"/>
        <v>-0.17401668653158517</v>
      </c>
      <c r="Q249">
        <f t="shared" si="960"/>
        <v>-2072577.6641239563</v>
      </c>
      <c r="R249">
        <f t="shared" si="961"/>
        <v>-154856029.53546023</v>
      </c>
      <c r="S249">
        <f t="shared" si="962"/>
        <v>-1548.5602953546024</v>
      </c>
      <c r="T249">
        <f t="shared" si="963"/>
        <v>-1.5485602953546025</v>
      </c>
    </row>
    <row r="250" spans="1:20" x14ac:dyDescent="0.25">
      <c r="A250" s="5">
        <v>44343</v>
      </c>
      <c r="B250">
        <v>0.68779999999999997</v>
      </c>
      <c r="C250">
        <v>0.71779999999999999</v>
      </c>
      <c r="D250">
        <v>0.61360000000000003</v>
      </c>
      <c r="E250">
        <v>0.66310000000000002</v>
      </c>
      <c r="F250">
        <v>4889934.1399999997</v>
      </c>
      <c r="G250">
        <v>0</v>
      </c>
      <c r="L250" t="s">
        <v>8</v>
      </c>
      <c r="M250" t="s">
        <v>8</v>
      </c>
      <c r="N250" t="s">
        <v>8</v>
      </c>
      <c r="P250">
        <f t="shared" si="959"/>
        <v>-4.9904030710172596E-2</v>
      </c>
      <c r="Q250">
        <f t="shared" si="960"/>
        <v>-244027.42349328141</v>
      </c>
      <c r="R250">
        <f t="shared" si="961"/>
        <v>-152783451.87133628</v>
      </c>
      <c r="S250">
        <f t="shared" si="962"/>
        <v>-1527.8345187133627</v>
      </c>
      <c r="T250">
        <f t="shared" si="963"/>
        <v>-1.5278345187133628</v>
      </c>
    </row>
    <row r="251" spans="1:20" x14ac:dyDescent="0.25">
      <c r="A251" s="5">
        <v>44342</v>
      </c>
      <c r="B251">
        <v>0.63670000000000004</v>
      </c>
      <c r="C251">
        <v>0.68989999999999996</v>
      </c>
      <c r="D251">
        <v>0.61950000000000005</v>
      </c>
      <c r="E251">
        <v>0.68640000000000001</v>
      </c>
      <c r="F251">
        <v>5775554.9900000002</v>
      </c>
      <c r="G251">
        <v>0</v>
      </c>
      <c r="L251" t="s">
        <v>8</v>
      </c>
      <c r="M251" t="s">
        <v>8</v>
      </c>
      <c r="N251" t="s">
        <v>8</v>
      </c>
      <c r="P251">
        <f t="shared" si="959"/>
        <v>0.90056818181818321</v>
      </c>
      <c r="Q251">
        <f t="shared" si="960"/>
        <v>5201281.0563352359</v>
      </c>
      <c r="R251">
        <f t="shared" si="961"/>
        <v>-152539424.44784299</v>
      </c>
      <c r="S251">
        <f t="shared" si="962"/>
        <v>-1525.3942444784298</v>
      </c>
      <c r="T251">
        <f t="shared" si="963"/>
        <v>-1.5253942444784299</v>
      </c>
    </row>
    <row r="252" spans="1:20" x14ac:dyDescent="0.25">
      <c r="A252" s="5">
        <v>44341</v>
      </c>
      <c r="B252">
        <v>0.63449999999999995</v>
      </c>
      <c r="C252">
        <v>0.66</v>
      </c>
      <c r="D252">
        <v>0.56220000000000003</v>
      </c>
      <c r="E252">
        <v>0.63229999999999997</v>
      </c>
      <c r="F252">
        <v>6893502.1799999997</v>
      </c>
      <c r="G252">
        <v>0</v>
      </c>
      <c r="L252" t="s">
        <v>7</v>
      </c>
      <c r="M252" t="s">
        <v>7</v>
      </c>
      <c r="N252" t="s">
        <v>7</v>
      </c>
      <c r="P252">
        <f t="shared" si="959"/>
        <v>0.43353783231083726</v>
      </c>
      <c r="Q252">
        <f t="shared" si="960"/>
        <v>2988593.992147231</v>
      </c>
      <c r="R252">
        <f t="shared" si="961"/>
        <v>-157740705.50417823</v>
      </c>
      <c r="S252">
        <f t="shared" si="962"/>
        <v>-1577.4070550417823</v>
      </c>
      <c r="T252">
        <f t="shared" si="963"/>
        <v>-1.5774070550417822</v>
      </c>
    </row>
    <row r="253" spans="1:20" x14ac:dyDescent="0.25">
      <c r="A253" s="5">
        <v>44340</v>
      </c>
      <c r="B253">
        <v>0.54630000000000001</v>
      </c>
      <c r="C253">
        <v>0.67879999999999996</v>
      </c>
      <c r="D253">
        <v>0.5262</v>
      </c>
      <c r="E253">
        <v>0.63619999999999999</v>
      </c>
      <c r="F253">
        <v>13641216.619999999</v>
      </c>
      <c r="G253">
        <v>0</v>
      </c>
      <c r="L253" t="s">
        <v>8</v>
      </c>
      <c r="M253" t="s">
        <v>8</v>
      </c>
      <c r="N253" t="s">
        <v>7</v>
      </c>
      <c r="P253">
        <f t="shared" si="959"/>
        <v>0.44167758846657951</v>
      </c>
      <c r="Q253">
        <f t="shared" si="960"/>
        <v>6025019.660471824</v>
      </c>
      <c r="R253">
        <f t="shared" si="961"/>
        <v>-160729299.49632546</v>
      </c>
      <c r="S253">
        <f t="shared" si="962"/>
        <v>-1607.2929949632546</v>
      </c>
      <c r="T253">
        <f t="shared" si="963"/>
        <v>-1.6072929949632546</v>
      </c>
    </row>
    <row r="254" spans="1:20" x14ac:dyDescent="0.25">
      <c r="A254" s="5">
        <v>44339</v>
      </c>
      <c r="B254">
        <v>0.74760000000000004</v>
      </c>
      <c r="C254">
        <v>0.94499999999999995</v>
      </c>
      <c r="D254">
        <v>0.47</v>
      </c>
      <c r="E254">
        <v>0.54959999999999998</v>
      </c>
      <c r="F254">
        <v>40698057.799999997</v>
      </c>
      <c r="G254">
        <v>0</v>
      </c>
      <c r="L254" t="s">
        <v>7</v>
      </c>
      <c r="M254" t="s">
        <v>7</v>
      </c>
      <c r="N254" t="s">
        <v>7</v>
      </c>
      <c r="P254">
        <f t="shared" si="959"/>
        <v>-0.6648421052631579</v>
      </c>
      <c r="Q254">
        <f t="shared" si="960"/>
        <v>-27057782.427873682</v>
      </c>
      <c r="R254">
        <f t="shared" si="961"/>
        <v>-166754319.15679729</v>
      </c>
      <c r="S254">
        <f t="shared" si="962"/>
        <v>-1667.5431915679728</v>
      </c>
      <c r="T254">
        <f t="shared" si="963"/>
        <v>-1.6675431915679728</v>
      </c>
    </row>
    <row r="255" spans="1:20" x14ac:dyDescent="0.25">
      <c r="A255" s="5">
        <v>44338</v>
      </c>
      <c r="B255">
        <v>0.57040000000000002</v>
      </c>
      <c r="C255">
        <v>0.97499999999999998</v>
      </c>
      <c r="D255">
        <v>0.4975</v>
      </c>
      <c r="E255">
        <v>0.74780000000000002</v>
      </c>
      <c r="F255">
        <v>49798776.520000003</v>
      </c>
      <c r="G255">
        <v>0</v>
      </c>
      <c r="L255" t="s">
        <v>8</v>
      </c>
      <c r="M255" t="s">
        <v>8</v>
      </c>
      <c r="N255" t="s">
        <v>8</v>
      </c>
      <c r="P255">
        <f t="shared" si="959"/>
        <v>4.8376963350785479E-2</v>
      </c>
      <c r="Q255">
        <f t="shared" si="960"/>
        <v>2409113.5866219965</v>
      </c>
      <c r="R255">
        <f t="shared" si="961"/>
        <v>-139696536.72892362</v>
      </c>
      <c r="S255">
        <f t="shared" si="962"/>
        <v>-1396.9653672892362</v>
      </c>
      <c r="T255">
        <f t="shared" si="963"/>
        <v>-1.3969653672892361</v>
      </c>
    </row>
    <row r="256" spans="1:20" x14ac:dyDescent="0.25">
      <c r="A256" s="5">
        <v>44337</v>
      </c>
      <c r="B256">
        <v>0.7056</v>
      </c>
      <c r="C256">
        <v>0.75790000000000002</v>
      </c>
      <c r="D256">
        <v>0.49340000000000001</v>
      </c>
      <c r="E256">
        <v>0.56899999999999995</v>
      </c>
      <c r="F256">
        <v>5233140.83</v>
      </c>
      <c r="G256">
        <v>0</v>
      </c>
      <c r="L256" t="s">
        <v>8</v>
      </c>
      <c r="M256" t="s">
        <v>8</v>
      </c>
      <c r="N256" t="s">
        <v>8</v>
      </c>
      <c r="P256">
        <f t="shared" si="959"/>
        <v>-0.42835538752362995</v>
      </c>
      <c r="Q256">
        <f t="shared" si="960"/>
        <v>-2241644.0682003805</v>
      </c>
      <c r="R256">
        <f t="shared" si="961"/>
        <v>-142105650.31554562</v>
      </c>
      <c r="S256">
        <f t="shared" si="962"/>
        <v>-1421.0565031554561</v>
      </c>
      <c r="T256">
        <f t="shared" si="963"/>
        <v>-1.4210565031554561</v>
      </c>
    </row>
    <row r="257" spans="1:20" x14ac:dyDescent="0.25">
      <c r="A257" s="5">
        <v>44336</v>
      </c>
      <c r="B257">
        <v>0.60929999999999995</v>
      </c>
      <c r="C257">
        <v>0.74329999999999996</v>
      </c>
      <c r="D257">
        <v>0.55559999999999998</v>
      </c>
      <c r="E257">
        <v>0.70299999999999996</v>
      </c>
      <c r="F257">
        <v>3901228</v>
      </c>
      <c r="G257">
        <v>0</v>
      </c>
      <c r="L257" t="s">
        <v>8</v>
      </c>
      <c r="M257" t="s">
        <v>8</v>
      </c>
      <c r="N257" t="s">
        <v>8</v>
      </c>
      <c r="P257">
        <f t="shared" si="959"/>
        <v>0.57059136920618003</v>
      </c>
      <c r="Q257">
        <f t="shared" si="960"/>
        <v>2226007.0261054873</v>
      </c>
      <c r="R257">
        <f t="shared" si="961"/>
        <v>-139864006.24734524</v>
      </c>
      <c r="S257">
        <f t="shared" si="962"/>
        <v>-1398.6400624734524</v>
      </c>
      <c r="T257">
        <f t="shared" si="963"/>
        <v>-1.3986400624734525</v>
      </c>
    </row>
    <row r="258" spans="1:20" x14ac:dyDescent="0.25">
      <c r="A258" s="5">
        <v>44335</v>
      </c>
      <c r="B258">
        <v>1.0005999999999999</v>
      </c>
      <c r="C258">
        <v>1.0142</v>
      </c>
      <c r="D258">
        <v>0.48399999999999999</v>
      </c>
      <c r="E258">
        <v>0.60919999999999996</v>
      </c>
      <c r="F258">
        <v>6947068.79</v>
      </c>
      <c r="G258">
        <v>0</v>
      </c>
      <c r="L258" t="s">
        <v>7</v>
      </c>
      <c r="M258" t="s">
        <v>7</v>
      </c>
      <c r="N258" t="s">
        <v>7</v>
      </c>
      <c r="P258">
        <f t="shared" si="959"/>
        <v>-0.52772538664654856</v>
      </c>
      <c r="Q258">
        <f t="shared" si="960"/>
        <v>-3666144.5632629204</v>
      </c>
      <c r="R258">
        <f t="shared" si="961"/>
        <v>-142090013.27345073</v>
      </c>
      <c r="S258">
        <f t="shared" si="962"/>
        <v>-1420.9001327345072</v>
      </c>
      <c r="T258">
        <f t="shared" si="963"/>
        <v>-1.4209001327345072</v>
      </c>
    </row>
    <row r="259" spans="1:20" x14ac:dyDescent="0.25">
      <c r="A259" s="5">
        <v>44334</v>
      </c>
      <c r="B259">
        <v>1.0092000000000001</v>
      </c>
      <c r="C259">
        <v>1.1047</v>
      </c>
      <c r="D259">
        <v>0.97770000000000001</v>
      </c>
      <c r="E259">
        <v>0.99629999999999996</v>
      </c>
      <c r="F259">
        <v>4063221.94</v>
      </c>
      <c r="G259">
        <v>0</v>
      </c>
      <c r="L259" t="s">
        <v>8</v>
      </c>
      <c r="M259" t="s">
        <v>7</v>
      </c>
      <c r="N259" t="s">
        <v>7</v>
      </c>
      <c r="P259">
        <f t="shared" si="959"/>
        <v>-0.70708661417322916</v>
      </c>
      <c r="Q259">
        <f t="shared" si="960"/>
        <v>-2873049.8441889798</v>
      </c>
      <c r="R259">
        <f t="shared" si="961"/>
        <v>-138423868.71018782</v>
      </c>
      <c r="S259">
        <f t="shared" si="962"/>
        <v>-1384.2386871018782</v>
      </c>
      <c r="T259">
        <f t="shared" si="963"/>
        <v>-1.3842386871018781</v>
      </c>
    </row>
    <row r="260" spans="1:20" x14ac:dyDescent="0.25">
      <c r="A260" s="5">
        <v>44333</v>
      </c>
      <c r="B260">
        <v>1.1394</v>
      </c>
      <c r="C260">
        <v>1.1405000000000001</v>
      </c>
      <c r="D260">
        <v>0.96989999999999998</v>
      </c>
      <c r="E260">
        <v>1.0126999999999999</v>
      </c>
      <c r="F260">
        <v>5089898.92</v>
      </c>
      <c r="G260">
        <v>0</v>
      </c>
      <c r="L260" t="s">
        <v>7</v>
      </c>
      <c r="M260" t="s">
        <v>7</v>
      </c>
      <c r="N260" t="s">
        <v>7</v>
      </c>
      <c r="P260">
        <f t="shared" si="959"/>
        <v>-0.49824150058616734</v>
      </c>
      <c r="Q260">
        <f t="shared" si="960"/>
        <v>-2535998.8757327124</v>
      </c>
      <c r="R260">
        <f t="shared" si="961"/>
        <v>-135550818.86599883</v>
      </c>
      <c r="S260">
        <f t="shared" si="962"/>
        <v>-1355.5081886599883</v>
      </c>
      <c r="T260">
        <f t="shared" si="963"/>
        <v>-1.3555081886599882</v>
      </c>
    </row>
    <row r="261" spans="1:20" x14ac:dyDescent="0.25">
      <c r="A261" s="5">
        <v>44332</v>
      </c>
      <c r="B261">
        <v>1.1681999999999999</v>
      </c>
      <c r="C261">
        <v>1.3735999999999999</v>
      </c>
      <c r="D261">
        <v>1.0689</v>
      </c>
      <c r="E261">
        <v>1.1394</v>
      </c>
      <c r="F261">
        <v>9852951.0199999996</v>
      </c>
      <c r="G261">
        <v>0</v>
      </c>
      <c r="L261" t="s">
        <v>7</v>
      </c>
      <c r="M261" t="s">
        <v>7</v>
      </c>
      <c r="N261" t="s">
        <v>7</v>
      </c>
      <c r="P261">
        <f t="shared" si="959"/>
        <v>-0.53724975385625195</v>
      </c>
      <c r="Q261">
        <f t="shared" si="960"/>
        <v>-5293495.5102527067</v>
      </c>
      <c r="R261">
        <f t="shared" si="961"/>
        <v>-133014819.99026611</v>
      </c>
      <c r="S261">
        <f t="shared" si="962"/>
        <v>-1330.1481999026612</v>
      </c>
      <c r="T261">
        <f t="shared" si="963"/>
        <v>-1.3301481999026612</v>
      </c>
    </row>
    <row r="262" spans="1:20" x14ac:dyDescent="0.25">
      <c r="A262" s="5">
        <v>44331</v>
      </c>
      <c r="B262">
        <v>1.3535999999999999</v>
      </c>
      <c r="C262">
        <v>1.5462</v>
      </c>
      <c r="D262">
        <v>1.1511</v>
      </c>
      <c r="E262">
        <v>1.1662999999999999</v>
      </c>
      <c r="F262">
        <v>30661952.84</v>
      </c>
      <c r="G262">
        <v>0</v>
      </c>
      <c r="L262" t="s">
        <v>8</v>
      </c>
      <c r="M262" t="s">
        <v>7</v>
      </c>
      <c r="N262" t="s">
        <v>8</v>
      </c>
      <c r="P262">
        <f t="shared" ref="P262:P325" si="964">IF(C262=D262,0,((E262-D262)-(C262-E262))/(C262-D262))</f>
        <v>-0.92305745380916282</v>
      </c>
      <c r="Q262">
        <f t="shared" ref="Q262:Q325" si="965">F262*P262</f>
        <v>-28302744.11730703</v>
      </c>
      <c r="R262">
        <f t="shared" ref="R262:R325" si="966">R263+Q262</f>
        <v>-127721324.4800134</v>
      </c>
      <c r="S262">
        <f t="shared" ref="S262:S325" si="967">R262/100000</f>
        <v>-1277.2132448001339</v>
      </c>
      <c r="T262">
        <f t="shared" ref="T262:T325" si="968">S262/1000</f>
        <v>-1.2772132448001339</v>
      </c>
    </row>
    <row r="263" spans="1:20" x14ac:dyDescent="0.25">
      <c r="A263" s="5">
        <v>44330</v>
      </c>
      <c r="B263">
        <v>1.1274</v>
      </c>
      <c r="C263">
        <v>1.4950000000000001</v>
      </c>
      <c r="D263">
        <v>1.07</v>
      </c>
      <c r="E263">
        <v>1.3533999999999999</v>
      </c>
      <c r="F263">
        <v>31108565.82</v>
      </c>
      <c r="G263">
        <v>0</v>
      </c>
      <c r="L263" t="s">
        <v>8</v>
      </c>
      <c r="M263" t="s">
        <v>8</v>
      </c>
      <c r="N263" t="s">
        <v>8</v>
      </c>
      <c r="P263">
        <f t="shared" si="964"/>
        <v>0.33364705882352869</v>
      </c>
      <c r="Q263">
        <f t="shared" si="965"/>
        <v>10379281.490061155</v>
      </c>
      <c r="R263">
        <f t="shared" si="966"/>
        <v>-99418580.362706363</v>
      </c>
      <c r="S263">
        <f t="shared" si="967"/>
        <v>-994.18580362706359</v>
      </c>
      <c r="T263">
        <f t="shared" si="968"/>
        <v>-0.99418580362706355</v>
      </c>
    </row>
    <row r="264" spans="1:20" x14ac:dyDescent="0.25">
      <c r="A264" s="5">
        <v>44329</v>
      </c>
      <c r="B264">
        <v>1.1032999999999999</v>
      </c>
      <c r="C264">
        <v>1.52</v>
      </c>
      <c r="D264">
        <v>0.96389999999999998</v>
      </c>
      <c r="E264">
        <v>1.1344000000000001</v>
      </c>
      <c r="F264">
        <v>28242498.050000001</v>
      </c>
      <c r="G264">
        <v>0</v>
      </c>
      <c r="L264" t="s">
        <v>7</v>
      </c>
      <c r="M264" t="s">
        <v>7</v>
      </c>
      <c r="N264" t="s">
        <v>7</v>
      </c>
      <c r="P264">
        <f t="shared" si="964"/>
        <v>-0.38680093508361774</v>
      </c>
      <c r="Q264">
        <f t="shared" si="965"/>
        <v>-10924224.654837251</v>
      </c>
      <c r="R264">
        <f t="shared" si="966"/>
        <v>-109797861.85276751</v>
      </c>
      <c r="S264">
        <f t="shared" si="967"/>
        <v>-1097.9786185276751</v>
      </c>
      <c r="T264">
        <f t="shared" si="968"/>
        <v>-1.097978618527675</v>
      </c>
    </row>
    <row r="265" spans="1:20" x14ac:dyDescent="0.25">
      <c r="A265" s="5">
        <v>44328</v>
      </c>
      <c r="B265">
        <v>1.0815999999999999</v>
      </c>
      <c r="C265">
        <v>1.9750000000000001</v>
      </c>
      <c r="D265">
        <v>1.0599000000000001</v>
      </c>
      <c r="E265">
        <v>1.1032</v>
      </c>
      <c r="F265">
        <v>105323128.09999999</v>
      </c>
      <c r="G265">
        <v>0</v>
      </c>
      <c r="L265" t="s">
        <v>8</v>
      </c>
      <c r="M265" t="s">
        <v>8</v>
      </c>
      <c r="N265" t="s">
        <v>8</v>
      </c>
      <c r="P265">
        <f t="shared" si="964"/>
        <v>-0.90536553382144047</v>
      </c>
      <c r="Q265">
        <f t="shared" si="965"/>
        <v>-95355930.096000448</v>
      </c>
      <c r="R265">
        <f t="shared" si="966"/>
        <v>-98873637.197930261</v>
      </c>
      <c r="S265">
        <f t="shared" si="967"/>
        <v>-988.73637197930259</v>
      </c>
      <c r="T265">
        <f t="shared" si="968"/>
        <v>-0.98873637197930264</v>
      </c>
    </row>
    <row r="266" spans="1:20" x14ac:dyDescent="0.25">
      <c r="A266" s="5">
        <v>44327</v>
      </c>
      <c r="B266">
        <v>1.0385</v>
      </c>
      <c r="C266">
        <v>1.0999000000000001</v>
      </c>
      <c r="D266">
        <v>0.94599999999999995</v>
      </c>
      <c r="E266">
        <v>1.0780000000000001</v>
      </c>
      <c r="F266">
        <v>3329849.52</v>
      </c>
      <c r="G266">
        <v>0</v>
      </c>
      <c r="L266" t="s">
        <v>7</v>
      </c>
      <c r="M266" t="s">
        <v>7</v>
      </c>
      <c r="N266" t="s">
        <v>7</v>
      </c>
      <c r="P266">
        <f t="shared" si="964"/>
        <v>0.71539961013645215</v>
      </c>
      <c r="Q266">
        <f t="shared" si="965"/>
        <v>2382173.0484210523</v>
      </c>
      <c r="R266">
        <f t="shared" si="966"/>
        <v>-3517707.1019298136</v>
      </c>
      <c r="S266">
        <f t="shared" si="967"/>
        <v>-35.17707101929814</v>
      </c>
      <c r="T266">
        <f t="shared" si="968"/>
        <v>-3.5177071019298137E-2</v>
      </c>
    </row>
    <row r="267" spans="1:20" x14ac:dyDescent="0.25">
      <c r="A267" s="5">
        <v>44326</v>
      </c>
      <c r="B267">
        <v>1.1206</v>
      </c>
      <c r="C267">
        <v>1.2849999999999999</v>
      </c>
      <c r="D267">
        <v>0.97489999999999999</v>
      </c>
      <c r="E267">
        <v>1.0389999999999999</v>
      </c>
      <c r="F267">
        <v>6461900.5499999998</v>
      </c>
      <c r="G267">
        <v>0</v>
      </c>
      <c r="L267" t="s">
        <v>7</v>
      </c>
      <c r="M267" t="s">
        <v>7</v>
      </c>
      <c r="N267" t="s">
        <v>7</v>
      </c>
      <c r="P267">
        <f t="shared" si="964"/>
        <v>-0.58658497258948761</v>
      </c>
      <c r="Q267">
        <f t="shared" si="965"/>
        <v>-3790453.756997745</v>
      </c>
      <c r="R267">
        <f t="shared" si="966"/>
        <v>-5899880.1503508659</v>
      </c>
      <c r="S267">
        <f t="shared" si="967"/>
        <v>-58.998801503508659</v>
      </c>
      <c r="T267">
        <f t="shared" si="968"/>
        <v>-5.8998801503508662E-2</v>
      </c>
    </row>
    <row r="268" spans="1:20" x14ac:dyDescent="0.25">
      <c r="A268" s="5">
        <v>44325</v>
      </c>
      <c r="B268">
        <v>1.1571</v>
      </c>
      <c r="C268">
        <v>1.1853</v>
      </c>
      <c r="D268">
        <v>1.0468999999999999</v>
      </c>
      <c r="E268">
        <v>1.1200000000000001</v>
      </c>
      <c r="F268">
        <v>3758569.7</v>
      </c>
      <c r="G268">
        <v>0</v>
      </c>
      <c r="L268" t="s">
        <v>7</v>
      </c>
      <c r="M268" t="s">
        <v>7</v>
      </c>
      <c r="N268" t="s">
        <v>8</v>
      </c>
      <c r="P268">
        <f t="shared" si="964"/>
        <v>5.6358381502891956E-2</v>
      </c>
      <c r="Q268">
        <f t="shared" si="965"/>
        <v>211826.90505781019</v>
      </c>
      <c r="R268">
        <f t="shared" si="966"/>
        <v>-2109426.3933531209</v>
      </c>
      <c r="S268">
        <f t="shared" si="967"/>
        <v>-21.094263933531209</v>
      </c>
      <c r="T268">
        <f t="shared" si="968"/>
        <v>-2.1094263933531209E-2</v>
      </c>
    </row>
    <row r="269" spans="1:20" x14ac:dyDescent="0.25">
      <c r="A269" s="5">
        <v>44324</v>
      </c>
      <c r="B269">
        <v>1.2003999999999999</v>
      </c>
      <c r="C269">
        <v>1.2526999999999999</v>
      </c>
      <c r="D269">
        <v>1.1237999999999999</v>
      </c>
      <c r="E269">
        <v>1.1571</v>
      </c>
      <c r="F269">
        <v>5371067.1600000001</v>
      </c>
      <c r="G269">
        <v>0</v>
      </c>
      <c r="L269" t="s">
        <v>7</v>
      </c>
      <c r="M269" t="s">
        <v>7</v>
      </c>
      <c r="N269" t="s">
        <v>8</v>
      </c>
      <c r="P269">
        <f t="shared" si="964"/>
        <v>-0.48332040341349725</v>
      </c>
      <c r="Q269">
        <f t="shared" si="965"/>
        <v>-2595946.346532187</v>
      </c>
      <c r="R269">
        <f t="shared" si="966"/>
        <v>-2321253.2984109311</v>
      </c>
      <c r="S269">
        <f t="shared" si="967"/>
        <v>-23.212532984109313</v>
      </c>
      <c r="T269">
        <f t="shared" si="968"/>
        <v>-2.3212532984109312E-2</v>
      </c>
    </row>
    <row r="270" spans="1:20" x14ac:dyDescent="0.25">
      <c r="A270" s="5">
        <v>44323</v>
      </c>
      <c r="B270">
        <v>1.1258999999999999</v>
      </c>
      <c r="C270">
        <v>1.4214</v>
      </c>
      <c r="D270">
        <v>1.1000000000000001</v>
      </c>
      <c r="E270">
        <v>1.2042999999999999</v>
      </c>
      <c r="F270">
        <v>19582359.760000002</v>
      </c>
      <c r="G270">
        <v>0</v>
      </c>
      <c r="L270" t="s">
        <v>8</v>
      </c>
      <c r="M270" t="s">
        <v>8</v>
      </c>
      <c r="N270" t="s">
        <v>8</v>
      </c>
      <c r="P270">
        <f t="shared" si="964"/>
        <v>-0.35096453018046131</v>
      </c>
      <c r="Q270">
        <f t="shared" si="965"/>
        <v>-6872713.6929931715</v>
      </c>
      <c r="R270">
        <f t="shared" si="966"/>
        <v>274693.04812125582</v>
      </c>
      <c r="S270">
        <f t="shared" si="967"/>
        <v>2.7469304812125581</v>
      </c>
      <c r="T270">
        <f t="shared" si="968"/>
        <v>2.7469304812125579E-3</v>
      </c>
    </row>
    <row r="271" spans="1:20" x14ac:dyDescent="0.25">
      <c r="A271" s="5">
        <v>44322</v>
      </c>
      <c r="B271">
        <v>1.0580000000000001</v>
      </c>
      <c r="C271">
        <v>1.1731</v>
      </c>
      <c r="D271">
        <v>1.0129999999999999</v>
      </c>
      <c r="E271">
        <v>1.1294</v>
      </c>
      <c r="F271">
        <v>4591642.79</v>
      </c>
      <c r="G271">
        <v>0</v>
      </c>
      <c r="L271" t="s">
        <v>8</v>
      </c>
      <c r="M271" t="s">
        <v>8</v>
      </c>
      <c r="N271" t="s">
        <v>8</v>
      </c>
      <c r="P271">
        <f t="shared" si="964"/>
        <v>0.45409119300437184</v>
      </c>
      <c r="Q271">
        <f t="shared" si="965"/>
        <v>2085024.5523610224</v>
      </c>
      <c r="R271">
        <f t="shared" si="966"/>
        <v>7147406.7411144273</v>
      </c>
      <c r="S271">
        <f t="shared" si="967"/>
        <v>71.474067411144276</v>
      </c>
      <c r="T271">
        <f t="shared" si="968"/>
        <v>7.1474067411144274E-2</v>
      </c>
    </row>
    <row r="272" spans="1:20" x14ac:dyDescent="0.25">
      <c r="A272" s="5">
        <v>44321</v>
      </c>
      <c r="B272">
        <v>0.92930000000000001</v>
      </c>
      <c r="C272">
        <v>1.089</v>
      </c>
      <c r="D272">
        <v>0.92220000000000002</v>
      </c>
      <c r="E272">
        <v>1.0576000000000001</v>
      </c>
      <c r="F272">
        <v>3929312.92</v>
      </c>
      <c r="G272">
        <v>0</v>
      </c>
      <c r="L272" t="s">
        <v>7</v>
      </c>
      <c r="M272" t="s">
        <v>7</v>
      </c>
      <c r="N272" t="s">
        <v>8</v>
      </c>
      <c r="P272">
        <f t="shared" si="964"/>
        <v>0.62350119904076884</v>
      </c>
      <c r="Q272">
        <f t="shared" si="965"/>
        <v>2449931.3170263846</v>
      </c>
      <c r="R272">
        <f t="shared" si="966"/>
        <v>5062382.1887534047</v>
      </c>
      <c r="S272">
        <f t="shared" si="967"/>
        <v>50.623821887534049</v>
      </c>
      <c r="T272">
        <f t="shared" si="968"/>
        <v>5.0623821887534053E-2</v>
      </c>
    </row>
    <row r="273" spans="1:20" x14ac:dyDescent="0.25">
      <c r="A273" s="5">
        <v>44320</v>
      </c>
      <c r="B273">
        <v>1.0982000000000001</v>
      </c>
      <c r="C273">
        <v>1.1011</v>
      </c>
      <c r="D273">
        <v>0.92749999999999999</v>
      </c>
      <c r="E273">
        <v>0.92930000000000001</v>
      </c>
      <c r="F273">
        <v>4218157.5199999996</v>
      </c>
      <c r="G273">
        <v>0</v>
      </c>
      <c r="L273" t="s">
        <v>7</v>
      </c>
      <c r="M273" t="s">
        <v>7</v>
      </c>
      <c r="N273" t="s">
        <v>8</v>
      </c>
      <c r="P273">
        <f t="shared" si="964"/>
        <v>-0.97926267281105961</v>
      </c>
      <c r="Q273">
        <f t="shared" si="965"/>
        <v>-4130684.2073732703</v>
      </c>
      <c r="R273">
        <f t="shared" si="966"/>
        <v>2612450.87172702</v>
      </c>
      <c r="S273">
        <f t="shared" si="967"/>
        <v>26.124508717270199</v>
      </c>
      <c r="T273">
        <f t="shared" si="968"/>
        <v>2.6124508717270199E-2</v>
      </c>
    </row>
    <row r="274" spans="1:20" x14ac:dyDescent="0.25">
      <c r="A274" s="5">
        <v>44319</v>
      </c>
      <c r="B274">
        <v>1.0569</v>
      </c>
      <c r="C274">
        <v>1.2579</v>
      </c>
      <c r="D274">
        <v>1.05</v>
      </c>
      <c r="E274">
        <v>1.0994999999999999</v>
      </c>
      <c r="F274">
        <v>6825263.1500000004</v>
      </c>
      <c r="G274">
        <v>0</v>
      </c>
      <c r="L274" t="s">
        <v>8</v>
      </c>
      <c r="M274" t="s">
        <v>8</v>
      </c>
      <c r="N274" t="s">
        <v>8</v>
      </c>
      <c r="P274">
        <f t="shared" si="964"/>
        <v>-0.52380952380952495</v>
      </c>
      <c r="Q274">
        <f t="shared" si="965"/>
        <v>-3575137.8404761986</v>
      </c>
      <c r="R274">
        <f t="shared" si="966"/>
        <v>6743135.0791002903</v>
      </c>
      <c r="S274">
        <f t="shared" si="967"/>
        <v>67.431350791002899</v>
      </c>
      <c r="T274">
        <f t="shared" si="968"/>
        <v>6.7431350791002903E-2</v>
      </c>
    </row>
    <row r="275" spans="1:20" x14ac:dyDescent="0.25">
      <c r="A275" s="5">
        <v>44318</v>
      </c>
      <c r="B275">
        <v>1.0915999999999999</v>
      </c>
      <c r="C275">
        <v>1.145</v>
      </c>
      <c r="D275">
        <v>1.0163</v>
      </c>
      <c r="E275">
        <v>1.0548</v>
      </c>
      <c r="F275">
        <v>5091209.7699999996</v>
      </c>
      <c r="G275">
        <v>0</v>
      </c>
      <c r="L275" t="s">
        <v>7</v>
      </c>
      <c r="M275" t="s">
        <v>8</v>
      </c>
      <c r="N275" t="s">
        <v>8</v>
      </c>
      <c r="P275">
        <f t="shared" si="964"/>
        <v>-0.40170940170940223</v>
      </c>
      <c r="Q275">
        <f t="shared" si="965"/>
        <v>-2045186.8306837631</v>
      </c>
      <c r="R275">
        <f t="shared" si="966"/>
        <v>10318272.919576488</v>
      </c>
      <c r="S275">
        <f t="shared" si="967"/>
        <v>103.18272919576488</v>
      </c>
      <c r="T275">
        <f t="shared" si="968"/>
        <v>0.10318272919576488</v>
      </c>
    </row>
    <row r="276" spans="1:20" x14ac:dyDescent="0.25">
      <c r="A276" s="5">
        <v>44317</v>
      </c>
      <c r="B276">
        <v>1.0241</v>
      </c>
      <c r="C276">
        <v>1.1357999999999999</v>
      </c>
      <c r="D276">
        <v>1.0081</v>
      </c>
      <c r="E276">
        <v>1.0915999999999999</v>
      </c>
      <c r="F276">
        <v>6832664.9199999999</v>
      </c>
      <c r="G276">
        <v>0</v>
      </c>
      <c r="L276" t="s">
        <v>8</v>
      </c>
      <c r="M276" t="s">
        <v>8</v>
      </c>
      <c r="N276" t="s">
        <v>8</v>
      </c>
      <c r="P276">
        <f t="shared" si="964"/>
        <v>0.30775254502740729</v>
      </c>
      <c r="Q276">
        <f t="shared" si="965"/>
        <v>2102770.0184494862</v>
      </c>
      <c r="R276">
        <f t="shared" si="966"/>
        <v>12363459.750260253</v>
      </c>
      <c r="S276">
        <f t="shared" si="967"/>
        <v>123.63459750260253</v>
      </c>
      <c r="T276">
        <f t="shared" si="968"/>
        <v>0.12363459750260253</v>
      </c>
    </row>
    <row r="277" spans="1:20" x14ac:dyDescent="0.25">
      <c r="A277" s="5">
        <v>44316</v>
      </c>
      <c r="B277">
        <v>0.92159999999999997</v>
      </c>
      <c r="C277">
        <v>1.1100000000000001</v>
      </c>
      <c r="D277">
        <v>0.88480000000000003</v>
      </c>
      <c r="E277">
        <v>1.024</v>
      </c>
      <c r="F277">
        <v>11617484.890000001</v>
      </c>
      <c r="G277">
        <v>0</v>
      </c>
      <c r="L277" t="s">
        <v>8</v>
      </c>
      <c r="M277" t="s">
        <v>8</v>
      </c>
      <c r="N277" t="s">
        <v>8</v>
      </c>
      <c r="P277">
        <f t="shared" si="964"/>
        <v>0.2362344582593246</v>
      </c>
      <c r="Q277">
        <f t="shared" si="965"/>
        <v>2744450.2493250393</v>
      </c>
      <c r="R277">
        <f t="shared" si="966"/>
        <v>10260689.731810765</v>
      </c>
      <c r="S277">
        <f t="shared" si="967"/>
        <v>102.60689731810766</v>
      </c>
      <c r="T277">
        <f t="shared" si="968"/>
        <v>0.10260689731810765</v>
      </c>
    </row>
    <row r="278" spans="1:20" x14ac:dyDescent="0.25">
      <c r="A278" s="5">
        <v>44315</v>
      </c>
      <c r="B278">
        <v>0.87319999999999998</v>
      </c>
      <c r="C278">
        <v>0.92720000000000002</v>
      </c>
      <c r="D278">
        <v>0.83489999999999998</v>
      </c>
      <c r="E278">
        <v>0.92369999999999997</v>
      </c>
      <c r="F278">
        <v>8901903.5999999996</v>
      </c>
      <c r="G278">
        <v>0</v>
      </c>
      <c r="L278" t="s">
        <v>8</v>
      </c>
      <c r="M278" t="s">
        <v>8</v>
      </c>
      <c r="N278" t="s">
        <v>7</v>
      </c>
      <c r="P278">
        <f t="shared" si="964"/>
        <v>0.92416034669555669</v>
      </c>
      <c r="Q278">
        <f t="shared" si="965"/>
        <v>8226786.3172264239</v>
      </c>
      <c r="R278">
        <f t="shared" si="966"/>
        <v>7516239.4824857265</v>
      </c>
      <c r="S278">
        <f t="shared" si="967"/>
        <v>75.162394824857259</v>
      </c>
      <c r="T278">
        <f t="shared" si="968"/>
        <v>7.5162394824857259E-2</v>
      </c>
    </row>
    <row r="279" spans="1:20" x14ac:dyDescent="0.25">
      <c r="A279" s="5">
        <v>44314</v>
      </c>
      <c r="B279">
        <v>0.8901</v>
      </c>
      <c r="C279">
        <v>0.92</v>
      </c>
      <c r="D279">
        <v>0.80249999999999999</v>
      </c>
      <c r="E279">
        <v>0.87319999999999998</v>
      </c>
      <c r="F279">
        <v>3327270.38</v>
      </c>
      <c r="G279">
        <v>0</v>
      </c>
      <c r="L279" t="s">
        <v>7</v>
      </c>
      <c r="M279" t="s">
        <v>8</v>
      </c>
      <c r="N279" t="s">
        <v>7</v>
      </c>
      <c r="P279">
        <f t="shared" si="964"/>
        <v>0.20340425531914819</v>
      </c>
      <c r="Q279">
        <f t="shared" si="965"/>
        <v>676780.95388935914</v>
      </c>
      <c r="R279">
        <f t="shared" si="966"/>
        <v>-710546.83474069776</v>
      </c>
      <c r="S279">
        <f t="shared" si="967"/>
        <v>-7.105468347406978</v>
      </c>
      <c r="T279">
        <f t="shared" si="968"/>
        <v>-7.1054683474069784E-3</v>
      </c>
    </row>
    <row r="280" spans="1:20" x14ac:dyDescent="0.25">
      <c r="A280" s="5">
        <v>44313</v>
      </c>
      <c r="B280">
        <v>0.84160000000000001</v>
      </c>
      <c r="C280">
        <v>0.92</v>
      </c>
      <c r="D280">
        <v>0.83240000000000003</v>
      </c>
      <c r="E280">
        <v>0.89259999999999995</v>
      </c>
      <c r="F280">
        <v>4475447.7</v>
      </c>
      <c r="G280">
        <v>0</v>
      </c>
      <c r="L280" t="s">
        <v>8</v>
      </c>
      <c r="M280" t="s">
        <v>8</v>
      </c>
      <c r="N280" t="s">
        <v>7</v>
      </c>
      <c r="P280">
        <f t="shared" si="964"/>
        <v>0.37442922374429022</v>
      </c>
      <c r="Q280">
        <f t="shared" si="965"/>
        <v>1675738.4082191691</v>
      </c>
      <c r="R280">
        <f t="shared" si="966"/>
        <v>-1387327.7886300569</v>
      </c>
      <c r="S280">
        <f t="shared" si="967"/>
        <v>-13.873277886300569</v>
      </c>
      <c r="T280">
        <f t="shared" si="968"/>
        <v>-1.3873277886300569E-2</v>
      </c>
    </row>
    <row r="281" spans="1:20" x14ac:dyDescent="0.25">
      <c r="A281" s="5">
        <v>44312</v>
      </c>
      <c r="B281">
        <v>0.78049999999999997</v>
      </c>
      <c r="C281">
        <v>0.87</v>
      </c>
      <c r="D281">
        <v>0.77900000000000003</v>
      </c>
      <c r="E281">
        <v>0.84179999999999999</v>
      </c>
      <c r="F281">
        <v>6824640.5599999996</v>
      </c>
      <c r="G281">
        <v>0</v>
      </c>
      <c r="L281" t="s">
        <v>8</v>
      </c>
      <c r="M281" t="s">
        <v>8</v>
      </c>
      <c r="N281" t="s">
        <v>7</v>
      </c>
      <c r="P281">
        <f t="shared" si="964"/>
        <v>0.38021978021977998</v>
      </c>
      <c r="Q281">
        <f t="shared" si="965"/>
        <v>2594863.3338021962</v>
      </c>
      <c r="R281">
        <f t="shared" si="966"/>
        <v>-3063066.196849226</v>
      </c>
      <c r="S281">
        <f t="shared" si="967"/>
        <v>-30.630661968492259</v>
      </c>
      <c r="T281">
        <f t="shared" si="968"/>
        <v>-3.0630661968492259E-2</v>
      </c>
    </row>
    <row r="282" spans="1:20" x14ac:dyDescent="0.25">
      <c r="A282" s="5">
        <v>44311</v>
      </c>
      <c r="B282">
        <v>0.86199999999999999</v>
      </c>
      <c r="C282">
        <v>0.97699999999999998</v>
      </c>
      <c r="D282">
        <v>0.74039999999999995</v>
      </c>
      <c r="E282">
        <v>0.77990000000000004</v>
      </c>
      <c r="F282">
        <v>11977863.93</v>
      </c>
      <c r="G282">
        <v>0</v>
      </c>
      <c r="L282" t="s">
        <v>7</v>
      </c>
      <c r="M282" t="s">
        <v>7</v>
      </c>
      <c r="N282" t="s">
        <v>7</v>
      </c>
      <c r="P282">
        <f t="shared" si="964"/>
        <v>-0.66610312764158841</v>
      </c>
      <c r="Q282">
        <f t="shared" si="965"/>
        <v>-7978492.6262383675</v>
      </c>
      <c r="R282">
        <f t="shared" si="966"/>
        <v>-5657929.5306514222</v>
      </c>
      <c r="S282">
        <f t="shared" si="967"/>
        <v>-56.579295306514226</v>
      </c>
      <c r="T282">
        <f t="shared" si="968"/>
        <v>-5.6579295306514225E-2</v>
      </c>
    </row>
    <row r="283" spans="1:20" x14ac:dyDescent="0.25">
      <c r="A283" s="5">
        <v>44310</v>
      </c>
      <c r="B283">
        <v>0.74280000000000002</v>
      </c>
      <c r="C283">
        <v>1.0913999999999999</v>
      </c>
      <c r="D283">
        <v>0.67620000000000002</v>
      </c>
      <c r="E283">
        <v>0.86160000000000003</v>
      </c>
      <c r="F283">
        <v>32335953.390000001</v>
      </c>
      <c r="G283">
        <v>0</v>
      </c>
      <c r="L283" t="s">
        <v>8</v>
      </c>
      <c r="M283" t="s">
        <v>8</v>
      </c>
      <c r="N283" t="s">
        <v>8</v>
      </c>
      <c r="P283">
        <f t="shared" si="964"/>
        <v>-0.10693641618497085</v>
      </c>
      <c r="Q283">
        <f t="shared" si="965"/>
        <v>-3457890.9694508589</v>
      </c>
      <c r="R283">
        <f t="shared" si="966"/>
        <v>2320563.0955869448</v>
      </c>
      <c r="S283">
        <f t="shared" si="967"/>
        <v>23.205630955869449</v>
      </c>
      <c r="T283">
        <f t="shared" si="968"/>
        <v>2.3205630955869447E-2</v>
      </c>
    </row>
    <row r="284" spans="1:20" x14ac:dyDescent="0.25">
      <c r="A284" s="5">
        <v>44309</v>
      </c>
      <c r="B284">
        <v>0.76590000000000003</v>
      </c>
      <c r="C284">
        <v>0.78920000000000001</v>
      </c>
      <c r="D284">
        <v>0.60119999999999996</v>
      </c>
      <c r="E284">
        <v>0.73929999999999996</v>
      </c>
      <c r="F284">
        <v>3981276.69</v>
      </c>
      <c r="G284">
        <v>0</v>
      </c>
      <c r="L284" t="s">
        <v>7</v>
      </c>
      <c r="M284" t="s">
        <v>7</v>
      </c>
      <c r="N284" t="s">
        <v>7</v>
      </c>
      <c r="P284">
        <f t="shared" si="964"/>
        <v>0.46914893617021236</v>
      </c>
      <c r="Q284">
        <f t="shared" si="965"/>
        <v>1867811.7237127642</v>
      </c>
      <c r="R284">
        <f t="shared" si="966"/>
        <v>5778454.0650378037</v>
      </c>
      <c r="S284">
        <f t="shared" si="967"/>
        <v>57.784540650378034</v>
      </c>
      <c r="T284">
        <f t="shared" si="968"/>
        <v>5.7784540650378032E-2</v>
      </c>
    </row>
    <row r="285" spans="1:20" x14ac:dyDescent="0.25">
      <c r="A285" s="5">
        <v>44308</v>
      </c>
      <c r="B285">
        <v>0.89070000000000005</v>
      </c>
      <c r="C285">
        <v>0.9304</v>
      </c>
      <c r="D285">
        <v>0.7601</v>
      </c>
      <c r="E285">
        <v>0.76590000000000003</v>
      </c>
      <c r="F285">
        <v>2861147.06</v>
      </c>
      <c r="G285">
        <v>0</v>
      </c>
      <c r="L285" t="s">
        <v>7</v>
      </c>
      <c r="M285" t="s">
        <v>7</v>
      </c>
      <c r="N285" t="s">
        <v>7</v>
      </c>
      <c r="P285">
        <f t="shared" si="964"/>
        <v>-0.93188490898414533</v>
      </c>
      <c r="Q285">
        <f t="shared" si="965"/>
        <v>-2666259.7675983552</v>
      </c>
      <c r="R285">
        <f t="shared" si="966"/>
        <v>3910642.341325039</v>
      </c>
      <c r="S285">
        <f t="shared" si="967"/>
        <v>39.10642341325039</v>
      </c>
      <c r="T285">
        <f t="shared" si="968"/>
        <v>3.9106423413250387E-2</v>
      </c>
    </row>
    <row r="286" spans="1:20" x14ac:dyDescent="0.25">
      <c r="A286" s="5">
        <v>44307</v>
      </c>
      <c r="B286">
        <v>0.96699999999999997</v>
      </c>
      <c r="C286">
        <v>1.016</v>
      </c>
      <c r="D286">
        <v>0.8861</v>
      </c>
      <c r="E286">
        <v>0.89070000000000005</v>
      </c>
      <c r="F286">
        <v>2210557.8199999998</v>
      </c>
      <c r="G286">
        <v>0</v>
      </c>
      <c r="L286" t="s">
        <v>8</v>
      </c>
      <c r="M286" t="s">
        <v>8</v>
      </c>
      <c r="N286" t="s">
        <v>8</v>
      </c>
      <c r="P286">
        <f t="shared" si="964"/>
        <v>-0.92917628945342501</v>
      </c>
      <c r="Q286">
        <f t="shared" si="965"/>
        <v>-2053997.912809852</v>
      </c>
      <c r="R286">
        <f t="shared" si="966"/>
        <v>6576902.1089233942</v>
      </c>
      <c r="S286">
        <f t="shared" si="967"/>
        <v>65.769021089233945</v>
      </c>
      <c r="T286">
        <f t="shared" si="968"/>
        <v>6.5769021089233951E-2</v>
      </c>
    </row>
    <row r="287" spans="1:20" x14ac:dyDescent="0.25">
      <c r="A287" s="5">
        <v>44306</v>
      </c>
      <c r="B287">
        <v>0.99060000000000004</v>
      </c>
      <c r="C287">
        <v>1</v>
      </c>
      <c r="D287">
        <v>0.86329999999999996</v>
      </c>
      <c r="E287">
        <v>0.96699999999999997</v>
      </c>
      <c r="F287">
        <v>2636042.0099999998</v>
      </c>
      <c r="G287">
        <v>0</v>
      </c>
      <c r="L287" t="s">
        <v>7</v>
      </c>
      <c r="M287" t="s">
        <v>7</v>
      </c>
      <c r="N287" t="s">
        <v>8</v>
      </c>
      <c r="P287">
        <f t="shared" si="964"/>
        <v>0.51719092904169683</v>
      </c>
      <c r="Q287">
        <f t="shared" si="965"/>
        <v>1363337.0161448417</v>
      </c>
      <c r="R287">
        <f t="shared" si="966"/>
        <v>8630900.0217332467</v>
      </c>
      <c r="S287">
        <f t="shared" si="967"/>
        <v>86.309000217332468</v>
      </c>
      <c r="T287">
        <f t="shared" si="968"/>
        <v>8.6309000217332468E-2</v>
      </c>
    </row>
    <row r="288" spans="1:20" x14ac:dyDescent="0.25">
      <c r="A288" s="5">
        <v>44305</v>
      </c>
      <c r="B288">
        <v>0.99260000000000004</v>
      </c>
      <c r="C288">
        <v>1.1849000000000001</v>
      </c>
      <c r="D288">
        <v>0.94789999999999996</v>
      </c>
      <c r="E288">
        <v>0.98960000000000004</v>
      </c>
      <c r="F288">
        <v>5807048.8200000003</v>
      </c>
      <c r="G288">
        <v>0</v>
      </c>
      <c r="L288" t="s">
        <v>8</v>
      </c>
      <c r="M288" t="s">
        <v>8</v>
      </c>
      <c r="N288" t="s">
        <v>8</v>
      </c>
      <c r="P288">
        <f t="shared" si="964"/>
        <v>-0.64810126582278438</v>
      </c>
      <c r="Q288">
        <f t="shared" si="965"/>
        <v>-3763555.6909367065</v>
      </c>
      <c r="R288">
        <f t="shared" si="966"/>
        <v>7267563.0055884048</v>
      </c>
      <c r="S288">
        <f t="shared" si="967"/>
        <v>72.675630055884042</v>
      </c>
      <c r="T288">
        <f t="shared" si="968"/>
        <v>7.2675630055884038E-2</v>
      </c>
    </row>
    <row r="289" spans="1:20" x14ac:dyDescent="0.25">
      <c r="A289" s="5">
        <v>44304</v>
      </c>
      <c r="B289">
        <v>1.2093</v>
      </c>
      <c r="C289">
        <v>1.2123999999999999</v>
      </c>
      <c r="D289">
        <v>0.77639999999999998</v>
      </c>
      <c r="E289">
        <v>0.99270000000000003</v>
      </c>
      <c r="F289">
        <v>4024334.94</v>
      </c>
      <c r="G289">
        <v>0</v>
      </c>
      <c r="L289" t="s">
        <v>7</v>
      </c>
      <c r="M289" t="s">
        <v>7</v>
      </c>
      <c r="N289" t="s">
        <v>7</v>
      </c>
      <c r="P289">
        <f t="shared" si="964"/>
        <v>-7.7981651376143307E-3</v>
      </c>
      <c r="Q289">
        <f t="shared" si="965"/>
        <v>-31382.42843119126</v>
      </c>
      <c r="R289">
        <f t="shared" si="966"/>
        <v>11031118.696525112</v>
      </c>
      <c r="S289">
        <f t="shared" si="967"/>
        <v>110.31118696525112</v>
      </c>
      <c r="T289">
        <f t="shared" si="968"/>
        <v>0.11031118696525112</v>
      </c>
    </row>
    <row r="290" spans="1:20" x14ac:dyDescent="0.25">
      <c r="A290" s="5">
        <v>44303</v>
      </c>
      <c r="B290">
        <v>1.0999000000000001</v>
      </c>
      <c r="C290">
        <v>1.2656000000000001</v>
      </c>
      <c r="D290">
        <v>1.0961000000000001</v>
      </c>
      <c r="E290">
        <v>1.2093</v>
      </c>
      <c r="F290">
        <v>3509260.8</v>
      </c>
      <c r="G290">
        <v>0</v>
      </c>
      <c r="L290" t="s">
        <v>8</v>
      </c>
      <c r="M290" t="s">
        <v>8</v>
      </c>
      <c r="N290" t="s">
        <v>8</v>
      </c>
      <c r="P290">
        <f t="shared" si="964"/>
        <v>0.3356932153392328</v>
      </c>
      <c r="Q290">
        <f t="shared" si="965"/>
        <v>1178035.0414159284</v>
      </c>
      <c r="R290">
        <f t="shared" si="966"/>
        <v>11062501.124956302</v>
      </c>
      <c r="S290">
        <f t="shared" si="967"/>
        <v>110.62501124956303</v>
      </c>
      <c r="T290">
        <f t="shared" si="968"/>
        <v>0.11062501124956303</v>
      </c>
    </row>
    <row r="291" spans="1:20" x14ac:dyDescent="0.25">
      <c r="A291" s="5">
        <v>44302</v>
      </c>
      <c r="B291">
        <v>1.1832</v>
      </c>
      <c r="C291">
        <v>1.1842999999999999</v>
      </c>
      <c r="D291">
        <v>1.0463</v>
      </c>
      <c r="E291">
        <v>1.0991</v>
      </c>
      <c r="F291">
        <v>2458906.15</v>
      </c>
      <c r="G291">
        <v>0</v>
      </c>
      <c r="L291" t="s">
        <v>7</v>
      </c>
      <c r="M291" t="s">
        <v>7</v>
      </c>
      <c r="N291" t="s">
        <v>8</v>
      </c>
      <c r="P291">
        <f t="shared" si="964"/>
        <v>-0.23478260869565223</v>
      </c>
      <c r="Q291">
        <f t="shared" si="965"/>
        <v>-577308.40043478273</v>
      </c>
      <c r="R291">
        <f t="shared" si="966"/>
        <v>9884466.0835403744</v>
      </c>
      <c r="S291">
        <f t="shared" si="967"/>
        <v>98.844660835403744</v>
      </c>
      <c r="T291">
        <f t="shared" si="968"/>
        <v>9.8844660835403747E-2</v>
      </c>
    </row>
    <row r="292" spans="1:20" x14ac:dyDescent="0.25">
      <c r="A292" s="5">
        <v>44301</v>
      </c>
      <c r="B292">
        <v>1.1444000000000001</v>
      </c>
      <c r="C292">
        <v>1.21</v>
      </c>
      <c r="D292">
        <v>1.1364000000000001</v>
      </c>
      <c r="E292">
        <v>1.1832</v>
      </c>
      <c r="F292">
        <v>2046926.38</v>
      </c>
      <c r="G292">
        <v>0</v>
      </c>
      <c r="L292" t="s">
        <v>8</v>
      </c>
      <c r="M292" t="s">
        <v>7</v>
      </c>
      <c r="N292" t="s">
        <v>8</v>
      </c>
      <c r="P292">
        <f t="shared" si="964"/>
        <v>0.27173913043478326</v>
      </c>
      <c r="Q292">
        <f t="shared" si="965"/>
        <v>556229.99456521869</v>
      </c>
      <c r="R292">
        <f t="shared" si="966"/>
        <v>10461774.483975157</v>
      </c>
      <c r="S292">
        <f t="shared" si="967"/>
        <v>104.61774483975157</v>
      </c>
      <c r="T292">
        <f t="shared" si="968"/>
        <v>0.10461774483975157</v>
      </c>
    </row>
    <row r="293" spans="1:20" x14ac:dyDescent="0.25">
      <c r="A293" s="5">
        <v>44300</v>
      </c>
      <c r="B293">
        <v>1.2076</v>
      </c>
      <c r="C293">
        <v>1.2102999999999999</v>
      </c>
      <c r="D293">
        <v>1.1075999999999999</v>
      </c>
      <c r="E293">
        <v>1.1462000000000001</v>
      </c>
      <c r="F293">
        <v>2388770.37</v>
      </c>
      <c r="G293">
        <v>0</v>
      </c>
      <c r="L293" t="s">
        <v>7</v>
      </c>
      <c r="M293" t="s">
        <v>7</v>
      </c>
      <c r="N293" t="s">
        <v>8</v>
      </c>
      <c r="P293">
        <f t="shared" si="964"/>
        <v>-0.24829600778967509</v>
      </c>
      <c r="Q293">
        <f t="shared" si="965"/>
        <v>-593122.14639726502</v>
      </c>
      <c r="R293">
        <f t="shared" si="966"/>
        <v>9905544.4894099385</v>
      </c>
      <c r="S293">
        <f t="shared" si="967"/>
        <v>99.055444894099381</v>
      </c>
      <c r="T293">
        <f t="shared" si="968"/>
        <v>9.9055444894099384E-2</v>
      </c>
    </row>
    <row r="294" spans="1:20" x14ac:dyDescent="0.25">
      <c r="A294" s="5">
        <v>44299</v>
      </c>
      <c r="B294">
        <v>1.2444999999999999</v>
      </c>
      <c r="C294">
        <v>1.2613000000000001</v>
      </c>
      <c r="D294">
        <v>1.1611</v>
      </c>
      <c r="E294">
        <v>1.208</v>
      </c>
      <c r="F294">
        <v>2745052.14</v>
      </c>
      <c r="G294">
        <v>0</v>
      </c>
      <c r="L294" t="s">
        <v>7</v>
      </c>
      <c r="M294" t="s">
        <v>8</v>
      </c>
      <c r="N294" t="s">
        <v>8</v>
      </c>
      <c r="P294">
        <f t="shared" si="964"/>
        <v>-6.3872255489023741E-2</v>
      </c>
      <c r="Q294">
        <f t="shared" si="965"/>
        <v>-175332.67161677137</v>
      </c>
      <c r="R294">
        <f t="shared" si="966"/>
        <v>10498666.635807203</v>
      </c>
      <c r="S294">
        <f t="shared" si="967"/>
        <v>104.98666635807203</v>
      </c>
      <c r="T294">
        <f t="shared" si="968"/>
        <v>0.10498666635807202</v>
      </c>
    </row>
    <row r="295" spans="1:20" x14ac:dyDescent="0.25">
      <c r="A295" s="5">
        <v>44298</v>
      </c>
      <c r="B295">
        <v>1.3027</v>
      </c>
      <c r="C295">
        <v>1.32</v>
      </c>
      <c r="D295">
        <v>1.18</v>
      </c>
      <c r="E295">
        <v>1.2444999999999999</v>
      </c>
      <c r="F295">
        <v>3169869.39</v>
      </c>
      <c r="G295">
        <v>0</v>
      </c>
      <c r="L295" t="s">
        <v>7</v>
      </c>
      <c r="M295" t="s">
        <v>8</v>
      </c>
      <c r="N295" t="s">
        <v>8</v>
      </c>
      <c r="P295">
        <f t="shared" si="964"/>
        <v>-7.8571428571429361E-2</v>
      </c>
      <c r="Q295">
        <f t="shared" si="965"/>
        <v>-249061.16635714538</v>
      </c>
      <c r="R295">
        <f t="shared" si="966"/>
        <v>10673999.307423975</v>
      </c>
      <c r="S295">
        <f t="shared" si="967"/>
        <v>106.73999307423975</v>
      </c>
      <c r="T295">
        <f t="shared" si="968"/>
        <v>0.10673999307423974</v>
      </c>
    </row>
    <row r="296" spans="1:20" x14ac:dyDescent="0.25">
      <c r="A296" s="5">
        <v>44297</v>
      </c>
      <c r="B296">
        <v>1.123</v>
      </c>
      <c r="C296">
        <v>1.3841000000000001</v>
      </c>
      <c r="D296">
        <v>1.0993999999999999</v>
      </c>
      <c r="E296">
        <v>1.2975000000000001</v>
      </c>
      <c r="F296">
        <v>10287617.59</v>
      </c>
      <c r="G296">
        <v>0</v>
      </c>
      <c r="L296" t="s">
        <v>8</v>
      </c>
      <c r="M296" t="s">
        <v>8</v>
      </c>
      <c r="N296" t="s">
        <v>8</v>
      </c>
      <c r="P296">
        <f t="shared" si="964"/>
        <v>0.39164032314717279</v>
      </c>
      <c r="Q296">
        <f t="shared" si="965"/>
        <v>4029045.8773621391</v>
      </c>
      <c r="R296">
        <f t="shared" si="966"/>
        <v>10923060.47378112</v>
      </c>
      <c r="S296">
        <f t="shared" si="967"/>
        <v>109.23060473781121</v>
      </c>
      <c r="T296">
        <f t="shared" si="968"/>
        <v>0.10923060473781121</v>
      </c>
    </row>
    <row r="297" spans="1:20" x14ac:dyDescent="0.25">
      <c r="A297" s="5">
        <v>44296</v>
      </c>
      <c r="B297">
        <v>1.1548</v>
      </c>
      <c r="C297">
        <v>1.224</v>
      </c>
      <c r="D297">
        <v>1.0900000000000001</v>
      </c>
      <c r="E297">
        <v>1.1216999999999999</v>
      </c>
      <c r="F297">
        <v>2807395.37</v>
      </c>
      <c r="G297">
        <v>0</v>
      </c>
      <c r="L297" t="s">
        <v>8</v>
      </c>
      <c r="M297" t="s">
        <v>8</v>
      </c>
      <c r="N297" t="s">
        <v>8</v>
      </c>
      <c r="P297">
        <f t="shared" si="964"/>
        <v>-0.5268656716417931</v>
      </c>
      <c r="Q297">
        <f t="shared" si="965"/>
        <v>-1479120.2471791103</v>
      </c>
      <c r="R297">
        <f t="shared" si="966"/>
        <v>6894014.5964189805</v>
      </c>
      <c r="S297">
        <f t="shared" si="967"/>
        <v>68.94014596418981</v>
      </c>
      <c r="T297">
        <f t="shared" si="968"/>
        <v>6.8940145964189806E-2</v>
      </c>
    </row>
    <row r="298" spans="1:20" x14ac:dyDescent="0.25">
      <c r="A298" s="5">
        <v>44295</v>
      </c>
      <c r="B298">
        <v>1.0758000000000001</v>
      </c>
      <c r="C298">
        <v>1.1861999999999999</v>
      </c>
      <c r="D298">
        <v>1.0470999999999999</v>
      </c>
      <c r="E298">
        <v>1.1604000000000001</v>
      </c>
      <c r="F298">
        <v>2777571.32</v>
      </c>
      <c r="G298">
        <v>0</v>
      </c>
      <c r="L298" t="s">
        <v>8</v>
      </c>
      <c r="M298" t="s">
        <v>8</v>
      </c>
      <c r="N298" t="s">
        <v>8</v>
      </c>
      <c r="P298">
        <f t="shared" si="964"/>
        <v>0.62904385334292134</v>
      </c>
      <c r="Q298">
        <f t="shared" si="965"/>
        <v>1747214.1660675844</v>
      </c>
      <c r="R298">
        <f t="shared" si="966"/>
        <v>8373134.843598091</v>
      </c>
      <c r="S298">
        <f t="shared" si="967"/>
        <v>83.731348435980905</v>
      </c>
      <c r="T298">
        <f t="shared" si="968"/>
        <v>8.3731348435980901E-2</v>
      </c>
    </row>
    <row r="299" spans="1:20" x14ac:dyDescent="0.25">
      <c r="A299" s="5">
        <v>44294</v>
      </c>
      <c r="B299">
        <v>0.98870000000000002</v>
      </c>
      <c r="C299">
        <v>1.0991</v>
      </c>
      <c r="D299">
        <v>0.9667</v>
      </c>
      <c r="E299">
        <v>1.0749</v>
      </c>
      <c r="F299">
        <v>2210482.64</v>
      </c>
      <c r="G299">
        <v>0</v>
      </c>
      <c r="L299" t="s">
        <v>8</v>
      </c>
      <c r="M299" t="s">
        <v>7</v>
      </c>
      <c r="N299" t="s">
        <v>8</v>
      </c>
      <c r="P299">
        <f t="shared" si="964"/>
        <v>0.63444108761329299</v>
      </c>
      <c r="Q299">
        <f t="shared" si="965"/>
        <v>1402421.0102719034</v>
      </c>
      <c r="R299">
        <f t="shared" si="966"/>
        <v>6625920.6775305066</v>
      </c>
      <c r="S299">
        <f t="shared" si="967"/>
        <v>66.25920677530506</v>
      </c>
      <c r="T299">
        <f t="shared" si="968"/>
        <v>6.6259206775305057E-2</v>
      </c>
    </row>
    <row r="300" spans="1:20" x14ac:dyDescent="0.25">
      <c r="A300" s="5">
        <v>44293</v>
      </c>
      <c r="B300">
        <v>1.1251</v>
      </c>
      <c r="C300">
        <v>1.1478999999999999</v>
      </c>
      <c r="D300">
        <v>0.91</v>
      </c>
      <c r="E300">
        <v>0.98939999999999995</v>
      </c>
      <c r="F300">
        <v>3191538.45</v>
      </c>
      <c r="G300">
        <v>0</v>
      </c>
      <c r="L300" t="s">
        <v>7</v>
      </c>
      <c r="M300" t="s">
        <v>7</v>
      </c>
      <c r="N300" t="s">
        <v>8</v>
      </c>
      <c r="P300">
        <f t="shared" si="964"/>
        <v>-0.33249264396805422</v>
      </c>
      <c r="Q300">
        <f t="shared" si="965"/>
        <v>-1061163.0575662057</v>
      </c>
      <c r="R300">
        <f t="shared" si="966"/>
        <v>5223499.6672586035</v>
      </c>
      <c r="S300">
        <f t="shared" si="967"/>
        <v>52.234996672586036</v>
      </c>
      <c r="T300">
        <f t="shared" si="968"/>
        <v>5.2234996672586034E-2</v>
      </c>
    </row>
    <row r="301" spans="1:20" x14ac:dyDescent="0.25">
      <c r="A301" s="5">
        <v>44292</v>
      </c>
      <c r="B301">
        <v>1.1806000000000001</v>
      </c>
      <c r="C301">
        <v>1.2418</v>
      </c>
      <c r="D301">
        <v>1.05</v>
      </c>
      <c r="E301">
        <v>1.1185</v>
      </c>
      <c r="F301">
        <v>5624287.1399999997</v>
      </c>
      <c r="G301">
        <v>0</v>
      </c>
      <c r="L301" t="s">
        <v>7</v>
      </c>
      <c r="M301" t="s">
        <v>8</v>
      </c>
      <c r="N301" t="s">
        <v>8</v>
      </c>
      <c r="P301">
        <f t="shared" si="964"/>
        <v>-0.28571428571428553</v>
      </c>
      <c r="Q301">
        <f t="shared" si="965"/>
        <v>-1606939.1828571418</v>
      </c>
      <c r="R301">
        <f t="shared" si="966"/>
        <v>6284662.7248248095</v>
      </c>
      <c r="S301">
        <f t="shared" si="967"/>
        <v>62.846627248248097</v>
      </c>
      <c r="T301">
        <f t="shared" si="968"/>
        <v>6.2846627248248091E-2</v>
      </c>
    </row>
    <row r="302" spans="1:20" x14ac:dyDescent="0.25">
      <c r="A302" s="5">
        <v>44291</v>
      </c>
      <c r="B302">
        <v>1.0036</v>
      </c>
      <c r="C302">
        <v>1.2402</v>
      </c>
      <c r="D302">
        <v>0.92500000000000004</v>
      </c>
      <c r="E302">
        <v>1.177</v>
      </c>
      <c r="F302">
        <v>9400062.7400000002</v>
      </c>
      <c r="G302">
        <v>0</v>
      </c>
      <c r="L302" t="s">
        <v>8</v>
      </c>
      <c r="M302" t="s">
        <v>8</v>
      </c>
      <c r="N302" t="s">
        <v>8</v>
      </c>
      <c r="P302">
        <f t="shared" si="964"/>
        <v>0.59898477157360441</v>
      </c>
      <c r="Q302">
        <f t="shared" si="965"/>
        <v>5630494.4330964498</v>
      </c>
      <c r="R302">
        <f t="shared" si="966"/>
        <v>7891601.9076819513</v>
      </c>
      <c r="S302">
        <f t="shared" si="967"/>
        <v>78.916019076819509</v>
      </c>
      <c r="T302">
        <f t="shared" si="968"/>
        <v>7.8916019076819513E-2</v>
      </c>
    </row>
    <row r="303" spans="1:20" x14ac:dyDescent="0.25">
      <c r="A303" s="5">
        <v>44290</v>
      </c>
      <c r="B303">
        <v>0.90259999999999996</v>
      </c>
      <c r="C303">
        <v>1.0249999999999999</v>
      </c>
      <c r="D303">
        <v>0.88570000000000004</v>
      </c>
      <c r="E303">
        <v>1.0036</v>
      </c>
      <c r="F303">
        <v>1947263.37</v>
      </c>
      <c r="G303">
        <v>0</v>
      </c>
      <c r="L303" t="s">
        <v>7</v>
      </c>
      <c r="M303" t="s">
        <v>7</v>
      </c>
      <c r="N303" t="s">
        <v>8</v>
      </c>
      <c r="P303">
        <f t="shared" si="964"/>
        <v>0.69274946159368433</v>
      </c>
      <c r="Q303">
        <f t="shared" si="965"/>
        <v>1348965.6511486033</v>
      </c>
      <c r="R303">
        <f t="shared" si="966"/>
        <v>2261107.4745855015</v>
      </c>
      <c r="S303">
        <f t="shared" si="967"/>
        <v>22.611074745855014</v>
      </c>
      <c r="T303">
        <f t="shared" si="968"/>
        <v>2.2611074745855015E-2</v>
      </c>
    </row>
    <row r="304" spans="1:20" x14ac:dyDescent="0.25">
      <c r="A304" s="5">
        <v>44289</v>
      </c>
      <c r="B304">
        <v>1.0170999999999999</v>
      </c>
      <c r="C304">
        <v>1.0243</v>
      </c>
      <c r="D304">
        <v>0.89</v>
      </c>
      <c r="E304">
        <v>0.90459999999999996</v>
      </c>
      <c r="F304">
        <v>2143593.2599999998</v>
      </c>
      <c r="G304">
        <v>0</v>
      </c>
      <c r="L304" t="s">
        <v>7</v>
      </c>
      <c r="M304" t="s">
        <v>7</v>
      </c>
      <c r="N304" t="s">
        <v>8</v>
      </c>
      <c r="P304">
        <f t="shared" si="964"/>
        <v>-0.78257632166790847</v>
      </c>
      <c r="Q304">
        <f t="shared" si="965"/>
        <v>-1677525.3285629204</v>
      </c>
      <c r="R304">
        <f t="shared" si="966"/>
        <v>912141.82343689818</v>
      </c>
      <c r="S304">
        <f t="shared" si="967"/>
        <v>9.1214182343689814</v>
      </c>
      <c r="T304">
        <f t="shared" si="968"/>
        <v>9.1214182343689817E-3</v>
      </c>
    </row>
    <row r="305" spans="1:20" x14ac:dyDescent="0.25">
      <c r="A305" s="5">
        <v>44288</v>
      </c>
      <c r="B305">
        <v>1.0859000000000001</v>
      </c>
      <c r="C305">
        <v>1.0898000000000001</v>
      </c>
      <c r="D305">
        <v>0.99270000000000003</v>
      </c>
      <c r="E305">
        <v>1.0212000000000001</v>
      </c>
      <c r="F305">
        <v>2262471.16</v>
      </c>
      <c r="G305">
        <v>0</v>
      </c>
      <c r="L305" t="s">
        <v>7</v>
      </c>
      <c r="M305" t="s">
        <v>8</v>
      </c>
      <c r="N305" t="s">
        <v>8</v>
      </c>
      <c r="P305">
        <f t="shared" si="964"/>
        <v>-0.4129763130792985</v>
      </c>
      <c r="Q305">
        <f t="shared" si="965"/>
        <v>-934346.99810504366</v>
      </c>
      <c r="R305">
        <f t="shared" si="966"/>
        <v>2589667.1519998186</v>
      </c>
      <c r="S305">
        <f t="shared" si="967"/>
        <v>25.896671519998186</v>
      </c>
      <c r="T305">
        <f t="shared" si="968"/>
        <v>2.5896671519998186E-2</v>
      </c>
    </row>
    <row r="306" spans="1:20" x14ac:dyDescent="0.25">
      <c r="A306" s="5">
        <v>44287</v>
      </c>
      <c r="B306">
        <v>1.0744</v>
      </c>
      <c r="C306">
        <v>1.1299999999999999</v>
      </c>
      <c r="D306">
        <v>1.0492999999999999</v>
      </c>
      <c r="E306">
        <v>1.0901000000000001</v>
      </c>
      <c r="F306">
        <v>2580120.14</v>
      </c>
      <c r="G306">
        <v>0</v>
      </c>
      <c r="L306" t="s">
        <v>8</v>
      </c>
      <c r="M306" t="s">
        <v>8</v>
      </c>
      <c r="N306" t="s">
        <v>8</v>
      </c>
      <c r="P306">
        <f t="shared" si="964"/>
        <v>1.1152416356881599E-2</v>
      </c>
      <c r="Q306">
        <f t="shared" si="965"/>
        <v>28774.574052055643</v>
      </c>
      <c r="R306">
        <f t="shared" si="966"/>
        <v>3524014.1501048622</v>
      </c>
      <c r="S306">
        <f t="shared" si="967"/>
        <v>35.240141501048619</v>
      </c>
      <c r="T306">
        <f t="shared" si="968"/>
        <v>3.5240141501048622E-2</v>
      </c>
    </row>
    <row r="307" spans="1:20" x14ac:dyDescent="0.25">
      <c r="A307" s="5">
        <v>44286</v>
      </c>
      <c r="B307">
        <v>1.0822000000000001</v>
      </c>
      <c r="C307">
        <v>1.1516</v>
      </c>
      <c r="D307">
        <v>1.01</v>
      </c>
      <c r="E307">
        <v>1.0749</v>
      </c>
      <c r="F307">
        <v>4304333.5999999996</v>
      </c>
      <c r="G307">
        <v>0</v>
      </c>
      <c r="L307" t="s">
        <v>7</v>
      </c>
      <c r="M307" t="s">
        <v>8</v>
      </c>
      <c r="N307" t="s">
        <v>8</v>
      </c>
      <c r="P307">
        <f t="shared" si="964"/>
        <v>-8.3333333333333592E-2</v>
      </c>
      <c r="Q307">
        <f t="shared" si="965"/>
        <v>-358694.46666666772</v>
      </c>
      <c r="R307">
        <f t="shared" si="966"/>
        <v>3495239.5760528063</v>
      </c>
      <c r="S307">
        <f t="shared" si="967"/>
        <v>34.952395760528063</v>
      </c>
      <c r="T307">
        <f t="shared" si="968"/>
        <v>3.4952395760528061E-2</v>
      </c>
    </row>
    <row r="308" spans="1:20" x14ac:dyDescent="0.25">
      <c r="A308" s="5">
        <v>44285</v>
      </c>
      <c r="B308">
        <v>1.1364000000000001</v>
      </c>
      <c r="C308">
        <v>1.1468</v>
      </c>
      <c r="D308">
        <v>1.022</v>
      </c>
      <c r="E308">
        <v>1.0822000000000001</v>
      </c>
      <c r="F308">
        <v>3507886.88</v>
      </c>
      <c r="G308">
        <v>0</v>
      </c>
      <c r="L308" t="s">
        <v>7</v>
      </c>
      <c r="M308" t="s">
        <v>8</v>
      </c>
      <c r="N308" t="s">
        <v>8</v>
      </c>
      <c r="P308">
        <f t="shared" si="964"/>
        <v>-3.5256410256409923E-2</v>
      </c>
      <c r="Q308">
        <f t="shared" si="965"/>
        <v>-123675.4989743578</v>
      </c>
      <c r="R308">
        <f t="shared" si="966"/>
        <v>3853934.0427194741</v>
      </c>
      <c r="S308">
        <f t="shared" si="967"/>
        <v>38.539340427194738</v>
      </c>
      <c r="T308">
        <f t="shared" si="968"/>
        <v>3.8539340427194736E-2</v>
      </c>
    </row>
    <row r="309" spans="1:20" x14ac:dyDescent="0.25">
      <c r="A309" s="5">
        <v>44284</v>
      </c>
      <c r="B309">
        <v>0.94550000000000001</v>
      </c>
      <c r="C309">
        <v>1.1369</v>
      </c>
      <c r="D309">
        <v>0.92559999999999998</v>
      </c>
      <c r="E309">
        <v>1.1365000000000001</v>
      </c>
      <c r="F309">
        <v>6381322.0199999996</v>
      </c>
      <c r="G309">
        <v>0</v>
      </c>
      <c r="L309" t="s">
        <v>8</v>
      </c>
      <c r="M309" t="s">
        <v>8</v>
      </c>
      <c r="N309" t="s">
        <v>8</v>
      </c>
      <c r="P309">
        <f t="shared" si="964"/>
        <v>0.9962139138665409</v>
      </c>
      <c r="Q309">
        <f t="shared" si="965"/>
        <v>6357161.7851869408</v>
      </c>
      <c r="R309">
        <f t="shared" si="966"/>
        <v>3977609.5416938318</v>
      </c>
      <c r="S309">
        <f t="shared" si="967"/>
        <v>39.776095416938318</v>
      </c>
      <c r="T309">
        <f t="shared" si="968"/>
        <v>3.9776095416938322E-2</v>
      </c>
    </row>
    <row r="310" spans="1:20" x14ac:dyDescent="0.25">
      <c r="A310" s="5">
        <v>44283</v>
      </c>
      <c r="B310">
        <v>0.8821</v>
      </c>
      <c r="C310">
        <v>0.99</v>
      </c>
      <c r="D310">
        <v>0.87339999999999995</v>
      </c>
      <c r="E310">
        <v>0.94510000000000005</v>
      </c>
      <c r="F310">
        <v>3252104.2</v>
      </c>
      <c r="G310">
        <v>0</v>
      </c>
      <c r="L310" t="s">
        <v>8</v>
      </c>
      <c r="M310" t="s">
        <v>8</v>
      </c>
      <c r="N310" t="s">
        <v>8</v>
      </c>
      <c r="P310">
        <f t="shared" si="964"/>
        <v>0.22984562607204245</v>
      </c>
      <c r="Q310">
        <f t="shared" si="965"/>
        <v>747481.92590051878</v>
      </c>
      <c r="R310">
        <f t="shared" si="966"/>
        <v>-2379552.243493109</v>
      </c>
      <c r="S310">
        <f t="shared" si="967"/>
        <v>-23.79552243493109</v>
      </c>
      <c r="T310">
        <f t="shared" si="968"/>
        <v>-2.3795522434931091E-2</v>
      </c>
    </row>
    <row r="311" spans="1:20" x14ac:dyDescent="0.25">
      <c r="A311" s="5">
        <v>44282</v>
      </c>
      <c r="B311">
        <v>0.94579999999999997</v>
      </c>
      <c r="C311">
        <v>0.97</v>
      </c>
      <c r="D311">
        <v>0.84230000000000005</v>
      </c>
      <c r="E311">
        <v>0.879</v>
      </c>
      <c r="F311">
        <v>2564997.6</v>
      </c>
      <c r="G311">
        <v>0</v>
      </c>
      <c r="L311" t="s">
        <v>7</v>
      </c>
      <c r="M311" t="s">
        <v>8</v>
      </c>
      <c r="N311" t="s">
        <v>8</v>
      </c>
      <c r="P311">
        <f t="shared" si="964"/>
        <v>-0.42521534847298392</v>
      </c>
      <c r="Q311">
        <f t="shared" si="965"/>
        <v>-1090676.3483163675</v>
      </c>
      <c r="R311">
        <f t="shared" si="966"/>
        <v>-3127034.1693936279</v>
      </c>
      <c r="S311">
        <f t="shared" si="967"/>
        <v>-31.270341693936277</v>
      </c>
      <c r="T311">
        <f t="shared" si="968"/>
        <v>-3.1270341693936277E-2</v>
      </c>
    </row>
    <row r="312" spans="1:20" x14ac:dyDescent="0.25">
      <c r="A312" s="5">
        <v>44281</v>
      </c>
      <c r="B312">
        <v>0.77090000000000003</v>
      </c>
      <c r="C312">
        <v>0.9849</v>
      </c>
      <c r="D312">
        <v>0.76600000000000001</v>
      </c>
      <c r="E312">
        <v>0.94950000000000001</v>
      </c>
      <c r="F312">
        <v>5915789.8899999997</v>
      </c>
      <c r="G312">
        <v>0</v>
      </c>
      <c r="L312" t="s">
        <v>8</v>
      </c>
      <c r="M312" t="s">
        <v>8</v>
      </c>
      <c r="N312" t="s">
        <v>8</v>
      </c>
      <c r="P312">
        <f t="shared" si="964"/>
        <v>0.67656464138876204</v>
      </c>
      <c r="Q312">
        <f t="shared" si="965"/>
        <v>4002414.2654591138</v>
      </c>
      <c r="R312">
        <f t="shared" si="966"/>
        <v>-2036357.8210772602</v>
      </c>
      <c r="S312">
        <f t="shared" si="967"/>
        <v>-20.363578210772602</v>
      </c>
      <c r="T312">
        <f t="shared" si="968"/>
        <v>-2.0363578210772601E-2</v>
      </c>
    </row>
    <row r="313" spans="1:20" x14ac:dyDescent="0.25">
      <c r="A313" s="5">
        <v>44280</v>
      </c>
      <c r="B313">
        <v>0.80579999999999996</v>
      </c>
      <c r="C313">
        <v>0.82540000000000002</v>
      </c>
      <c r="D313">
        <v>0.7359</v>
      </c>
      <c r="E313">
        <v>0.7661</v>
      </c>
      <c r="F313">
        <v>2929295.61</v>
      </c>
      <c r="G313">
        <v>0</v>
      </c>
      <c r="L313" t="s">
        <v>7</v>
      </c>
      <c r="M313" t="s">
        <v>7</v>
      </c>
      <c r="N313" t="s">
        <v>8</v>
      </c>
      <c r="P313">
        <f t="shared" si="964"/>
        <v>-0.32513966480446937</v>
      </c>
      <c r="Q313">
        <f t="shared" si="965"/>
        <v>-952430.19274860364</v>
      </c>
      <c r="R313">
        <f t="shared" si="966"/>
        <v>-6038772.0865363739</v>
      </c>
      <c r="S313">
        <f t="shared" si="967"/>
        <v>-60.38772086536374</v>
      </c>
      <c r="T313">
        <f t="shared" si="968"/>
        <v>-6.0387720865363738E-2</v>
      </c>
    </row>
    <row r="314" spans="1:20" x14ac:dyDescent="0.25">
      <c r="A314" s="5">
        <v>44279</v>
      </c>
      <c r="B314">
        <v>0.85240000000000005</v>
      </c>
      <c r="C314">
        <v>0.97050000000000003</v>
      </c>
      <c r="D314">
        <v>0.74739999999999995</v>
      </c>
      <c r="E314">
        <v>0.80710000000000004</v>
      </c>
      <c r="F314">
        <v>4797888.21</v>
      </c>
      <c r="G314">
        <v>0</v>
      </c>
      <c r="L314" t="s">
        <v>8</v>
      </c>
      <c r="M314" t="s">
        <v>8</v>
      </c>
      <c r="N314" t="s">
        <v>8</v>
      </c>
      <c r="P314">
        <f t="shared" si="964"/>
        <v>-0.46481398476019664</v>
      </c>
      <c r="Q314">
        <f t="shared" si="965"/>
        <v>-2230125.5373240672</v>
      </c>
      <c r="R314">
        <f t="shared" si="966"/>
        <v>-5086341.8937877705</v>
      </c>
      <c r="S314">
        <f t="shared" si="967"/>
        <v>-50.863418937877704</v>
      </c>
      <c r="T314">
        <f t="shared" si="968"/>
        <v>-5.0863418937877707E-2</v>
      </c>
    </row>
    <row r="315" spans="1:20" x14ac:dyDescent="0.25">
      <c r="A315" s="5">
        <v>44278</v>
      </c>
      <c r="B315">
        <v>0.77229999999999999</v>
      </c>
      <c r="C315">
        <v>0.92169999999999996</v>
      </c>
      <c r="D315">
        <v>0.72799999999999998</v>
      </c>
      <c r="E315">
        <v>0.84889999999999999</v>
      </c>
      <c r="F315">
        <v>4489136.7</v>
      </c>
      <c r="G315">
        <v>0</v>
      </c>
      <c r="L315" t="s">
        <v>8</v>
      </c>
      <c r="M315" t="s">
        <v>8</v>
      </c>
      <c r="N315" t="s">
        <v>8</v>
      </c>
      <c r="P315">
        <f t="shared" si="964"/>
        <v>0.24832214765100691</v>
      </c>
      <c r="Q315">
        <f t="shared" si="965"/>
        <v>1114752.0664429539</v>
      </c>
      <c r="R315">
        <f t="shared" si="966"/>
        <v>-2856216.3564637033</v>
      </c>
      <c r="S315">
        <f t="shared" si="967"/>
        <v>-28.562163564637032</v>
      </c>
      <c r="T315">
        <f t="shared" si="968"/>
        <v>-2.8562163564637033E-2</v>
      </c>
    </row>
    <row r="316" spans="1:20" x14ac:dyDescent="0.25">
      <c r="A316" s="5">
        <v>44277</v>
      </c>
      <c r="B316">
        <v>0.7651</v>
      </c>
      <c r="C316">
        <v>0.87</v>
      </c>
      <c r="D316">
        <v>0.74509999999999998</v>
      </c>
      <c r="E316">
        <v>0.77349999999999997</v>
      </c>
      <c r="F316">
        <v>2692425.7</v>
      </c>
      <c r="G316">
        <v>0</v>
      </c>
      <c r="L316" t="s">
        <v>8</v>
      </c>
      <c r="M316" t="s">
        <v>8</v>
      </c>
      <c r="N316" t="s">
        <v>8</v>
      </c>
      <c r="P316">
        <f t="shared" si="964"/>
        <v>-0.54523618895116133</v>
      </c>
      <c r="Q316">
        <f t="shared" si="965"/>
        <v>-1468007.9277021629</v>
      </c>
      <c r="R316">
        <f t="shared" si="966"/>
        <v>-3970968.4229066572</v>
      </c>
      <c r="S316">
        <f t="shared" si="967"/>
        <v>-39.709684229066575</v>
      </c>
      <c r="T316">
        <f t="shared" si="968"/>
        <v>-3.9709684229066573E-2</v>
      </c>
    </row>
    <row r="317" spans="1:20" x14ac:dyDescent="0.25">
      <c r="A317" s="5">
        <v>44276</v>
      </c>
      <c r="B317">
        <v>0.77400000000000002</v>
      </c>
      <c r="C317">
        <v>0.78749999999999998</v>
      </c>
      <c r="D317">
        <v>0.71919999999999995</v>
      </c>
      <c r="E317">
        <v>0.76249999999999996</v>
      </c>
      <c r="F317">
        <v>1260932.25</v>
      </c>
      <c r="G317">
        <v>0</v>
      </c>
      <c r="L317" t="s">
        <v>7</v>
      </c>
      <c r="M317" t="s">
        <v>7</v>
      </c>
      <c r="N317" t="s">
        <v>8</v>
      </c>
      <c r="P317">
        <f t="shared" si="964"/>
        <v>0.26793557833089277</v>
      </c>
      <c r="Q317">
        <f t="shared" si="965"/>
        <v>337848.61163982388</v>
      </c>
      <c r="R317">
        <f t="shared" si="966"/>
        <v>-2502960.4952044943</v>
      </c>
      <c r="S317">
        <f t="shared" si="967"/>
        <v>-25.029604952044945</v>
      </c>
      <c r="T317">
        <f t="shared" si="968"/>
        <v>-2.5029604952044947E-2</v>
      </c>
    </row>
    <row r="318" spans="1:20" x14ac:dyDescent="0.25">
      <c r="A318" s="5">
        <v>44275</v>
      </c>
      <c r="B318">
        <v>0.81779999999999997</v>
      </c>
      <c r="C318">
        <v>0.86229999999999996</v>
      </c>
      <c r="D318">
        <v>0.77329999999999999</v>
      </c>
      <c r="E318">
        <v>0.77329999999999999</v>
      </c>
      <c r="F318">
        <v>1592859.43</v>
      </c>
      <c r="G318">
        <v>0</v>
      </c>
      <c r="L318" t="s">
        <v>7</v>
      </c>
      <c r="M318" t="s">
        <v>8</v>
      </c>
      <c r="N318" t="s">
        <v>8</v>
      </c>
      <c r="P318">
        <f t="shared" si="964"/>
        <v>-1</v>
      </c>
      <c r="Q318">
        <f t="shared" si="965"/>
        <v>-1592859.43</v>
      </c>
      <c r="R318">
        <f t="shared" si="966"/>
        <v>-2840809.1068443181</v>
      </c>
      <c r="S318">
        <f t="shared" si="967"/>
        <v>-28.408091068443181</v>
      </c>
      <c r="T318">
        <f t="shared" si="968"/>
        <v>-2.8408091068443182E-2</v>
      </c>
    </row>
    <row r="319" spans="1:20" x14ac:dyDescent="0.25">
      <c r="A319" s="5">
        <v>44274</v>
      </c>
      <c r="B319">
        <v>0.75490000000000002</v>
      </c>
      <c r="C319">
        <v>0.86719999999999997</v>
      </c>
      <c r="D319">
        <v>0.71130000000000004</v>
      </c>
      <c r="E319">
        <v>0.8125</v>
      </c>
      <c r="F319">
        <v>3950191.73</v>
      </c>
      <c r="G319">
        <v>0</v>
      </c>
      <c r="L319" t="s">
        <v>8</v>
      </c>
      <c r="M319" t="s">
        <v>8</v>
      </c>
      <c r="N319" t="s">
        <v>8</v>
      </c>
      <c r="P319">
        <f t="shared" si="964"/>
        <v>0.29826812059012192</v>
      </c>
      <c r="Q319">
        <f t="shared" si="965"/>
        <v>1178216.2632777423</v>
      </c>
      <c r="R319">
        <f t="shared" si="966"/>
        <v>-1247949.6768443182</v>
      </c>
      <c r="S319">
        <f t="shared" si="967"/>
        <v>-12.479496768443182</v>
      </c>
      <c r="T319">
        <f t="shared" si="968"/>
        <v>-1.2479496768443182E-2</v>
      </c>
    </row>
    <row r="320" spans="1:20" x14ac:dyDescent="0.25">
      <c r="A320" s="5">
        <v>44273</v>
      </c>
      <c r="B320">
        <v>0.73550000000000004</v>
      </c>
      <c r="C320">
        <v>0.8</v>
      </c>
      <c r="D320">
        <v>0.71960000000000002</v>
      </c>
      <c r="E320">
        <v>0.75549999999999995</v>
      </c>
      <c r="F320">
        <v>3338104.73</v>
      </c>
      <c r="G320">
        <v>0</v>
      </c>
      <c r="L320" t="s">
        <v>8</v>
      </c>
      <c r="M320" t="s">
        <v>8</v>
      </c>
      <c r="N320" t="s">
        <v>8</v>
      </c>
      <c r="P320">
        <f t="shared" si="964"/>
        <v>-0.10696517412935523</v>
      </c>
      <c r="Q320">
        <f t="shared" si="965"/>
        <v>-357060.95370647433</v>
      </c>
      <c r="R320">
        <f t="shared" si="966"/>
        <v>-2426165.9401220605</v>
      </c>
      <c r="S320">
        <f t="shared" si="967"/>
        <v>-24.261659401220605</v>
      </c>
      <c r="T320">
        <f t="shared" si="968"/>
        <v>-2.4261659401220607E-2</v>
      </c>
    </row>
    <row r="321" spans="1:20" x14ac:dyDescent="0.25">
      <c r="A321" s="5">
        <v>44272</v>
      </c>
      <c r="B321">
        <v>0.71289999999999998</v>
      </c>
      <c r="C321">
        <v>0.76070000000000004</v>
      </c>
      <c r="D321">
        <v>0.6764</v>
      </c>
      <c r="E321">
        <v>0.73560000000000003</v>
      </c>
      <c r="F321">
        <v>3561138.7</v>
      </c>
      <c r="G321">
        <v>0</v>
      </c>
      <c r="L321" t="s">
        <v>8</v>
      </c>
      <c r="M321" t="s">
        <v>7</v>
      </c>
      <c r="N321" t="s">
        <v>8</v>
      </c>
      <c r="P321">
        <f t="shared" si="964"/>
        <v>0.40450771055753265</v>
      </c>
      <c r="Q321">
        <f t="shared" si="965"/>
        <v>1440508.0625148283</v>
      </c>
      <c r="R321">
        <f t="shared" si="966"/>
        <v>-2069104.9864155862</v>
      </c>
      <c r="S321">
        <f t="shared" si="967"/>
        <v>-20.691049864155861</v>
      </c>
      <c r="T321">
        <f t="shared" si="968"/>
        <v>-2.0691049864155861E-2</v>
      </c>
    </row>
    <row r="322" spans="1:20" x14ac:dyDescent="0.25">
      <c r="A322" s="5">
        <v>44271</v>
      </c>
      <c r="B322">
        <v>0.73609999999999998</v>
      </c>
      <c r="C322">
        <v>0.76349999999999996</v>
      </c>
      <c r="D322">
        <v>0.6744</v>
      </c>
      <c r="E322">
        <v>0.71319999999999995</v>
      </c>
      <c r="F322">
        <v>5311584.4400000004</v>
      </c>
      <c r="G322">
        <v>0</v>
      </c>
      <c r="L322" t="s">
        <v>7</v>
      </c>
      <c r="M322" t="s">
        <v>7</v>
      </c>
      <c r="N322" t="s">
        <v>8</v>
      </c>
      <c r="P322">
        <f t="shared" si="964"/>
        <v>-0.12906846240179654</v>
      </c>
      <c r="Q322">
        <f t="shared" si="965"/>
        <v>-685558.03658810758</v>
      </c>
      <c r="R322">
        <f t="shared" si="966"/>
        <v>-3509613.0489304145</v>
      </c>
      <c r="S322">
        <f t="shared" si="967"/>
        <v>-35.096130489304144</v>
      </c>
      <c r="T322">
        <f t="shared" si="968"/>
        <v>-3.5096130489304142E-2</v>
      </c>
    </row>
    <row r="323" spans="1:20" x14ac:dyDescent="0.25">
      <c r="A323" s="5">
        <v>44270</v>
      </c>
      <c r="B323">
        <v>0.69779999999999998</v>
      </c>
      <c r="C323">
        <v>0.85</v>
      </c>
      <c r="D323">
        <v>0.63919999999999999</v>
      </c>
      <c r="E323">
        <v>0.73380000000000001</v>
      </c>
      <c r="F323">
        <v>6117212.5099999998</v>
      </c>
      <c r="G323">
        <v>0</v>
      </c>
      <c r="L323" t="s">
        <v>8</v>
      </c>
      <c r="M323" t="s">
        <v>8</v>
      </c>
      <c r="N323" t="s">
        <v>8</v>
      </c>
      <c r="P323">
        <f t="shared" si="964"/>
        <v>-0.10246679316888023</v>
      </c>
      <c r="Q323">
        <f t="shared" si="965"/>
        <v>-626811.14903225668</v>
      </c>
      <c r="R323">
        <f t="shared" si="966"/>
        <v>-2824055.0123423068</v>
      </c>
      <c r="S323">
        <f t="shared" si="967"/>
        <v>-28.240550123423066</v>
      </c>
      <c r="T323">
        <f t="shared" si="968"/>
        <v>-2.8240550123423067E-2</v>
      </c>
    </row>
    <row r="324" spans="1:20" x14ac:dyDescent="0.25">
      <c r="A324" s="5">
        <v>44269</v>
      </c>
      <c r="B324">
        <v>0.68530000000000002</v>
      </c>
      <c r="C324">
        <v>0.73660000000000003</v>
      </c>
      <c r="D324">
        <v>0.66</v>
      </c>
      <c r="E324">
        <v>0.69750000000000001</v>
      </c>
      <c r="F324">
        <v>3556195.68</v>
      </c>
      <c r="G324">
        <v>0</v>
      </c>
      <c r="L324" t="s">
        <v>8</v>
      </c>
      <c r="M324" t="s">
        <v>8</v>
      </c>
      <c r="N324" t="s">
        <v>8</v>
      </c>
      <c r="P324">
        <f t="shared" si="964"/>
        <v>-2.0887728459530623E-2</v>
      </c>
      <c r="Q324">
        <f t="shared" si="965"/>
        <v>-74280.849712795854</v>
      </c>
      <c r="R324">
        <f t="shared" si="966"/>
        <v>-2197243.8633100502</v>
      </c>
      <c r="S324">
        <f t="shared" si="967"/>
        <v>-21.972438633100502</v>
      </c>
      <c r="T324">
        <f t="shared" si="968"/>
        <v>-2.1972438633100503E-2</v>
      </c>
    </row>
    <row r="325" spans="1:20" x14ac:dyDescent="0.25">
      <c r="A325" s="5">
        <v>44268</v>
      </c>
      <c r="B325">
        <v>0.63</v>
      </c>
      <c r="C325">
        <v>0.71679999999999999</v>
      </c>
      <c r="D325">
        <v>0.60099999999999998</v>
      </c>
      <c r="E325">
        <v>0.68510000000000004</v>
      </c>
      <c r="F325">
        <v>3571602.63</v>
      </c>
      <c r="G325">
        <v>0</v>
      </c>
      <c r="L325" t="s">
        <v>8</v>
      </c>
      <c r="M325" t="s">
        <v>8</v>
      </c>
      <c r="N325" t="s">
        <v>8</v>
      </c>
      <c r="P325">
        <f t="shared" si="964"/>
        <v>0.45250431778929279</v>
      </c>
      <c r="Q325">
        <f t="shared" si="965"/>
        <v>1616165.6115025938</v>
      </c>
      <c r="R325">
        <f t="shared" si="966"/>
        <v>-2122963.0135972542</v>
      </c>
      <c r="S325">
        <f t="shared" si="967"/>
        <v>-21.229630135972542</v>
      </c>
      <c r="T325">
        <f t="shared" si="968"/>
        <v>-2.1229630135972542E-2</v>
      </c>
    </row>
    <row r="326" spans="1:20" x14ac:dyDescent="0.25">
      <c r="A326" s="5">
        <v>44267</v>
      </c>
      <c r="B326">
        <v>0.59930000000000005</v>
      </c>
      <c r="C326">
        <v>0.63570000000000004</v>
      </c>
      <c r="D326">
        <v>0.5806</v>
      </c>
      <c r="E326">
        <v>0.62780000000000002</v>
      </c>
      <c r="F326">
        <v>2289759.71</v>
      </c>
      <c r="G326">
        <v>0</v>
      </c>
      <c r="L326" t="s">
        <v>8</v>
      </c>
      <c r="M326" t="s">
        <v>8</v>
      </c>
      <c r="N326" t="s">
        <v>8</v>
      </c>
      <c r="P326">
        <f t="shared" ref="P326:P389" si="969">IF(C326=D326,0,((E326-D326)-(C326-E326))/(C326-D326))</f>
        <v>0.713248638838475</v>
      </c>
      <c r="Q326">
        <f t="shared" ref="Q326:Q389" si="970">F326*P326</f>
        <v>1633167.9964246813</v>
      </c>
      <c r="R326">
        <f t="shared" ref="R326:R389" si="971">R327+Q326</f>
        <v>-3739128.625099848</v>
      </c>
      <c r="S326">
        <f t="shared" ref="S326:S389" si="972">R326/100000</f>
        <v>-37.391286250998483</v>
      </c>
      <c r="T326">
        <f t="shared" ref="T326:T389" si="973">S326/1000</f>
        <v>-3.7391286250998482E-2</v>
      </c>
    </row>
    <row r="327" spans="1:20" x14ac:dyDescent="0.25">
      <c r="A327" s="5">
        <v>44266</v>
      </c>
      <c r="B327">
        <v>0.58850000000000002</v>
      </c>
      <c r="C327">
        <v>0.6099</v>
      </c>
      <c r="D327">
        <v>0.56030000000000002</v>
      </c>
      <c r="E327">
        <v>0.59940000000000004</v>
      </c>
      <c r="F327">
        <v>1681606.38</v>
      </c>
      <c r="G327">
        <v>0</v>
      </c>
      <c r="L327" t="s">
        <v>7</v>
      </c>
      <c r="M327" t="s">
        <v>8</v>
      </c>
      <c r="N327" t="s">
        <v>8</v>
      </c>
      <c r="P327">
        <f t="shared" si="969"/>
        <v>0.57661290322580816</v>
      </c>
      <c r="Q327">
        <f t="shared" si="970"/>
        <v>969635.93685484154</v>
      </c>
      <c r="R327">
        <f t="shared" si="971"/>
        <v>-5372296.6215245295</v>
      </c>
      <c r="S327">
        <f t="shared" si="972"/>
        <v>-53.722966215245293</v>
      </c>
      <c r="T327">
        <f t="shared" si="973"/>
        <v>-5.3722966215245291E-2</v>
      </c>
    </row>
    <row r="328" spans="1:20" x14ac:dyDescent="0.25">
      <c r="A328" s="5">
        <v>44265</v>
      </c>
      <c r="B328">
        <v>0.62690000000000001</v>
      </c>
      <c r="C328">
        <v>0.63990000000000002</v>
      </c>
      <c r="D328">
        <v>0.57430000000000003</v>
      </c>
      <c r="E328">
        <v>0.58850000000000002</v>
      </c>
      <c r="F328">
        <v>1853468.05</v>
      </c>
      <c r="G328">
        <v>0</v>
      </c>
      <c r="L328" t="s">
        <v>7</v>
      </c>
      <c r="M328" t="s">
        <v>8</v>
      </c>
      <c r="N328" t="s">
        <v>8</v>
      </c>
      <c r="P328">
        <f t="shared" si="969"/>
        <v>-0.5670731707317076</v>
      </c>
      <c r="Q328">
        <f t="shared" si="970"/>
        <v>-1051052.0039634153</v>
      </c>
      <c r="R328">
        <f t="shared" si="971"/>
        <v>-6341932.5583793707</v>
      </c>
      <c r="S328">
        <f t="shared" si="972"/>
        <v>-63.419325583793707</v>
      </c>
      <c r="T328">
        <f t="shared" si="973"/>
        <v>-6.3419325583793706E-2</v>
      </c>
    </row>
    <row r="329" spans="1:20" x14ac:dyDescent="0.25">
      <c r="A329" s="5">
        <v>44264</v>
      </c>
      <c r="B329">
        <v>0.56820000000000004</v>
      </c>
      <c r="C329">
        <v>0.64359999999999995</v>
      </c>
      <c r="D329">
        <v>0.56110000000000004</v>
      </c>
      <c r="E329">
        <v>0.627</v>
      </c>
      <c r="F329">
        <v>2553095.08</v>
      </c>
      <c r="G329">
        <v>0</v>
      </c>
      <c r="L329" t="s">
        <v>8</v>
      </c>
      <c r="M329" t="s">
        <v>8</v>
      </c>
      <c r="N329" t="s">
        <v>8</v>
      </c>
      <c r="P329">
        <f t="shared" si="969"/>
        <v>0.59757575757575843</v>
      </c>
      <c r="Q329">
        <f t="shared" si="970"/>
        <v>1525667.7265939417</v>
      </c>
      <c r="R329">
        <f t="shared" si="971"/>
        <v>-5290880.5544159552</v>
      </c>
      <c r="S329">
        <f t="shared" si="972"/>
        <v>-52.908805544159549</v>
      </c>
      <c r="T329">
        <f t="shared" si="973"/>
        <v>-5.2908805544159547E-2</v>
      </c>
    </row>
    <row r="330" spans="1:20" x14ac:dyDescent="0.25">
      <c r="A330" s="5">
        <v>44263</v>
      </c>
      <c r="B330">
        <v>0.56559999999999999</v>
      </c>
      <c r="C330">
        <v>0.57640000000000002</v>
      </c>
      <c r="D330">
        <v>0.53759999999999997</v>
      </c>
      <c r="E330">
        <v>0.56510000000000005</v>
      </c>
      <c r="F330">
        <v>1471566.55</v>
      </c>
      <c r="G330">
        <v>0</v>
      </c>
      <c r="L330" t="s">
        <v>7</v>
      </c>
      <c r="M330" t="s">
        <v>7</v>
      </c>
      <c r="N330" t="s">
        <v>7</v>
      </c>
      <c r="P330">
        <f t="shared" si="969"/>
        <v>0.41752577319587836</v>
      </c>
      <c r="Q330">
        <f t="shared" si="970"/>
        <v>614416.96159794123</v>
      </c>
      <c r="R330">
        <f t="shared" si="971"/>
        <v>-6816548.2810098967</v>
      </c>
      <c r="S330">
        <f t="shared" si="972"/>
        <v>-68.165482810098965</v>
      </c>
      <c r="T330">
        <f t="shared" si="973"/>
        <v>-6.816548281009896E-2</v>
      </c>
    </row>
    <row r="331" spans="1:20" x14ac:dyDescent="0.25">
      <c r="A331" s="5">
        <v>44262</v>
      </c>
      <c r="B331">
        <v>0.55979999999999996</v>
      </c>
      <c r="C331">
        <v>0.57669999999999999</v>
      </c>
      <c r="D331">
        <v>0.54330000000000001</v>
      </c>
      <c r="E331">
        <v>0.56399999999999995</v>
      </c>
      <c r="F331">
        <v>1402930.42</v>
      </c>
      <c r="G331">
        <v>0</v>
      </c>
      <c r="L331" t="s">
        <v>8</v>
      </c>
      <c r="M331" t="s">
        <v>7</v>
      </c>
      <c r="N331" t="s">
        <v>7</v>
      </c>
      <c r="P331">
        <f t="shared" si="969"/>
        <v>0.23952095808382934</v>
      </c>
      <c r="Q331">
        <f t="shared" si="970"/>
        <v>336031.2383233491</v>
      </c>
      <c r="R331">
        <f t="shared" si="971"/>
        <v>-7430965.2426078375</v>
      </c>
      <c r="S331">
        <f t="shared" si="972"/>
        <v>-74.309652426078372</v>
      </c>
      <c r="T331">
        <f t="shared" si="973"/>
        <v>-7.4309652426078371E-2</v>
      </c>
    </row>
    <row r="332" spans="1:20" x14ac:dyDescent="0.25">
      <c r="A332" s="5">
        <v>44261</v>
      </c>
      <c r="B332">
        <v>0.55500000000000005</v>
      </c>
      <c r="C332">
        <v>0.56559999999999999</v>
      </c>
      <c r="D332">
        <v>0.51700000000000002</v>
      </c>
      <c r="E332">
        <v>0.55700000000000005</v>
      </c>
      <c r="F332">
        <v>964643.14</v>
      </c>
      <c r="G332">
        <v>0</v>
      </c>
      <c r="L332" t="s">
        <v>8</v>
      </c>
      <c r="M332" t="s">
        <v>7</v>
      </c>
      <c r="N332" t="s">
        <v>7</v>
      </c>
      <c r="P332">
        <f t="shared" si="969"/>
        <v>0.64609053497942615</v>
      </c>
      <c r="Q332">
        <f t="shared" si="970"/>
        <v>623246.80238683347</v>
      </c>
      <c r="R332">
        <f t="shared" si="971"/>
        <v>-7766996.480931187</v>
      </c>
      <c r="S332">
        <f t="shared" si="972"/>
        <v>-77.669964809311864</v>
      </c>
      <c r="T332">
        <f t="shared" si="973"/>
        <v>-7.7669964809311862E-2</v>
      </c>
    </row>
    <row r="333" spans="1:20" x14ac:dyDescent="0.25">
      <c r="A333" s="5">
        <v>44260</v>
      </c>
      <c r="B333">
        <v>0.52390000000000003</v>
      </c>
      <c r="C333">
        <v>0.5655</v>
      </c>
      <c r="D333">
        <v>0.48359999999999997</v>
      </c>
      <c r="E333">
        <v>0.55559999999999998</v>
      </c>
      <c r="F333">
        <v>1627995.63</v>
      </c>
      <c r="G333">
        <v>0</v>
      </c>
      <c r="L333" t="s">
        <v>7</v>
      </c>
      <c r="M333" t="s">
        <v>7</v>
      </c>
      <c r="N333" t="s">
        <v>7</v>
      </c>
      <c r="P333">
        <f t="shared" si="969"/>
        <v>0.75824175824175788</v>
      </c>
      <c r="Q333">
        <f t="shared" si="970"/>
        <v>1234414.2689010983</v>
      </c>
      <c r="R333">
        <f t="shared" si="971"/>
        <v>-8390243.2833180204</v>
      </c>
      <c r="S333">
        <f t="shared" si="972"/>
        <v>-83.9024328331802</v>
      </c>
      <c r="T333">
        <f t="shared" si="973"/>
        <v>-8.3902432833180204E-2</v>
      </c>
    </row>
    <row r="334" spans="1:20" x14ac:dyDescent="0.25">
      <c r="A334" s="5">
        <v>44259</v>
      </c>
      <c r="B334">
        <v>0.53649999999999998</v>
      </c>
      <c r="C334">
        <v>0.55530000000000002</v>
      </c>
      <c r="D334">
        <v>0.505</v>
      </c>
      <c r="E334">
        <v>0.52380000000000004</v>
      </c>
      <c r="F334">
        <v>1449510.83</v>
      </c>
      <c r="G334">
        <v>0</v>
      </c>
      <c r="L334" t="s">
        <v>7</v>
      </c>
      <c r="M334" t="s">
        <v>7</v>
      </c>
      <c r="N334" t="s">
        <v>7</v>
      </c>
      <c r="P334">
        <f t="shared" si="969"/>
        <v>-0.25248508946321929</v>
      </c>
      <c r="Q334">
        <f t="shared" si="970"/>
        <v>-365979.8715904553</v>
      </c>
      <c r="R334">
        <f t="shared" si="971"/>
        <v>-9624657.5522191189</v>
      </c>
      <c r="S334">
        <f t="shared" si="972"/>
        <v>-96.246575522191193</v>
      </c>
      <c r="T334">
        <f t="shared" si="973"/>
        <v>-9.6246575522191194E-2</v>
      </c>
    </row>
    <row r="335" spans="1:20" x14ac:dyDescent="0.25">
      <c r="A335" s="5">
        <v>44258</v>
      </c>
      <c r="B335">
        <v>0.52690000000000003</v>
      </c>
      <c r="C335">
        <v>0.57330000000000003</v>
      </c>
      <c r="D335">
        <v>0.52390000000000003</v>
      </c>
      <c r="E335">
        <v>0.53749999999999998</v>
      </c>
      <c r="F335">
        <v>3715262.48</v>
      </c>
      <c r="G335">
        <v>0</v>
      </c>
      <c r="L335" t="s">
        <v>8</v>
      </c>
      <c r="M335" t="s">
        <v>7</v>
      </c>
      <c r="N335" t="s">
        <v>7</v>
      </c>
      <c r="P335">
        <f t="shared" si="969"/>
        <v>-0.44939271255060947</v>
      </c>
      <c r="Q335">
        <f t="shared" si="970"/>
        <v>-1669611.8837247044</v>
      </c>
      <c r="R335">
        <f t="shared" si="971"/>
        <v>-9258677.6806286629</v>
      </c>
      <c r="S335">
        <f t="shared" si="972"/>
        <v>-92.586776806286636</v>
      </c>
      <c r="T335">
        <f t="shared" si="973"/>
        <v>-9.258677680628663E-2</v>
      </c>
    </row>
    <row r="336" spans="1:20" x14ac:dyDescent="0.25">
      <c r="A336" s="5">
        <v>44257</v>
      </c>
      <c r="B336">
        <v>0.52710000000000001</v>
      </c>
      <c r="C336">
        <v>0.54559999999999997</v>
      </c>
      <c r="D336">
        <v>0.49390000000000001</v>
      </c>
      <c r="E336">
        <v>0.52339999999999998</v>
      </c>
      <c r="F336">
        <v>2045008.9</v>
      </c>
      <c r="G336">
        <v>0</v>
      </c>
      <c r="L336" t="s">
        <v>7</v>
      </c>
      <c r="M336" t="s">
        <v>7</v>
      </c>
      <c r="N336" t="s">
        <v>7</v>
      </c>
      <c r="P336">
        <f t="shared" si="969"/>
        <v>0.14119922630560885</v>
      </c>
      <c r="Q336">
        <f t="shared" si="970"/>
        <v>288753.67446808424</v>
      </c>
      <c r="R336">
        <f t="shared" si="971"/>
        <v>-7589065.7969039585</v>
      </c>
      <c r="S336">
        <f t="shared" si="972"/>
        <v>-75.89065796903958</v>
      </c>
      <c r="T336">
        <f t="shared" si="973"/>
        <v>-7.5890657969039585E-2</v>
      </c>
    </row>
    <row r="337" spans="1:20" x14ac:dyDescent="0.25">
      <c r="A337" s="5">
        <v>44256</v>
      </c>
      <c r="B337">
        <v>0.50429999999999997</v>
      </c>
      <c r="C337">
        <v>0.54410000000000003</v>
      </c>
      <c r="D337">
        <v>0.50170000000000003</v>
      </c>
      <c r="E337">
        <v>0.52710000000000001</v>
      </c>
      <c r="F337">
        <v>2073124.52</v>
      </c>
      <c r="G337">
        <v>0</v>
      </c>
      <c r="L337" t="s">
        <v>7</v>
      </c>
      <c r="M337" t="s">
        <v>7</v>
      </c>
      <c r="N337" t="s">
        <v>7</v>
      </c>
      <c r="P337">
        <f t="shared" si="969"/>
        <v>0.19811320754716896</v>
      </c>
      <c r="Q337">
        <f t="shared" si="970"/>
        <v>410713.34830188501</v>
      </c>
      <c r="R337">
        <f t="shared" si="971"/>
        <v>-7877819.4713720428</v>
      </c>
      <c r="S337">
        <f t="shared" si="972"/>
        <v>-78.778194713720424</v>
      </c>
      <c r="T337">
        <f t="shared" si="973"/>
        <v>-7.8778194713720426E-2</v>
      </c>
    </row>
    <row r="338" spans="1:20" x14ac:dyDescent="0.25">
      <c r="A338" s="5">
        <v>44255</v>
      </c>
      <c r="B338">
        <v>0.50929999999999997</v>
      </c>
      <c r="C338">
        <v>0.59560000000000002</v>
      </c>
      <c r="D338">
        <v>0.45750000000000002</v>
      </c>
      <c r="E338">
        <v>0.50409999999999999</v>
      </c>
      <c r="F338">
        <v>5915091.79</v>
      </c>
      <c r="G338">
        <v>0</v>
      </c>
      <c r="L338" t="s">
        <v>8</v>
      </c>
      <c r="M338" t="s">
        <v>8</v>
      </c>
      <c r="N338" t="s">
        <v>7</v>
      </c>
      <c r="P338">
        <f t="shared" si="969"/>
        <v>-0.32512671976828422</v>
      </c>
      <c r="Q338">
        <f t="shared" si="970"/>
        <v>-1923154.3908110086</v>
      </c>
      <c r="R338">
        <f t="shared" si="971"/>
        <v>-8288532.8196739275</v>
      </c>
      <c r="S338">
        <f t="shared" si="972"/>
        <v>-82.88532819673928</v>
      </c>
      <c r="T338">
        <f t="shared" si="973"/>
        <v>-8.2885328196739286E-2</v>
      </c>
    </row>
    <row r="339" spans="1:20" x14ac:dyDescent="0.25">
      <c r="A339" s="5">
        <v>44254</v>
      </c>
      <c r="B339">
        <v>0.47299999999999998</v>
      </c>
      <c r="C339">
        <v>0.54900000000000004</v>
      </c>
      <c r="D339">
        <v>0.46949999999999997</v>
      </c>
      <c r="E339">
        <v>0.51129999999999998</v>
      </c>
      <c r="F339">
        <v>1534789.85</v>
      </c>
      <c r="G339">
        <v>0</v>
      </c>
      <c r="L339" t="s">
        <v>8</v>
      </c>
      <c r="M339" t="s">
        <v>8</v>
      </c>
      <c r="N339" t="s">
        <v>7</v>
      </c>
      <c r="P339">
        <f t="shared" si="969"/>
        <v>5.157232704402432E-2</v>
      </c>
      <c r="Q339">
        <f t="shared" si="970"/>
        <v>79152.684088049034</v>
      </c>
      <c r="R339">
        <f t="shared" si="971"/>
        <v>-6365378.4288629191</v>
      </c>
      <c r="S339">
        <f t="shared" si="972"/>
        <v>-63.65378428862919</v>
      </c>
      <c r="T339">
        <f t="shared" si="973"/>
        <v>-6.3653784288629195E-2</v>
      </c>
    </row>
    <row r="340" spans="1:20" x14ac:dyDescent="0.25">
      <c r="A340" s="5">
        <v>44253</v>
      </c>
      <c r="B340">
        <v>0.49340000000000001</v>
      </c>
      <c r="C340">
        <v>0.50609999999999999</v>
      </c>
      <c r="D340">
        <v>0.44740000000000002</v>
      </c>
      <c r="E340">
        <v>0.47299999999999998</v>
      </c>
      <c r="F340">
        <v>954167.31</v>
      </c>
      <c r="G340">
        <v>0</v>
      </c>
      <c r="L340" t="s">
        <v>7</v>
      </c>
      <c r="M340" t="s">
        <v>7</v>
      </c>
      <c r="N340" t="s">
        <v>7</v>
      </c>
      <c r="P340">
        <f t="shared" si="969"/>
        <v>-0.12776831345826348</v>
      </c>
      <c r="Q340">
        <f t="shared" si="970"/>
        <v>-121912.34795570807</v>
      </c>
      <c r="R340">
        <f t="shared" si="971"/>
        <v>-6444531.1129509686</v>
      </c>
      <c r="S340">
        <f t="shared" si="972"/>
        <v>-64.44531112950969</v>
      </c>
      <c r="T340">
        <f t="shared" si="973"/>
        <v>-6.4445311129509686E-2</v>
      </c>
    </row>
    <row r="341" spans="1:20" x14ac:dyDescent="0.25">
      <c r="A341" s="5">
        <v>44252</v>
      </c>
      <c r="B341">
        <v>0.53859999999999997</v>
      </c>
      <c r="C341">
        <v>0.56530000000000002</v>
      </c>
      <c r="D341">
        <v>0.4834</v>
      </c>
      <c r="E341">
        <v>0.49080000000000001</v>
      </c>
      <c r="F341">
        <v>1496308.35</v>
      </c>
      <c r="G341">
        <v>0</v>
      </c>
      <c r="L341" t="s">
        <v>7</v>
      </c>
      <c r="M341" t="s">
        <v>8</v>
      </c>
      <c r="N341" t="s">
        <v>7</v>
      </c>
      <c r="P341">
        <f t="shared" si="969"/>
        <v>-0.81929181929181893</v>
      </c>
      <c r="Q341">
        <f t="shared" si="970"/>
        <v>-1225913.1902930399</v>
      </c>
      <c r="R341">
        <f t="shared" si="971"/>
        <v>-6322618.7649952602</v>
      </c>
      <c r="S341">
        <f t="shared" si="972"/>
        <v>-63.2261876499526</v>
      </c>
      <c r="T341">
        <f t="shared" si="973"/>
        <v>-6.3226187649952595E-2</v>
      </c>
    </row>
    <row r="342" spans="1:20" x14ac:dyDescent="0.25">
      <c r="A342" s="5">
        <v>44251</v>
      </c>
      <c r="B342">
        <v>0.51739999999999997</v>
      </c>
      <c r="C342">
        <v>0.57550000000000001</v>
      </c>
      <c r="D342">
        <v>0.49059999999999998</v>
      </c>
      <c r="E342">
        <v>0.53859999999999997</v>
      </c>
      <c r="F342">
        <v>1423078.11</v>
      </c>
      <c r="G342">
        <v>0</v>
      </c>
      <c r="L342" t="s">
        <v>8</v>
      </c>
      <c r="M342" t="s">
        <v>8</v>
      </c>
      <c r="N342" t="s">
        <v>7</v>
      </c>
      <c r="P342">
        <f t="shared" si="969"/>
        <v>0.13074204946996396</v>
      </c>
      <c r="Q342">
        <f t="shared" si="970"/>
        <v>186056.14865724283</v>
      </c>
      <c r="R342">
        <f t="shared" si="971"/>
        <v>-5096705.57470222</v>
      </c>
      <c r="S342">
        <f t="shared" si="972"/>
        <v>-50.967055747022201</v>
      </c>
      <c r="T342">
        <f t="shared" si="973"/>
        <v>-5.0967055747022198E-2</v>
      </c>
    </row>
    <row r="343" spans="1:20" x14ac:dyDescent="0.25">
      <c r="A343" s="5">
        <v>44250</v>
      </c>
      <c r="B343">
        <v>0.62429999999999997</v>
      </c>
      <c r="C343">
        <v>0.62439999999999996</v>
      </c>
      <c r="D343">
        <v>0.44400000000000001</v>
      </c>
      <c r="E343">
        <v>0.51680000000000004</v>
      </c>
      <c r="F343">
        <v>2406170.25</v>
      </c>
      <c r="G343">
        <v>0</v>
      </c>
      <c r="L343" t="s">
        <v>7</v>
      </c>
      <c r="M343" t="s">
        <v>7</v>
      </c>
      <c r="N343" t="s">
        <v>7</v>
      </c>
      <c r="P343">
        <f t="shared" si="969"/>
        <v>-0.19290465631928988</v>
      </c>
      <c r="Q343">
        <f t="shared" si="970"/>
        <v>-464161.44512194983</v>
      </c>
      <c r="R343">
        <f t="shared" si="971"/>
        <v>-5282761.7233594628</v>
      </c>
      <c r="S343">
        <f t="shared" si="972"/>
        <v>-52.82761723359463</v>
      </c>
      <c r="T343">
        <f t="shared" si="973"/>
        <v>-5.282761723359463E-2</v>
      </c>
    </row>
    <row r="344" spans="1:20" x14ac:dyDescent="0.25">
      <c r="A344" s="5">
        <v>44249</v>
      </c>
      <c r="B344">
        <v>0.7248</v>
      </c>
      <c r="C344">
        <v>0.73170000000000002</v>
      </c>
      <c r="D344">
        <v>0.55559999999999998</v>
      </c>
      <c r="E344">
        <v>0.627</v>
      </c>
      <c r="F344">
        <v>3133962.28</v>
      </c>
      <c r="G344">
        <v>0</v>
      </c>
      <c r="L344" t="s">
        <v>7</v>
      </c>
      <c r="M344" t="s">
        <v>7</v>
      </c>
      <c r="N344" t="s">
        <v>7</v>
      </c>
      <c r="P344">
        <f t="shared" si="969"/>
        <v>-0.18909710391822823</v>
      </c>
      <c r="Q344">
        <f t="shared" si="970"/>
        <v>-592623.1909369675</v>
      </c>
      <c r="R344">
        <f t="shared" si="971"/>
        <v>-4818600.2782375133</v>
      </c>
      <c r="S344">
        <f t="shared" si="972"/>
        <v>-48.186002782375134</v>
      </c>
      <c r="T344">
        <f t="shared" si="973"/>
        <v>-4.8186002782375136E-2</v>
      </c>
    </row>
    <row r="345" spans="1:20" x14ac:dyDescent="0.25">
      <c r="A345" s="5">
        <v>44248</v>
      </c>
      <c r="B345">
        <v>0.629</v>
      </c>
      <c r="C345">
        <v>0.77</v>
      </c>
      <c r="D345">
        <v>0.61870000000000003</v>
      </c>
      <c r="E345">
        <v>0.7248</v>
      </c>
      <c r="F345">
        <v>2601345.83</v>
      </c>
      <c r="G345">
        <v>0</v>
      </c>
      <c r="L345" t="s">
        <v>8</v>
      </c>
      <c r="M345" t="s">
        <v>8</v>
      </c>
      <c r="N345" t="s">
        <v>7</v>
      </c>
      <c r="P345">
        <f t="shared" si="969"/>
        <v>0.40251156642432229</v>
      </c>
      <c r="Q345">
        <f t="shared" si="970"/>
        <v>1047071.7848446788</v>
      </c>
      <c r="R345">
        <f t="shared" si="971"/>
        <v>-4225977.0873005455</v>
      </c>
      <c r="S345">
        <f t="shared" si="972"/>
        <v>-42.259770873005458</v>
      </c>
      <c r="T345">
        <f t="shared" si="973"/>
        <v>-4.2259770873005455E-2</v>
      </c>
    </row>
    <row r="346" spans="1:20" x14ac:dyDescent="0.25">
      <c r="A346" s="5">
        <v>44247</v>
      </c>
      <c r="B346">
        <v>0.68140000000000001</v>
      </c>
      <c r="C346">
        <v>0.75019999999999998</v>
      </c>
      <c r="D346">
        <v>0.61699999999999999</v>
      </c>
      <c r="E346">
        <v>0.62870000000000004</v>
      </c>
      <c r="F346">
        <v>2432055.66</v>
      </c>
      <c r="G346">
        <v>0</v>
      </c>
      <c r="L346" t="s">
        <v>7</v>
      </c>
      <c r="M346" t="s">
        <v>7</v>
      </c>
      <c r="N346" t="s">
        <v>7</v>
      </c>
      <c r="P346">
        <f t="shared" si="969"/>
        <v>-0.82432432432432368</v>
      </c>
      <c r="Q346">
        <f t="shared" si="970"/>
        <v>-2004802.6386486471</v>
      </c>
      <c r="R346">
        <f t="shared" si="971"/>
        <v>-5273048.8721452244</v>
      </c>
      <c r="S346">
        <f t="shared" si="972"/>
        <v>-52.730488721452247</v>
      </c>
      <c r="T346">
        <f t="shared" si="973"/>
        <v>-5.2730488721452244E-2</v>
      </c>
    </row>
    <row r="347" spans="1:20" x14ac:dyDescent="0.25">
      <c r="A347" s="5">
        <v>44246</v>
      </c>
      <c r="B347">
        <v>0.70950000000000002</v>
      </c>
      <c r="C347">
        <v>0.73299999999999998</v>
      </c>
      <c r="D347">
        <v>0.6583</v>
      </c>
      <c r="E347">
        <v>0.67949999999999999</v>
      </c>
      <c r="F347">
        <v>2656380.7400000002</v>
      </c>
      <c r="G347">
        <v>0</v>
      </c>
      <c r="L347" t="s">
        <v>7</v>
      </c>
      <c r="M347" t="s">
        <v>7</v>
      </c>
      <c r="N347" t="s">
        <v>8</v>
      </c>
      <c r="P347">
        <f t="shared" si="969"/>
        <v>-0.4323962516733601</v>
      </c>
      <c r="Q347">
        <f t="shared" si="970"/>
        <v>-1148609.0749933065</v>
      </c>
      <c r="R347">
        <f t="shared" si="971"/>
        <v>-3268246.2334965775</v>
      </c>
      <c r="S347">
        <f t="shared" si="972"/>
        <v>-32.682462334965777</v>
      </c>
      <c r="T347">
        <f t="shared" si="973"/>
        <v>-3.268246233496578E-2</v>
      </c>
    </row>
    <row r="348" spans="1:20" x14ac:dyDescent="0.25">
      <c r="A348" s="5">
        <v>44245</v>
      </c>
      <c r="B348">
        <v>0.58960000000000001</v>
      </c>
      <c r="C348">
        <v>0.85850000000000004</v>
      </c>
      <c r="D348">
        <v>0.57579999999999998</v>
      </c>
      <c r="E348">
        <v>0.7087</v>
      </c>
      <c r="F348">
        <v>8687515.4000000004</v>
      </c>
      <c r="G348">
        <v>0</v>
      </c>
      <c r="L348" t="s">
        <v>8</v>
      </c>
      <c r="M348" t="s">
        <v>8</v>
      </c>
      <c r="N348" t="s">
        <v>8</v>
      </c>
      <c r="P348">
        <f t="shared" si="969"/>
        <v>-5.9780686239830287E-2</v>
      </c>
      <c r="Q348">
        <f t="shared" si="970"/>
        <v>-519345.63233109372</v>
      </c>
      <c r="R348">
        <f t="shared" si="971"/>
        <v>-2119637.1585032712</v>
      </c>
      <c r="S348">
        <f t="shared" si="972"/>
        <v>-21.196371585032711</v>
      </c>
      <c r="T348">
        <f t="shared" si="973"/>
        <v>-2.1196371585032712E-2</v>
      </c>
    </row>
    <row r="349" spans="1:20" x14ac:dyDescent="0.25">
      <c r="A349" s="5">
        <v>44244</v>
      </c>
      <c r="B349">
        <v>0.58989999999999998</v>
      </c>
      <c r="C349">
        <v>0.60840000000000005</v>
      </c>
      <c r="D349">
        <v>0.53520000000000001</v>
      </c>
      <c r="E349">
        <v>0.5897</v>
      </c>
      <c r="F349">
        <v>1796131.8</v>
      </c>
      <c r="G349">
        <v>0</v>
      </c>
      <c r="L349" t="s">
        <v>7</v>
      </c>
      <c r="M349" t="s">
        <v>7</v>
      </c>
      <c r="N349" t="s">
        <v>8</v>
      </c>
      <c r="P349">
        <f t="shared" si="969"/>
        <v>0.48907103825136505</v>
      </c>
      <c r="Q349">
        <f t="shared" si="970"/>
        <v>878436.04426229314</v>
      </c>
      <c r="R349">
        <f t="shared" si="971"/>
        <v>-1600291.5261721774</v>
      </c>
      <c r="S349">
        <f t="shared" si="972"/>
        <v>-16.002915261721775</v>
      </c>
      <c r="T349">
        <f t="shared" si="973"/>
        <v>-1.6002915261721776E-2</v>
      </c>
    </row>
    <row r="350" spans="1:20" x14ac:dyDescent="0.25">
      <c r="A350" s="5">
        <v>44243</v>
      </c>
      <c r="B350">
        <v>0.65259999999999996</v>
      </c>
      <c r="C350">
        <v>0.66739999999999999</v>
      </c>
      <c r="D350">
        <v>0.55979999999999996</v>
      </c>
      <c r="E350">
        <v>0.58989999999999998</v>
      </c>
      <c r="F350">
        <v>4136431.38</v>
      </c>
      <c r="G350">
        <v>0</v>
      </c>
      <c r="L350" t="s">
        <v>7</v>
      </c>
      <c r="M350" t="s">
        <v>7</v>
      </c>
      <c r="N350" t="s">
        <v>8</v>
      </c>
      <c r="P350">
        <f t="shared" si="969"/>
        <v>-0.44052044609665414</v>
      </c>
      <c r="Q350">
        <f t="shared" si="970"/>
        <v>-1822182.5967657987</v>
      </c>
      <c r="R350">
        <f t="shared" si="971"/>
        <v>-2478727.5704344707</v>
      </c>
      <c r="S350">
        <f t="shared" si="972"/>
        <v>-24.787275704344708</v>
      </c>
      <c r="T350">
        <f t="shared" si="973"/>
        <v>-2.4787275704344709E-2</v>
      </c>
    </row>
    <row r="351" spans="1:20" x14ac:dyDescent="0.25">
      <c r="A351" s="5">
        <v>44242</v>
      </c>
      <c r="B351">
        <v>0.61119999999999997</v>
      </c>
      <c r="C351">
        <v>0.69410000000000005</v>
      </c>
      <c r="D351">
        <v>0.49249999999999999</v>
      </c>
      <c r="E351">
        <v>0.65</v>
      </c>
      <c r="F351">
        <v>12129047.74</v>
      </c>
      <c r="G351">
        <v>0</v>
      </c>
      <c r="L351" t="s">
        <v>8</v>
      </c>
      <c r="M351" t="s">
        <v>8</v>
      </c>
      <c r="N351" t="s">
        <v>8</v>
      </c>
      <c r="P351">
        <f t="shared" si="969"/>
        <v>0.56249999999999989</v>
      </c>
      <c r="Q351">
        <f t="shared" si="970"/>
        <v>6822589.3537499988</v>
      </c>
      <c r="R351">
        <f t="shared" si="971"/>
        <v>-656544.97366867214</v>
      </c>
      <c r="S351">
        <f t="shared" si="972"/>
        <v>-6.5654497366867215</v>
      </c>
      <c r="T351">
        <f t="shared" si="973"/>
        <v>-6.5654497366867213E-3</v>
      </c>
    </row>
    <row r="352" spans="1:20" x14ac:dyDescent="0.25">
      <c r="A352" s="5">
        <v>44241</v>
      </c>
      <c r="B352">
        <v>0.63549999999999995</v>
      </c>
      <c r="C352">
        <v>0.67169999999999996</v>
      </c>
      <c r="D352">
        <v>0.57899999999999996</v>
      </c>
      <c r="E352">
        <v>0.61280000000000001</v>
      </c>
      <c r="F352">
        <v>1920041.36</v>
      </c>
      <c r="G352">
        <v>0</v>
      </c>
      <c r="L352" t="s">
        <v>8</v>
      </c>
      <c r="M352" t="s">
        <v>8</v>
      </c>
      <c r="N352" t="s">
        <v>8</v>
      </c>
      <c r="P352">
        <f t="shared" si="969"/>
        <v>-0.27076591154260948</v>
      </c>
      <c r="Q352">
        <f t="shared" si="970"/>
        <v>-519881.74903991167</v>
      </c>
      <c r="R352">
        <f t="shared" si="971"/>
        <v>-7479134.327418671</v>
      </c>
      <c r="S352">
        <f t="shared" si="972"/>
        <v>-74.791343274186715</v>
      </c>
      <c r="T352">
        <f t="shared" si="973"/>
        <v>-7.4791343274186711E-2</v>
      </c>
    </row>
    <row r="353" spans="1:20" x14ac:dyDescent="0.25">
      <c r="A353" s="5">
        <v>44240</v>
      </c>
      <c r="B353">
        <v>0.58599999999999997</v>
      </c>
      <c r="C353">
        <v>0.65800000000000003</v>
      </c>
      <c r="D353">
        <v>0.58599999999999997</v>
      </c>
      <c r="E353">
        <v>0.63590000000000002</v>
      </c>
      <c r="F353">
        <v>4176006.13</v>
      </c>
      <c r="G353">
        <v>0</v>
      </c>
      <c r="L353" t="s">
        <v>8</v>
      </c>
      <c r="M353" t="s">
        <v>8</v>
      </c>
      <c r="N353" t="s">
        <v>8</v>
      </c>
      <c r="P353">
        <f t="shared" si="969"/>
        <v>0.3861111111111114</v>
      </c>
      <c r="Q353">
        <f t="shared" si="970"/>
        <v>1612402.3668611122</v>
      </c>
      <c r="R353">
        <f t="shared" si="971"/>
        <v>-6959252.5783787593</v>
      </c>
      <c r="S353">
        <f t="shared" si="972"/>
        <v>-69.592525783787593</v>
      </c>
      <c r="T353">
        <f t="shared" si="973"/>
        <v>-6.9592525783787593E-2</v>
      </c>
    </row>
    <row r="354" spans="1:20" x14ac:dyDescent="0.25">
      <c r="A354" s="5">
        <v>44239</v>
      </c>
      <c r="B354">
        <v>0.55000000000000004</v>
      </c>
      <c r="C354">
        <v>0.59</v>
      </c>
      <c r="D354">
        <v>0.52380000000000004</v>
      </c>
      <c r="E354">
        <v>0.58620000000000005</v>
      </c>
      <c r="F354">
        <v>2413361.4300000002</v>
      </c>
      <c r="G354">
        <v>0</v>
      </c>
      <c r="L354" t="s">
        <v>8</v>
      </c>
      <c r="M354" t="s">
        <v>8</v>
      </c>
      <c r="N354" t="s">
        <v>8</v>
      </c>
      <c r="P354">
        <f t="shared" si="969"/>
        <v>0.88519637462235889</v>
      </c>
      <c r="Q354">
        <f t="shared" si="970"/>
        <v>2136298.7884894321</v>
      </c>
      <c r="R354">
        <f t="shared" si="971"/>
        <v>-8571654.9452398717</v>
      </c>
      <c r="S354">
        <f t="shared" si="972"/>
        <v>-85.716549452398723</v>
      </c>
      <c r="T354">
        <f t="shared" si="973"/>
        <v>-8.5716549452398719E-2</v>
      </c>
    </row>
    <row r="355" spans="1:20" x14ac:dyDescent="0.25">
      <c r="A355" s="5">
        <v>44238</v>
      </c>
      <c r="B355">
        <v>0.50039999999999996</v>
      </c>
      <c r="C355">
        <v>0.56720000000000004</v>
      </c>
      <c r="D355">
        <v>0.48749999999999999</v>
      </c>
      <c r="E355">
        <v>0.55000000000000004</v>
      </c>
      <c r="F355">
        <v>3988256.6</v>
      </c>
      <c r="G355">
        <v>0</v>
      </c>
      <c r="L355" t="s">
        <v>8</v>
      </c>
      <c r="M355" t="s">
        <v>8</v>
      </c>
      <c r="N355" t="s">
        <v>8</v>
      </c>
      <c r="P355">
        <f t="shared" si="969"/>
        <v>0.5683814303638649</v>
      </c>
      <c r="Q355">
        <f t="shared" si="970"/>
        <v>2266850.9909661245</v>
      </c>
      <c r="R355">
        <f t="shared" si="971"/>
        <v>-10707953.733729303</v>
      </c>
      <c r="S355">
        <f t="shared" si="972"/>
        <v>-107.07953733729303</v>
      </c>
      <c r="T355">
        <f t="shared" si="973"/>
        <v>-0.10707953733729303</v>
      </c>
    </row>
    <row r="356" spans="1:20" x14ac:dyDescent="0.25">
      <c r="A356" s="5">
        <v>44237</v>
      </c>
      <c r="B356">
        <v>0.4834</v>
      </c>
      <c r="C356">
        <v>0.51880000000000004</v>
      </c>
      <c r="D356">
        <v>0.43059999999999998</v>
      </c>
      <c r="E356">
        <v>0.50039999999999996</v>
      </c>
      <c r="F356">
        <v>4070459.78</v>
      </c>
      <c r="G356">
        <v>0</v>
      </c>
      <c r="L356" t="s">
        <v>8</v>
      </c>
      <c r="M356" t="s">
        <v>8</v>
      </c>
      <c r="N356" t="s">
        <v>8</v>
      </c>
      <c r="P356">
        <f t="shared" si="969"/>
        <v>0.58276643990929544</v>
      </c>
      <c r="Q356">
        <f t="shared" si="970"/>
        <v>2372127.3547845739</v>
      </c>
      <c r="R356">
        <f t="shared" si="971"/>
        <v>-12974804.724695427</v>
      </c>
      <c r="S356">
        <f t="shared" si="972"/>
        <v>-129.74804724695429</v>
      </c>
      <c r="T356">
        <f t="shared" si="973"/>
        <v>-0.1297480472469543</v>
      </c>
    </row>
    <row r="357" spans="1:20" x14ac:dyDescent="0.25">
      <c r="A357" s="5">
        <v>44236</v>
      </c>
      <c r="B357">
        <v>0.4405</v>
      </c>
      <c r="C357">
        <v>0.48759999999999998</v>
      </c>
      <c r="D357">
        <v>0.4274</v>
      </c>
      <c r="E357">
        <v>0.4829</v>
      </c>
      <c r="F357">
        <v>2551322.2599999998</v>
      </c>
      <c r="G357">
        <v>0</v>
      </c>
      <c r="L357" t="s">
        <v>8</v>
      </c>
      <c r="M357" t="s">
        <v>8</v>
      </c>
      <c r="N357" t="s">
        <v>8</v>
      </c>
      <c r="P357">
        <f t="shared" si="969"/>
        <v>0.84385382059800718</v>
      </c>
      <c r="Q357">
        <f t="shared" si="970"/>
        <v>2152943.0366777419</v>
      </c>
      <c r="R357">
        <f t="shared" si="971"/>
        <v>-15346932.079480002</v>
      </c>
      <c r="S357">
        <f t="shared" si="972"/>
        <v>-153.46932079480001</v>
      </c>
      <c r="T357">
        <f t="shared" si="973"/>
        <v>-0.15346932079480002</v>
      </c>
    </row>
    <row r="358" spans="1:20" x14ac:dyDescent="0.25">
      <c r="A358" s="5">
        <v>44235</v>
      </c>
      <c r="B358">
        <v>0.4133</v>
      </c>
      <c r="C358">
        <v>0.46200000000000002</v>
      </c>
      <c r="D358">
        <v>0.40489999999999998</v>
      </c>
      <c r="E358">
        <v>0.443</v>
      </c>
      <c r="F358">
        <v>1849155.18</v>
      </c>
      <c r="G358">
        <v>0</v>
      </c>
      <c r="L358" t="s">
        <v>8</v>
      </c>
      <c r="M358" t="s">
        <v>8</v>
      </c>
      <c r="N358" t="s">
        <v>8</v>
      </c>
      <c r="P358">
        <f t="shared" si="969"/>
        <v>0.33450087565674241</v>
      </c>
      <c r="Q358">
        <f t="shared" si="970"/>
        <v>618544.02693520114</v>
      </c>
      <c r="R358">
        <f t="shared" si="971"/>
        <v>-17499875.116157744</v>
      </c>
      <c r="S358">
        <f t="shared" si="972"/>
        <v>-174.99875116157745</v>
      </c>
      <c r="T358">
        <f t="shared" si="973"/>
        <v>-0.17499875116157745</v>
      </c>
    </row>
    <row r="359" spans="1:20" x14ac:dyDescent="0.25">
      <c r="A359" s="5">
        <v>44234</v>
      </c>
      <c r="B359">
        <v>0.42399999999999999</v>
      </c>
      <c r="C359">
        <v>0.43340000000000001</v>
      </c>
      <c r="D359">
        <v>0.38900000000000001</v>
      </c>
      <c r="E359">
        <v>0.4128</v>
      </c>
      <c r="F359">
        <v>1048002.52</v>
      </c>
      <c r="G359">
        <v>0</v>
      </c>
      <c r="L359" t="s">
        <v>7</v>
      </c>
      <c r="M359" t="s">
        <v>7</v>
      </c>
      <c r="N359" t="s">
        <v>8</v>
      </c>
      <c r="P359">
        <f t="shared" si="969"/>
        <v>7.2072072072071641E-2</v>
      </c>
      <c r="Q359">
        <f t="shared" si="970"/>
        <v>75531.713153152697</v>
      </c>
      <c r="R359">
        <f t="shared" si="971"/>
        <v>-18118419.143092945</v>
      </c>
      <c r="S359">
        <f t="shared" si="972"/>
        <v>-181.18419143092945</v>
      </c>
      <c r="T359">
        <f t="shared" si="973"/>
        <v>-0.18118419143092945</v>
      </c>
    </row>
    <row r="360" spans="1:20" x14ac:dyDescent="0.25">
      <c r="A360" s="5">
        <v>44233</v>
      </c>
      <c r="B360">
        <v>0.44419999999999998</v>
      </c>
      <c r="C360">
        <v>0.45200000000000001</v>
      </c>
      <c r="D360">
        <v>0.41470000000000001</v>
      </c>
      <c r="E360">
        <v>0.42459999999999998</v>
      </c>
      <c r="F360">
        <v>1139794.58</v>
      </c>
      <c r="G360">
        <v>0</v>
      </c>
      <c r="L360" t="s">
        <v>7</v>
      </c>
      <c r="M360" t="s">
        <v>8</v>
      </c>
      <c r="N360" t="s">
        <v>8</v>
      </c>
      <c r="P360">
        <f t="shared" si="969"/>
        <v>-0.46916890080429147</v>
      </c>
      <c r="Q360">
        <f t="shared" si="970"/>
        <v>-534756.17024128907</v>
      </c>
      <c r="R360">
        <f t="shared" si="971"/>
        <v>-18193950.856246099</v>
      </c>
      <c r="S360">
        <f t="shared" si="972"/>
        <v>-181.93950856246099</v>
      </c>
      <c r="T360">
        <f t="shared" si="973"/>
        <v>-0.18193950856246099</v>
      </c>
    </row>
    <row r="361" spans="1:20" x14ac:dyDescent="0.25">
      <c r="A361" s="5">
        <v>44232</v>
      </c>
      <c r="B361">
        <v>0.41820000000000002</v>
      </c>
      <c r="C361">
        <v>0.45900000000000002</v>
      </c>
      <c r="D361">
        <v>0.41739999999999999</v>
      </c>
      <c r="E361">
        <v>0.44419999999999998</v>
      </c>
      <c r="F361">
        <v>1937013.77</v>
      </c>
      <c r="G361">
        <v>0</v>
      </c>
      <c r="L361" t="s">
        <v>8</v>
      </c>
      <c r="M361" t="s">
        <v>8</v>
      </c>
      <c r="N361" t="s">
        <v>8</v>
      </c>
      <c r="P361">
        <f t="shared" si="969"/>
        <v>0.28846153846153721</v>
      </c>
      <c r="Q361">
        <f t="shared" si="970"/>
        <v>558753.9721153822</v>
      </c>
      <c r="R361">
        <f t="shared" si="971"/>
        <v>-17659194.68600481</v>
      </c>
      <c r="S361">
        <f t="shared" si="972"/>
        <v>-176.5919468600481</v>
      </c>
      <c r="T361">
        <f t="shared" si="973"/>
        <v>-0.17659194686004809</v>
      </c>
    </row>
    <row r="362" spans="1:20" x14ac:dyDescent="0.25">
      <c r="A362" s="5">
        <v>44231</v>
      </c>
      <c r="B362">
        <v>0.42659999999999998</v>
      </c>
      <c r="C362">
        <v>0.42980000000000002</v>
      </c>
      <c r="D362">
        <v>0.40279999999999999</v>
      </c>
      <c r="E362">
        <v>0.41830000000000001</v>
      </c>
      <c r="F362">
        <v>1719711.23</v>
      </c>
      <c r="G362">
        <v>0</v>
      </c>
      <c r="L362" t="s">
        <v>7</v>
      </c>
      <c r="M362" t="s">
        <v>8</v>
      </c>
      <c r="N362" t="s">
        <v>8</v>
      </c>
      <c r="P362">
        <f t="shared" si="969"/>
        <v>0.14814814814814814</v>
      </c>
      <c r="Q362">
        <f t="shared" si="970"/>
        <v>254772.03407407406</v>
      </c>
      <c r="R362">
        <f t="shared" si="971"/>
        <v>-18217948.658120193</v>
      </c>
      <c r="S362">
        <f t="shared" si="972"/>
        <v>-182.17948658120193</v>
      </c>
      <c r="T362">
        <f t="shared" si="973"/>
        <v>-0.18217948658120192</v>
      </c>
    </row>
    <row r="363" spans="1:20" x14ac:dyDescent="0.25">
      <c r="A363" s="5">
        <v>44230</v>
      </c>
      <c r="B363">
        <v>0.43390000000000001</v>
      </c>
      <c r="C363">
        <v>0.47570000000000001</v>
      </c>
      <c r="D363">
        <v>0.41489999999999999</v>
      </c>
      <c r="E363">
        <v>0.42659999999999998</v>
      </c>
      <c r="F363">
        <v>5335394.3600000003</v>
      </c>
      <c r="G363">
        <v>0</v>
      </c>
      <c r="L363" t="s">
        <v>8</v>
      </c>
      <c r="M363" t="s">
        <v>8</v>
      </c>
      <c r="N363" t="s">
        <v>8</v>
      </c>
      <c r="P363">
        <f t="shared" si="969"/>
        <v>-0.61513157894736892</v>
      </c>
      <c r="Q363">
        <f t="shared" si="970"/>
        <v>-3281969.5569736869</v>
      </c>
      <c r="R363">
        <f t="shared" si="971"/>
        <v>-18472720.692194268</v>
      </c>
      <c r="S363">
        <f t="shared" si="972"/>
        <v>-184.72720692194267</v>
      </c>
      <c r="T363">
        <f t="shared" si="973"/>
        <v>-0.18472720692194267</v>
      </c>
    </row>
    <row r="364" spans="1:20" x14ac:dyDescent="0.25">
      <c r="A364" s="5">
        <v>44229</v>
      </c>
      <c r="B364">
        <v>0.38729999999999998</v>
      </c>
      <c r="C364">
        <v>0.43990000000000001</v>
      </c>
      <c r="D364">
        <v>0.37569999999999998</v>
      </c>
      <c r="E364">
        <v>0.43369999999999997</v>
      </c>
      <c r="F364">
        <v>1494248.48</v>
      </c>
      <c r="G364">
        <v>0</v>
      </c>
      <c r="L364" t="s">
        <v>7</v>
      </c>
      <c r="M364" t="s">
        <v>7</v>
      </c>
      <c r="N364" t="s">
        <v>8</v>
      </c>
      <c r="P364">
        <f t="shared" si="969"/>
        <v>0.806853582554516</v>
      </c>
      <c r="Q364">
        <f t="shared" si="970"/>
        <v>1205639.7393146399</v>
      </c>
      <c r="R364">
        <f t="shared" si="971"/>
        <v>-15190751.13522058</v>
      </c>
      <c r="S364">
        <f t="shared" si="972"/>
        <v>-151.9075113522058</v>
      </c>
      <c r="T364">
        <f t="shared" si="973"/>
        <v>-0.15190751135220582</v>
      </c>
    </row>
    <row r="365" spans="1:20" x14ac:dyDescent="0.25">
      <c r="A365" s="5">
        <v>44228</v>
      </c>
      <c r="B365">
        <v>0.38500000000000001</v>
      </c>
      <c r="C365">
        <v>0.45119999999999999</v>
      </c>
      <c r="D365">
        <v>0.3669</v>
      </c>
      <c r="E365">
        <v>0.38440000000000002</v>
      </c>
      <c r="F365">
        <v>2568740.62</v>
      </c>
      <c r="G365">
        <v>0</v>
      </c>
      <c r="L365" t="s">
        <v>8</v>
      </c>
      <c r="M365" t="s">
        <v>8</v>
      </c>
      <c r="N365" t="s">
        <v>8</v>
      </c>
      <c r="P365">
        <f t="shared" si="969"/>
        <v>-0.58481613285883705</v>
      </c>
      <c r="Q365">
        <f t="shared" si="970"/>
        <v>-1502240.9557058115</v>
      </c>
      <c r="R365">
        <f t="shared" si="971"/>
        <v>-16396390.87453522</v>
      </c>
      <c r="S365">
        <f t="shared" si="972"/>
        <v>-163.9639087453522</v>
      </c>
      <c r="T365">
        <f t="shared" si="973"/>
        <v>-0.16396390874535219</v>
      </c>
    </row>
    <row r="366" spans="1:20" x14ac:dyDescent="0.25">
      <c r="A366" s="5">
        <v>44227</v>
      </c>
      <c r="B366">
        <v>0.3644</v>
      </c>
      <c r="C366">
        <v>0.40479999999999999</v>
      </c>
      <c r="D366">
        <v>0.3579</v>
      </c>
      <c r="E366">
        <v>0.38669999999999999</v>
      </c>
      <c r="F366">
        <v>1819484.68</v>
      </c>
      <c r="G366">
        <v>0</v>
      </c>
      <c r="L366" t="s">
        <v>8</v>
      </c>
      <c r="M366" t="s">
        <v>8</v>
      </c>
      <c r="N366" t="s">
        <v>7</v>
      </c>
      <c r="P366">
        <f t="shared" si="969"/>
        <v>0.22814498933901894</v>
      </c>
      <c r="Q366">
        <f t="shared" si="970"/>
        <v>415106.31292110827</v>
      </c>
      <c r="R366">
        <f t="shared" si="971"/>
        <v>-14894149.918829408</v>
      </c>
      <c r="S366">
        <f t="shared" si="972"/>
        <v>-148.94149918829407</v>
      </c>
      <c r="T366">
        <f t="shared" si="973"/>
        <v>-0.14894149918829408</v>
      </c>
    </row>
    <row r="367" spans="1:20" x14ac:dyDescent="0.25">
      <c r="A367" s="5">
        <v>44226</v>
      </c>
      <c r="B367">
        <v>0.35449999999999998</v>
      </c>
      <c r="C367">
        <v>0.37269999999999998</v>
      </c>
      <c r="D367">
        <v>0.34300000000000003</v>
      </c>
      <c r="E367">
        <v>0.36430000000000001</v>
      </c>
      <c r="F367">
        <v>614428.82999999996</v>
      </c>
      <c r="G367">
        <v>0</v>
      </c>
      <c r="L367" t="s">
        <v>7</v>
      </c>
      <c r="M367" t="s">
        <v>8</v>
      </c>
      <c r="N367" t="s">
        <v>7</v>
      </c>
      <c r="P367">
        <f t="shared" si="969"/>
        <v>0.43434343434343586</v>
      </c>
      <c r="Q367">
        <f t="shared" si="970"/>
        <v>266873.12818181911</v>
      </c>
      <c r="R367">
        <f t="shared" si="971"/>
        <v>-15309256.231750516</v>
      </c>
      <c r="S367">
        <f t="shared" si="972"/>
        <v>-153.09256231750516</v>
      </c>
      <c r="T367">
        <f t="shared" si="973"/>
        <v>-0.15309256231750515</v>
      </c>
    </row>
    <row r="368" spans="1:20" x14ac:dyDescent="0.25">
      <c r="A368" s="5">
        <v>44225</v>
      </c>
      <c r="B368">
        <v>0.33700000000000002</v>
      </c>
      <c r="C368">
        <v>0.37990000000000002</v>
      </c>
      <c r="D368">
        <v>0.33689999999999998</v>
      </c>
      <c r="E368">
        <v>0.35170000000000001</v>
      </c>
      <c r="F368">
        <v>1663424.74</v>
      </c>
      <c r="G368">
        <v>0</v>
      </c>
      <c r="L368" t="s">
        <v>8</v>
      </c>
      <c r="M368" t="s">
        <v>8</v>
      </c>
      <c r="N368" t="s">
        <v>7</v>
      </c>
      <c r="P368">
        <f t="shared" si="969"/>
        <v>-0.31162790697674314</v>
      </c>
      <c r="Q368">
        <f t="shared" si="970"/>
        <v>-518369.57013953314</v>
      </c>
      <c r="R368">
        <f t="shared" si="971"/>
        <v>-15576129.359932335</v>
      </c>
      <c r="S368">
        <f t="shared" si="972"/>
        <v>-155.76129359932335</v>
      </c>
      <c r="T368">
        <f t="shared" si="973"/>
        <v>-0.15576129359932336</v>
      </c>
    </row>
    <row r="369" spans="1:20" x14ac:dyDescent="0.25">
      <c r="A369" s="5">
        <v>44224</v>
      </c>
      <c r="B369">
        <v>0.32529999999999998</v>
      </c>
      <c r="C369">
        <v>0.3422</v>
      </c>
      <c r="D369">
        <v>0.32079999999999997</v>
      </c>
      <c r="E369">
        <v>0.3372</v>
      </c>
      <c r="F369">
        <v>497077.35</v>
      </c>
      <c r="G369">
        <v>0</v>
      </c>
      <c r="L369" t="s">
        <v>8</v>
      </c>
      <c r="M369" t="s">
        <v>7</v>
      </c>
      <c r="N369" t="s">
        <v>7</v>
      </c>
      <c r="P369">
        <f t="shared" si="969"/>
        <v>0.53271028037383206</v>
      </c>
      <c r="Q369">
        <f t="shared" si="970"/>
        <v>264798.21448598144</v>
      </c>
      <c r="R369">
        <f t="shared" si="971"/>
        <v>-15057759.789792802</v>
      </c>
      <c r="S369">
        <f t="shared" si="972"/>
        <v>-150.57759789792803</v>
      </c>
      <c r="T369">
        <f t="shared" si="973"/>
        <v>-0.15057759789792802</v>
      </c>
    </row>
    <row r="370" spans="1:20" x14ac:dyDescent="0.25">
      <c r="A370" s="5">
        <v>44223</v>
      </c>
      <c r="B370">
        <v>0.36020000000000002</v>
      </c>
      <c r="C370">
        <v>0.36109999999999998</v>
      </c>
      <c r="D370">
        <v>0.31030000000000002</v>
      </c>
      <c r="E370">
        <v>0.3231</v>
      </c>
      <c r="F370">
        <v>704033.37</v>
      </c>
      <c r="G370">
        <v>0</v>
      </c>
      <c r="L370" t="s">
        <v>7</v>
      </c>
      <c r="M370" t="s">
        <v>7</v>
      </c>
      <c r="N370" t="s">
        <v>7</v>
      </c>
      <c r="P370">
        <f t="shared" si="969"/>
        <v>-0.4960629921259847</v>
      </c>
      <c r="Q370">
        <f t="shared" si="970"/>
        <v>-349244.90007874049</v>
      </c>
      <c r="R370">
        <f t="shared" si="971"/>
        <v>-15322558.004278783</v>
      </c>
      <c r="S370">
        <f t="shared" si="972"/>
        <v>-153.22558004278784</v>
      </c>
      <c r="T370">
        <f t="shared" si="973"/>
        <v>-0.15322558004278783</v>
      </c>
    </row>
    <row r="371" spans="1:20" x14ac:dyDescent="0.25">
      <c r="A371" s="5">
        <v>44222</v>
      </c>
      <c r="B371">
        <v>0.34329999999999999</v>
      </c>
      <c r="C371">
        <v>0.36280000000000001</v>
      </c>
      <c r="D371">
        <v>0.33960000000000001</v>
      </c>
      <c r="E371">
        <v>0.36020000000000002</v>
      </c>
      <c r="F371">
        <v>1335089.98</v>
      </c>
      <c r="G371">
        <v>0</v>
      </c>
      <c r="L371" t="s">
        <v>7</v>
      </c>
      <c r="M371" t="s">
        <v>8</v>
      </c>
      <c r="N371" t="s">
        <v>7</v>
      </c>
      <c r="P371">
        <f t="shared" si="969"/>
        <v>0.77586206896551801</v>
      </c>
      <c r="Q371">
        <f t="shared" si="970"/>
        <v>1035845.674137932</v>
      </c>
      <c r="R371">
        <f t="shared" si="971"/>
        <v>-14973313.104200043</v>
      </c>
      <c r="S371">
        <f t="shared" si="972"/>
        <v>-149.73313104200042</v>
      </c>
      <c r="T371">
        <f t="shared" si="973"/>
        <v>-0.14973313104200042</v>
      </c>
    </row>
    <row r="372" spans="1:20" x14ac:dyDescent="0.25">
      <c r="A372" s="5">
        <v>44221</v>
      </c>
      <c r="B372">
        <v>0.36699999999999999</v>
      </c>
      <c r="C372">
        <v>0.37840000000000001</v>
      </c>
      <c r="D372">
        <v>0.34150000000000003</v>
      </c>
      <c r="E372">
        <v>0.34449999999999997</v>
      </c>
      <c r="F372">
        <v>492010.89</v>
      </c>
      <c r="G372">
        <v>0</v>
      </c>
      <c r="L372" t="s">
        <v>7</v>
      </c>
      <c r="M372" t="s">
        <v>8</v>
      </c>
      <c r="N372" t="s">
        <v>7</v>
      </c>
      <c r="P372">
        <f t="shared" si="969"/>
        <v>-0.83739837398374262</v>
      </c>
      <c r="Q372">
        <f t="shared" si="970"/>
        <v>-412009.11926829407</v>
      </c>
      <c r="R372">
        <f t="shared" si="971"/>
        <v>-16009158.778337974</v>
      </c>
      <c r="S372">
        <f t="shared" si="972"/>
        <v>-160.09158778337974</v>
      </c>
      <c r="T372">
        <f t="shared" si="973"/>
        <v>-0.16009158778337973</v>
      </c>
    </row>
    <row r="373" spans="1:20" x14ac:dyDescent="0.25">
      <c r="A373" s="5">
        <v>44220</v>
      </c>
      <c r="B373">
        <v>0.35210000000000002</v>
      </c>
      <c r="C373">
        <v>0.37990000000000002</v>
      </c>
      <c r="D373">
        <v>0.34899999999999998</v>
      </c>
      <c r="E373">
        <v>0.36699999999999999</v>
      </c>
      <c r="F373">
        <v>889243.07</v>
      </c>
      <c r="G373">
        <v>0</v>
      </c>
      <c r="L373" t="s">
        <v>8</v>
      </c>
      <c r="M373" t="s">
        <v>8</v>
      </c>
      <c r="N373" t="s">
        <v>7</v>
      </c>
      <c r="P373">
        <f t="shared" si="969"/>
        <v>0.16504854368931998</v>
      </c>
      <c r="Q373">
        <f t="shared" si="970"/>
        <v>146768.27368932002</v>
      </c>
      <c r="R373">
        <f t="shared" si="971"/>
        <v>-15597149.65906968</v>
      </c>
      <c r="S373">
        <f t="shared" si="972"/>
        <v>-155.9714965906968</v>
      </c>
      <c r="T373">
        <f t="shared" si="973"/>
        <v>-0.15597149659069681</v>
      </c>
    </row>
    <row r="374" spans="1:20" x14ac:dyDescent="0.25">
      <c r="A374" s="5">
        <v>44219</v>
      </c>
      <c r="B374">
        <v>0.34200000000000003</v>
      </c>
      <c r="C374">
        <v>0.36</v>
      </c>
      <c r="D374">
        <v>0.3301</v>
      </c>
      <c r="E374">
        <v>0.35249999999999998</v>
      </c>
      <c r="F374">
        <v>619944.19999999995</v>
      </c>
      <c r="G374">
        <v>0</v>
      </c>
      <c r="L374" t="s">
        <v>8</v>
      </c>
      <c r="M374" t="s">
        <v>7</v>
      </c>
      <c r="N374" t="s">
        <v>7</v>
      </c>
      <c r="P374">
        <f t="shared" si="969"/>
        <v>0.49832775919732369</v>
      </c>
      <c r="Q374">
        <f t="shared" si="970"/>
        <v>308935.40401337744</v>
      </c>
      <c r="R374">
        <f t="shared" si="971"/>
        <v>-15743917.932759</v>
      </c>
      <c r="S374">
        <f t="shared" si="972"/>
        <v>-157.43917932759001</v>
      </c>
      <c r="T374">
        <f t="shared" si="973"/>
        <v>-0.15743917932759002</v>
      </c>
    </row>
    <row r="375" spans="1:20" x14ac:dyDescent="0.25">
      <c r="A375" s="5">
        <v>44218</v>
      </c>
      <c r="B375">
        <v>0.33650000000000002</v>
      </c>
      <c r="C375">
        <v>0.35289999999999999</v>
      </c>
      <c r="D375">
        <v>0.31680000000000003</v>
      </c>
      <c r="E375">
        <v>0.34160000000000001</v>
      </c>
      <c r="F375">
        <v>674976.75</v>
      </c>
      <c r="G375">
        <v>0</v>
      </c>
      <c r="L375" t="s">
        <v>7</v>
      </c>
      <c r="M375" t="s">
        <v>7</v>
      </c>
      <c r="N375" t="s">
        <v>7</v>
      </c>
      <c r="P375">
        <f t="shared" si="969"/>
        <v>0.3739612188365658</v>
      </c>
      <c r="Q375">
        <f t="shared" si="970"/>
        <v>252415.12811634396</v>
      </c>
      <c r="R375">
        <f t="shared" si="971"/>
        <v>-16052853.336772377</v>
      </c>
      <c r="S375">
        <f t="shared" si="972"/>
        <v>-160.52853336772375</v>
      </c>
      <c r="T375">
        <f t="shared" si="973"/>
        <v>-0.16052853336772374</v>
      </c>
    </row>
    <row r="376" spans="1:20" x14ac:dyDescent="0.25">
      <c r="A376" s="5">
        <v>44217</v>
      </c>
      <c r="B376">
        <v>0.36120000000000002</v>
      </c>
      <c r="C376">
        <v>0.37009999999999998</v>
      </c>
      <c r="D376">
        <v>0.32900000000000001</v>
      </c>
      <c r="E376">
        <v>0.33510000000000001</v>
      </c>
      <c r="F376">
        <v>787158.22</v>
      </c>
      <c r="G376">
        <v>0</v>
      </c>
      <c r="L376" t="s">
        <v>7</v>
      </c>
      <c r="M376" t="s">
        <v>8</v>
      </c>
      <c r="N376" t="s">
        <v>7</v>
      </c>
      <c r="P376">
        <f t="shared" si="969"/>
        <v>-0.7031630170316302</v>
      </c>
      <c r="Q376">
        <f t="shared" si="970"/>
        <v>-553500.54885644768</v>
      </c>
      <c r="R376">
        <f t="shared" si="971"/>
        <v>-16305268.46488872</v>
      </c>
      <c r="S376">
        <f t="shared" si="972"/>
        <v>-163.05268464888721</v>
      </c>
      <c r="T376">
        <f t="shared" si="973"/>
        <v>-0.1630526846488872</v>
      </c>
    </row>
    <row r="377" spans="1:20" x14ac:dyDescent="0.25">
      <c r="A377" s="5">
        <v>44216</v>
      </c>
      <c r="B377">
        <v>0.37</v>
      </c>
      <c r="C377">
        <v>0.37419999999999998</v>
      </c>
      <c r="D377">
        <v>0.3392</v>
      </c>
      <c r="E377">
        <v>0.35959999999999998</v>
      </c>
      <c r="F377">
        <v>534833.75</v>
      </c>
      <c r="G377">
        <v>0</v>
      </c>
      <c r="L377" t="s">
        <v>7</v>
      </c>
      <c r="M377" t="s">
        <v>8</v>
      </c>
      <c r="N377" t="s">
        <v>7</v>
      </c>
      <c r="P377">
        <f t="shared" si="969"/>
        <v>0.16571428571428504</v>
      </c>
      <c r="Q377">
        <f t="shared" si="970"/>
        <v>88629.592857142488</v>
      </c>
      <c r="R377">
        <f t="shared" si="971"/>
        <v>-15751767.916032271</v>
      </c>
      <c r="S377">
        <f t="shared" si="972"/>
        <v>-157.51767916032273</v>
      </c>
      <c r="T377">
        <f t="shared" si="973"/>
        <v>-0.15751767916032272</v>
      </c>
    </row>
    <row r="378" spans="1:20" x14ac:dyDescent="0.25">
      <c r="A378" s="5">
        <v>44215</v>
      </c>
      <c r="B378">
        <v>0.37690000000000001</v>
      </c>
      <c r="C378">
        <v>0.39119999999999999</v>
      </c>
      <c r="D378">
        <v>0.3659</v>
      </c>
      <c r="E378">
        <v>0.37</v>
      </c>
      <c r="F378">
        <v>557833.84</v>
      </c>
      <c r="G378">
        <v>0</v>
      </c>
      <c r="L378" t="s">
        <v>8</v>
      </c>
      <c r="M378" t="s">
        <v>8</v>
      </c>
      <c r="N378" t="s">
        <v>7</v>
      </c>
      <c r="P378">
        <f t="shared" si="969"/>
        <v>-0.67588932806324153</v>
      </c>
      <c r="Q378">
        <f t="shared" si="970"/>
        <v>-377033.93928853777</v>
      </c>
      <c r="R378">
        <f t="shared" si="971"/>
        <v>-15840397.508889414</v>
      </c>
      <c r="S378">
        <f t="shared" si="972"/>
        <v>-158.40397508889416</v>
      </c>
      <c r="T378">
        <f t="shared" si="973"/>
        <v>-0.15840397508889414</v>
      </c>
    </row>
    <row r="379" spans="1:20" x14ac:dyDescent="0.25">
      <c r="A379" s="5">
        <v>44214</v>
      </c>
      <c r="B379">
        <v>0.3614</v>
      </c>
      <c r="C379">
        <v>0.38119999999999998</v>
      </c>
      <c r="D379">
        <v>0.3543</v>
      </c>
      <c r="E379">
        <v>0.377</v>
      </c>
      <c r="F379">
        <v>532424.81000000006</v>
      </c>
      <c r="G379">
        <v>0</v>
      </c>
      <c r="L379" t="s">
        <v>8</v>
      </c>
      <c r="M379" t="s">
        <v>8</v>
      </c>
      <c r="N379" t="s">
        <v>7</v>
      </c>
      <c r="P379">
        <f t="shared" si="969"/>
        <v>0.68773234200743605</v>
      </c>
      <c r="Q379">
        <f t="shared" si="970"/>
        <v>366165.76152416418</v>
      </c>
      <c r="R379">
        <f t="shared" si="971"/>
        <v>-15463363.569600876</v>
      </c>
      <c r="S379">
        <f t="shared" si="972"/>
        <v>-154.63363569600875</v>
      </c>
      <c r="T379">
        <f t="shared" si="973"/>
        <v>-0.15463363569600874</v>
      </c>
    </row>
    <row r="380" spans="1:20" x14ac:dyDescent="0.25">
      <c r="A380" s="5">
        <v>44213</v>
      </c>
      <c r="B380">
        <v>0.36570000000000003</v>
      </c>
      <c r="C380">
        <v>0.37680000000000002</v>
      </c>
      <c r="D380">
        <v>0.34389999999999998</v>
      </c>
      <c r="E380">
        <v>0.3614</v>
      </c>
      <c r="F380">
        <v>772682.89</v>
      </c>
      <c r="G380">
        <v>0</v>
      </c>
      <c r="L380" t="s">
        <v>7</v>
      </c>
      <c r="M380" t="s">
        <v>8</v>
      </c>
      <c r="N380" t="s">
        <v>7</v>
      </c>
      <c r="P380">
        <f t="shared" si="969"/>
        <v>6.3829787234042187E-2</v>
      </c>
      <c r="Q380">
        <f t="shared" si="970"/>
        <v>49320.184468084823</v>
      </c>
      <c r="R380">
        <f t="shared" si="971"/>
        <v>-15829529.331125041</v>
      </c>
      <c r="S380">
        <f t="shared" si="972"/>
        <v>-158.29529331125042</v>
      </c>
      <c r="T380">
        <f t="shared" si="973"/>
        <v>-0.15829529331125042</v>
      </c>
    </row>
    <row r="381" spans="1:20" x14ac:dyDescent="0.25">
      <c r="A381" s="5">
        <v>44212</v>
      </c>
      <c r="B381">
        <v>0.36609999999999998</v>
      </c>
      <c r="C381">
        <v>0.37990000000000002</v>
      </c>
      <c r="D381">
        <v>0.3518</v>
      </c>
      <c r="E381">
        <v>0.3679</v>
      </c>
      <c r="F381">
        <v>1060214.52</v>
      </c>
      <c r="G381">
        <v>0</v>
      </c>
      <c r="L381" t="s">
        <v>7</v>
      </c>
      <c r="M381" t="s">
        <v>8</v>
      </c>
      <c r="N381" t="s">
        <v>7</v>
      </c>
      <c r="P381">
        <f t="shared" si="969"/>
        <v>0.14590747330960821</v>
      </c>
      <c r="Q381">
        <f t="shared" si="970"/>
        <v>154693.22177935907</v>
      </c>
      <c r="R381">
        <f t="shared" si="971"/>
        <v>-15878849.515593126</v>
      </c>
      <c r="S381">
        <f t="shared" si="972"/>
        <v>-158.78849515593126</v>
      </c>
      <c r="T381">
        <f t="shared" si="973"/>
        <v>-0.15878849515593127</v>
      </c>
    </row>
    <row r="382" spans="1:20" x14ac:dyDescent="0.25">
      <c r="A382" s="5">
        <v>44211</v>
      </c>
      <c r="B382">
        <v>0.34150000000000003</v>
      </c>
      <c r="C382">
        <v>0.39460000000000001</v>
      </c>
      <c r="D382">
        <v>0.32800000000000001</v>
      </c>
      <c r="E382">
        <v>0.3644</v>
      </c>
      <c r="F382">
        <v>1435581.76</v>
      </c>
      <c r="G382">
        <v>0</v>
      </c>
      <c r="L382" t="s">
        <v>8</v>
      </c>
      <c r="M382" t="s">
        <v>8</v>
      </c>
      <c r="N382" t="s">
        <v>7</v>
      </c>
      <c r="P382">
        <f t="shared" si="969"/>
        <v>9.3093093093092855E-2</v>
      </c>
      <c r="Q382">
        <f t="shared" si="970"/>
        <v>133642.74642642608</v>
      </c>
      <c r="R382">
        <f t="shared" si="971"/>
        <v>-16033542.737372486</v>
      </c>
      <c r="S382">
        <f t="shared" si="972"/>
        <v>-160.33542737372485</v>
      </c>
      <c r="T382">
        <f t="shared" si="973"/>
        <v>-0.16033542737372486</v>
      </c>
    </row>
    <row r="383" spans="1:20" x14ac:dyDescent="0.25">
      <c r="A383" s="5">
        <v>44210</v>
      </c>
      <c r="B383">
        <v>0.34389999999999998</v>
      </c>
      <c r="C383">
        <v>0.35980000000000001</v>
      </c>
      <c r="D383">
        <v>0.32990000000000003</v>
      </c>
      <c r="E383">
        <v>0.34079999999999999</v>
      </c>
      <c r="F383">
        <v>752271.89</v>
      </c>
      <c r="G383">
        <v>0</v>
      </c>
      <c r="L383" t="s">
        <v>8</v>
      </c>
      <c r="M383" t="s">
        <v>8</v>
      </c>
      <c r="N383" t="s">
        <v>7</v>
      </c>
      <c r="P383">
        <f t="shared" si="969"/>
        <v>-0.27090301003344669</v>
      </c>
      <c r="Q383">
        <f t="shared" si="970"/>
        <v>-203792.71936454991</v>
      </c>
      <c r="R383">
        <f t="shared" si="971"/>
        <v>-16167185.483798912</v>
      </c>
      <c r="S383">
        <f t="shared" si="972"/>
        <v>-161.67185483798912</v>
      </c>
      <c r="T383">
        <f t="shared" si="973"/>
        <v>-0.16167185483798913</v>
      </c>
    </row>
    <row r="384" spans="1:20" x14ac:dyDescent="0.25">
      <c r="A384" s="5">
        <v>44209</v>
      </c>
      <c r="B384">
        <v>0.32540000000000002</v>
      </c>
      <c r="C384">
        <v>0.34489999999999998</v>
      </c>
      <c r="D384">
        <v>0.31569999999999998</v>
      </c>
      <c r="E384">
        <v>0.34360000000000002</v>
      </c>
      <c r="F384">
        <v>435094.01</v>
      </c>
      <c r="G384">
        <v>0</v>
      </c>
      <c r="L384" t="s">
        <v>7</v>
      </c>
      <c r="M384" t="s">
        <v>8</v>
      </c>
      <c r="N384" t="s">
        <v>7</v>
      </c>
      <c r="P384">
        <f t="shared" si="969"/>
        <v>0.91095890410959124</v>
      </c>
      <c r="Q384">
        <f t="shared" si="970"/>
        <v>396352.76253424754</v>
      </c>
      <c r="R384">
        <f t="shared" si="971"/>
        <v>-15963392.764434362</v>
      </c>
      <c r="S384">
        <f t="shared" si="972"/>
        <v>-159.63392764434363</v>
      </c>
      <c r="T384">
        <f t="shared" si="973"/>
        <v>-0.15963392764434364</v>
      </c>
    </row>
    <row r="385" spans="1:20" x14ac:dyDescent="0.25">
      <c r="A385" s="5">
        <v>44208</v>
      </c>
      <c r="B385">
        <v>0.34060000000000001</v>
      </c>
      <c r="C385">
        <v>0.35959999999999998</v>
      </c>
      <c r="D385">
        <v>0.316</v>
      </c>
      <c r="E385">
        <v>0.32540000000000002</v>
      </c>
      <c r="F385">
        <v>951819.75</v>
      </c>
      <c r="G385">
        <v>0</v>
      </c>
      <c r="L385" t="s">
        <v>8</v>
      </c>
      <c r="M385" t="s">
        <v>8</v>
      </c>
      <c r="N385" t="s">
        <v>7</v>
      </c>
      <c r="P385">
        <f t="shared" si="969"/>
        <v>-0.56880733944954009</v>
      </c>
      <c r="Q385">
        <f t="shared" si="970"/>
        <v>-541402.05963302637</v>
      </c>
      <c r="R385">
        <f t="shared" si="971"/>
        <v>-16359745.52696861</v>
      </c>
      <c r="S385">
        <f t="shared" si="972"/>
        <v>-163.59745526968609</v>
      </c>
      <c r="T385">
        <f t="shared" si="973"/>
        <v>-0.16359745526968608</v>
      </c>
    </row>
    <row r="386" spans="1:20" x14ac:dyDescent="0.25">
      <c r="A386" s="5">
        <v>44207</v>
      </c>
      <c r="B386">
        <v>0.38129999999999997</v>
      </c>
      <c r="C386">
        <v>0.40839999999999999</v>
      </c>
      <c r="D386">
        <v>0.30280000000000001</v>
      </c>
      <c r="E386">
        <v>0.34689999999999999</v>
      </c>
      <c r="F386">
        <v>2605354.9300000002</v>
      </c>
      <c r="G386">
        <v>0</v>
      </c>
      <c r="L386" t="s">
        <v>7</v>
      </c>
      <c r="M386" t="s">
        <v>7</v>
      </c>
      <c r="N386" t="s">
        <v>7</v>
      </c>
      <c r="P386">
        <f t="shared" si="969"/>
        <v>-0.16477272727272757</v>
      </c>
      <c r="Q386">
        <f t="shared" si="970"/>
        <v>-429291.43732954626</v>
      </c>
      <c r="R386">
        <f t="shared" si="971"/>
        <v>-15818343.467335584</v>
      </c>
      <c r="S386">
        <f t="shared" si="972"/>
        <v>-158.18343467335583</v>
      </c>
      <c r="T386">
        <f t="shared" si="973"/>
        <v>-0.15818343467335583</v>
      </c>
    </row>
    <row r="387" spans="1:20" x14ac:dyDescent="0.25">
      <c r="A387" s="5">
        <v>44206</v>
      </c>
      <c r="B387">
        <v>0.34960000000000002</v>
      </c>
      <c r="C387">
        <v>0.46</v>
      </c>
      <c r="D387">
        <v>0.33279999999999998</v>
      </c>
      <c r="E387">
        <v>0.38129999999999997</v>
      </c>
      <c r="F387">
        <v>4525091.54</v>
      </c>
      <c r="G387">
        <v>0</v>
      </c>
      <c r="L387" t="s">
        <v>8</v>
      </c>
      <c r="M387" t="s">
        <v>8</v>
      </c>
      <c r="N387" t="s">
        <v>8</v>
      </c>
      <c r="P387">
        <f t="shared" si="969"/>
        <v>-0.23742138364779916</v>
      </c>
      <c r="Q387">
        <f t="shared" si="970"/>
        <v>-1074353.4945597504</v>
      </c>
      <c r="R387">
        <f t="shared" si="971"/>
        <v>-15389052.030006038</v>
      </c>
      <c r="S387">
        <f t="shared" si="972"/>
        <v>-153.89052030006039</v>
      </c>
      <c r="T387">
        <f t="shared" si="973"/>
        <v>-0.1538905203000604</v>
      </c>
    </row>
    <row r="388" spans="1:20" x14ac:dyDescent="0.25">
      <c r="A388" s="5">
        <v>44205</v>
      </c>
      <c r="B388">
        <v>0.32690000000000002</v>
      </c>
      <c r="C388">
        <v>0.3589</v>
      </c>
      <c r="D388">
        <v>0.3</v>
      </c>
      <c r="E388">
        <v>0.34620000000000001</v>
      </c>
      <c r="F388">
        <v>1166898.97</v>
      </c>
      <c r="G388">
        <v>0</v>
      </c>
      <c r="L388" t="s">
        <v>8</v>
      </c>
      <c r="M388" t="s">
        <v>8</v>
      </c>
      <c r="N388" t="s">
        <v>7</v>
      </c>
      <c r="P388">
        <f t="shared" si="969"/>
        <v>0.56876061120543342</v>
      </c>
      <c r="Q388">
        <f t="shared" si="970"/>
        <v>663686.17139219074</v>
      </c>
      <c r="R388">
        <f t="shared" si="971"/>
        <v>-14314698.535446288</v>
      </c>
      <c r="S388">
        <f t="shared" si="972"/>
        <v>-143.14698535446288</v>
      </c>
      <c r="T388">
        <f t="shared" si="973"/>
        <v>-0.14314698535446288</v>
      </c>
    </row>
    <row r="389" spans="1:20" x14ac:dyDescent="0.25">
      <c r="A389" s="5">
        <v>44204</v>
      </c>
      <c r="B389">
        <v>0.3301</v>
      </c>
      <c r="C389">
        <v>0.3347</v>
      </c>
      <c r="D389">
        <v>0.28999999999999998</v>
      </c>
      <c r="E389">
        <v>0.3256</v>
      </c>
      <c r="F389">
        <v>442687.38</v>
      </c>
      <c r="G389">
        <v>0</v>
      </c>
      <c r="L389" t="s">
        <v>7</v>
      </c>
      <c r="M389" t="s">
        <v>7</v>
      </c>
      <c r="N389" t="s">
        <v>7</v>
      </c>
      <c r="P389">
        <f t="shared" si="969"/>
        <v>0.59284116331096226</v>
      </c>
      <c r="Q389">
        <f t="shared" si="970"/>
        <v>262443.30134228204</v>
      </c>
      <c r="R389">
        <f t="shared" si="971"/>
        <v>-14978384.706838479</v>
      </c>
      <c r="S389">
        <f t="shared" si="972"/>
        <v>-149.7838470683848</v>
      </c>
      <c r="T389">
        <f t="shared" si="973"/>
        <v>-0.1497838470683848</v>
      </c>
    </row>
    <row r="390" spans="1:20" x14ac:dyDescent="0.25">
      <c r="A390" s="5">
        <v>44203</v>
      </c>
      <c r="B390">
        <v>0.32779999999999998</v>
      </c>
      <c r="C390">
        <v>0.34989999999999999</v>
      </c>
      <c r="D390">
        <v>0.31879999999999997</v>
      </c>
      <c r="E390">
        <v>0.3327</v>
      </c>
      <c r="F390">
        <v>711383.37</v>
      </c>
      <c r="G390">
        <v>0</v>
      </c>
      <c r="L390" t="s">
        <v>8</v>
      </c>
      <c r="M390" t="s">
        <v>8</v>
      </c>
      <c r="N390" t="s">
        <v>7</v>
      </c>
      <c r="P390">
        <f t="shared" ref="P390:P453" si="974">IF(C390=D390,0,((E390-D390)-(C390-E390))/(C390-D390))</f>
        <v>-0.10610932475884141</v>
      </c>
      <c r="Q390">
        <f t="shared" ref="Q390:Q453" si="975">F390*P390</f>
        <v>-75484.409035369041</v>
      </c>
      <c r="R390">
        <f t="shared" ref="R390:R453" si="976">R391+Q390</f>
        <v>-15240828.008180762</v>
      </c>
      <c r="S390">
        <f t="shared" ref="S390:S453" si="977">R390/100000</f>
        <v>-152.40828008180762</v>
      </c>
      <c r="T390">
        <f t="shared" ref="T390:T453" si="978">S390/1000</f>
        <v>-0.15240828008180762</v>
      </c>
    </row>
    <row r="391" spans="1:20" x14ac:dyDescent="0.25">
      <c r="A391" s="5">
        <v>44202</v>
      </c>
      <c r="B391">
        <v>0.30309999999999998</v>
      </c>
      <c r="C391">
        <v>0.3352</v>
      </c>
      <c r="D391">
        <v>0.29770000000000002</v>
      </c>
      <c r="E391">
        <v>0.32779999999999998</v>
      </c>
      <c r="F391">
        <v>837237.72</v>
      </c>
      <c r="G391">
        <v>0</v>
      </c>
      <c r="L391" t="s">
        <v>8</v>
      </c>
      <c r="M391" t="s">
        <v>8</v>
      </c>
      <c r="N391" t="s">
        <v>7</v>
      </c>
      <c r="P391">
        <f t="shared" si="974"/>
        <v>0.60533333333333217</v>
      </c>
      <c r="Q391">
        <f t="shared" si="975"/>
        <v>506807.89983999898</v>
      </c>
      <c r="R391">
        <f t="shared" si="976"/>
        <v>-15165343.599145392</v>
      </c>
      <c r="S391">
        <f t="shared" si="977"/>
        <v>-151.65343599145393</v>
      </c>
      <c r="T391">
        <f t="shared" si="978"/>
        <v>-0.15165343599145392</v>
      </c>
    </row>
    <row r="392" spans="1:20" x14ac:dyDescent="0.25">
      <c r="A392" s="5">
        <v>44201</v>
      </c>
      <c r="B392">
        <v>0.29470000000000002</v>
      </c>
      <c r="C392">
        <v>0.30559999999999998</v>
      </c>
      <c r="D392">
        <v>0.27500000000000002</v>
      </c>
      <c r="E392">
        <v>0.30330000000000001</v>
      </c>
      <c r="F392">
        <v>361405.08</v>
      </c>
      <c r="G392">
        <v>0</v>
      </c>
      <c r="L392" t="s">
        <v>8</v>
      </c>
      <c r="M392" t="s">
        <v>7</v>
      </c>
      <c r="N392" t="s">
        <v>7</v>
      </c>
      <c r="P392">
        <f t="shared" si="974"/>
        <v>0.84967320261438095</v>
      </c>
      <c r="Q392">
        <f t="shared" si="975"/>
        <v>307076.21176470659</v>
      </c>
      <c r="R392">
        <f t="shared" si="976"/>
        <v>-15672151.498985391</v>
      </c>
      <c r="S392">
        <f t="shared" si="977"/>
        <v>-156.72151498985392</v>
      </c>
      <c r="T392">
        <f t="shared" si="978"/>
        <v>-0.15672151498985393</v>
      </c>
    </row>
    <row r="393" spans="1:20" x14ac:dyDescent="0.25">
      <c r="A393" s="5">
        <v>44200</v>
      </c>
      <c r="B393">
        <v>0.29349999999999998</v>
      </c>
      <c r="C393">
        <v>0.30740000000000001</v>
      </c>
      <c r="D393">
        <v>0.2656</v>
      </c>
      <c r="E393">
        <v>0.29409999999999997</v>
      </c>
      <c r="F393">
        <v>566897</v>
      </c>
      <c r="G393">
        <v>0</v>
      </c>
      <c r="L393" t="s">
        <v>7</v>
      </c>
      <c r="M393" t="s">
        <v>7</v>
      </c>
      <c r="N393" t="s">
        <v>7</v>
      </c>
      <c r="P393">
        <f t="shared" si="974"/>
        <v>0.36363636363636209</v>
      </c>
      <c r="Q393">
        <f t="shared" si="975"/>
        <v>206144.36363636277</v>
      </c>
      <c r="R393">
        <f t="shared" si="976"/>
        <v>-15979227.710750097</v>
      </c>
      <c r="S393">
        <f t="shared" si="977"/>
        <v>-159.79227710750098</v>
      </c>
      <c r="T393">
        <f t="shared" si="978"/>
        <v>-0.15979227710750099</v>
      </c>
    </row>
    <row r="394" spans="1:20" x14ac:dyDescent="0.25">
      <c r="A394" s="5">
        <v>44199</v>
      </c>
      <c r="B394">
        <v>0.28760000000000002</v>
      </c>
      <c r="C394">
        <v>0.29380000000000001</v>
      </c>
      <c r="D394">
        <v>0.27289999999999998</v>
      </c>
      <c r="E394">
        <v>0.2913</v>
      </c>
      <c r="F394">
        <v>412421.33</v>
      </c>
      <c r="G394">
        <v>0</v>
      </c>
      <c r="L394" t="s">
        <v>7</v>
      </c>
      <c r="M394" t="s">
        <v>7</v>
      </c>
      <c r="N394" t="s">
        <v>7</v>
      </c>
      <c r="P394">
        <f t="shared" si="974"/>
        <v>0.76076555023923453</v>
      </c>
      <c r="Q394">
        <f t="shared" si="975"/>
        <v>313755.94004784693</v>
      </c>
      <c r="R394">
        <f t="shared" si="976"/>
        <v>-16185372.074386461</v>
      </c>
      <c r="S394">
        <f t="shared" si="977"/>
        <v>-161.85372074386461</v>
      </c>
      <c r="T394">
        <f t="shared" si="978"/>
        <v>-0.16185372074386462</v>
      </c>
    </row>
    <row r="395" spans="1:20" x14ac:dyDescent="0.25">
      <c r="A395" s="5">
        <v>44198</v>
      </c>
      <c r="B395">
        <v>0.29360000000000003</v>
      </c>
      <c r="C395">
        <v>0.3019</v>
      </c>
      <c r="D395">
        <v>0.27810000000000001</v>
      </c>
      <c r="E395">
        <v>0.28770000000000001</v>
      </c>
      <c r="F395">
        <v>177783.94</v>
      </c>
      <c r="G395">
        <v>0</v>
      </c>
      <c r="L395" t="s">
        <v>7</v>
      </c>
      <c r="M395" t="s">
        <v>7</v>
      </c>
      <c r="N395" t="s">
        <v>7</v>
      </c>
      <c r="P395">
        <f t="shared" si="974"/>
        <v>-0.19327731092436956</v>
      </c>
      <c r="Q395">
        <f t="shared" si="975"/>
        <v>-34361.601848739461</v>
      </c>
      <c r="R395">
        <f t="shared" si="976"/>
        <v>-16499128.014434308</v>
      </c>
      <c r="S395">
        <f t="shared" si="977"/>
        <v>-164.99128014434308</v>
      </c>
      <c r="T395">
        <f t="shared" si="978"/>
        <v>-0.16499128014434308</v>
      </c>
    </row>
    <row r="396" spans="1:20" x14ac:dyDescent="0.25">
      <c r="A396" s="5">
        <v>44197</v>
      </c>
      <c r="B396">
        <v>0.29849999999999999</v>
      </c>
      <c r="C396">
        <v>0.30249999999999999</v>
      </c>
      <c r="D396">
        <v>0.28810000000000002</v>
      </c>
      <c r="E396">
        <v>0.29559999999999997</v>
      </c>
      <c r="F396">
        <v>152232.85999999999</v>
      </c>
      <c r="G396">
        <v>0</v>
      </c>
      <c r="L396" t="s">
        <v>8</v>
      </c>
      <c r="M396" t="s">
        <v>7</v>
      </c>
      <c r="N396" t="s">
        <v>7</v>
      </c>
      <c r="P396">
        <f t="shared" si="974"/>
        <v>4.1666666666662168E-2</v>
      </c>
      <c r="Q396">
        <f t="shared" si="975"/>
        <v>6343.0358333326476</v>
      </c>
      <c r="R396">
        <f t="shared" si="976"/>
        <v>-16464766.412585568</v>
      </c>
      <c r="S396">
        <f t="shared" si="977"/>
        <v>-164.64766412585567</v>
      </c>
      <c r="T396">
        <f t="shared" si="978"/>
        <v>-0.16464766412585566</v>
      </c>
    </row>
    <row r="397" spans="1:20" x14ac:dyDescent="0.25">
      <c r="A397" s="5">
        <v>44196</v>
      </c>
      <c r="B397">
        <v>0.29199999999999998</v>
      </c>
      <c r="C397">
        <v>0.29930000000000001</v>
      </c>
      <c r="D397">
        <v>0.2782</v>
      </c>
      <c r="E397">
        <v>0.29849999999999999</v>
      </c>
      <c r="F397">
        <v>231439.01</v>
      </c>
      <c r="G397">
        <v>0</v>
      </c>
      <c r="L397" t="s">
        <v>8</v>
      </c>
      <c r="M397" t="s">
        <v>7</v>
      </c>
      <c r="N397" t="s">
        <v>7</v>
      </c>
      <c r="P397">
        <f t="shared" si="974"/>
        <v>0.92417061611374196</v>
      </c>
      <c r="Q397">
        <f t="shared" si="975"/>
        <v>213889.13246445451</v>
      </c>
      <c r="R397">
        <f t="shared" si="976"/>
        <v>-16471109.4484189</v>
      </c>
      <c r="S397">
        <f t="shared" si="977"/>
        <v>-164.711094484189</v>
      </c>
      <c r="T397">
        <f t="shared" si="978"/>
        <v>-0.164711094484189</v>
      </c>
    </row>
    <row r="398" spans="1:20" x14ac:dyDescent="0.25">
      <c r="A398" s="5">
        <v>44195</v>
      </c>
      <c r="B398">
        <v>0.31530000000000002</v>
      </c>
      <c r="C398">
        <v>0.31900000000000001</v>
      </c>
      <c r="D398">
        <v>0.27889999999999998</v>
      </c>
      <c r="E398">
        <v>0.29189999999999999</v>
      </c>
      <c r="F398">
        <v>518797.46</v>
      </c>
      <c r="G398">
        <v>0</v>
      </c>
      <c r="L398" t="s">
        <v>7</v>
      </c>
      <c r="M398" t="s">
        <v>7</v>
      </c>
      <c r="N398" t="s">
        <v>7</v>
      </c>
      <c r="P398">
        <f t="shared" si="974"/>
        <v>-0.3516209476309225</v>
      </c>
      <c r="Q398">
        <f t="shared" si="975"/>
        <v>-182420.05451371562</v>
      </c>
      <c r="R398">
        <f t="shared" si="976"/>
        <v>-16684998.580883356</v>
      </c>
      <c r="S398">
        <f t="shared" si="977"/>
        <v>-166.84998580883357</v>
      </c>
      <c r="T398">
        <f t="shared" si="978"/>
        <v>-0.16684998580883356</v>
      </c>
    </row>
    <row r="399" spans="1:20" x14ac:dyDescent="0.25">
      <c r="A399" s="5">
        <v>44194</v>
      </c>
      <c r="B399">
        <v>0.33019999999999999</v>
      </c>
      <c r="C399">
        <v>0.33829999999999999</v>
      </c>
      <c r="D399">
        <v>0.30299999999999999</v>
      </c>
      <c r="E399">
        <v>0.31790000000000002</v>
      </c>
      <c r="F399">
        <v>236974.64</v>
      </c>
      <c r="G399">
        <v>0</v>
      </c>
      <c r="L399" t="s">
        <v>7</v>
      </c>
      <c r="M399" t="s">
        <v>7</v>
      </c>
      <c r="N399" t="s">
        <v>7</v>
      </c>
      <c r="P399">
        <f t="shared" si="974"/>
        <v>-0.15580736543909207</v>
      </c>
      <c r="Q399">
        <f t="shared" si="975"/>
        <v>-36922.394334277291</v>
      </c>
      <c r="R399">
        <f t="shared" si="976"/>
        <v>-16502578.526369641</v>
      </c>
      <c r="S399">
        <f t="shared" si="977"/>
        <v>-165.02578526369641</v>
      </c>
      <c r="T399">
        <f t="shared" si="978"/>
        <v>-0.16502578526369641</v>
      </c>
    </row>
    <row r="400" spans="1:20" x14ac:dyDescent="0.25">
      <c r="A400" s="5">
        <v>44193</v>
      </c>
      <c r="B400">
        <v>0.30869999999999997</v>
      </c>
      <c r="C400">
        <v>0.35460000000000003</v>
      </c>
      <c r="D400">
        <v>0.3049</v>
      </c>
      <c r="E400">
        <v>0.33339999999999997</v>
      </c>
      <c r="F400">
        <v>849276.24</v>
      </c>
      <c r="G400">
        <v>0</v>
      </c>
      <c r="L400" t="s">
        <v>8</v>
      </c>
      <c r="M400" t="s">
        <v>7</v>
      </c>
      <c r="N400" t="s">
        <v>7</v>
      </c>
      <c r="P400">
        <f t="shared" si="974"/>
        <v>0.14688128772635642</v>
      </c>
      <c r="Q400">
        <f t="shared" si="975"/>
        <v>124742.78776659812</v>
      </c>
      <c r="R400">
        <f t="shared" si="976"/>
        <v>-16465656.132035363</v>
      </c>
      <c r="S400">
        <f t="shared" si="977"/>
        <v>-164.65656132035363</v>
      </c>
      <c r="T400">
        <f t="shared" si="978"/>
        <v>-0.16465656132035364</v>
      </c>
    </row>
    <row r="401" spans="1:20" x14ac:dyDescent="0.25">
      <c r="A401" s="5">
        <v>44192</v>
      </c>
      <c r="B401">
        <v>0.31309999999999999</v>
      </c>
      <c r="C401">
        <v>0.32619999999999999</v>
      </c>
      <c r="D401">
        <v>0.3</v>
      </c>
      <c r="E401">
        <v>0.30869999999999997</v>
      </c>
      <c r="F401">
        <v>269763.71000000002</v>
      </c>
      <c r="G401">
        <v>0</v>
      </c>
      <c r="L401" t="s">
        <v>7</v>
      </c>
      <c r="M401" t="s">
        <v>7</v>
      </c>
      <c r="N401" t="s">
        <v>7</v>
      </c>
      <c r="P401">
        <f t="shared" si="974"/>
        <v>-0.33587786259542096</v>
      </c>
      <c r="Q401">
        <f t="shared" si="975"/>
        <v>-90607.658320610994</v>
      </c>
      <c r="R401">
        <f t="shared" si="976"/>
        <v>-16590398.919801962</v>
      </c>
      <c r="S401">
        <f t="shared" si="977"/>
        <v>-165.90398919801962</v>
      </c>
      <c r="T401">
        <f t="shared" si="978"/>
        <v>-0.1659039891980196</v>
      </c>
    </row>
    <row r="402" spans="1:20" x14ac:dyDescent="0.25">
      <c r="A402" s="5">
        <v>44191</v>
      </c>
      <c r="B402">
        <v>0.3155</v>
      </c>
      <c r="C402">
        <v>0.3286</v>
      </c>
      <c r="D402">
        <v>0.30969999999999998</v>
      </c>
      <c r="E402">
        <v>0.31469999999999998</v>
      </c>
      <c r="F402">
        <v>197196.57</v>
      </c>
      <c r="G402">
        <v>0</v>
      </c>
      <c r="L402" t="s">
        <v>7</v>
      </c>
      <c r="M402" t="s">
        <v>7</v>
      </c>
      <c r="N402" t="s">
        <v>7</v>
      </c>
      <c r="P402">
        <f t="shared" si="974"/>
        <v>-0.47089947089947121</v>
      </c>
      <c r="Q402">
        <f t="shared" si="975"/>
        <v>-92859.760476190539</v>
      </c>
      <c r="R402">
        <f t="shared" si="976"/>
        <v>-16499791.26148135</v>
      </c>
      <c r="S402">
        <f t="shared" si="977"/>
        <v>-164.99791261481352</v>
      </c>
      <c r="T402">
        <f t="shared" si="978"/>
        <v>-0.1649979126148135</v>
      </c>
    </row>
    <row r="403" spans="1:20" x14ac:dyDescent="0.25">
      <c r="A403" s="5">
        <v>44190</v>
      </c>
      <c r="B403">
        <v>0.32940000000000003</v>
      </c>
      <c r="C403">
        <v>0.33229999999999998</v>
      </c>
      <c r="D403">
        <v>0.3049</v>
      </c>
      <c r="E403">
        <v>0.3155</v>
      </c>
      <c r="F403">
        <v>203629.19</v>
      </c>
      <c r="G403">
        <v>0</v>
      </c>
      <c r="L403" t="s">
        <v>8</v>
      </c>
      <c r="M403" t="s">
        <v>7</v>
      </c>
      <c r="N403" t="s">
        <v>7</v>
      </c>
      <c r="P403">
        <f t="shared" si="974"/>
        <v>-0.22627737226277328</v>
      </c>
      <c r="Q403">
        <f t="shared" si="975"/>
        <v>-46076.678029196992</v>
      </c>
      <c r="R403">
        <f t="shared" si="976"/>
        <v>-16406931.50100516</v>
      </c>
      <c r="S403">
        <f t="shared" si="977"/>
        <v>-164.06931501005161</v>
      </c>
      <c r="T403">
        <f t="shared" si="978"/>
        <v>-0.16406931501005162</v>
      </c>
    </row>
    <row r="404" spans="1:20" x14ac:dyDescent="0.25">
      <c r="A404" s="5">
        <v>44189</v>
      </c>
      <c r="B404">
        <v>0.30869999999999997</v>
      </c>
      <c r="C404">
        <v>0.32990000000000003</v>
      </c>
      <c r="D404">
        <v>0.3</v>
      </c>
      <c r="E404">
        <v>0.32829999999999998</v>
      </c>
      <c r="F404">
        <v>231745.85</v>
      </c>
      <c r="G404">
        <v>0</v>
      </c>
      <c r="L404" t="s">
        <v>7</v>
      </c>
      <c r="M404" t="s">
        <v>7</v>
      </c>
      <c r="N404" t="s">
        <v>7</v>
      </c>
      <c r="P404">
        <f t="shared" si="974"/>
        <v>0.89297658862875962</v>
      </c>
      <c r="Q404">
        <f t="shared" si="975"/>
        <v>206943.61856187222</v>
      </c>
      <c r="R404">
        <f t="shared" si="976"/>
        <v>-16360854.822975963</v>
      </c>
      <c r="S404">
        <f t="shared" si="977"/>
        <v>-163.60854822975963</v>
      </c>
      <c r="T404">
        <f t="shared" si="978"/>
        <v>-0.16360854822975962</v>
      </c>
    </row>
    <row r="405" spans="1:20" x14ac:dyDescent="0.25">
      <c r="A405" s="5">
        <v>44188</v>
      </c>
      <c r="B405">
        <v>0.35110000000000002</v>
      </c>
      <c r="C405">
        <v>0.35289999999999999</v>
      </c>
      <c r="D405">
        <v>0.30509999999999998</v>
      </c>
      <c r="E405">
        <v>0.31</v>
      </c>
      <c r="F405">
        <v>352156.55</v>
      </c>
      <c r="G405">
        <v>0</v>
      </c>
      <c r="L405" t="s">
        <v>7</v>
      </c>
      <c r="M405" t="s">
        <v>7</v>
      </c>
      <c r="N405" t="s">
        <v>7</v>
      </c>
      <c r="P405">
        <f t="shared" si="974"/>
        <v>-0.79497907949790736</v>
      </c>
      <c r="Q405">
        <f t="shared" si="975"/>
        <v>-279957.08995815879</v>
      </c>
      <c r="R405">
        <f t="shared" si="976"/>
        <v>-16567798.441537835</v>
      </c>
      <c r="S405">
        <f t="shared" si="977"/>
        <v>-165.67798441537835</v>
      </c>
      <c r="T405">
        <f t="shared" si="978"/>
        <v>-0.16567798441537834</v>
      </c>
    </row>
    <row r="406" spans="1:20" x14ac:dyDescent="0.25">
      <c r="A406" s="5">
        <v>44187</v>
      </c>
      <c r="B406">
        <v>0.35510000000000003</v>
      </c>
      <c r="C406">
        <v>0.36480000000000001</v>
      </c>
      <c r="D406">
        <v>0.34410000000000002</v>
      </c>
      <c r="E406">
        <v>0.35049999999999998</v>
      </c>
      <c r="F406">
        <v>253685.74</v>
      </c>
      <c r="G406">
        <v>0</v>
      </c>
      <c r="L406" t="s">
        <v>7</v>
      </c>
      <c r="M406" t="s">
        <v>7</v>
      </c>
      <c r="N406" t="s">
        <v>7</v>
      </c>
      <c r="P406">
        <f t="shared" si="974"/>
        <v>-0.38164251207729832</v>
      </c>
      <c r="Q406">
        <f t="shared" si="975"/>
        <v>-96817.263091788365</v>
      </c>
      <c r="R406">
        <f t="shared" si="976"/>
        <v>-16287841.351579675</v>
      </c>
      <c r="S406">
        <f t="shared" si="977"/>
        <v>-162.87841351579675</v>
      </c>
      <c r="T406">
        <f t="shared" si="978"/>
        <v>-0.16287841351579674</v>
      </c>
    </row>
    <row r="407" spans="1:20" x14ac:dyDescent="0.25">
      <c r="A407" s="5">
        <v>44186</v>
      </c>
      <c r="B407">
        <v>0.37759999999999999</v>
      </c>
      <c r="C407">
        <v>0.38600000000000001</v>
      </c>
      <c r="D407">
        <v>0.35299999999999998</v>
      </c>
      <c r="E407">
        <v>0.35570000000000002</v>
      </c>
      <c r="F407">
        <v>406975.95</v>
      </c>
      <c r="G407">
        <v>0</v>
      </c>
      <c r="L407" t="s">
        <v>7</v>
      </c>
      <c r="M407" t="s">
        <v>7</v>
      </c>
      <c r="N407" t="s">
        <v>8</v>
      </c>
      <c r="P407">
        <f t="shared" si="974"/>
        <v>-0.83636363636363431</v>
      </c>
      <c r="Q407">
        <f t="shared" si="975"/>
        <v>-340379.88545454462</v>
      </c>
      <c r="R407">
        <f t="shared" si="976"/>
        <v>-16191024.088487888</v>
      </c>
      <c r="S407">
        <f t="shared" si="977"/>
        <v>-161.91024088487887</v>
      </c>
      <c r="T407">
        <f t="shared" si="978"/>
        <v>-0.16191024088487888</v>
      </c>
    </row>
    <row r="408" spans="1:20" x14ac:dyDescent="0.25">
      <c r="A408" s="5">
        <v>44185</v>
      </c>
      <c r="B408">
        <v>0.37490000000000001</v>
      </c>
      <c r="C408">
        <v>0.41</v>
      </c>
      <c r="D408">
        <v>0.37259999999999999</v>
      </c>
      <c r="E408">
        <v>0.3775</v>
      </c>
      <c r="F408">
        <v>791681.59</v>
      </c>
      <c r="G408">
        <v>0</v>
      </c>
      <c r="L408" t="s">
        <v>8</v>
      </c>
      <c r="M408" t="s">
        <v>7</v>
      </c>
      <c r="N408" t="s">
        <v>8</v>
      </c>
      <c r="P408">
        <f t="shared" si="974"/>
        <v>-0.73796791443850174</v>
      </c>
      <c r="Q408">
        <f t="shared" si="975"/>
        <v>-584235.61187165696</v>
      </c>
      <c r="R408">
        <f t="shared" si="976"/>
        <v>-15850644.203033343</v>
      </c>
      <c r="S408">
        <f t="shared" si="977"/>
        <v>-158.50644203033343</v>
      </c>
      <c r="T408">
        <f t="shared" si="978"/>
        <v>-0.15850644203033343</v>
      </c>
    </row>
    <row r="409" spans="1:20" x14ac:dyDescent="0.25">
      <c r="A409" s="5">
        <v>44184</v>
      </c>
      <c r="B409">
        <v>0.38119999999999998</v>
      </c>
      <c r="C409">
        <v>0.38940000000000002</v>
      </c>
      <c r="D409">
        <v>0.3755</v>
      </c>
      <c r="E409">
        <v>0.37559999999999999</v>
      </c>
      <c r="F409">
        <v>369820.47</v>
      </c>
      <c r="G409">
        <v>0</v>
      </c>
      <c r="L409" t="s">
        <v>7</v>
      </c>
      <c r="M409" t="s">
        <v>7</v>
      </c>
      <c r="N409" t="s">
        <v>8</v>
      </c>
      <c r="P409">
        <f t="shared" si="974"/>
        <v>-0.98561151079136855</v>
      </c>
      <c r="Q409">
        <f t="shared" si="975"/>
        <v>-364499.31215827394</v>
      </c>
      <c r="R409">
        <f t="shared" si="976"/>
        <v>-15266408.591161687</v>
      </c>
      <c r="S409">
        <f t="shared" si="977"/>
        <v>-152.66408591161687</v>
      </c>
      <c r="T409">
        <f t="shared" si="978"/>
        <v>-0.15266408591161687</v>
      </c>
    </row>
    <row r="410" spans="1:20" x14ac:dyDescent="0.25">
      <c r="A410" s="5">
        <v>44183</v>
      </c>
      <c r="B410">
        <v>0.39660000000000001</v>
      </c>
      <c r="C410">
        <v>0.39729999999999999</v>
      </c>
      <c r="D410">
        <v>0.37190000000000001</v>
      </c>
      <c r="E410">
        <v>0.38369999999999999</v>
      </c>
      <c r="F410">
        <v>682857.49</v>
      </c>
      <c r="G410">
        <v>0</v>
      </c>
      <c r="L410" t="s">
        <v>7</v>
      </c>
      <c r="M410" t="s">
        <v>7</v>
      </c>
      <c r="N410" t="s">
        <v>8</v>
      </c>
      <c r="P410">
        <f t="shared" si="974"/>
        <v>-7.0866141732284463E-2</v>
      </c>
      <c r="Q410">
        <f t="shared" si="975"/>
        <v>-48391.47566929202</v>
      </c>
      <c r="R410">
        <f t="shared" si="976"/>
        <v>-14901909.279003413</v>
      </c>
      <c r="S410">
        <f t="shared" si="977"/>
        <v>-149.01909279003414</v>
      </c>
      <c r="T410">
        <f t="shared" si="978"/>
        <v>-0.14901909279003414</v>
      </c>
    </row>
    <row r="411" spans="1:20" x14ac:dyDescent="0.25">
      <c r="A411" s="5">
        <v>44182</v>
      </c>
      <c r="B411">
        <v>0.40229999999999999</v>
      </c>
      <c r="C411">
        <v>0.41120000000000001</v>
      </c>
      <c r="D411">
        <v>0.3901</v>
      </c>
      <c r="E411">
        <v>0.3972</v>
      </c>
      <c r="F411">
        <v>674359.65</v>
      </c>
      <c r="G411">
        <v>0</v>
      </c>
      <c r="L411" t="s">
        <v>8</v>
      </c>
      <c r="M411" t="s">
        <v>8</v>
      </c>
      <c r="N411" t="s">
        <v>8</v>
      </c>
      <c r="P411">
        <f t="shared" si="974"/>
        <v>-0.32701421800947938</v>
      </c>
      <c r="Q411">
        <f t="shared" si="975"/>
        <v>-220525.19360189623</v>
      </c>
      <c r="R411">
        <f t="shared" si="976"/>
        <v>-14853517.803334121</v>
      </c>
      <c r="S411">
        <f t="shared" si="977"/>
        <v>-148.5351780333412</v>
      </c>
      <c r="T411">
        <f t="shared" si="978"/>
        <v>-0.14853517803334121</v>
      </c>
    </row>
    <row r="412" spans="1:20" x14ac:dyDescent="0.25">
      <c r="A412" s="5">
        <v>44181</v>
      </c>
      <c r="B412">
        <v>0.40450000000000003</v>
      </c>
      <c r="C412">
        <v>0.4052</v>
      </c>
      <c r="D412">
        <v>0.3921</v>
      </c>
      <c r="E412">
        <v>0.40239999999999998</v>
      </c>
      <c r="F412">
        <v>606631.81000000006</v>
      </c>
      <c r="G412">
        <v>0</v>
      </c>
      <c r="L412" t="s">
        <v>8</v>
      </c>
      <c r="M412" t="s">
        <v>8</v>
      </c>
      <c r="N412" t="s">
        <v>8</v>
      </c>
      <c r="P412">
        <f t="shared" si="974"/>
        <v>0.57251908396946194</v>
      </c>
      <c r="Q412">
        <f t="shared" si="975"/>
        <v>347308.28816793673</v>
      </c>
      <c r="R412">
        <f t="shared" si="976"/>
        <v>-14632992.609732224</v>
      </c>
      <c r="S412">
        <f t="shared" si="977"/>
        <v>-146.32992609732224</v>
      </c>
      <c r="T412">
        <f t="shared" si="978"/>
        <v>-0.14632992609732223</v>
      </c>
    </row>
    <row r="413" spans="1:20" x14ac:dyDescent="0.25">
      <c r="A413" s="5">
        <v>44180</v>
      </c>
      <c r="B413">
        <v>0.39560000000000001</v>
      </c>
      <c r="C413">
        <v>0.4148</v>
      </c>
      <c r="D413">
        <v>0.39200000000000002</v>
      </c>
      <c r="E413">
        <v>0.40500000000000003</v>
      </c>
      <c r="F413">
        <v>587347.04</v>
      </c>
      <c r="G413">
        <v>0</v>
      </c>
      <c r="L413" t="s">
        <v>8</v>
      </c>
      <c r="M413" t="s">
        <v>8</v>
      </c>
      <c r="N413" t="s">
        <v>8</v>
      </c>
      <c r="P413">
        <f t="shared" si="974"/>
        <v>0.14035087719298411</v>
      </c>
      <c r="Q413">
        <f t="shared" si="975"/>
        <v>82434.67228070274</v>
      </c>
      <c r="R413">
        <f t="shared" si="976"/>
        <v>-14980300.89790016</v>
      </c>
      <c r="S413">
        <f t="shared" si="977"/>
        <v>-149.80300897900162</v>
      </c>
      <c r="T413">
        <f t="shared" si="978"/>
        <v>-0.14980300897900162</v>
      </c>
    </row>
    <row r="414" spans="1:20" x14ac:dyDescent="0.25">
      <c r="A414" s="5">
        <v>44179</v>
      </c>
      <c r="B414">
        <v>0.39489999999999997</v>
      </c>
      <c r="C414">
        <v>0.40410000000000001</v>
      </c>
      <c r="D414">
        <v>0.3891</v>
      </c>
      <c r="E414">
        <v>0.39560000000000001</v>
      </c>
      <c r="F414">
        <v>316351.26</v>
      </c>
      <c r="G414">
        <v>0</v>
      </c>
      <c r="L414" t="s">
        <v>7</v>
      </c>
      <c r="M414" t="s">
        <v>8</v>
      </c>
      <c r="N414" t="s">
        <v>8</v>
      </c>
      <c r="P414">
        <f t="shared" si="974"/>
        <v>-0.13333333333333333</v>
      </c>
      <c r="Q414">
        <f t="shared" si="975"/>
        <v>-42180.167999999998</v>
      </c>
      <c r="R414">
        <f t="shared" si="976"/>
        <v>-15062735.570180863</v>
      </c>
      <c r="S414">
        <f t="shared" si="977"/>
        <v>-150.62735570180863</v>
      </c>
      <c r="T414">
        <f t="shared" si="978"/>
        <v>-0.15062735570180863</v>
      </c>
    </row>
    <row r="415" spans="1:20" x14ac:dyDescent="0.25">
      <c r="A415" s="5">
        <v>44178</v>
      </c>
      <c r="B415">
        <v>0.38719999999999999</v>
      </c>
      <c r="C415">
        <v>0.40429999999999999</v>
      </c>
      <c r="D415">
        <v>0.3846</v>
      </c>
      <c r="E415">
        <v>0.3967</v>
      </c>
      <c r="F415">
        <v>206190.52</v>
      </c>
      <c r="G415">
        <v>0</v>
      </c>
      <c r="L415" t="s">
        <v>7</v>
      </c>
      <c r="M415" t="s">
        <v>8</v>
      </c>
      <c r="N415" t="s">
        <v>8</v>
      </c>
      <c r="P415">
        <f t="shared" si="974"/>
        <v>0.22842639593908656</v>
      </c>
      <c r="Q415">
        <f t="shared" si="975"/>
        <v>47099.357360406146</v>
      </c>
      <c r="R415">
        <f t="shared" si="976"/>
        <v>-15020555.402180864</v>
      </c>
      <c r="S415">
        <f t="shared" si="977"/>
        <v>-150.20555402180864</v>
      </c>
      <c r="T415">
        <f t="shared" si="978"/>
        <v>-0.15020555402180863</v>
      </c>
    </row>
    <row r="416" spans="1:20" x14ac:dyDescent="0.25">
      <c r="A416" s="5">
        <v>44177</v>
      </c>
      <c r="B416">
        <v>0.37309999999999999</v>
      </c>
      <c r="C416">
        <v>0.44</v>
      </c>
      <c r="D416">
        <v>0.372</v>
      </c>
      <c r="E416">
        <v>0.38950000000000001</v>
      </c>
      <c r="F416">
        <v>2219966.9</v>
      </c>
      <c r="G416">
        <v>0</v>
      </c>
      <c r="L416" t="s">
        <v>8</v>
      </c>
      <c r="M416" t="s">
        <v>8</v>
      </c>
      <c r="N416" t="s">
        <v>8</v>
      </c>
      <c r="P416">
        <f t="shared" si="974"/>
        <v>-0.48529411764705838</v>
      </c>
      <c r="Q416">
        <f t="shared" si="975"/>
        <v>-1077336.8779411754</v>
      </c>
      <c r="R416">
        <f t="shared" si="976"/>
        <v>-15067654.759541269</v>
      </c>
      <c r="S416">
        <f t="shared" si="977"/>
        <v>-150.6765475954127</v>
      </c>
      <c r="T416">
        <f t="shared" si="978"/>
        <v>-0.15067654759541271</v>
      </c>
    </row>
    <row r="417" spans="1:20" x14ac:dyDescent="0.25">
      <c r="A417" s="5">
        <v>44176</v>
      </c>
      <c r="B417">
        <v>0.38500000000000001</v>
      </c>
      <c r="C417">
        <v>0.39219999999999999</v>
      </c>
      <c r="D417">
        <v>0.3649</v>
      </c>
      <c r="E417">
        <v>0.37169999999999997</v>
      </c>
      <c r="F417">
        <v>234861.42</v>
      </c>
      <c r="G417">
        <v>0</v>
      </c>
      <c r="L417" t="s">
        <v>7</v>
      </c>
      <c r="M417" t="s">
        <v>7</v>
      </c>
      <c r="N417" t="s">
        <v>8</v>
      </c>
      <c r="P417">
        <f t="shared" si="974"/>
        <v>-0.50183150183150371</v>
      </c>
      <c r="Q417">
        <f t="shared" si="975"/>
        <v>-117860.85912087957</v>
      </c>
      <c r="R417">
        <f t="shared" si="976"/>
        <v>-13990317.881600093</v>
      </c>
      <c r="S417">
        <f t="shared" si="977"/>
        <v>-139.90317881600092</v>
      </c>
      <c r="T417">
        <f t="shared" si="978"/>
        <v>-0.13990317881600092</v>
      </c>
    </row>
    <row r="418" spans="1:20" x14ac:dyDescent="0.25">
      <c r="A418" s="5">
        <v>44175</v>
      </c>
      <c r="B418">
        <v>0.38729999999999998</v>
      </c>
      <c r="C418">
        <v>0.39090000000000003</v>
      </c>
      <c r="D418">
        <v>0.37619999999999998</v>
      </c>
      <c r="E418">
        <v>0.38519999999999999</v>
      </c>
      <c r="F418">
        <v>153890.89000000001</v>
      </c>
      <c r="G418">
        <v>0</v>
      </c>
      <c r="L418" t="s">
        <v>7</v>
      </c>
      <c r="M418" t="s">
        <v>7</v>
      </c>
      <c r="N418" t="s">
        <v>8</v>
      </c>
      <c r="P418">
        <f t="shared" si="974"/>
        <v>0.22448979591836457</v>
      </c>
      <c r="Q418">
        <f t="shared" si="975"/>
        <v>34546.934489795494</v>
      </c>
      <c r="R418">
        <f t="shared" si="976"/>
        <v>-13872457.022479214</v>
      </c>
      <c r="S418">
        <f t="shared" si="977"/>
        <v>-138.72457022479213</v>
      </c>
      <c r="T418">
        <f t="shared" si="978"/>
        <v>-0.13872457022479212</v>
      </c>
    </row>
    <row r="419" spans="1:20" x14ac:dyDescent="0.25">
      <c r="A419" s="5">
        <v>44174</v>
      </c>
      <c r="B419">
        <v>0.38750000000000001</v>
      </c>
      <c r="C419">
        <v>0.3906</v>
      </c>
      <c r="D419">
        <v>0.36620000000000003</v>
      </c>
      <c r="E419">
        <v>0.38719999999999999</v>
      </c>
      <c r="F419">
        <v>169826.49</v>
      </c>
      <c r="G419">
        <v>0</v>
      </c>
      <c r="L419" t="s">
        <v>7</v>
      </c>
      <c r="M419" t="s">
        <v>7</v>
      </c>
      <c r="N419" t="s">
        <v>8</v>
      </c>
      <c r="P419">
        <f t="shared" si="974"/>
        <v>0.72131147540983465</v>
      </c>
      <c r="Q419">
        <f t="shared" si="975"/>
        <v>122497.79606557352</v>
      </c>
      <c r="R419">
        <f t="shared" si="976"/>
        <v>-13907003.95696901</v>
      </c>
      <c r="S419">
        <f t="shared" si="977"/>
        <v>-139.0700395696901</v>
      </c>
      <c r="T419">
        <f t="shared" si="978"/>
        <v>-0.13907003956969011</v>
      </c>
    </row>
    <row r="420" spans="1:20" x14ac:dyDescent="0.25">
      <c r="A420" s="5">
        <v>44173</v>
      </c>
      <c r="B420">
        <v>0.39979999999999999</v>
      </c>
      <c r="C420">
        <v>0.40989999999999999</v>
      </c>
      <c r="D420">
        <v>0.38750000000000001</v>
      </c>
      <c r="E420">
        <v>0.3876</v>
      </c>
      <c r="F420">
        <v>360981.44</v>
      </c>
      <c r="G420">
        <v>0</v>
      </c>
      <c r="L420" t="s">
        <v>8</v>
      </c>
      <c r="M420" t="s">
        <v>7</v>
      </c>
      <c r="N420" t="s">
        <v>8</v>
      </c>
      <c r="P420">
        <f t="shared" si="974"/>
        <v>-0.99107142857142949</v>
      </c>
      <c r="Q420">
        <f t="shared" si="975"/>
        <v>-357758.39142857178</v>
      </c>
      <c r="R420">
        <f t="shared" si="976"/>
        <v>-14029501.753034582</v>
      </c>
      <c r="S420">
        <f t="shared" si="977"/>
        <v>-140.29501753034583</v>
      </c>
      <c r="T420">
        <f t="shared" si="978"/>
        <v>-0.14029501753034584</v>
      </c>
    </row>
    <row r="421" spans="1:20" x14ac:dyDescent="0.25">
      <c r="A421" s="5">
        <v>44172</v>
      </c>
      <c r="B421">
        <v>0.40749999999999997</v>
      </c>
      <c r="C421">
        <v>0.40760000000000002</v>
      </c>
      <c r="D421">
        <v>0.39410000000000001</v>
      </c>
      <c r="E421">
        <v>0.4002</v>
      </c>
      <c r="F421">
        <v>131399.79</v>
      </c>
      <c r="G421">
        <v>0</v>
      </c>
      <c r="L421" t="s">
        <v>8</v>
      </c>
      <c r="M421" t="s">
        <v>7</v>
      </c>
      <c r="N421" t="s">
        <v>8</v>
      </c>
      <c r="P421">
        <f t="shared" si="974"/>
        <v>-9.6296296296297948E-2</v>
      </c>
      <c r="Q421">
        <f t="shared" si="975"/>
        <v>-12653.313111111329</v>
      </c>
      <c r="R421">
        <f t="shared" si="976"/>
        <v>-13671743.361606011</v>
      </c>
      <c r="S421">
        <f t="shared" si="977"/>
        <v>-136.71743361606011</v>
      </c>
      <c r="T421">
        <f t="shared" si="978"/>
        <v>-0.13671743361606012</v>
      </c>
    </row>
    <row r="422" spans="1:20" x14ac:dyDescent="0.25">
      <c r="A422" s="5">
        <v>44171</v>
      </c>
      <c r="B422">
        <v>0.40720000000000001</v>
      </c>
      <c r="C422">
        <v>0.4163</v>
      </c>
      <c r="D422">
        <v>0.3952</v>
      </c>
      <c r="E422">
        <v>0.40749999999999997</v>
      </c>
      <c r="F422">
        <v>168017.86</v>
      </c>
      <c r="G422">
        <v>0</v>
      </c>
      <c r="L422" t="s">
        <v>8</v>
      </c>
      <c r="M422" t="s">
        <v>7</v>
      </c>
      <c r="N422" t="s">
        <v>8</v>
      </c>
      <c r="P422">
        <f t="shared" si="974"/>
        <v>0.1658767772511823</v>
      </c>
      <c r="Q422">
        <f t="shared" si="975"/>
        <v>27870.261137440331</v>
      </c>
      <c r="R422">
        <f t="shared" si="976"/>
        <v>-13659090.0484949</v>
      </c>
      <c r="S422">
        <f t="shared" si="977"/>
        <v>-136.590900484949</v>
      </c>
      <c r="T422">
        <f t="shared" si="978"/>
        <v>-0.13659090048494901</v>
      </c>
    </row>
    <row r="423" spans="1:20" x14ac:dyDescent="0.25">
      <c r="A423" s="5">
        <v>44170</v>
      </c>
      <c r="B423">
        <v>0.38690000000000002</v>
      </c>
      <c r="C423">
        <v>0.40860000000000002</v>
      </c>
      <c r="D423">
        <v>0.38300000000000001</v>
      </c>
      <c r="E423">
        <v>0.40720000000000001</v>
      </c>
      <c r="F423">
        <v>132104.53</v>
      </c>
      <c r="G423">
        <v>0</v>
      </c>
      <c r="L423" t="s">
        <v>7</v>
      </c>
      <c r="M423" t="s">
        <v>7</v>
      </c>
      <c r="N423" t="s">
        <v>8</v>
      </c>
      <c r="P423">
        <f t="shared" si="974"/>
        <v>0.89062499999999911</v>
      </c>
      <c r="Q423">
        <f t="shared" si="975"/>
        <v>117655.59703124988</v>
      </c>
      <c r="R423">
        <f t="shared" si="976"/>
        <v>-13686960.30963234</v>
      </c>
      <c r="S423">
        <f t="shared" si="977"/>
        <v>-136.8696030963234</v>
      </c>
      <c r="T423">
        <f t="shared" si="978"/>
        <v>-0.1368696030963234</v>
      </c>
    </row>
    <row r="424" spans="1:20" x14ac:dyDescent="0.25">
      <c r="A424" s="5">
        <v>44169</v>
      </c>
      <c r="B424">
        <v>0.40739999999999998</v>
      </c>
      <c r="C424">
        <v>0.40989999999999999</v>
      </c>
      <c r="D424">
        <v>0.38829999999999998</v>
      </c>
      <c r="E424">
        <v>0.38979999999999998</v>
      </c>
      <c r="F424">
        <v>228325.46</v>
      </c>
      <c r="G424">
        <v>0</v>
      </c>
      <c r="L424" t="s">
        <v>8</v>
      </c>
      <c r="M424" t="s">
        <v>7</v>
      </c>
      <c r="N424" t="s">
        <v>8</v>
      </c>
      <c r="P424">
        <f t="shared" si="974"/>
        <v>-0.86111111111111105</v>
      </c>
      <c r="Q424">
        <f t="shared" si="975"/>
        <v>-196613.59055555554</v>
      </c>
      <c r="R424">
        <f t="shared" si="976"/>
        <v>-13804615.906663591</v>
      </c>
      <c r="S424">
        <f t="shared" si="977"/>
        <v>-138.04615906663591</v>
      </c>
      <c r="T424">
        <f t="shared" si="978"/>
        <v>-0.13804615906663592</v>
      </c>
    </row>
    <row r="425" spans="1:20" x14ac:dyDescent="0.25">
      <c r="A425" s="5">
        <v>44168</v>
      </c>
      <c r="B425">
        <v>0.39950000000000002</v>
      </c>
      <c r="C425">
        <v>0.41399999999999998</v>
      </c>
      <c r="D425">
        <v>0.39460000000000001</v>
      </c>
      <c r="E425">
        <v>0.40720000000000001</v>
      </c>
      <c r="F425">
        <v>192376.77</v>
      </c>
      <c r="G425">
        <v>0</v>
      </c>
      <c r="L425" t="s">
        <v>8</v>
      </c>
      <c r="M425" t="s">
        <v>7</v>
      </c>
      <c r="N425" t="s">
        <v>8</v>
      </c>
      <c r="P425">
        <f t="shared" si="974"/>
        <v>0.29896907216495028</v>
      </c>
      <c r="Q425">
        <f t="shared" si="975"/>
        <v>57514.704432990038</v>
      </c>
      <c r="R425">
        <f t="shared" si="976"/>
        <v>-13608002.316108035</v>
      </c>
      <c r="S425">
        <f t="shared" si="977"/>
        <v>-136.08002316108036</v>
      </c>
      <c r="T425">
        <f t="shared" si="978"/>
        <v>-0.13608002316108037</v>
      </c>
    </row>
    <row r="426" spans="1:20" x14ac:dyDescent="0.25">
      <c r="A426" s="5">
        <v>44167</v>
      </c>
      <c r="B426">
        <v>0.38800000000000001</v>
      </c>
      <c r="C426">
        <v>0.40400000000000003</v>
      </c>
      <c r="D426">
        <v>0.38450000000000001</v>
      </c>
      <c r="E426">
        <v>0.40100000000000002</v>
      </c>
      <c r="F426">
        <v>216831.17</v>
      </c>
      <c r="G426">
        <v>0</v>
      </c>
      <c r="L426" t="s">
        <v>7</v>
      </c>
      <c r="M426" t="s">
        <v>7</v>
      </c>
      <c r="N426" t="s">
        <v>8</v>
      </c>
      <c r="P426">
        <f t="shared" si="974"/>
        <v>0.69230769230769229</v>
      </c>
      <c r="Q426">
        <f t="shared" si="975"/>
        <v>150113.88692307693</v>
      </c>
      <c r="R426">
        <f t="shared" si="976"/>
        <v>-13665517.020541025</v>
      </c>
      <c r="S426">
        <f t="shared" si="977"/>
        <v>-136.65517020541026</v>
      </c>
      <c r="T426">
        <f t="shared" si="978"/>
        <v>-0.13665517020541026</v>
      </c>
    </row>
    <row r="427" spans="1:20" x14ac:dyDescent="0.25">
      <c r="A427" s="5">
        <v>44166</v>
      </c>
      <c r="B427">
        <v>0.39710000000000001</v>
      </c>
      <c r="C427">
        <v>0.42470000000000002</v>
      </c>
      <c r="D427">
        <v>0.379</v>
      </c>
      <c r="E427">
        <v>0.39040000000000002</v>
      </c>
      <c r="F427">
        <v>657617.75</v>
      </c>
      <c r="G427">
        <v>0</v>
      </c>
      <c r="L427" t="s">
        <v>8</v>
      </c>
      <c r="M427" t="s">
        <v>7</v>
      </c>
      <c r="N427" t="s">
        <v>8</v>
      </c>
      <c r="P427">
        <f t="shared" si="974"/>
        <v>-0.50109409190371923</v>
      </c>
      <c r="Q427">
        <f t="shared" si="975"/>
        <v>-329528.36925601703</v>
      </c>
      <c r="R427">
        <f t="shared" si="976"/>
        <v>-13815630.907464102</v>
      </c>
      <c r="S427">
        <f t="shared" si="977"/>
        <v>-138.15630907464103</v>
      </c>
      <c r="T427">
        <f t="shared" si="978"/>
        <v>-0.13815630907464102</v>
      </c>
    </row>
    <row r="428" spans="1:20" x14ac:dyDescent="0.25">
      <c r="A428" s="5">
        <v>44165</v>
      </c>
      <c r="B428">
        <v>0.38740000000000002</v>
      </c>
      <c r="C428">
        <v>0.39860000000000001</v>
      </c>
      <c r="D428">
        <v>0.37959999999999999</v>
      </c>
      <c r="E428">
        <v>0.39700000000000002</v>
      </c>
      <c r="F428">
        <v>191242.29</v>
      </c>
      <c r="G428">
        <v>0</v>
      </c>
      <c r="L428" t="s">
        <v>8</v>
      </c>
      <c r="M428" t="s">
        <v>7</v>
      </c>
      <c r="N428" t="s">
        <v>8</v>
      </c>
      <c r="P428">
        <f t="shared" si="974"/>
        <v>0.83157894736842219</v>
      </c>
      <c r="Q428">
        <f t="shared" si="975"/>
        <v>159033.06221052655</v>
      </c>
      <c r="R428">
        <f t="shared" si="976"/>
        <v>-13486102.538208084</v>
      </c>
      <c r="S428">
        <f t="shared" si="977"/>
        <v>-134.86102538208084</v>
      </c>
      <c r="T428">
        <f t="shared" si="978"/>
        <v>-0.13486102538208083</v>
      </c>
    </row>
    <row r="429" spans="1:20" x14ac:dyDescent="0.25">
      <c r="A429" s="5">
        <v>44164</v>
      </c>
      <c r="B429">
        <v>0.38750000000000001</v>
      </c>
      <c r="C429">
        <v>0.39360000000000001</v>
      </c>
      <c r="D429">
        <v>0.37919999999999998</v>
      </c>
      <c r="E429">
        <v>0.38469999999999999</v>
      </c>
      <c r="F429">
        <v>103427.58</v>
      </c>
      <c r="G429">
        <v>0</v>
      </c>
      <c r="L429" t="s">
        <v>7</v>
      </c>
      <c r="M429" t="s">
        <v>7</v>
      </c>
      <c r="N429" t="s">
        <v>8</v>
      </c>
      <c r="P429">
        <f t="shared" si="974"/>
        <v>-0.23611111111111169</v>
      </c>
      <c r="Q429">
        <f t="shared" si="975"/>
        <v>-24420.400833333395</v>
      </c>
      <c r="R429">
        <f t="shared" si="976"/>
        <v>-13645135.60041861</v>
      </c>
      <c r="S429">
        <f t="shared" si="977"/>
        <v>-136.4513560041861</v>
      </c>
      <c r="T429">
        <f t="shared" si="978"/>
        <v>-0.13645135600418609</v>
      </c>
    </row>
    <row r="430" spans="1:20" x14ac:dyDescent="0.25">
      <c r="A430" s="5">
        <v>44163</v>
      </c>
      <c r="B430">
        <v>0.38450000000000001</v>
      </c>
      <c r="C430">
        <v>0.3957</v>
      </c>
      <c r="D430">
        <v>0.36799999999999999</v>
      </c>
      <c r="E430">
        <v>0.38740000000000002</v>
      </c>
      <c r="F430">
        <v>262749.75</v>
      </c>
      <c r="G430">
        <v>0</v>
      </c>
      <c r="L430" t="s">
        <v>7</v>
      </c>
      <c r="M430" t="s">
        <v>7</v>
      </c>
      <c r="N430" t="s">
        <v>8</v>
      </c>
      <c r="P430">
        <f t="shared" si="974"/>
        <v>0.40072202166065174</v>
      </c>
      <c r="Q430">
        <f t="shared" si="975"/>
        <v>105289.61101083083</v>
      </c>
      <c r="R430">
        <f t="shared" si="976"/>
        <v>-13620715.199585278</v>
      </c>
      <c r="S430">
        <f t="shared" si="977"/>
        <v>-136.20715199585277</v>
      </c>
      <c r="T430">
        <f t="shared" si="978"/>
        <v>-0.13620715199585276</v>
      </c>
    </row>
    <row r="431" spans="1:20" x14ac:dyDescent="0.25">
      <c r="A431" s="5">
        <v>44162</v>
      </c>
      <c r="B431">
        <v>0.3836</v>
      </c>
      <c r="C431">
        <v>0.43919999999999998</v>
      </c>
      <c r="D431">
        <v>0.36799999999999999</v>
      </c>
      <c r="E431">
        <v>0.38369999999999999</v>
      </c>
      <c r="F431">
        <v>588658.42000000004</v>
      </c>
      <c r="G431">
        <v>0</v>
      </c>
      <c r="L431" t="s">
        <v>8</v>
      </c>
      <c r="M431" t="s">
        <v>8</v>
      </c>
      <c r="N431" t="s">
        <v>8</v>
      </c>
      <c r="P431">
        <f t="shared" si="974"/>
        <v>-0.55898876404494391</v>
      </c>
      <c r="Q431">
        <f t="shared" si="975"/>
        <v>-329053.4426404495</v>
      </c>
      <c r="R431">
        <f t="shared" si="976"/>
        <v>-13726004.810596108</v>
      </c>
      <c r="S431">
        <f t="shared" si="977"/>
        <v>-137.26004810596109</v>
      </c>
      <c r="T431">
        <f t="shared" si="978"/>
        <v>-0.1372600481059611</v>
      </c>
    </row>
    <row r="432" spans="1:20" x14ac:dyDescent="0.25">
      <c r="A432" s="5">
        <v>44161</v>
      </c>
      <c r="B432">
        <v>0.436</v>
      </c>
      <c r="C432">
        <v>0.44629999999999997</v>
      </c>
      <c r="D432">
        <v>0.36220000000000002</v>
      </c>
      <c r="E432">
        <v>0.38519999999999999</v>
      </c>
      <c r="F432">
        <v>777609.47</v>
      </c>
      <c r="G432">
        <v>0</v>
      </c>
      <c r="L432" t="s">
        <v>7</v>
      </c>
      <c r="M432" t="s">
        <v>7</v>
      </c>
      <c r="N432" t="s">
        <v>8</v>
      </c>
      <c r="P432">
        <f t="shared" si="974"/>
        <v>-0.45303210463733701</v>
      </c>
      <c r="Q432">
        <f t="shared" si="975"/>
        <v>-352282.05478002416</v>
      </c>
      <c r="R432">
        <f t="shared" si="976"/>
        <v>-13396951.367955659</v>
      </c>
      <c r="S432">
        <f t="shared" si="977"/>
        <v>-133.9695136795566</v>
      </c>
      <c r="T432">
        <f t="shared" si="978"/>
        <v>-0.13396951367955659</v>
      </c>
    </row>
    <row r="433" spans="1:20" x14ac:dyDescent="0.25">
      <c r="A433" s="5">
        <v>44160</v>
      </c>
      <c r="B433">
        <v>0.45810000000000001</v>
      </c>
      <c r="C433">
        <v>0.48120000000000002</v>
      </c>
      <c r="D433">
        <v>0.42409999999999998</v>
      </c>
      <c r="E433">
        <v>0.4385</v>
      </c>
      <c r="F433">
        <v>804815.32</v>
      </c>
      <c r="G433">
        <v>0</v>
      </c>
      <c r="L433" t="s">
        <v>8</v>
      </c>
      <c r="M433" t="s">
        <v>8</v>
      </c>
      <c r="N433" t="s">
        <v>8</v>
      </c>
      <c r="P433">
        <f t="shared" si="974"/>
        <v>-0.49562171628721491</v>
      </c>
      <c r="Q433">
        <f t="shared" si="975"/>
        <v>-398883.95019264403</v>
      </c>
      <c r="R433">
        <f t="shared" si="976"/>
        <v>-13044669.313175634</v>
      </c>
      <c r="S433">
        <f t="shared" si="977"/>
        <v>-130.44669313175635</v>
      </c>
      <c r="T433">
        <f t="shared" si="978"/>
        <v>-0.13044669313175636</v>
      </c>
    </row>
    <row r="434" spans="1:20" x14ac:dyDescent="0.25">
      <c r="A434" s="5">
        <v>44159</v>
      </c>
      <c r="B434">
        <v>0.43159999999999998</v>
      </c>
      <c r="C434">
        <v>0.46379999999999999</v>
      </c>
      <c r="D434">
        <v>0.40439999999999998</v>
      </c>
      <c r="E434">
        <v>0.45739999999999997</v>
      </c>
      <c r="F434">
        <v>885015.73</v>
      </c>
      <c r="G434">
        <v>0</v>
      </c>
      <c r="L434" t="s">
        <v>8</v>
      </c>
      <c r="M434" t="s">
        <v>8</v>
      </c>
      <c r="N434" t="s">
        <v>8</v>
      </c>
      <c r="P434">
        <f t="shared" si="974"/>
        <v>0.78451178451178394</v>
      </c>
      <c r="Q434">
        <f t="shared" si="975"/>
        <v>694305.26966329908</v>
      </c>
      <c r="R434">
        <f t="shared" si="976"/>
        <v>-12645785.36298299</v>
      </c>
      <c r="S434">
        <f t="shared" si="977"/>
        <v>-126.4578536298299</v>
      </c>
      <c r="T434">
        <f t="shared" si="978"/>
        <v>-0.12645785362982989</v>
      </c>
    </row>
    <row r="435" spans="1:20" x14ac:dyDescent="0.25">
      <c r="A435" s="5">
        <v>44158</v>
      </c>
      <c r="B435">
        <v>0.38</v>
      </c>
      <c r="C435">
        <v>0.45729999999999998</v>
      </c>
      <c r="D435">
        <v>0.3705</v>
      </c>
      <c r="E435">
        <v>0.43180000000000002</v>
      </c>
      <c r="F435">
        <v>663592.97</v>
      </c>
      <c r="G435">
        <v>0</v>
      </c>
      <c r="L435" t="s">
        <v>8</v>
      </c>
      <c r="M435" t="s">
        <v>8</v>
      </c>
      <c r="N435" t="s">
        <v>8</v>
      </c>
      <c r="P435">
        <f t="shared" si="974"/>
        <v>0.41244239631336471</v>
      </c>
      <c r="Q435">
        <f t="shared" si="975"/>
        <v>273693.87472350273</v>
      </c>
      <c r="R435">
        <f t="shared" si="976"/>
        <v>-13340090.632646289</v>
      </c>
      <c r="S435">
        <f t="shared" si="977"/>
        <v>-133.40090632646289</v>
      </c>
      <c r="T435">
        <f t="shared" si="978"/>
        <v>-0.1334009063264629</v>
      </c>
    </row>
    <row r="436" spans="1:20" x14ac:dyDescent="0.25">
      <c r="A436" s="5">
        <v>44157</v>
      </c>
      <c r="B436">
        <v>0.3972</v>
      </c>
      <c r="C436">
        <v>0.40560000000000002</v>
      </c>
      <c r="D436">
        <v>0.36480000000000001</v>
      </c>
      <c r="E436">
        <v>0.37919999999999998</v>
      </c>
      <c r="F436">
        <v>500608.61</v>
      </c>
      <c r="G436">
        <v>0</v>
      </c>
      <c r="L436" t="s">
        <v>8</v>
      </c>
      <c r="M436" t="s">
        <v>8</v>
      </c>
      <c r="N436" t="s">
        <v>7</v>
      </c>
      <c r="P436">
        <f t="shared" si="974"/>
        <v>-0.29411764705882515</v>
      </c>
      <c r="Q436">
        <f t="shared" si="975"/>
        <v>-147237.82647058903</v>
      </c>
      <c r="R436">
        <f t="shared" si="976"/>
        <v>-13613784.507369792</v>
      </c>
      <c r="S436">
        <f t="shared" si="977"/>
        <v>-136.13784507369792</v>
      </c>
      <c r="T436">
        <f t="shared" si="978"/>
        <v>-0.13613784507369792</v>
      </c>
    </row>
    <row r="437" spans="1:20" x14ac:dyDescent="0.25">
      <c r="A437" s="5">
        <v>44156</v>
      </c>
      <c r="B437">
        <v>0.36940000000000001</v>
      </c>
      <c r="C437">
        <v>0.40200000000000002</v>
      </c>
      <c r="D437">
        <v>0.36649999999999999</v>
      </c>
      <c r="E437">
        <v>0.39529999999999998</v>
      </c>
      <c r="F437">
        <v>460111.57</v>
      </c>
      <c r="G437">
        <v>0</v>
      </c>
      <c r="L437" t="s">
        <v>8</v>
      </c>
      <c r="M437" t="s">
        <v>8</v>
      </c>
      <c r="N437" t="s">
        <v>7</v>
      </c>
      <c r="P437">
        <f t="shared" si="974"/>
        <v>0.62253521126760381</v>
      </c>
      <c r="Q437">
        <f t="shared" si="975"/>
        <v>286435.65343661886</v>
      </c>
      <c r="R437">
        <f t="shared" si="976"/>
        <v>-13466546.680899203</v>
      </c>
      <c r="S437">
        <f t="shared" si="977"/>
        <v>-134.66546680899202</v>
      </c>
      <c r="T437">
        <f t="shared" si="978"/>
        <v>-0.13466546680899202</v>
      </c>
    </row>
    <row r="438" spans="1:20" x14ac:dyDescent="0.25">
      <c r="A438" s="5">
        <v>44155</v>
      </c>
      <c r="B438">
        <v>0.36059999999999998</v>
      </c>
      <c r="C438">
        <v>0.375</v>
      </c>
      <c r="D438">
        <v>0.35949999999999999</v>
      </c>
      <c r="E438">
        <v>0.3695</v>
      </c>
      <c r="F438">
        <v>552523.07999999996</v>
      </c>
      <c r="G438">
        <v>0</v>
      </c>
      <c r="L438" t="s">
        <v>7</v>
      </c>
      <c r="M438" t="s">
        <v>8</v>
      </c>
      <c r="N438" t="s">
        <v>7</v>
      </c>
      <c r="P438">
        <f t="shared" si="974"/>
        <v>0.29032258064516131</v>
      </c>
      <c r="Q438">
        <f t="shared" si="975"/>
        <v>160409.9264516129</v>
      </c>
      <c r="R438">
        <f t="shared" si="976"/>
        <v>-13752982.334335823</v>
      </c>
      <c r="S438">
        <f t="shared" si="977"/>
        <v>-137.52982334335823</v>
      </c>
      <c r="T438">
        <f t="shared" si="978"/>
        <v>-0.13752982334335823</v>
      </c>
    </row>
    <row r="439" spans="1:20" x14ac:dyDescent="0.25">
      <c r="A439" s="5">
        <v>44154</v>
      </c>
      <c r="B439">
        <v>0.36320000000000002</v>
      </c>
      <c r="C439">
        <v>0.3674</v>
      </c>
      <c r="D439">
        <v>0.35799999999999998</v>
      </c>
      <c r="E439">
        <v>0.36099999999999999</v>
      </c>
      <c r="F439">
        <v>469794.01</v>
      </c>
      <c r="G439">
        <v>0</v>
      </c>
      <c r="L439" t="s">
        <v>7</v>
      </c>
      <c r="M439" t="s">
        <v>8</v>
      </c>
      <c r="N439" t="s">
        <v>7</v>
      </c>
      <c r="P439">
        <f t="shared" si="974"/>
        <v>-0.36170212765957521</v>
      </c>
      <c r="Q439">
        <f t="shared" si="975"/>
        <v>-169925.49297872375</v>
      </c>
      <c r="R439">
        <f t="shared" si="976"/>
        <v>-13913392.260787435</v>
      </c>
      <c r="S439">
        <f t="shared" si="977"/>
        <v>-139.13392260787435</v>
      </c>
      <c r="T439">
        <f t="shared" si="978"/>
        <v>-0.13913392260787436</v>
      </c>
    </row>
    <row r="440" spans="1:20" x14ac:dyDescent="0.25">
      <c r="A440" s="5">
        <v>44153</v>
      </c>
      <c r="B440">
        <v>0.37380000000000002</v>
      </c>
      <c r="C440">
        <v>0.37590000000000001</v>
      </c>
      <c r="D440">
        <v>0.35920000000000002</v>
      </c>
      <c r="E440">
        <v>0.36309999999999998</v>
      </c>
      <c r="F440">
        <v>526503.18000000005</v>
      </c>
      <c r="G440">
        <v>0</v>
      </c>
      <c r="L440" t="s">
        <v>7</v>
      </c>
      <c r="M440" t="s">
        <v>8</v>
      </c>
      <c r="N440" t="s">
        <v>7</v>
      </c>
      <c r="P440">
        <f t="shared" si="974"/>
        <v>-0.53293413173653159</v>
      </c>
      <c r="Q440">
        <f t="shared" si="975"/>
        <v>-280591.51508982282</v>
      </c>
      <c r="R440">
        <f t="shared" si="976"/>
        <v>-13743466.767808711</v>
      </c>
      <c r="S440">
        <f t="shared" si="977"/>
        <v>-137.43466767808712</v>
      </c>
      <c r="T440">
        <f t="shared" si="978"/>
        <v>-0.13743466767808712</v>
      </c>
    </row>
    <row r="441" spans="1:20" x14ac:dyDescent="0.25">
      <c r="A441" s="5">
        <v>44152</v>
      </c>
      <c r="B441">
        <v>0.37190000000000001</v>
      </c>
      <c r="C441">
        <v>0.3765</v>
      </c>
      <c r="D441">
        <v>0.3695</v>
      </c>
      <c r="E441">
        <v>0.37390000000000001</v>
      </c>
      <c r="F441">
        <v>476152.47</v>
      </c>
      <c r="G441">
        <v>0</v>
      </c>
      <c r="L441" t="s">
        <v>7</v>
      </c>
      <c r="M441" t="s">
        <v>8</v>
      </c>
      <c r="N441" t="s">
        <v>7</v>
      </c>
      <c r="P441">
        <f t="shared" si="974"/>
        <v>0.25714285714286034</v>
      </c>
      <c r="Q441">
        <f t="shared" si="975"/>
        <v>122439.20657143008</v>
      </c>
      <c r="R441">
        <f t="shared" si="976"/>
        <v>-13462875.252718888</v>
      </c>
      <c r="S441">
        <f t="shared" si="977"/>
        <v>-134.62875252718888</v>
      </c>
      <c r="T441">
        <f t="shared" si="978"/>
        <v>-0.13462875252718887</v>
      </c>
    </row>
    <row r="442" spans="1:20" x14ac:dyDescent="0.25">
      <c r="A442" s="5">
        <v>44151</v>
      </c>
      <c r="B442">
        <v>0.36730000000000002</v>
      </c>
      <c r="C442">
        <v>0.37769999999999998</v>
      </c>
      <c r="D442">
        <v>0.36399999999999999</v>
      </c>
      <c r="E442">
        <v>0.37209999999999999</v>
      </c>
      <c r="F442">
        <v>518806.6</v>
      </c>
      <c r="G442">
        <v>0</v>
      </c>
      <c r="L442" t="s">
        <v>7</v>
      </c>
      <c r="M442" t="s">
        <v>8</v>
      </c>
      <c r="N442" t="s">
        <v>7</v>
      </c>
      <c r="P442">
        <f t="shared" si="974"/>
        <v>0.18248175182481782</v>
      </c>
      <c r="Q442">
        <f t="shared" si="975"/>
        <v>94672.737226277532</v>
      </c>
      <c r="R442">
        <f t="shared" si="976"/>
        <v>-13585314.459290318</v>
      </c>
      <c r="S442">
        <f t="shared" si="977"/>
        <v>-135.85314459290319</v>
      </c>
      <c r="T442">
        <f t="shared" si="978"/>
        <v>-0.13585314459290318</v>
      </c>
    </row>
    <row r="443" spans="1:20" x14ac:dyDescent="0.25">
      <c r="A443" s="5">
        <v>44150</v>
      </c>
      <c r="B443">
        <v>0.37</v>
      </c>
      <c r="C443">
        <v>0.377</v>
      </c>
      <c r="D443">
        <v>0.3654</v>
      </c>
      <c r="E443">
        <v>0.3674</v>
      </c>
      <c r="F443">
        <v>390160.63</v>
      </c>
      <c r="G443">
        <v>0</v>
      </c>
      <c r="L443" t="s">
        <v>7</v>
      </c>
      <c r="M443" t="s">
        <v>8</v>
      </c>
      <c r="N443" t="s">
        <v>7</v>
      </c>
      <c r="P443">
        <f t="shared" si="974"/>
        <v>-0.65517241379310309</v>
      </c>
      <c r="Q443">
        <f t="shared" si="975"/>
        <v>-255622.48172413779</v>
      </c>
      <c r="R443">
        <f t="shared" si="976"/>
        <v>-13679987.196516596</v>
      </c>
      <c r="S443">
        <f t="shared" si="977"/>
        <v>-136.79987196516595</v>
      </c>
      <c r="T443">
        <f t="shared" si="978"/>
        <v>-0.13679987196516594</v>
      </c>
    </row>
    <row r="444" spans="1:20" x14ac:dyDescent="0.25">
      <c r="A444" s="5">
        <v>44149</v>
      </c>
      <c r="B444">
        <v>0.36930000000000002</v>
      </c>
      <c r="C444">
        <v>0.37519999999999998</v>
      </c>
      <c r="D444">
        <v>0.35410000000000003</v>
      </c>
      <c r="E444">
        <v>0.37009999999999998</v>
      </c>
      <c r="F444">
        <v>476976.29</v>
      </c>
      <c r="G444">
        <v>0</v>
      </c>
      <c r="L444" t="s">
        <v>7</v>
      </c>
      <c r="M444" t="s">
        <v>8</v>
      </c>
      <c r="N444" t="s">
        <v>7</v>
      </c>
      <c r="P444">
        <f t="shared" si="974"/>
        <v>0.51658767772511804</v>
      </c>
      <c r="Q444">
        <f t="shared" si="975"/>
        <v>246400.07398104243</v>
      </c>
      <c r="R444">
        <f t="shared" si="976"/>
        <v>-13424364.714792458</v>
      </c>
      <c r="S444">
        <f t="shared" si="977"/>
        <v>-134.24364714792458</v>
      </c>
      <c r="T444">
        <f t="shared" si="978"/>
        <v>-0.13424364714792458</v>
      </c>
    </row>
    <row r="445" spans="1:20" x14ac:dyDescent="0.25">
      <c r="A445" s="5">
        <v>44148</v>
      </c>
      <c r="B445">
        <v>0.36030000000000001</v>
      </c>
      <c r="C445">
        <v>0.37459999999999999</v>
      </c>
      <c r="D445">
        <v>0.3589</v>
      </c>
      <c r="E445">
        <v>0.36940000000000001</v>
      </c>
      <c r="F445">
        <v>455140.87</v>
      </c>
      <c r="G445">
        <v>0</v>
      </c>
      <c r="L445" t="s">
        <v>7</v>
      </c>
      <c r="M445" t="s">
        <v>8</v>
      </c>
      <c r="N445" t="s">
        <v>7</v>
      </c>
      <c r="P445">
        <f t="shared" si="974"/>
        <v>0.33757961783439677</v>
      </c>
      <c r="Q445">
        <f t="shared" si="975"/>
        <v>153646.28095541487</v>
      </c>
      <c r="R445">
        <f t="shared" si="976"/>
        <v>-13670764.788773501</v>
      </c>
      <c r="S445">
        <f t="shared" si="977"/>
        <v>-136.70764788773502</v>
      </c>
      <c r="T445">
        <f t="shared" si="978"/>
        <v>-0.13670764788773501</v>
      </c>
    </row>
    <row r="446" spans="1:20" x14ac:dyDescent="0.25">
      <c r="A446" s="5">
        <v>44147</v>
      </c>
      <c r="B446">
        <v>0.3619</v>
      </c>
      <c r="C446">
        <v>0.39100000000000001</v>
      </c>
      <c r="D446">
        <v>0.35360000000000003</v>
      </c>
      <c r="E446">
        <v>0.3604</v>
      </c>
      <c r="F446">
        <v>650120.28</v>
      </c>
      <c r="G446">
        <v>0</v>
      </c>
      <c r="L446" t="s">
        <v>8</v>
      </c>
      <c r="M446" t="s">
        <v>8</v>
      </c>
      <c r="N446" t="s">
        <v>7</v>
      </c>
      <c r="P446">
        <f t="shared" si="974"/>
        <v>-0.63636363636363769</v>
      </c>
      <c r="Q446">
        <f t="shared" si="975"/>
        <v>-413712.90545454633</v>
      </c>
      <c r="R446">
        <f t="shared" si="976"/>
        <v>-13824411.069728917</v>
      </c>
      <c r="S446">
        <f t="shared" si="977"/>
        <v>-138.24411069728916</v>
      </c>
      <c r="T446">
        <f t="shared" si="978"/>
        <v>-0.13824411069728915</v>
      </c>
    </row>
    <row r="447" spans="1:20" x14ac:dyDescent="0.25">
      <c r="A447" s="5">
        <v>44146</v>
      </c>
      <c r="B447">
        <v>0.35780000000000001</v>
      </c>
      <c r="C447">
        <v>0.36780000000000002</v>
      </c>
      <c r="D447">
        <v>0.35170000000000001</v>
      </c>
      <c r="E447">
        <v>0.36220000000000002</v>
      </c>
      <c r="F447">
        <v>492443.54</v>
      </c>
      <c r="G447">
        <v>0</v>
      </c>
      <c r="L447" t="s">
        <v>8</v>
      </c>
      <c r="M447" t="s">
        <v>8</v>
      </c>
      <c r="N447" t="s">
        <v>7</v>
      </c>
      <c r="P447">
        <f t="shared" si="974"/>
        <v>0.30434782608695743</v>
      </c>
      <c r="Q447">
        <f t="shared" si="975"/>
        <v>149874.12086956567</v>
      </c>
      <c r="R447">
        <f t="shared" si="976"/>
        <v>-13410698.16427437</v>
      </c>
      <c r="S447">
        <f t="shared" si="977"/>
        <v>-134.1069816427437</v>
      </c>
      <c r="T447">
        <f t="shared" si="978"/>
        <v>-0.13410698164274371</v>
      </c>
    </row>
    <row r="448" spans="1:20" x14ac:dyDescent="0.25">
      <c r="A448" s="5">
        <v>44145</v>
      </c>
      <c r="B448">
        <v>0.34760000000000002</v>
      </c>
      <c r="C448">
        <v>0.36370000000000002</v>
      </c>
      <c r="D448">
        <v>0.34499999999999997</v>
      </c>
      <c r="E448">
        <v>0.35780000000000001</v>
      </c>
      <c r="F448">
        <v>469653.32</v>
      </c>
      <c r="G448">
        <v>0</v>
      </c>
      <c r="L448" t="s">
        <v>8</v>
      </c>
      <c r="M448" t="s">
        <v>8</v>
      </c>
      <c r="N448" t="s">
        <v>7</v>
      </c>
      <c r="P448">
        <f t="shared" si="974"/>
        <v>0.36898395721925126</v>
      </c>
      <c r="Q448">
        <f t="shared" si="975"/>
        <v>173294.54053475932</v>
      </c>
      <c r="R448">
        <f t="shared" si="976"/>
        <v>-13560572.285143936</v>
      </c>
      <c r="S448">
        <f t="shared" si="977"/>
        <v>-135.60572285143937</v>
      </c>
      <c r="T448">
        <f t="shared" si="978"/>
        <v>-0.13560572285143938</v>
      </c>
    </row>
    <row r="449" spans="1:20" x14ac:dyDescent="0.25">
      <c r="A449" s="5">
        <v>44144</v>
      </c>
      <c r="B449">
        <v>0.35289999999999999</v>
      </c>
      <c r="C449">
        <v>0.3589</v>
      </c>
      <c r="D449">
        <v>0.33660000000000001</v>
      </c>
      <c r="E449">
        <v>0.34760000000000002</v>
      </c>
      <c r="F449">
        <v>445227.01</v>
      </c>
      <c r="G449">
        <v>0</v>
      </c>
      <c r="L449" t="s">
        <v>8</v>
      </c>
      <c r="M449" t="s">
        <v>8</v>
      </c>
      <c r="N449" t="s">
        <v>7</v>
      </c>
      <c r="P449">
        <f t="shared" si="974"/>
        <v>-1.3452914798204804E-2</v>
      </c>
      <c r="Q449">
        <f t="shared" si="975"/>
        <v>-5989.6010313894785</v>
      </c>
      <c r="R449">
        <f t="shared" si="976"/>
        <v>-13733866.825678695</v>
      </c>
      <c r="S449">
        <f t="shared" si="977"/>
        <v>-137.33866825678695</v>
      </c>
      <c r="T449">
        <f t="shared" si="978"/>
        <v>-0.13733866825678695</v>
      </c>
    </row>
    <row r="450" spans="1:20" x14ac:dyDescent="0.25">
      <c r="A450" s="5">
        <v>44143</v>
      </c>
      <c r="B450">
        <v>0.3422</v>
      </c>
      <c r="C450">
        <v>0.3599</v>
      </c>
      <c r="D450">
        <v>0.33879999999999999</v>
      </c>
      <c r="E450">
        <v>0.3528</v>
      </c>
      <c r="F450">
        <v>427310.55</v>
      </c>
      <c r="G450">
        <v>0</v>
      </c>
      <c r="L450" t="s">
        <v>8</v>
      </c>
      <c r="M450" t="s">
        <v>8</v>
      </c>
      <c r="N450" t="s">
        <v>7</v>
      </c>
      <c r="P450">
        <f t="shared" si="974"/>
        <v>0.32701421800947938</v>
      </c>
      <c r="Q450">
        <f t="shared" si="975"/>
        <v>139736.62535545052</v>
      </c>
      <c r="R450">
        <f t="shared" si="976"/>
        <v>-13727877.224647306</v>
      </c>
      <c r="S450">
        <f t="shared" si="977"/>
        <v>-137.27877224647307</v>
      </c>
      <c r="T450">
        <f t="shared" si="978"/>
        <v>-0.13727877224647306</v>
      </c>
    </row>
    <row r="451" spans="1:20" x14ac:dyDescent="0.25">
      <c r="A451" s="5">
        <v>44142</v>
      </c>
      <c r="B451">
        <v>0.3695</v>
      </c>
      <c r="C451">
        <v>0.3775</v>
      </c>
      <c r="D451">
        <v>0.3286</v>
      </c>
      <c r="E451">
        <v>0.34210000000000002</v>
      </c>
      <c r="F451">
        <v>774019.94</v>
      </c>
      <c r="G451">
        <v>0</v>
      </c>
      <c r="L451" t="s">
        <v>7</v>
      </c>
      <c r="M451" t="s">
        <v>8</v>
      </c>
      <c r="N451" t="s">
        <v>7</v>
      </c>
      <c r="P451">
        <f t="shared" si="974"/>
        <v>-0.44785276073619584</v>
      </c>
      <c r="Q451">
        <f t="shared" si="975"/>
        <v>-346646.96699386463</v>
      </c>
      <c r="R451">
        <f t="shared" si="976"/>
        <v>-13867613.850002756</v>
      </c>
      <c r="S451">
        <f t="shared" si="977"/>
        <v>-138.67613850002758</v>
      </c>
      <c r="T451">
        <f t="shared" si="978"/>
        <v>-0.13867613850002758</v>
      </c>
    </row>
    <row r="452" spans="1:20" x14ac:dyDescent="0.25">
      <c r="A452" s="5">
        <v>44141</v>
      </c>
      <c r="B452">
        <v>0.33250000000000002</v>
      </c>
      <c r="C452">
        <v>0.37590000000000001</v>
      </c>
      <c r="D452">
        <v>0.33160000000000001</v>
      </c>
      <c r="E452">
        <v>0.3695</v>
      </c>
      <c r="F452">
        <v>556406.39</v>
      </c>
      <c r="G452">
        <v>0</v>
      </c>
      <c r="L452" t="s">
        <v>8</v>
      </c>
      <c r="M452" t="s">
        <v>7</v>
      </c>
      <c r="N452" t="s">
        <v>7</v>
      </c>
      <c r="P452">
        <f t="shared" si="974"/>
        <v>0.71106094808126341</v>
      </c>
      <c r="Q452">
        <f t="shared" si="975"/>
        <v>395638.85519187321</v>
      </c>
      <c r="R452">
        <f t="shared" si="976"/>
        <v>-13520966.883008892</v>
      </c>
      <c r="S452">
        <f t="shared" si="977"/>
        <v>-135.20966883008893</v>
      </c>
      <c r="T452">
        <f t="shared" si="978"/>
        <v>-0.13520966883008892</v>
      </c>
    </row>
    <row r="453" spans="1:20" x14ac:dyDescent="0.25">
      <c r="A453" s="5">
        <v>44140</v>
      </c>
      <c r="B453">
        <v>0.32050000000000001</v>
      </c>
      <c r="C453">
        <v>0.34110000000000001</v>
      </c>
      <c r="D453">
        <v>0.3165</v>
      </c>
      <c r="E453">
        <v>0.33260000000000001</v>
      </c>
      <c r="F453">
        <v>492874.03</v>
      </c>
      <c r="G453">
        <v>0</v>
      </c>
      <c r="L453" t="s">
        <v>8</v>
      </c>
      <c r="M453" t="s">
        <v>7</v>
      </c>
      <c r="N453" t="s">
        <v>7</v>
      </c>
      <c r="P453">
        <f t="shared" si="974"/>
        <v>0.30894308943089399</v>
      </c>
      <c r="Q453">
        <f t="shared" si="975"/>
        <v>152270.02552845512</v>
      </c>
      <c r="R453">
        <f t="shared" si="976"/>
        <v>-13916605.738200765</v>
      </c>
      <c r="S453">
        <f t="shared" si="977"/>
        <v>-139.16605738200766</v>
      </c>
      <c r="T453">
        <f t="shared" si="978"/>
        <v>-0.13916605738200766</v>
      </c>
    </row>
    <row r="454" spans="1:20" x14ac:dyDescent="0.25">
      <c r="A454" s="5">
        <v>44139</v>
      </c>
      <c r="B454">
        <v>0.3276</v>
      </c>
      <c r="C454">
        <v>0.32840000000000003</v>
      </c>
      <c r="D454">
        <v>0.31309999999999999</v>
      </c>
      <c r="E454">
        <v>0.32019999999999998</v>
      </c>
      <c r="F454">
        <v>415967.62</v>
      </c>
      <c r="G454">
        <v>0</v>
      </c>
      <c r="L454" t="s">
        <v>7</v>
      </c>
      <c r="M454" t="s">
        <v>7</v>
      </c>
      <c r="N454" t="s">
        <v>7</v>
      </c>
      <c r="P454">
        <f t="shared" ref="P454:P517" si="979">IF(C454=D454,0,((E454-D454)-(C454-E454))/(C454-D454))</f>
        <v>-7.1895424836604105E-2</v>
      </c>
      <c r="Q454">
        <f t="shared" ref="Q454:Q517" si="980">F454*P454</f>
        <v>-29906.168758171098</v>
      </c>
      <c r="R454">
        <f t="shared" ref="R454:R517" si="981">R455+Q454</f>
        <v>-14068875.76372922</v>
      </c>
      <c r="S454">
        <f t="shared" ref="S454:S517" si="982">R454/100000</f>
        <v>-140.68875763729221</v>
      </c>
      <c r="T454">
        <f t="shared" ref="T454:T517" si="983">S454/1000</f>
        <v>-0.14068875763729222</v>
      </c>
    </row>
    <row r="455" spans="1:20" x14ac:dyDescent="0.25">
      <c r="A455" s="5">
        <v>44138</v>
      </c>
      <c r="B455">
        <v>0.34339999999999998</v>
      </c>
      <c r="C455">
        <v>0.34470000000000001</v>
      </c>
      <c r="D455">
        <v>0.31169999999999998</v>
      </c>
      <c r="E455">
        <v>0.3271</v>
      </c>
      <c r="F455">
        <v>587421.81000000006</v>
      </c>
      <c r="G455">
        <v>0</v>
      </c>
      <c r="L455" t="s">
        <v>7</v>
      </c>
      <c r="M455" t="s">
        <v>7</v>
      </c>
      <c r="N455" t="s">
        <v>7</v>
      </c>
      <c r="P455">
        <f t="shared" si="979"/>
        <v>-6.6666666666666E-2</v>
      </c>
      <c r="Q455">
        <f t="shared" si="980"/>
        <v>-39161.453999999612</v>
      </c>
      <c r="R455">
        <f t="shared" si="981"/>
        <v>-14038969.59497105</v>
      </c>
      <c r="S455">
        <f t="shared" si="982"/>
        <v>-140.3896959497105</v>
      </c>
      <c r="T455">
        <f t="shared" si="983"/>
        <v>-0.14038969594971051</v>
      </c>
    </row>
    <row r="456" spans="1:20" x14ac:dyDescent="0.25">
      <c r="A456" s="5">
        <v>44137</v>
      </c>
      <c r="B456">
        <v>0.36120000000000002</v>
      </c>
      <c r="C456">
        <v>0.36699999999999999</v>
      </c>
      <c r="D456">
        <v>0.3412</v>
      </c>
      <c r="E456">
        <v>0.34339999999999998</v>
      </c>
      <c r="F456">
        <v>429640.85</v>
      </c>
      <c r="G456">
        <v>0</v>
      </c>
      <c r="L456" t="s">
        <v>7</v>
      </c>
      <c r="M456" t="s">
        <v>7</v>
      </c>
      <c r="N456" t="s">
        <v>7</v>
      </c>
      <c r="P456">
        <f t="shared" si="979"/>
        <v>-0.82945736434108674</v>
      </c>
      <c r="Q456">
        <f t="shared" si="980"/>
        <v>-356368.7670542642</v>
      </c>
      <c r="R456">
        <f t="shared" si="981"/>
        <v>-13999808.14097105</v>
      </c>
      <c r="S456">
        <f t="shared" si="982"/>
        <v>-139.99808140971049</v>
      </c>
      <c r="T456">
        <f t="shared" si="983"/>
        <v>-0.13999808140971048</v>
      </c>
    </row>
    <row r="457" spans="1:20" x14ac:dyDescent="0.25">
      <c r="A457" s="5">
        <v>44136</v>
      </c>
      <c r="B457">
        <v>0.36199999999999999</v>
      </c>
      <c r="C457">
        <v>0.36380000000000001</v>
      </c>
      <c r="D457">
        <v>0.35370000000000001</v>
      </c>
      <c r="E457">
        <v>0.36130000000000001</v>
      </c>
      <c r="F457">
        <v>429976.25</v>
      </c>
      <c r="G457">
        <v>0</v>
      </c>
      <c r="L457" t="s">
        <v>7</v>
      </c>
      <c r="M457" t="s">
        <v>7</v>
      </c>
      <c r="N457" t="s">
        <v>7</v>
      </c>
      <c r="P457">
        <f t="shared" si="979"/>
        <v>0.5049504950495044</v>
      </c>
      <c r="Q457">
        <f t="shared" si="980"/>
        <v>217116.72029702947</v>
      </c>
      <c r="R457">
        <f t="shared" si="981"/>
        <v>-13643439.373916786</v>
      </c>
      <c r="S457">
        <f t="shared" si="982"/>
        <v>-136.43439373916786</v>
      </c>
      <c r="T457">
        <f t="shared" si="983"/>
        <v>-0.13643439373916785</v>
      </c>
    </row>
    <row r="458" spans="1:20" x14ac:dyDescent="0.25">
      <c r="A458" s="5">
        <v>44135</v>
      </c>
      <c r="B458">
        <v>0.35670000000000002</v>
      </c>
      <c r="C458">
        <v>0.36759999999999998</v>
      </c>
      <c r="D458">
        <v>0.35599999999999998</v>
      </c>
      <c r="E458">
        <v>0.3619</v>
      </c>
      <c r="F458">
        <v>492646.07</v>
      </c>
      <c r="G458">
        <v>0</v>
      </c>
      <c r="L458" t="s">
        <v>7</v>
      </c>
      <c r="M458" t="s">
        <v>7</v>
      </c>
      <c r="N458" t="s">
        <v>7</v>
      </c>
      <c r="P458">
        <f t="shared" si="979"/>
        <v>1.7241379310347714E-2</v>
      </c>
      <c r="Q458">
        <f t="shared" si="980"/>
        <v>8493.8977586221117</v>
      </c>
      <c r="R458">
        <f t="shared" si="981"/>
        <v>-13860556.094213815</v>
      </c>
      <c r="S458">
        <f t="shared" si="982"/>
        <v>-138.60556094213814</v>
      </c>
      <c r="T458">
        <f t="shared" si="983"/>
        <v>-0.13860556094213813</v>
      </c>
    </row>
    <row r="459" spans="1:20" x14ac:dyDescent="0.25">
      <c r="A459" s="5">
        <v>44134</v>
      </c>
      <c r="B459">
        <v>0.37419999999999998</v>
      </c>
      <c r="C459">
        <v>0.37419999999999998</v>
      </c>
      <c r="D459">
        <v>0.34739999999999999</v>
      </c>
      <c r="E459">
        <v>0.35680000000000001</v>
      </c>
      <c r="F459">
        <v>758592.83</v>
      </c>
      <c r="G459">
        <v>0</v>
      </c>
      <c r="L459" t="s">
        <v>7</v>
      </c>
      <c r="M459" t="s">
        <v>7</v>
      </c>
      <c r="N459" t="s">
        <v>7</v>
      </c>
      <c r="P459">
        <f t="shared" si="979"/>
        <v>-0.29850746268656547</v>
      </c>
      <c r="Q459">
        <f t="shared" si="980"/>
        <v>-226445.6208955211</v>
      </c>
      <c r="R459">
        <f t="shared" si="981"/>
        <v>-13869049.991972437</v>
      </c>
      <c r="S459">
        <f t="shared" si="982"/>
        <v>-138.69049991972437</v>
      </c>
      <c r="T459">
        <f t="shared" si="983"/>
        <v>-0.13869049991972437</v>
      </c>
    </row>
    <row r="460" spans="1:20" x14ac:dyDescent="0.25">
      <c r="A460" s="5">
        <v>44133</v>
      </c>
      <c r="B460">
        <v>0.35499999999999998</v>
      </c>
      <c r="C460">
        <v>0.47110000000000002</v>
      </c>
      <c r="D460">
        <v>0.35499999999999998</v>
      </c>
      <c r="E460">
        <v>0.37490000000000001</v>
      </c>
      <c r="F460">
        <v>2945176.66</v>
      </c>
      <c r="G460">
        <v>0</v>
      </c>
      <c r="L460" t="s">
        <v>8</v>
      </c>
      <c r="M460" t="s">
        <v>8</v>
      </c>
      <c r="N460" t="s">
        <v>7</v>
      </c>
      <c r="P460">
        <f t="shared" si="979"/>
        <v>-0.65719207579672656</v>
      </c>
      <c r="Q460">
        <f t="shared" si="980"/>
        <v>-1935546.76277347</v>
      </c>
      <c r="R460">
        <f t="shared" si="981"/>
        <v>-13642604.371076915</v>
      </c>
      <c r="S460">
        <f t="shared" si="982"/>
        <v>-136.42604371076916</v>
      </c>
      <c r="T460">
        <f t="shared" si="983"/>
        <v>-0.13642604371076916</v>
      </c>
    </row>
    <row r="461" spans="1:20" x14ac:dyDescent="0.25">
      <c r="A461" s="5">
        <v>44132</v>
      </c>
      <c r="B461">
        <v>0.40110000000000001</v>
      </c>
      <c r="C461">
        <v>0.4052</v>
      </c>
      <c r="D461">
        <v>0.35099999999999998</v>
      </c>
      <c r="E461">
        <v>0.35510000000000003</v>
      </c>
      <c r="F461">
        <v>716438.16</v>
      </c>
      <c r="G461">
        <v>0</v>
      </c>
      <c r="L461" t="s">
        <v>7</v>
      </c>
      <c r="M461" t="s">
        <v>7</v>
      </c>
      <c r="N461" t="s">
        <v>7</v>
      </c>
      <c r="P461">
        <f t="shared" si="979"/>
        <v>-0.84870848708486912</v>
      </c>
      <c r="Q461">
        <f t="shared" si="980"/>
        <v>-608047.14686346741</v>
      </c>
      <c r="R461">
        <f t="shared" si="981"/>
        <v>-11707057.608303446</v>
      </c>
      <c r="S461">
        <f t="shared" si="982"/>
        <v>-117.07057608303447</v>
      </c>
      <c r="T461">
        <f t="shared" si="983"/>
        <v>-0.11707057608303446</v>
      </c>
    </row>
    <row r="462" spans="1:20" x14ac:dyDescent="0.25">
      <c r="A462" s="5">
        <v>44131</v>
      </c>
      <c r="B462">
        <v>0.40770000000000001</v>
      </c>
      <c r="C462">
        <v>0.41189999999999999</v>
      </c>
      <c r="D462">
        <v>0.39</v>
      </c>
      <c r="E462">
        <v>0.4012</v>
      </c>
      <c r="F462">
        <v>450736.61</v>
      </c>
      <c r="G462">
        <v>0</v>
      </c>
      <c r="L462" t="s">
        <v>7</v>
      </c>
      <c r="M462" t="s">
        <v>7</v>
      </c>
      <c r="N462" t="s">
        <v>7</v>
      </c>
      <c r="P462">
        <f t="shared" si="979"/>
        <v>2.283105022831055E-2</v>
      </c>
      <c r="Q462">
        <f t="shared" si="980"/>
        <v>10290.790182648423</v>
      </c>
      <c r="R462">
        <f t="shared" si="981"/>
        <v>-11099010.461439978</v>
      </c>
      <c r="S462">
        <f t="shared" si="982"/>
        <v>-110.99010461439978</v>
      </c>
      <c r="T462">
        <f t="shared" si="983"/>
        <v>-0.11099010461439979</v>
      </c>
    </row>
    <row r="463" spans="1:20" x14ac:dyDescent="0.25">
      <c r="A463" s="5">
        <v>44130</v>
      </c>
      <c r="B463">
        <v>0.42359999999999998</v>
      </c>
      <c r="C463">
        <v>0.4254</v>
      </c>
      <c r="D463">
        <v>0.40500000000000003</v>
      </c>
      <c r="E463">
        <v>0.4073</v>
      </c>
      <c r="F463">
        <v>385221.77</v>
      </c>
      <c r="G463">
        <v>0</v>
      </c>
      <c r="L463" t="s">
        <v>7</v>
      </c>
      <c r="M463" t="s">
        <v>7</v>
      </c>
      <c r="N463" t="s">
        <v>7</v>
      </c>
      <c r="P463">
        <f t="shared" si="979"/>
        <v>-0.77450980392157143</v>
      </c>
      <c r="Q463">
        <f t="shared" si="980"/>
        <v>-298358.03754902072</v>
      </c>
      <c r="R463">
        <f t="shared" si="981"/>
        <v>-11109301.251622627</v>
      </c>
      <c r="S463">
        <f t="shared" si="982"/>
        <v>-111.09301251622627</v>
      </c>
      <c r="T463">
        <f t="shared" si="983"/>
        <v>-0.11109301251622626</v>
      </c>
    </row>
    <row r="464" spans="1:20" x14ac:dyDescent="0.25">
      <c r="A464" s="5">
        <v>44129</v>
      </c>
      <c r="B464">
        <v>0.42780000000000001</v>
      </c>
      <c r="C464">
        <v>0.43390000000000001</v>
      </c>
      <c r="D464">
        <v>0.42249999999999999</v>
      </c>
      <c r="E464">
        <v>0.42370000000000002</v>
      </c>
      <c r="F464">
        <v>306984.63</v>
      </c>
      <c r="G464">
        <v>0</v>
      </c>
      <c r="L464" t="s">
        <v>8</v>
      </c>
      <c r="M464" t="s">
        <v>7</v>
      </c>
      <c r="N464" t="s">
        <v>7</v>
      </c>
      <c r="P464">
        <f t="shared" si="979"/>
        <v>-0.78947368421052067</v>
      </c>
      <c r="Q464">
        <f t="shared" si="980"/>
        <v>-242356.28684210352</v>
      </c>
      <c r="R464">
        <f t="shared" si="981"/>
        <v>-10810943.214073606</v>
      </c>
      <c r="S464">
        <f t="shared" si="982"/>
        <v>-108.10943214073606</v>
      </c>
      <c r="T464">
        <f t="shared" si="983"/>
        <v>-0.10810943214073607</v>
      </c>
    </row>
    <row r="465" spans="1:20" x14ac:dyDescent="0.25">
      <c r="A465" s="5">
        <v>44128</v>
      </c>
      <c r="B465">
        <v>0.42570000000000002</v>
      </c>
      <c r="C465">
        <v>0.43440000000000001</v>
      </c>
      <c r="D465">
        <v>0.42330000000000001</v>
      </c>
      <c r="E465">
        <v>0.42770000000000002</v>
      </c>
      <c r="F465">
        <v>345340.09</v>
      </c>
      <c r="G465">
        <v>0</v>
      </c>
      <c r="L465" t="s">
        <v>8</v>
      </c>
      <c r="M465" t="s">
        <v>7</v>
      </c>
      <c r="N465" t="s">
        <v>7</v>
      </c>
      <c r="P465">
        <f t="shared" si="979"/>
        <v>-0.20720720720720442</v>
      </c>
      <c r="Q465">
        <f t="shared" si="980"/>
        <v>-71556.955585584627</v>
      </c>
      <c r="R465">
        <f t="shared" si="981"/>
        <v>-10568586.927231502</v>
      </c>
      <c r="S465">
        <f t="shared" si="982"/>
        <v>-105.68586927231502</v>
      </c>
      <c r="T465">
        <f t="shared" si="983"/>
        <v>-0.10568586927231502</v>
      </c>
    </row>
    <row r="466" spans="1:20" x14ac:dyDescent="0.25">
      <c r="A466" s="5">
        <v>44127</v>
      </c>
      <c r="B466">
        <v>0.43930000000000002</v>
      </c>
      <c r="C466">
        <v>0.43930000000000002</v>
      </c>
      <c r="D466">
        <v>0.42020000000000002</v>
      </c>
      <c r="E466">
        <v>0.42570000000000002</v>
      </c>
      <c r="F466">
        <v>401373.58</v>
      </c>
      <c r="G466">
        <v>0</v>
      </c>
      <c r="L466" t="s">
        <v>8</v>
      </c>
      <c r="M466" t="s">
        <v>7</v>
      </c>
      <c r="N466" t="s">
        <v>7</v>
      </c>
      <c r="P466">
        <f t="shared" si="979"/>
        <v>-0.42408376963350752</v>
      </c>
      <c r="Q466">
        <f t="shared" si="980"/>
        <v>-170216.02083769621</v>
      </c>
      <c r="R466">
        <f t="shared" si="981"/>
        <v>-10497029.971645918</v>
      </c>
      <c r="S466">
        <f t="shared" si="982"/>
        <v>-104.97029971645918</v>
      </c>
      <c r="T466">
        <f t="shared" si="983"/>
        <v>-0.10497029971645919</v>
      </c>
    </row>
    <row r="467" spans="1:20" x14ac:dyDescent="0.25">
      <c r="A467" s="5">
        <v>44126</v>
      </c>
      <c r="B467">
        <v>0.4219</v>
      </c>
      <c r="C467">
        <v>0.44690000000000002</v>
      </c>
      <c r="D467">
        <v>0.42130000000000001</v>
      </c>
      <c r="E467">
        <v>0.43919999999999998</v>
      </c>
      <c r="F467">
        <v>398614.88</v>
      </c>
      <c r="G467">
        <v>0</v>
      </c>
      <c r="L467" t="s">
        <v>8</v>
      </c>
      <c r="M467" t="s">
        <v>7</v>
      </c>
      <c r="N467" t="s">
        <v>7</v>
      </c>
      <c r="P467">
        <f t="shared" si="979"/>
        <v>0.39843749999999711</v>
      </c>
      <c r="Q467">
        <f t="shared" si="980"/>
        <v>158823.11624999886</v>
      </c>
      <c r="R467">
        <f t="shared" si="981"/>
        <v>-10326813.950808221</v>
      </c>
      <c r="S467">
        <f t="shared" si="982"/>
        <v>-103.26813950808221</v>
      </c>
      <c r="T467">
        <f t="shared" si="983"/>
        <v>-0.10326813950808221</v>
      </c>
    </row>
    <row r="468" spans="1:20" x14ac:dyDescent="0.25">
      <c r="A468" s="5">
        <v>44125</v>
      </c>
      <c r="B468">
        <v>0.41120000000000001</v>
      </c>
      <c r="C468">
        <v>0.43269999999999997</v>
      </c>
      <c r="D468">
        <v>0.40720000000000001</v>
      </c>
      <c r="E468">
        <v>0.4219</v>
      </c>
      <c r="F468">
        <v>549588.15</v>
      </c>
      <c r="G468">
        <v>0</v>
      </c>
      <c r="L468" t="s">
        <v>7</v>
      </c>
      <c r="M468" t="s">
        <v>7</v>
      </c>
      <c r="N468" t="s">
        <v>7</v>
      </c>
      <c r="P468">
        <f t="shared" si="979"/>
        <v>0.152941176470589</v>
      </c>
      <c r="Q468">
        <f t="shared" si="980"/>
        <v>84054.658235294541</v>
      </c>
      <c r="R468">
        <f t="shared" si="981"/>
        <v>-10485637.067058221</v>
      </c>
      <c r="S468">
        <f t="shared" si="982"/>
        <v>-104.85637067058221</v>
      </c>
      <c r="T468">
        <f t="shared" si="983"/>
        <v>-0.10485637067058221</v>
      </c>
    </row>
    <row r="469" spans="1:20" x14ac:dyDescent="0.25">
      <c r="A469" s="5">
        <v>44124</v>
      </c>
      <c r="B469">
        <v>0.4108</v>
      </c>
      <c r="C469">
        <v>0.41799999999999998</v>
      </c>
      <c r="D469">
        <v>0.40570000000000001</v>
      </c>
      <c r="E469">
        <v>0.41120000000000001</v>
      </c>
      <c r="F469">
        <v>353539.74</v>
      </c>
      <c r="G469">
        <v>0</v>
      </c>
      <c r="L469" t="s">
        <v>7</v>
      </c>
      <c r="M469" t="s">
        <v>7</v>
      </c>
      <c r="N469" t="s">
        <v>7</v>
      </c>
      <c r="P469">
        <f t="shared" si="979"/>
        <v>-0.10569105691056668</v>
      </c>
      <c r="Q469">
        <f t="shared" si="980"/>
        <v>-37365.98878048695</v>
      </c>
      <c r="R469">
        <f t="shared" si="981"/>
        <v>-10569691.725293515</v>
      </c>
      <c r="S469">
        <f t="shared" si="982"/>
        <v>-105.69691725293515</v>
      </c>
      <c r="T469">
        <f t="shared" si="983"/>
        <v>-0.10569691725293515</v>
      </c>
    </row>
    <row r="470" spans="1:20" x14ac:dyDescent="0.25">
      <c r="A470" s="5">
        <v>44123</v>
      </c>
      <c r="B470">
        <v>0.41249999999999998</v>
      </c>
      <c r="C470">
        <v>0.41520000000000001</v>
      </c>
      <c r="D470">
        <v>0.40820000000000001</v>
      </c>
      <c r="E470">
        <v>0.41049999999999998</v>
      </c>
      <c r="F470">
        <v>337543.28</v>
      </c>
      <c r="G470">
        <v>0</v>
      </c>
      <c r="L470" t="s">
        <v>7</v>
      </c>
      <c r="M470" t="s">
        <v>7</v>
      </c>
      <c r="N470" t="s">
        <v>7</v>
      </c>
      <c r="P470">
        <f t="shared" si="979"/>
        <v>-0.34285714285715235</v>
      </c>
      <c r="Q470">
        <f t="shared" si="980"/>
        <v>-115729.12457143179</v>
      </c>
      <c r="R470">
        <f t="shared" si="981"/>
        <v>-10532325.736513028</v>
      </c>
      <c r="S470">
        <f t="shared" si="982"/>
        <v>-105.32325736513027</v>
      </c>
      <c r="T470">
        <f t="shared" si="983"/>
        <v>-0.10532325736513028</v>
      </c>
    </row>
    <row r="471" spans="1:20" x14ac:dyDescent="0.25">
      <c r="A471" s="5">
        <v>44122</v>
      </c>
      <c r="B471">
        <v>0.40749999999999997</v>
      </c>
      <c r="C471">
        <v>0.41399999999999998</v>
      </c>
      <c r="D471">
        <v>0.40749999999999997</v>
      </c>
      <c r="E471">
        <v>0.41289999999999999</v>
      </c>
      <c r="F471">
        <v>289344.18</v>
      </c>
      <c r="G471">
        <v>0</v>
      </c>
      <c r="L471" t="s">
        <v>7</v>
      </c>
      <c r="M471" t="s">
        <v>7</v>
      </c>
      <c r="N471" t="s">
        <v>7</v>
      </c>
      <c r="P471">
        <f t="shared" si="979"/>
        <v>0.66153846153846496</v>
      </c>
      <c r="Q471">
        <f t="shared" si="980"/>
        <v>191412.30369230869</v>
      </c>
      <c r="R471">
        <f t="shared" si="981"/>
        <v>-10416596.611941596</v>
      </c>
      <c r="S471">
        <f t="shared" si="982"/>
        <v>-104.16596611941597</v>
      </c>
      <c r="T471">
        <f t="shared" si="983"/>
        <v>-0.10416596611941598</v>
      </c>
    </row>
    <row r="472" spans="1:20" x14ac:dyDescent="0.25">
      <c r="A472" s="5">
        <v>44121</v>
      </c>
      <c r="B472">
        <v>0.40910000000000002</v>
      </c>
      <c r="C472">
        <v>0.41860000000000003</v>
      </c>
      <c r="D472">
        <v>0.40739999999999998</v>
      </c>
      <c r="E472">
        <v>0.40889999999999999</v>
      </c>
      <c r="F472">
        <v>43917.01</v>
      </c>
      <c r="G472">
        <v>0</v>
      </c>
      <c r="L472" t="s">
        <v>7</v>
      </c>
      <c r="M472" t="s">
        <v>7</v>
      </c>
      <c r="N472" t="s">
        <v>7</v>
      </c>
      <c r="P472">
        <f t="shared" si="979"/>
        <v>-0.73214285714285798</v>
      </c>
      <c r="Q472">
        <f t="shared" si="980"/>
        <v>-32153.525178571468</v>
      </c>
      <c r="R472">
        <f t="shared" si="981"/>
        <v>-10608008.915633906</v>
      </c>
      <c r="S472">
        <f t="shared" si="982"/>
        <v>-106.08008915633906</v>
      </c>
      <c r="T472">
        <f t="shared" si="983"/>
        <v>-0.10608008915633906</v>
      </c>
    </row>
    <row r="473" spans="1:20" x14ac:dyDescent="0.25">
      <c r="A473" s="5">
        <v>44120</v>
      </c>
      <c r="B473">
        <v>0.42230000000000001</v>
      </c>
      <c r="C473">
        <v>0.42409999999999998</v>
      </c>
      <c r="D473">
        <v>0.40500000000000003</v>
      </c>
      <c r="E473">
        <v>0.41099999999999998</v>
      </c>
      <c r="F473">
        <v>66032.820000000007</v>
      </c>
      <c r="G473">
        <v>0</v>
      </c>
      <c r="L473" t="s">
        <v>7</v>
      </c>
      <c r="M473" t="s">
        <v>7</v>
      </c>
      <c r="N473" t="s">
        <v>7</v>
      </c>
      <c r="P473">
        <f t="shared" si="979"/>
        <v>-0.37172774869110309</v>
      </c>
      <c r="Q473">
        <f t="shared" si="980"/>
        <v>-24546.23151832485</v>
      </c>
      <c r="R473">
        <f t="shared" si="981"/>
        <v>-10575855.390455334</v>
      </c>
      <c r="S473">
        <f t="shared" si="982"/>
        <v>-105.75855390455334</v>
      </c>
      <c r="T473">
        <f t="shared" si="983"/>
        <v>-0.10575855390455334</v>
      </c>
    </row>
    <row r="474" spans="1:20" x14ac:dyDescent="0.25">
      <c r="A474" s="5">
        <v>44119</v>
      </c>
      <c r="B474">
        <v>0.41310000000000002</v>
      </c>
      <c r="C474">
        <v>0.42280000000000001</v>
      </c>
      <c r="D474">
        <v>0.41039999999999999</v>
      </c>
      <c r="E474">
        <v>0.42249999999999999</v>
      </c>
      <c r="F474">
        <v>47228.1</v>
      </c>
      <c r="G474">
        <v>0</v>
      </c>
      <c r="L474" t="s">
        <v>7</v>
      </c>
      <c r="M474" t="s">
        <v>7</v>
      </c>
      <c r="N474" t="s">
        <v>7</v>
      </c>
      <c r="P474">
        <f t="shared" si="979"/>
        <v>0.95161290322580294</v>
      </c>
      <c r="Q474">
        <f t="shared" si="980"/>
        <v>44942.869354838542</v>
      </c>
      <c r="R474">
        <f t="shared" si="981"/>
        <v>-10551309.158937009</v>
      </c>
      <c r="S474">
        <f t="shared" si="982"/>
        <v>-105.51309158937009</v>
      </c>
      <c r="T474">
        <f t="shared" si="983"/>
        <v>-0.1055130915893701</v>
      </c>
    </row>
    <row r="475" spans="1:20" x14ac:dyDescent="0.25">
      <c r="A475" s="5">
        <v>44118</v>
      </c>
      <c r="B475">
        <v>0.43840000000000001</v>
      </c>
      <c r="C475">
        <v>0.44069999999999998</v>
      </c>
      <c r="D475">
        <v>0.40939999999999999</v>
      </c>
      <c r="E475">
        <v>0.41499999999999998</v>
      </c>
      <c r="F475">
        <v>141261.15</v>
      </c>
      <c r="G475">
        <v>0</v>
      </c>
      <c r="L475" t="s">
        <v>7</v>
      </c>
      <c r="M475" t="s">
        <v>7</v>
      </c>
      <c r="N475" t="s">
        <v>7</v>
      </c>
      <c r="P475">
        <f t="shared" si="979"/>
        <v>-0.64217252396166169</v>
      </c>
      <c r="Q475">
        <f t="shared" si="980"/>
        <v>-90714.029233226887</v>
      </c>
      <c r="R475">
        <f t="shared" si="981"/>
        <v>-10596252.028291848</v>
      </c>
      <c r="S475">
        <f t="shared" si="982"/>
        <v>-105.96252028291848</v>
      </c>
      <c r="T475">
        <f t="shared" si="983"/>
        <v>-0.10596252028291847</v>
      </c>
    </row>
    <row r="476" spans="1:20" x14ac:dyDescent="0.25">
      <c r="A476" s="5">
        <v>44117</v>
      </c>
      <c r="B476">
        <v>0.44069999999999998</v>
      </c>
      <c r="C476">
        <v>0.45639999999999997</v>
      </c>
      <c r="D476">
        <v>0.43030000000000002</v>
      </c>
      <c r="E476">
        <v>0.43909999999999999</v>
      </c>
      <c r="F476">
        <v>128069.65</v>
      </c>
      <c r="G476">
        <v>0</v>
      </c>
      <c r="L476" t="s">
        <v>8</v>
      </c>
      <c r="M476" t="s">
        <v>7</v>
      </c>
      <c r="N476" t="s">
        <v>7</v>
      </c>
      <c r="P476">
        <f t="shared" si="979"/>
        <v>-0.32567049808429199</v>
      </c>
      <c r="Q476">
        <f t="shared" si="980"/>
        <v>-41708.506704980944</v>
      </c>
      <c r="R476">
        <f t="shared" si="981"/>
        <v>-10505537.999058621</v>
      </c>
      <c r="S476">
        <f t="shared" si="982"/>
        <v>-105.0553799905862</v>
      </c>
      <c r="T476">
        <f t="shared" si="983"/>
        <v>-0.1050553799905862</v>
      </c>
    </row>
    <row r="477" spans="1:20" x14ac:dyDescent="0.25">
      <c r="A477" s="5">
        <v>44116</v>
      </c>
      <c r="B477">
        <v>0.44519999999999998</v>
      </c>
      <c r="C477">
        <v>0.45600000000000002</v>
      </c>
      <c r="D477">
        <v>0.42720000000000002</v>
      </c>
      <c r="E477">
        <v>0.44230000000000003</v>
      </c>
      <c r="F477">
        <v>124329.18</v>
      </c>
      <c r="G477">
        <v>0</v>
      </c>
      <c r="L477" t="s">
        <v>8</v>
      </c>
      <c r="M477" t="s">
        <v>7</v>
      </c>
      <c r="N477" t="s">
        <v>7</v>
      </c>
      <c r="P477">
        <f t="shared" si="979"/>
        <v>4.8611111111111556E-2</v>
      </c>
      <c r="Q477">
        <f t="shared" si="980"/>
        <v>6043.7795833333885</v>
      </c>
      <c r="R477">
        <f t="shared" si="981"/>
        <v>-10463829.49235364</v>
      </c>
      <c r="S477">
        <f t="shared" si="982"/>
        <v>-104.63829492353641</v>
      </c>
      <c r="T477">
        <f t="shared" si="983"/>
        <v>-0.10463829492353641</v>
      </c>
    </row>
    <row r="478" spans="1:20" x14ac:dyDescent="0.25">
      <c r="A478" s="5">
        <v>44115</v>
      </c>
      <c r="B478">
        <v>0.44600000000000001</v>
      </c>
      <c r="C478">
        <v>0.45219999999999999</v>
      </c>
      <c r="D478">
        <v>0.44059999999999999</v>
      </c>
      <c r="E478">
        <v>0.44350000000000001</v>
      </c>
      <c r="F478">
        <v>90142.62</v>
      </c>
      <c r="G478">
        <v>0</v>
      </c>
      <c r="L478" t="s">
        <v>8</v>
      </c>
      <c r="M478" t="s">
        <v>7</v>
      </c>
      <c r="N478" t="s">
        <v>7</v>
      </c>
      <c r="P478">
        <f t="shared" si="979"/>
        <v>-0.49999999999999761</v>
      </c>
      <c r="Q478">
        <f t="shared" si="980"/>
        <v>-45071.309999999779</v>
      </c>
      <c r="R478">
        <f t="shared" si="981"/>
        <v>-10469873.271936974</v>
      </c>
      <c r="S478">
        <f t="shared" si="982"/>
        <v>-104.69873271936973</v>
      </c>
      <c r="T478">
        <f t="shared" si="983"/>
        <v>-0.10469873271936973</v>
      </c>
    </row>
    <row r="479" spans="1:20" x14ac:dyDescent="0.25">
      <c r="A479" s="5">
        <v>44114</v>
      </c>
      <c r="B479">
        <v>0.44290000000000002</v>
      </c>
      <c r="C479">
        <v>0.45679999999999998</v>
      </c>
      <c r="D479">
        <v>0.43890000000000001</v>
      </c>
      <c r="E479">
        <v>0.44450000000000001</v>
      </c>
      <c r="F479">
        <v>125492.83</v>
      </c>
      <c r="G479">
        <v>0</v>
      </c>
      <c r="L479" t="s">
        <v>8</v>
      </c>
      <c r="M479" t="s">
        <v>7</v>
      </c>
      <c r="N479" t="s">
        <v>7</v>
      </c>
      <c r="P479">
        <f t="shared" si="979"/>
        <v>-0.37430167597765329</v>
      </c>
      <c r="Q479">
        <f t="shared" si="980"/>
        <v>-46972.17659217873</v>
      </c>
      <c r="R479">
        <f t="shared" si="981"/>
        <v>-10424801.961936973</v>
      </c>
      <c r="S479">
        <f t="shared" si="982"/>
        <v>-104.24801961936973</v>
      </c>
      <c r="T479">
        <f t="shared" si="983"/>
        <v>-0.10424801961936973</v>
      </c>
    </row>
    <row r="480" spans="1:20" x14ac:dyDescent="0.25">
      <c r="A480" s="5">
        <v>44113</v>
      </c>
      <c r="B480">
        <v>0.43769999999999998</v>
      </c>
      <c r="C480">
        <v>0.44540000000000002</v>
      </c>
      <c r="D480">
        <v>0.4284</v>
      </c>
      <c r="E480">
        <v>0.44540000000000002</v>
      </c>
      <c r="F480">
        <v>99951.21</v>
      </c>
      <c r="G480">
        <v>0</v>
      </c>
      <c r="L480" t="s">
        <v>8</v>
      </c>
      <c r="M480" t="s">
        <v>7</v>
      </c>
      <c r="N480" t="s">
        <v>7</v>
      </c>
      <c r="P480">
        <f t="shared" si="979"/>
        <v>1</v>
      </c>
      <c r="Q480">
        <f t="shared" si="980"/>
        <v>99951.21</v>
      </c>
      <c r="R480">
        <f t="shared" si="981"/>
        <v>-10377829.785344794</v>
      </c>
      <c r="S480">
        <f t="shared" si="982"/>
        <v>-103.77829785344794</v>
      </c>
      <c r="T480">
        <f t="shared" si="983"/>
        <v>-0.10377829785344794</v>
      </c>
    </row>
    <row r="481" spans="1:20" x14ac:dyDescent="0.25">
      <c r="A481" s="5">
        <v>44112</v>
      </c>
      <c r="B481">
        <v>0.41210000000000002</v>
      </c>
      <c r="C481">
        <v>0.45900000000000002</v>
      </c>
      <c r="D481">
        <v>0.4007</v>
      </c>
      <c r="E481">
        <v>0.4365</v>
      </c>
      <c r="F481">
        <v>444092.28</v>
      </c>
      <c r="G481">
        <v>0</v>
      </c>
      <c r="L481" t="s">
        <v>7</v>
      </c>
      <c r="M481" t="s">
        <v>7</v>
      </c>
      <c r="N481" t="s">
        <v>7</v>
      </c>
      <c r="P481">
        <f t="shared" si="979"/>
        <v>0.22813036020583147</v>
      </c>
      <c r="Q481">
        <f t="shared" si="980"/>
        <v>101310.93180102897</v>
      </c>
      <c r="R481">
        <f t="shared" si="981"/>
        <v>-10477780.995344795</v>
      </c>
      <c r="S481">
        <f t="shared" si="982"/>
        <v>-104.77780995344796</v>
      </c>
      <c r="T481">
        <f t="shared" si="983"/>
        <v>-0.10477780995344796</v>
      </c>
    </row>
    <row r="482" spans="1:20" x14ac:dyDescent="0.25">
      <c r="A482" s="5">
        <v>44111</v>
      </c>
      <c r="B482">
        <v>0.41199999999999998</v>
      </c>
      <c r="C482">
        <v>0.4143</v>
      </c>
      <c r="D482">
        <v>0.40229999999999999</v>
      </c>
      <c r="E482">
        <v>0.41170000000000001</v>
      </c>
      <c r="F482">
        <v>109205.2</v>
      </c>
      <c r="G482">
        <v>0</v>
      </c>
      <c r="L482" t="s">
        <v>7</v>
      </c>
      <c r="M482" t="s">
        <v>7</v>
      </c>
      <c r="N482" t="s">
        <v>7</v>
      </c>
      <c r="P482">
        <f t="shared" si="979"/>
        <v>0.56666666666666854</v>
      </c>
      <c r="Q482">
        <f t="shared" si="980"/>
        <v>61882.946666666867</v>
      </c>
      <c r="R482">
        <f t="shared" si="981"/>
        <v>-10579091.927145824</v>
      </c>
      <c r="S482">
        <f t="shared" si="982"/>
        <v>-105.79091927145824</v>
      </c>
      <c r="T482">
        <f t="shared" si="983"/>
        <v>-0.10579091927145824</v>
      </c>
    </row>
    <row r="483" spans="1:20" x14ac:dyDescent="0.25">
      <c r="A483" s="5">
        <v>44110</v>
      </c>
      <c r="B483">
        <v>0.43020000000000003</v>
      </c>
      <c r="C483">
        <v>0.434</v>
      </c>
      <c r="D483">
        <v>0.4037</v>
      </c>
      <c r="E483">
        <v>0.41310000000000002</v>
      </c>
      <c r="F483">
        <v>200892.68</v>
      </c>
      <c r="G483">
        <v>0</v>
      </c>
      <c r="L483" t="s">
        <v>7</v>
      </c>
      <c r="M483" t="s">
        <v>7</v>
      </c>
      <c r="N483" t="s">
        <v>7</v>
      </c>
      <c r="P483">
        <f t="shared" si="979"/>
        <v>-0.37953795379537814</v>
      </c>
      <c r="Q483">
        <f t="shared" si="980"/>
        <v>-76246.396699669684</v>
      </c>
      <c r="R483">
        <f t="shared" si="981"/>
        <v>-10640974.873812491</v>
      </c>
      <c r="S483">
        <f t="shared" si="982"/>
        <v>-106.4097487381249</v>
      </c>
      <c r="T483">
        <f t="shared" si="983"/>
        <v>-0.10640974873812491</v>
      </c>
    </row>
    <row r="484" spans="1:20" x14ac:dyDescent="0.25">
      <c r="A484" s="5">
        <v>44109</v>
      </c>
      <c r="B484">
        <v>0.436</v>
      </c>
      <c r="C484">
        <v>0.441</v>
      </c>
      <c r="D484">
        <v>0.42509999999999998</v>
      </c>
      <c r="E484">
        <v>0.42970000000000003</v>
      </c>
      <c r="F484">
        <v>77248.479999999996</v>
      </c>
      <c r="G484">
        <v>0</v>
      </c>
      <c r="L484" t="s">
        <v>7</v>
      </c>
      <c r="M484" t="s">
        <v>7</v>
      </c>
      <c r="N484" t="s">
        <v>7</v>
      </c>
      <c r="P484">
        <f t="shared" si="979"/>
        <v>-0.42138364779873694</v>
      </c>
      <c r="Q484">
        <f t="shared" si="980"/>
        <v>-32551.246289307772</v>
      </c>
      <c r="R484">
        <f t="shared" si="981"/>
        <v>-10564728.477112822</v>
      </c>
      <c r="S484">
        <f t="shared" si="982"/>
        <v>-105.64728477112823</v>
      </c>
      <c r="T484">
        <f t="shared" si="983"/>
        <v>-0.10564728477112822</v>
      </c>
    </row>
    <row r="485" spans="1:20" x14ac:dyDescent="0.25">
      <c r="A485" s="5">
        <v>44108</v>
      </c>
      <c r="B485">
        <v>0.43419999999999997</v>
      </c>
      <c r="C485">
        <v>0.43680000000000002</v>
      </c>
      <c r="D485">
        <v>0.42770000000000002</v>
      </c>
      <c r="E485">
        <v>0.43519999999999998</v>
      </c>
      <c r="F485">
        <v>60609.65</v>
      </c>
      <c r="G485">
        <v>0</v>
      </c>
      <c r="L485" t="s">
        <v>7</v>
      </c>
      <c r="M485" t="s">
        <v>7</v>
      </c>
      <c r="N485" t="s">
        <v>7</v>
      </c>
      <c r="P485">
        <f t="shared" si="979"/>
        <v>0.64835164835163817</v>
      </c>
      <c r="Q485">
        <f t="shared" si="980"/>
        <v>39296.366483515871</v>
      </c>
      <c r="R485">
        <f t="shared" si="981"/>
        <v>-10532177.230823515</v>
      </c>
      <c r="S485">
        <f t="shared" si="982"/>
        <v>-105.32177230823515</v>
      </c>
      <c r="T485">
        <f t="shared" si="983"/>
        <v>-0.10532177230823515</v>
      </c>
    </row>
    <row r="486" spans="1:20" x14ac:dyDescent="0.25">
      <c r="A486" s="5">
        <v>44107</v>
      </c>
      <c r="B486">
        <v>0.43269999999999997</v>
      </c>
      <c r="C486">
        <v>0.43840000000000001</v>
      </c>
      <c r="D486">
        <v>0.43020000000000003</v>
      </c>
      <c r="E486">
        <v>0.43430000000000002</v>
      </c>
      <c r="F486">
        <v>39846.370000000003</v>
      </c>
      <c r="G486">
        <v>0</v>
      </c>
      <c r="L486" t="s">
        <v>7</v>
      </c>
      <c r="M486" t="s">
        <v>7</v>
      </c>
      <c r="N486" t="s">
        <v>7</v>
      </c>
      <c r="P486">
        <f t="shared" si="979"/>
        <v>0</v>
      </c>
      <c r="Q486">
        <f t="shared" si="980"/>
        <v>0</v>
      </c>
      <c r="R486">
        <f t="shared" si="981"/>
        <v>-10571473.59730703</v>
      </c>
      <c r="S486">
        <f t="shared" si="982"/>
        <v>-105.7147359730703</v>
      </c>
      <c r="T486">
        <f t="shared" si="983"/>
        <v>-0.10571473597307031</v>
      </c>
    </row>
    <row r="487" spans="1:20" x14ac:dyDescent="0.25">
      <c r="A487" s="5">
        <v>44106</v>
      </c>
      <c r="B487">
        <v>0.4577</v>
      </c>
      <c r="C487">
        <v>0.46029999999999999</v>
      </c>
      <c r="D487">
        <v>0.41930000000000001</v>
      </c>
      <c r="E487">
        <v>0.43109999999999998</v>
      </c>
      <c r="F487">
        <v>208311.05</v>
      </c>
      <c r="G487">
        <v>0</v>
      </c>
      <c r="L487" t="s">
        <v>7</v>
      </c>
      <c r="M487" t="s">
        <v>7</v>
      </c>
      <c r="N487" t="s">
        <v>7</v>
      </c>
      <c r="P487">
        <f t="shared" si="979"/>
        <v>-0.42439024390243985</v>
      </c>
      <c r="Q487">
        <f t="shared" si="980"/>
        <v>-88405.177317073336</v>
      </c>
      <c r="R487">
        <f t="shared" si="981"/>
        <v>-10571473.59730703</v>
      </c>
      <c r="S487">
        <f t="shared" si="982"/>
        <v>-105.7147359730703</v>
      </c>
      <c r="T487">
        <f t="shared" si="983"/>
        <v>-0.10571473597307031</v>
      </c>
    </row>
    <row r="488" spans="1:20" x14ac:dyDescent="0.25">
      <c r="A488" s="5">
        <v>44105</v>
      </c>
      <c r="B488">
        <v>0.46439999999999998</v>
      </c>
      <c r="C488">
        <v>0.47460000000000002</v>
      </c>
      <c r="D488">
        <v>0.44269999999999998</v>
      </c>
      <c r="E488">
        <v>0.4577</v>
      </c>
      <c r="F488">
        <v>162695.32</v>
      </c>
      <c r="G488">
        <v>0</v>
      </c>
      <c r="L488" t="s">
        <v>7</v>
      </c>
      <c r="M488" t="s">
        <v>7</v>
      </c>
      <c r="N488" t="s">
        <v>7</v>
      </c>
      <c r="P488">
        <f t="shared" si="979"/>
        <v>-5.9561128526646093E-2</v>
      </c>
      <c r="Q488">
        <f t="shared" si="980"/>
        <v>-9690.3168652038148</v>
      </c>
      <c r="R488">
        <f t="shared" si="981"/>
        <v>-10483068.419989957</v>
      </c>
      <c r="S488">
        <f t="shared" si="982"/>
        <v>-104.83068419989957</v>
      </c>
      <c r="T488">
        <f t="shared" si="983"/>
        <v>-0.10483068419989956</v>
      </c>
    </row>
    <row r="489" spans="1:20" x14ac:dyDescent="0.25">
      <c r="A489" s="5">
        <v>44104</v>
      </c>
      <c r="B489">
        <v>0.47710000000000002</v>
      </c>
      <c r="C489">
        <v>0.47710000000000002</v>
      </c>
      <c r="D489">
        <v>0.45879999999999999</v>
      </c>
      <c r="E489">
        <v>0.46360000000000001</v>
      </c>
      <c r="F489">
        <v>211016.55</v>
      </c>
      <c r="G489">
        <v>0</v>
      </c>
      <c r="L489" t="s">
        <v>7</v>
      </c>
      <c r="M489" t="s">
        <v>7</v>
      </c>
      <c r="N489" t="s">
        <v>7</v>
      </c>
      <c r="P489">
        <f t="shared" si="979"/>
        <v>-0.47540983606557197</v>
      </c>
      <c r="Q489">
        <f t="shared" si="980"/>
        <v>-100319.34344262256</v>
      </c>
      <c r="R489">
        <f t="shared" si="981"/>
        <v>-10473378.103124753</v>
      </c>
      <c r="S489">
        <f t="shared" si="982"/>
        <v>-104.73378103124753</v>
      </c>
      <c r="T489">
        <f t="shared" si="983"/>
        <v>-0.10473378103124753</v>
      </c>
    </row>
    <row r="490" spans="1:20" x14ac:dyDescent="0.25">
      <c r="A490" s="5">
        <v>44103</v>
      </c>
      <c r="B490">
        <v>0.46810000000000002</v>
      </c>
      <c r="C490">
        <v>0.48330000000000001</v>
      </c>
      <c r="D490">
        <v>0.4652</v>
      </c>
      <c r="E490">
        <v>0.47570000000000001</v>
      </c>
      <c r="F490">
        <v>263269.88</v>
      </c>
      <c r="G490">
        <v>0</v>
      </c>
      <c r="L490" t="s">
        <v>7</v>
      </c>
      <c r="M490" t="s">
        <v>7</v>
      </c>
      <c r="N490" t="s">
        <v>7</v>
      </c>
      <c r="P490">
        <f t="shared" si="979"/>
        <v>0.16022099447513882</v>
      </c>
      <c r="Q490">
        <f t="shared" si="980"/>
        <v>42181.361988950463</v>
      </c>
      <c r="R490">
        <f t="shared" si="981"/>
        <v>-10373058.75968213</v>
      </c>
      <c r="S490">
        <f t="shared" si="982"/>
        <v>-103.73058759682129</v>
      </c>
      <c r="T490">
        <f t="shared" si="983"/>
        <v>-0.1037305875968213</v>
      </c>
    </row>
    <row r="491" spans="1:20" x14ac:dyDescent="0.25">
      <c r="A491" s="5">
        <v>44102</v>
      </c>
      <c r="B491">
        <v>0.4698</v>
      </c>
      <c r="C491">
        <v>0.56310000000000004</v>
      </c>
      <c r="D491">
        <v>0.46829999999999999</v>
      </c>
      <c r="E491">
        <v>0.4728</v>
      </c>
      <c r="F491">
        <v>1375246.15</v>
      </c>
      <c r="G491">
        <v>0</v>
      </c>
      <c r="L491" t="s">
        <v>8</v>
      </c>
      <c r="M491" t="s">
        <v>8</v>
      </c>
      <c r="N491" t="s">
        <v>7</v>
      </c>
      <c r="P491">
        <f t="shared" si="979"/>
        <v>-0.90506329113924044</v>
      </c>
      <c r="Q491">
        <f t="shared" si="980"/>
        <v>-1244684.8066455694</v>
      </c>
      <c r="R491">
        <f t="shared" si="981"/>
        <v>-10415240.121671081</v>
      </c>
      <c r="S491">
        <f t="shared" si="982"/>
        <v>-104.1524012167108</v>
      </c>
      <c r="T491">
        <f t="shared" si="983"/>
        <v>-0.10415240121671079</v>
      </c>
    </row>
    <row r="492" spans="1:20" x14ac:dyDescent="0.25">
      <c r="A492" s="5">
        <v>44101</v>
      </c>
      <c r="B492">
        <v>0.46989999999999998</v>
      </c>
      <c r="C492">
        <v>0.4733</v>
      </c>
      <c r="D492">
        <v>0.45590000000000003</v>
      </c>
      <c r="E492">
        <v>0.46910000000000002</v>
      </c>
      <c r="F492">
        <v>158191.32999999999</v>
      </c>
      <c r="G492">
        <v>0</v>
      </c>
      <c r="L492" t="s">
        <v>8</v>
      </c>
      <c r="M492" t="s">
        <v>7</v>
      </c>
      <c r="N492" t="s">
        <v>7</v>
      </c>
      <c r="P492">
        <f t="shared" si="979"/>
        <v>0.51724137931034619</v>
      </c>
      <c r="Q492">
        <f t="shared" si="980"/>
        <v>81823.101724138134</v>
      </c>
      <c r="R492">
        <f t="shared" si="981"/>
        <v>-9170555.3150255103</v>
      </c>
      <c r="S492">
        <f t="shared" si="982"/>
        <v>-91.705553150255099</v>
      </c>
      <c r="T492">
        <f t="shared" si="983"/>
        <v>-9.1705553150255095E-2</v>
      </c>
    </row>
    <row r="493" spans="1:20" x14ac:dyDescent="0.25">
      <c r="A493" s="5">
        <v>44100</v>
      </c>
      <c r="B493">
        <v>0.46739999999999998</v>
      </c>
      <c r="C493">
        <v>0.47099999999999997</v>
      </c>
      <c r="D493">
        <v>0.4531</v>
      </c>
      <c r="E493">
        <v>0.46989999999999998</v>
      </c>
      <c r="F493">
        <v>307373.38</v>
      </c>
      <c r="G493">
        <v>0</v>
      </c>
      <c r="L493" t="s">
        <v>8</v>
      </c>
      <c r="M493" t="s">
        <v>7</v>
      </c>
      <c r="N493" t="s">
        <v>7</v>
      </c>
      <c r="P493">
        <f t="shared" si="979"/>
        <v>0.87709497206704001</v>
      </c>
      <c r="Q493">
        <f t="shared" si="980"/>
        <v>269595.6461452517</v>
      </c>
      <c r="R493">
        <f t="shared" si="981"/>
        <v>-9252378.4167496487</v>
      </c>
      <c r="S493">
        <f t="shared" si="982"/>
        <v>-92.523784167496487</v>
      </c>
      <c r="T493">
        <f t="shared" si="983"/>
        <v>-9.2523784167496487E-2</v>
      </c>
    </row>
    <row r="494" spans="1:20" x14ac:dyDescent="0.25">
      <c r="A494" s="5">
        <v>44099</v>
      </c>
      <c r="B494">
        <v>0.47010000000000002</v>
      </c>
      <c r="C494">
        <v>0.4738</v>
      </c>
      <c r="D494">
        <v>0.44590000000000002</v>
      </c>
      <c r="E494">
        <v>0.46739999999999998</v>
      </c>
      <c r="F494">
        <v>232731.4</v>
      </c>
      <c r="G494">
        <v>0</v>
      </c>
      <c r="L494" t="s">
        <v>8</v>
      </c>
      <c r="M494" t="s">
        <v>7</v>
      </c>
      <c r="N494" t="s">
        <v>7</v>
      </c>
      <c r="P494">
        <f t="shared" si="979"/>
        <v>0.54121863799282999</v>
      </c>
      <c r="Q494">
        <f t="shared" si="980"/>
        <v>125958.57132616451</v>
      </c>
      <c r="R494">
        <f t="shared" si="981"/>
        <v>-9521974.0628949013</v>
      </c>
      <c r="S494">
        <f t="shared" si="982"/>
        <v>-95.219740628949012</v>
      </c>
      <c r="T494">
        <f t="shared" si="983"/>
        <v>-9.5219740628949015E-2</v>
      </c>
    </row>
    <row r="495" spans="1:20" x14ac:dyDescent="0.25">
      <c r="A495" s="5">
        <v>44098</v>
      </c>
      <c r="B495">
        <v>0.45079999999999998</v>
      </c>
      <c r="C495">
        <v>0.47199999999999998</v>
      </c>
      <c r="D495">
        <v>0.43440000000000001</v>
      </c>
      <c r="E495">
        <v>0.4677</v>
      </c>
      <c r="F495">
        <v>331292.39</v>
      </c>
      <c r="G495">
        <v>0</v>
      </c>
      <c r="L495" t="s">
        <v>7</v>
      </c>
      <c r="M495" t="s">
        <v>7</v>
      </c>
      <c r="N495" t="s">
        <v>7</v>
      </c>
      <c r="P495">
        <f t="shared" si="979"/>
        <v>0.77127659574468221</v>
      </c>
      <c r="Q495">
        <f t="shared" si="980"/>
        <v>255518.06675531963</v>
      </c>
      <c r="R495">
        <f t="shared" si="981"/>
        <v>-9647932.6342210658</v>
      </c>
      <c r="S495">
        <f t="shared" si="982"/>
        <v>-96.479326342210655</v>
      </c>
      <c r="T495">
        <f t="shared" si="983"/>
        <v>-9.6479326342210653E-2</v>
      </c>
    </row>
    <row r="496" spans="1:20" x14ac:dyDescent="0.25">
      <c r="A496" s="5">
        <v>44097</v>
      </c>
      <c r="B496">
        <v>0.48080000000000001</v>
      </c>
      <c r="C496">
        <v>0.48659999999999998</v>
      </c>
      <c r="D496">
        <v>0.45219999999999999</v>
      </c>
      <c r="E496">
        <v>0.4546</v>
      </c>
      <c r="F496">
        <v>285709.19</v>
      </c>
      <c r="G496">
        <v>0</v>
      </c>
      <c r="L496" t="s">
        <v>7</v>
      </c>
      <c r="M496" t="s">
        <v>7</v>
      </c>
      <c r="N496" t="s">
        <v>7</v>
      </c>
      <c r="P496">
        <f t="shared" si="979"/>
        <v>-0.86046511627906896</v>
      </c>
      <c r="Q496">
        <f t="shared" si="980"/>
        <v>-245842.79139534861</v>
      </c>
      <c r="R496">
        <f t="shared" si="981"/>
        <v>-9903450.7009763848</v>
      </c>
      <c r="S496">
        <f t="shared" si="982"/>
        <v>-99.034507009763843</v>
      </c>
      <c r="T496">
        <f t="shared" si="983"/>
        <v>-9.9034507009763836E-2</v>
      </c>
    </row>
    <row r="497" spans="1:20" x14ac:dyDescent="0.25">
      <c r="A497" s="5">
        <v>44096</v>
      </c>
      <c r="B497">
        <v>0.48549999999999999</v>
      </c>
      <c r="C497">
        <v>0.48949999999999999</v>
      </c>
      <c r="D497">
        <v>0.46989999999999998</v>
      </c>
      <c r="E497">
        <v>0.48080000000000001</v>
      </c>
      <c r="F497">
        <v>271563.28000000003</v>
      </c>
      <c r="G497">
        <v>0</v>
      </c>
      <c r="L497" t="s">
        <v>7</v>
      </c>
      <c r="M497" t="s">
        <v>7</v>
      </c>
      <c r="N497" t="s">
        <v>7</v>
      </c>
      <c r="P497">
        <f t="shared" si="979"/>
        <v>0.11224489795918544</v>
      </c>
      <c r="Q497">
        <f t="shared" si="980"/>
        <v>30481.592653061707</v>
      </c>
      <c r="R497">
        <f t="shared" si="981"/>
        <v>-9657607.9095810354</v>
      </c>
      <c r="S497">
        <f t="shared" si="982"/>
        <v>-96.576079095810357</v>
      </c>
      <c r="T497">
        <f t="shared" si="983"/>
        <v>-9.6576079095810355E-2</v>
      </c>
    </row>
    <row r="498" spans="1:20" x14ac:dyDescent="0.25">
      <c r="A498" s="5">
        <v>44095</v>
      </c>
      <c r="B498">
        <v>0.55969999999999998</v>
      </c>
      <c r="C498">
        <v>0.56920000000000004</v>
      </c>
      <c r="D498">
        <v>0.46700000000000003</v>
      </c>
      <c r="E498">
        <v>0.48609999999999998</v>
      </c>
      <c r="F498">
        <v>801965.39</v>
      </c>
      <c r="G498">
        <v>0</v>
      </c>
      <c r="L498" t="s">
        <v>7</v>
      </c>
      <c r="M498" t="s">
        <v>7</v>
      </c>
      <c r="N498" t="s">
        <v>7</v>
      </c>
      <c r="P498">
        <f t="shared" si="979"/>
        <v>-0.6262230919765176</v>
      </c>
      <c r="Q498">
        <f t="shared" si="980"/>
        <v>-502209.24618395383</v>
      </c>
      <c r="R498">
        <f t="shared" si="981"/>
        <v>-9688089.5022340976</v>
      </c>
      <c r="S498">
        <f t="shared" si="982"/>
        <v>-96.880895022340979</v>
      </c>
      <c r="T498">
        <f t="shared" si="983"/>
        <v>-9.6880895022340985E-2</v>
      </c>
    </row>
    <row r="499" spans="1:20" x14ac:dyDescent="0.25">
      <c r="A499" s="5">
        <v>44094</v>
      </c>
      <c r="B499">
        <v>0.5867</v>
      </c>
      <c r="C499">
        <v>0.5897</v>
      </c>
      <c r="D499">
        <v>0.5494</v>
      </c>
      <c r="E499">
        <v>0.5554</v>
      </c>
      <c r="F499">
        <v>132231.17000000001</v>
      </c>
      <c r="G499">
        <v>0</v>
      </c>
      <c r="L499" t="s">
        <v>7</v>
      </c>
      <c r="M499" t="s">
        <v>7</v>
      </c>
      <c r="N499" t="s">
        <v>7</v>
      </c>
      <c r="P499">
        <f t="shared" si="979"/>
        <v>-0.70223325062034714</v>
      </c>
      <c r="Q499">
        <f t="shared" si="980"/>
        <v>-92857.124342431736</v>
      </c>
      <c r="R499">
        <f t="shared" si="981"/>
        <v>-9185880.2560501434</v>
      </c>
      <c r="S499">
        <f t="shared" si="982"/>
        <v>-91.858802560501431</v>
      </c>
      <c r="T499">
        <f t="shared" si="983"/>
        <v>-9.1858802560501426E-2</v>
      </c>
    </row>
    <row r="500" spans="1:20" x14ac:dyDescent="0.25">
      <c r="A500" s="5">
        <v>44093</v>
      </c>
      <c r="B500">
        <v>0.58589999999999998</v>
      </c>
      <c r="C500">
        <v>0.59699999999999998</v>
      </c>
      <c r="D500">
        <v>0.58160000000000001</v>
      </c>
      <c r="E500">
        <v>0.58709999999999996</v>
      </c>
      <c r="F500">
        <v>77054.880000000005</v>
      </c>
      <c r="G500">
        <v>0</v>
      </c>
      <c r="L500" t="s">
        <v>7</v>
      </c>
      <c r="M500" t="s">
        <v>7</v>
      </c>
      <c r="N500" t="s">
        <v>7</v>
      </c>
      <c r="P500">
        <f t="shared" si="979"/>
        <v>-0.28571428571429086</v>
      </c>
      <c r="Q500">
        <f t="shared" si="980"/>
        <v>-22015.680000000397</v>
      </c>
      <c r="R500">
        <f t="shared" si="981"/>
        <v>-9093023.1317077111</v>
      </c>
      <c r="S500">
        <f t="shared" si="982"/>
        <v>-90.930231317077116</v>
      </c>
      <c r="T500">
        <f t="shared" si="983"/>
        <v>-9.0930231317077115E-2</v>
      </c>
    </row>
    <row r="501" spans="1:20" x14ac:dyDescent="0.25">
      <c r="A501" s="5">
        <v>44092</v>
      </c>
      <c r="B501">
        <v>0.61539999999999995</v>
      </c>
      <c r="C501">
        <v>0.61560000000000004</v>
      </c>
      <c r="D501">
        <v>0.58279999999999998</v>
      </c>
      <c r="E501">
        <v>0.5857</v>
      </c>
      <c r="F501">
        <v>160533.73000000001</v>
      </c>
      <c r="G501">
        <v>0</v>
      </c>
      <c r="L501" t="s">
        <v>7</v>
      </c>
      <c r="M501" t="s">
        <v>7</v>
      </c>
      <c r="N501" t="s">
        <v>7</v>
      </c>
      <c r="P501">
        <f t="shared" si="979"/>
        <v>-0.82317073170731647</v>
      </c>
      <c r="Q501">
        <f t="shared" si="980"/>
        <v>-132146.6679878048</v>
      </c>
      <c r="R501">
        <f t="shared" si="981"/>
        <v>-9071007.4517077114</v>
      </c>
      <c r="S501">
        <f t="shared" si="982"/>
        <v>-90.710074517077118</v>
      </c>
      <c r="T501">
        <f t="shared" si="983"/>
        <v>-9.0710074517077119E-2</v>
      </c>
    </row>
    <row r="502" spans="1:20" x14ac:dyDescent="0.25">
      <c r="A502" s="5">
        <v>44091</v>
      </c>
      <c r="B502">
        <v>0.63390000000000002</v>
      </c>
      <c r="C502">
        <v>0.65529999999999999</v>
      </c>
      <c r="D502">
        <v>0.60419999999999996</v>
      </c>
      <c r="E502">
        <v>0.61539999999999995</v>
      </c>
      <c r="F502">
        <v>367412.97</v>
      </c>
      <c r="G502">
        <v>0</v>
      </c>
      <c r="L502" t="s">
        <v>7</v>
      </c>
      <c r="M502" t="s">
        <v>7</v>
      </c>
      <c r="N502" t="s">
        <v>7</v>
      </c>
      <c r="P502">
        <f t="shared" si="979"/>
        <v>-0.56164383561643916</v>
      </c>
      <c r="Q502">
        <f t="shared" si="980"/>
        <v>-206355.22972602767</v>
      </c>
      <c r="R502">
        <f t="shared" si="981"/>
        <v>-8938860.7837199066</v>
      </c>
      <c r="S502">
        <f t="shared" si="982"/>
        <v>-89.388607837199061</v>
      </c>
      <c r="T502">
        <f t="shared" si="983"/>
        <v>-8.9388607837199055E-2</v>
      </c>
    </row>
    <row r="503" spans="1:20" x14ac:dyDescent="0.25">
      <c r="A503" s="5">
        <v>44090</v>
      </c>
      <c r="B503">
        <v>0.67349999999999999</v>
      </c>
      <c r="C503">
        <v>0.67349999999999999</v>
      </c>
      <c r="D503">
        <v>0.62219999999999998</v>
      </c>
      <c r="E503">
        <v>0.63390000000000002</v>
      </c>
      <c r="F503">
        <v>227257.11</v>
      </c>
      <c r="G503">
        <v>0</v>
      </c>
      <c r="L503" t="s">
        <v>7</v>
      </c>
      <c r="M503" t="s">
        <v>8</v>
      </c>
      <c r="N503" t="s">
        <v>7</v>
      </c>
      <c r="P503">
        <f t="shared" si="979"/>
        <v>-0.54385964912280538</v>
      </c>
      <c r="Q503">
        <f t="shared" si="980"/>
        <v>-123595.97210526277</v>
      </c>
      <c r="R503">
        <f t="shared" si="981"/>
        <v>-8732505.5539938789</v>
      </c>
      <c r="S503">
        <f t="shared" si="982"/>
        <v>-87.325055539938788</v>
      </c>
      <c r="T503">
        <f t="shared" si="983"/>
        <v>-8.7325055539938787E-2</v>
      </c>
    </row>
    <row r="504" spans="1:20" x14ac:dyDescent="0.25">
      <c r="A504" s="5">
        <v>44089</v>
      </c>
      <c r="B504">
        <v>0.67230000000000001</v>
      </c>
      <c r="C504">
        <v>0.71550000000000002</v>
      </c>
      <c r="D504">
        <v>0.66400000000000003</v>
      </c>
      <c r="E504">
        <v>0.67369999999999997</v>
      </c>
      <c r="F504">
        <v>438477.43</v>
      </c>
      <c r="G504">
        <v>0</v>
      </c>
      <c r="L504" t="s">
        <v>8</v>
      </c>
      <c r="M504" t="s">
        <v>8</v>
      </c>
      <c r="N504" t="s">
        <v>7</v>
      </c>
      <c r="P504">
        <f t="shared" si="979"/>
        <v>-0.623300970873789</v>
      </c>
      <c r="Q504">
        <f t="shared" si="980"/>
        <v>-273303.40782524383</v>
      </c>
      <c r="R504">
        <f t="shared" si="981"/>
        <v>-8608909.5818886161</v>
      </c>
      <c r="S504">
        <f t="shared" si="982"/>
        <v>-86.089095818886165</v>
      </c>
      <c r="T504">
        <f t="shared" si="983"/>
        <v>-8.6089095818886158E-2</v>
      </c>
    </row>
    <row r="505" spans="1:20" x14ac:dyDescent="0.25">
      <c r="A505" s="5">
        <v>44088</v>
      </c>
      <c r="B505">
        <v>0.63560000000000005</v>
      </c>
      <c r="C505">
        <v>0.67559999999999998</v>
      </c>
      <c r="D505">
        <v>0.624</v>
      </c>
      <c r="E505">
        <v>0.67169999999999996</v>
      </c>
      <c r="F505">
        <v>275845.55</v>
      </c>
      <c r="G505">
        <v>0</v>
      </c>
      <c r="L505" t="s">
        <v>7</v>
      </c>
      <c r="M505" t="s">
        <v>8</v>
      </c>
      <c r="N505" t="s">
        <v>7</v>
      </c>
      <c r="P505">
        <f t="shared" si="979"/>
        <v>0.84883720930232498</v>
      </c>
      <c r="Q505">
        <f t="shared" si="980"/>
        <v>234147.96686046495</v>
      </c>
      <c r="R505">
        <f t="shared" si="981"/>
        <v>-8335606.1740633724</v>
      </c>
      <c r="S505">
        <f t="shared" si="982"/>
        <v>-83.35606174063372</v>
      </c>
      <c r="T505">
        <f t="shared" si="983"/>
        <v>-8.3356061740633716E-2</v>
      </c>
    </row>
    <row r="506" spans="1:20" x14ac:dyDescent="0.25">
      <c r="A506" s="5">
        <v>44087</v>
      </c>
      <c r="B506">
        <v>0.64610000000000001</v>
      </c>
      <c r="C506">
        <v>0.68200000000000005</v>
      </c>
      <c r="D506">
        <v>0.62509999999999999</v>
      </c>
      <c r="E506">
        <v>0.63639999999999997</v>
      </c>
      <c r="F506">
        <v>370580.91</v>
      </c>
      <c r="G506">
        <v>0</v>
      </c>
      <c r="L506" t="s">
        <v>8</v>
      </c>
      <c r="M506" t="s">
        <v>8</v>
      </c>
      <c r="N506" t="s">
        <v>7</v>
      </c>
      <c r="P506">
        <f t="shared" si="979"/>
        <v>-0.60281195079086236</v>
      </c>
      <c r="Q506">
        <f t="shared" si="980"/>
        <v>-223390.60128295296</v>
      </c>
      <c r="R506">
        <f t="shared" si="981"/>
        <v>-8569754.1409238372</v>
      </c>
      <c r="S506">
        <f t="shared" si="982"/>
        <v>-85.697541409238369</v>
      </c>
      <c r="T506">
        <f t="shared" si="983"/>
        <v>-8.5697541409238367E-2</v>
      </c>
    </row>
    <row r="507" spans="1:20" x14ac:dyDescent="0.25">
      <c r="A507" s="5">
        <v>44086</v>
      </c>
      <c r="B507">
        <v>0.66320000000000001</v>
      </c>
      <c r="C507">
        <v>0.66320000000000001</v>
      </c>
      <c r="D507">
        <v>0.63380000000000003</v>
      </c>
      <c r="E507">
        <v>0.64380000000000004</v>
      </c>
      <c r="F507">
        <v>216381.2</v>
      </c>
      <c r="G507">
        <v>0</v>
      </c>
      <c r="L507" t="s">
        <v>7</v>
      </c>
      <c r="M507" t="s">
        <v>8</v>
      </c>
      <c r="N507" t="s">
        <v>7</v>
      </c>
      <c r="P507">
        <f t="shared" si="979"/>
        <v>-0.31972789115646155</v>
      </c>
      <c r="Q507">
        <f t="shared" si="980"/>
        <v>-69183.104761904542</v>
      </c>
      <c r="R507">
        <f t="shared" si="981"/>
        <v>-8346363.5396408848</v>
      </c>
      <c r="S507">
        <f t="shared" si="982"/>
        <v>-83.463635396408847</v>
      </c>
      <c r="T507">
        <f t="shared" si="983"/>
        <v>-8.3463635396408845E-2</v>
      </c>
    </row>
    <row r="508" spans="1:20" x14ac:dyDescent="0.25">
      <c r="A508" s="5">
        <v>44085</v>
      </c>
      <c r="B508">
        <v>0.68530000000000002</v>
      </c>
      <c r="C508">
        <v>0.68530000000000002</v>
      </c>
      <c r="D508">
        <v>0.62719999999999998</v>
      </c>
      <c r="E508">
        <v>0.66510000000000002</v>
      </c>
      <c r="F508">
        <v>431701.93</v>
      </c>
      <c r="G508">
        <v>0</v>
      </c>
      <c r="L508" t="s">
        <v>7</v>
      </c>
      <c r="M508" t="s">
        <v>8</v>
      </c>
      <c r="N508" t="s">
        <v>7</v>
      </c>
      <c r="P508">
        <f t="shared" si="979"/>
        <v>0.30464716006884746</v>
      </c>
      <c r="Q508">
        <f t="shared" si="980"/>
        <v>131516.76697074037</v>
      </c>
      <c r="R508">
        <f t="shared" si="981"/>
        <v>-8277180.4348789807</v>
      </c>
      <c r="S508">
        <f t="shared" si="982"/>
        <v>-82.771804348789814</v>
      </c>
      <c r="T508">
        <f t="shared" si="983"/>
        <v>-8.2771804348789821E-2</v>
      </c>
    </row>
    <row r="509" spans="1:20" x14ac:dyDescent="0.25">
      <c r="A509" s="5">
        <v>44084</v>
      </c>
      <c r="B509">
        <v>0.69410000000000005</v>
      </c>
      <c r="C509">
        <v>0.71599999999999997</v>
      </c>
      <c r="D509">
        <v>0.66639999999999999</v>
      </c>
      <c r="E509">
        <v>0.68589999999999995</v>
      </c>
      <c r="F509">
        <v>829801.65</v>
      </c>
      <c r="G509">
        <v>0</v>
      </c>
      <c r="L509" t="s">
        <v>7</v>
      </c>
      <c r="M509" t="s">
        <v>8</v>
      </c>
      <c r="N509" t="s">
        <v>7</v>
      </c>
      <c r="P509">
        <f t="shared" si="979"/>
        <v>-0.21370967741935601</v>
      </c>
      <c r="Q509">
        <f t="shared" si="980"/>
        <v>-177336.64294354938</v>
      </c>
      <c r="R509">
        <f t="shared" si="981"/>
        <v>-8408697.2018497214</v>
      </c>
      <c r="S509">
        <f t="shared" si="982"/>
        <v>-84.086972018497207</v>
      </c>
      <c r="T509">
        <f t="shared" si="983"/>
        <v>-8.4086972018497214E-2</v>
      </c>
    </row>
    <row r="510" spans="1:20" x14ac:dyDescent="0.25">
      <c r="A510" s="5">
        <v>44083</v>
      </c>
      <c r="B510">
        <v>0.6411</v>
      </c>
      <c r="C510">
        <v>0.73599999999999999</v>
      </c>
      <c r="D510">
        <v>0.61919999999999997</v>
      </c>
      <c r="E510">
        <v>0.69040000000000001</v>
      </c>
      <c r="F510">
        <v>1320836.9099999999</v>
      </c>
      <c r="G510">
        <v>0</v>
      </c>
      <c r="L510" t="s">
        <v>8</v>
      </c>
      <c r="M510" t="s">
        <v>8</v>
      </c>
      <c r="N510" t="s">
        <v>7</v>
      </c>
      <c r="P510">
        <f t="shared" si="979"/>
        <v>0.21917808219178136</v>
      </c>
      <c r="Q510">
        <f t="shared" si="980"/>
        <v>289498.50082191848</v>
      </c>
      <c r="R510">
        <f t="shared" si="981"/>
        <v>-8231360.5589061715</v>
      </c>
      <c r="S510">
        <f t="shared" si="982"/>
        <v>-82.313605589061709</v>
      </c>
      <c r="T510">
        <f t="shared" si="983"/>
        <v>-8.2313605589061714E-2</v>
      </c>
    </row>
    <row r="511" spans="1:20" x14ac:dyDescent="0.25">
      <c r="A511" s="5">
        <v>44082</v>
      </c>
      <c r="B511">
        <v>0.59160000000000001</v>
      </c>
      <c r="C511">
        <v>0.66610000000000003</v>
      </c>
      <c r="D511">
        <v>0.58430000000000004</v>
      </c>
      <c r="E511">
        <v>0.64049999999999996</v>
      </c>
      <c r="F511">
        <v>647679.61</v>
      </c>
      <c r="G511">
        <v>0</v>
      </c>
      <c r="L511" t="s">
        <v>8</v>
      </c>
      <c r="M511" t="s">
        <v>8</v>
      </c>
      <c r="N511" t="s">
        <v>7</v>
      </c>
      <c r="P511">
        <f t="shared" si="979"/>
        <v>0.3740831295843503</v>
      </c>
      <c r="Q511">
        <f t="shared" si="980"/>
        <v>242286.01547677146</v>
      </c>
      <c r="R511">
        <f t="shared" si="981"/>
        <v>-8520859.0597280897</v>
      </c>
      <c r="S511">
        <f t="shared" si="982"/>
        <v>-85.208590597280903</v>
      </c>
      <c r="T511">
        <f t="shared" si="983"/>
        <v>-8.5208590597280906E-2</v>
      </c>
    </row>
    <row r="512" spans="1:20" x14ac:dyDescent="0.25">
      <c r="A512" s="5">
        <v>44081</v>
      </c>
      <c r="B512">
        <v>0.5746</v>
      </c>
      <c r="C512">
        <v>0.64480000000000004</v>
      </c>
      <c r="D512">
        <v>0.53520000000000001</v>
      </c>
      <c r="E512">
        <v>0.58760000000000001</v>
      </c>
      <c r="F512">
        <v>941478.58</v>
      </c>
      <c r="G512">
        <v>0</v>
      </c>
      <c r="L512" t="s">
        <v>8</v>
      </c>
      <c r="M512" t="s">
        <v>8</v>
      </c>
      <c r="N512" t="s">
        <v>7</v>
      </c>
      <c r="P512">
        <f t="shared" si="979"/>
        <v>-4.3795620437956435E-2</v>
      </c>
      <c r="Q512">
        <f t="shared" si="980"/>
        <v>-41232.638540146203</v>
      </c>
      <c r="R512">
        <f t="shared" si="981"/>
        <v>-8763145.0752048604</v>
      </c>
      <c r="S512">
        <f t="shared" si="982"/>
        <v>-87.631450752048607</v>
      </c>
      <c r="T512">
        <f t="shared" si="983"/>
        <v>-8.7631450752048604E-2</v>
      </c>
    </row>
    <row r="513" spans="1:20" x14ac:dyDescent="0.25">
      <c r="A513" s="5">
        <v>44080</v>
      </c>
      <c r="B513">
        <v>0.53800000000000003</v>
      </c>
      <c r="C513">
        <v>0.58620000000000005</v>
      </c>
      <c r="D513">
        <v>0.52</v>
      </c>
      <c r="E513">
        <v>0.57379999999999998</v>
      </c>
      <c r="F513">
        <v>464857.94</v>
      </c>
      <c r="G513">
        <v>0</v>
      </c>
      <c r="L513" t="s">
        <v>8</v>
      </c>
      <c r="M513" t="s">
        <v>7</v>
      </c>
      <c r="N513" t="s">
        <v>7</v>
      </c>
      <c r="P513">
        <f t="shared" si="979"/>
        <v>0.62537764350452962</v>
      </c>
      <c r="Q513">
        <f t="shared" si="980"/>
        <v>290711.76308157004</v>
      </c>
      <c r="R513">
        <f t="shared" si="981"/>
        <v>-8721912.4366647135</v>
      </c>
      <c r="S513">
        <f t="shared" si="982"/>
        <v>-87.219124366647137</v>
      </c>
      <c r="T513">
        <f t="shared" si="983"/>
        <v>-8.7219124366647138E-2</v>
      </c>
    </row>
    <row r="514" spans="1:20" x14ac:dyDescent="0.25">
      <c r="A514" s="5">
        <v>44079</v>
      </c>
      <c r="B514">
        <v>0.61980000000000002</v>
      </c>
      <c r="C514">
        <v>0.63070000000000004</v>
      </c>
      <c r="D514">
        <v>0.51329999999999998</v>
      </c>
      <c r="E514">
        <v>0.53690000000000004</v>
      </c>
      <c r="F514">
        <v>523455.6</v>
      </c>
      <c r="G514">
        <v>0</v>
      </c>
      <c r="L514" t="s">
        <v>7</v>
      </c>
      <c r="M514" t="s">
        <v>7</v>
      </c>
      <c r="N514" t="s">
        <v>7</v>
      </c>
      <c r="P514">
        <f t="shared" si="979"/>
        <v>-0.59795570698466693</v>
      </c>
      <c r="Q514">
        <f t="shared" si="980"/>
        <v>-313003.26337308303</v>
      </c>
      <c r="R514">
        <f t="shared" si="981"/>
        <v>-9012624.1997462828</v>
      </c>
      <c r="S514">
        <f t="shared" si="982"/>
        <v>-90.126241997462827</v>
      </c>
      <c r="T514">
        <f t="shared" si="983"/>
        <v>-9.012624199746283E-2</v>
      </c>
    </row>
    <row r="515" spans="1:20" x14ac:dyDescent="0.25">
      <c r="A515" s="5">
        <v>44078</v>
      </c>
      <c r="B515">
        <v>0.55549999999999999</v>
      </c>
      <c r="C515">
        <v>0.63370000000000004</v>
      </c>
      <c r="D515">
        <v>0.54449999999999998</v>
      </c>
      <c r="E515">
        <v>0.62</v>
      </c>
      <c r="F515">
        <v>820189.11</v>
      </c>
      <c r="G515">
        <v>0</v>
      </c>
      <c r="L515" t="s">
        <v>8</v>
      </c>
      <c r="M515" t="s">
        <v>7</v>
      </c>
      <c r="N515" t="s">
        <v>7</v>
      </c>
      <c r="P515">
        <f t="shared" si="979"/>
        <v>0.69282511210762254</v>
      </c>
      <c r="Q515">
        <f t="shared" si="980"/>
        <v>568247.6120852012</v>
      </c>
      <c r="R515">
        <f t="shared" si="981"/>
        <v>-8699620.9363732003</v>
      </c>
      <c r="S515">
        <f t="shared" si="982"/>
        <v>-86.996209363732007</v>
      </c>
      <c r="T515">
        <f t="shared" si="983"/>
        <v>-8.6996209363732008E-2</v>
      </c>
    </row>
    <row r="516" spans="1:20" x14ac:dyDescent="0.25">
      <c r="A516" s="5">
        <v>44077</v>
      </c>
      <c r="B516">
        <v>0.73360000000000003</v>
      </c>
      <c r="C516">
        <v>0.73829999999999996</v>
      </c>
      <c r="D516">
        <v>0.54</v>
      </c>
      <c r="E516">
        <v>0.55289999999999995</v>
      </c>
      <c r="F516">
        <v>1375676.19</v>
      </c>
      <c r="G516">
        <v>0</v>
      </c>
      <c r="L516" t="s">
        <v>7</v>
      </c>
      <c r="M516" t="s">
        <v>7</v>
      </c>
      <c r="N516" t="s">
        <v>7</v>
      </c>
      <c r="P516">
        <f t="shared" si="979"/>
        <v>-0.86989409984871491</v>
      </c>
      <c r="Q516">
        <f t="shared" si="980"/>
        <v>-1196692.6009833596</v>
      </c>
      <c r="R516">
        <f t="shared" si="981"/>
        <v>-9267868.5484584011</v>
      </c>
      <c r="S516">
        <f t="shared" si="982"/>
        <v>-92.678685484584008</v>
      </c>
      <c r="T516">
        <f t="shared" si="983"/>
        <v>-9.2678685484584009E-2</v>
      </c>
    </row>
    <row r="517" spans="1:20" x14ac:dyDescent="0.25">
      <c r="A517" s="5">
        <v>44076</v>
      </c>
      <c r="B517">
        <v>0.67920000000000003</v>
      </c>
      <c r="C517">
        <v>0.78149999999999997</v>
      </c>
      <c r="D517">
        <v>0.66169999999999995</v>
      </c>
      <c r="E517">
        <v>0.73470000000000002</v>
      </c>
      <c r="F517">
        <v>2291083.4900000002</v>
      </c>
      <c r="G517">
        <v>0</v>
      </c>
      <c r="L517" t="s">
        <v>7</v>
      </c>
      <c r="M517" t="s">
        <v>7</v>
      </c>
      <c r="N517" t="s">
        <v>7</v>
      </c>
      <c r="P517">
        <f t="shared" si="979"/>
        <v>0.21869782971619456</v>
      </c>
      <c r="Q517">
        <f t="shared" si="980"/>
        <v>501054.98696160479</v>
      </c>
      <c r="R517">
        <f t="shared" si="981"/>
        <v>-8071175.9474750422</v>
      </c>
      <c r="S517">
        <f t="shared" si="982"/>
        <v>-80.711759474750423</v>
      </c>
      <c r="T517">
        <f t="shared" si="983"/>
        <v>-8.0711759474750427E-2</v>
      </c>
    </row>
    <row r="518" spans="1:20" x14ac:dyDescent="0.25">
      <c r="A518" s="5">
        <v>44075</v>
      </c>
      <c r="B518">
        <v>0.71509999999999996</v>
      </c>
      <c r="C518">
        <v>0.73099999999999998</v>
      </c>
      <c r="D518">
        <v>0.67530000000000001</v>
      </c>
      <c r="E518">
        <v>0.6794</v>
      </c>
      <c r="F518">
        <v>933529.24</v>
      </c>
      <c r="G518">
        <v>0</v>
      </c>
      <c r="L518" t="s">
        <v>7</v>
      </c>
      <c r="M518" t="s">
        <v>7</v>
      </c>
      <c r="N518" t="s">
        <v>7</v>
      </c>
      <c r="P518">
        <f t="shared" ref="P518:P581" si="984">IF(C518=D518,0,((E518-D518)-(C518-E518))/(C518-D518))</f>
        <v>-0.85278276481149029</v>
      </c>
      <c r="Q518">
        <f t="shared" ref="Q518:Q581" si="985">F518*P518</f>
        <v>-796097.64631956932</v>
      </c>
      <c r="R518">
        <f t="shared" ref="R518:R581" si="986">R519+Q518</f>
        <v>-8572230.9344366472</v>
      </c>
      <c r="S518">
        <f t="shared" ref="S518:S581" si="987">R518/100000</f>
        <v>-85.722309344366465</v>
      </c>
      <c r="T518">
        <f t="shared" ref="T518:T581" si="988">S518/1000</f>
        <v>-8.5722309344366462E-2</v>
      </c>
    </row>
    <row r="519" spans="1:20" x14ac:dyDescent="0.25">
      <c r="A519" s="5">
        <v>44074</v>
      </c>
      <c r="B519">
        <v>0.752</v>
      </c>
      <c r="C519">
        <v>0.76519999999999999</v>
      </c>
      <c r="D519">
        <v>0.71199999999999997</v>
      </c>
      <c r="E519">
        <v>0.71509999999999996</v>
      </c>
      <c r="F519">
        <v>658597.91</v>
      </c>
      <c r="G519">
        <v>0</v>
      </c>
      <c r="L519" t="s">
        <v>7</v>
      </c>
      <c r="M519" t="s">
        <v>7</v>
      </c>
      <c r="N519" t="s">
        <v>7</v>
      </c>
      <c r="P519">
        <f t="shared" si="984"/>
        <v>-0.88345864661654172</v>
      </c>
      <c r="Q519">
        <f t="shared" si="985"/>
        <v>-581844.01823308296</v>
      </c>
      <c r="R519">
        <f t="shared" si="986"/>
        <v>-7776133.2881170772</v>
      </c>
      <c r="S519">
        <f t="shared" si="987"/>
        <v>-77.761332881170773</v>
      </c>
      <c r="T519">
        <f t="shared" si="988"/>
        <v>-7.7761332881170778E-2</v>
      </c>
    </row>
    <row r="520" spans="1:20" x14ac:dyDescent="0.25">
      <c r="A520" s="5">
        <v>44073</v>
      </c>
      <c r="B520">
        <v>0.74050000000000005</v>
      </c>
      <c r="C520">
        <v>0.78339999999999999</v>
      </c>
      <c r="D520">
        <v>0.73609999999999998</v>
      </c>
      <c r="E520">
        <v>0.75190000000000001</v>
      </c>
      <c r="F520">
        <v>531497.79</v>
      </c>
      <c r="G520">
        <v>0</v>
      </c>
      <c r="L520" t="s">
        <v>7</v>
      </c>
      <c r="M520" t="s">
        <v>7</v>
      </c>
      <c r="N520" t="s">
        <v>7</v>
      </c>
      <c r="P520">
        <f t="shared" si="984"/>
        <v>-0.33192389006342354</v>
      </c>
      <c r="Q520">
        <f t="shared" si="985"/>
        <v>-176416.8140169126</v>
      </c>
      <c r="R520">
        <f t="shared" si="986"/>
        <v>-7194289.269883994</v>
      </c>
      <c r="S520">
        <f t="shared" si="987"/>
        <v>-71.942892698839941</v>
      </c>
      <c r="T520">
        <f t="shared" si="988"/>
        <v>-7.1942892698839939E-2</v>
      </c>
    </row>
    <row r="521" spans="1:20" x14ac:dyDescent="0.25">
      <c r="A521" s="5">
        <v>44072</v>
      </c>
      <c r="B521">
        <v>0.76990000000000003</v>
      </c>
      <c r="C521">
        <v>0.78839999999999999</v>
      </c>
      <c r="D521">
        <v>0.73219999999999996</v>
      </c>
      <c r="E521">
        <v>0.74050000000000005</v>
      </c>
      <c r="F521">
        <v>483279.14</v>
      </c>
      <c r="G521">
        <v>0</v>
      </c>
      <c r="L521" t="s">
        <v>7</v>
      </c>
      <c r="M521" t="s">
        <v>7</v>
      </c>
      <c r="N521" t="s">
        <v>7</v>
      </c>
      <c r="P521">
        <f t="shared" si="984"/>
        <v>-0.70462633451957002</v>
      </c>
      <c r="Q521">
        <f t="shared" si="985"/>
        <v>-340531.2089679701</v>
      </c>
      <c r="R521">
        <f t="shared" si="986"/>
        <v>-7017872.4558670819</v>
      </c>
      <c r="S521">
        <f t="shared" si="987"/>
        <v>-70.178724558670822</v>
      </c>
      <c r="T521">
        <f t="shared" si="988"/>
        <v>-7.0178724558670816E-2</v>
      </c>
    </row>
    <row r="522" spans="1:20" x14ac:dyDescent="0.25">
      <c r="A522" s="5">
        <v>44071</v>
      </c>
      <c r="B522">
        <v>0.74839999999999995</v>
      </c>
      <c r="C522">
        <v>0.79910000000000003</v>
      </c>
      <c r="D522">
        <v>0.73250000000000004</v>
      </c>
      <c r="E522">
        <v>0.76949999999999996</v>
      </c>
      <c r="F522">
        <v>848194.49</v>
      </c>
      <c r="G522">
        <v>0</v>
      </c>
      <c r="L522" t="s">
        <v>8</v>
      </c>
      <c r="M522" t="s">
        <v>7</v>
      </c>
      <c r="N522" t="s">
        <v>7</v>
      </c>
      <c r="P522">
        <f t="shared" si="984"/>
        <v>0.11111111111110888</v>
      </c>
      <c r="Q522">
        <f t="shared" si="985"/>
        <v>94243.832222220328</v>
      </c>
      <c r="R522">
        <f t="shared" si="986"/>
        <v>-6677341.2468991121</v>
      </c>
      <c r="S522">
        <f t="shared" si="987"/>
        <v>-66.773412468991125</v>
      </c>
      <c r="T522">
        <f t="shared" si="988"/>
        <v>-6.6773412468991128E-2</v>
      </c>
    </row>
    <row r="523" spans="1:20" x14ac:dyDescent="0.25">
      <c r="A523" s="5">
        <v>44070</v>
      </c>
      <c r="B523">
        <v>0.83250000000000002</v>
      </c>
      <c r="C523">
        <v>0.83630000000000004</v>
      </c>
      <c r="D523">
        <v>0.72560000000000002</v>
      </c>
      <c r="E523">
        <v>0.74529999999999996</v>
      </c>
      <c r="F523">
        <v>1268631.1000000001</v>
      </c>
      <c r="G523">
        <v>0</v>
      </c>
      <c r="L523" t="s">
        <v>7</v>
      </c>
      <c r="M523" t="s">
        <v>7</v>
      </c>
      <c r="N523" t="s">
        <v>7</v>
      </c>
      <c r="P523">
        <f t="shared" si="984"/>
        <v>-0.64408310749774278</v>
      </c>
      <c r="Q523">
        <f t="shared" si="985"/>
        <v>-817103.86115627969</v>
      </c>
      <c r="R523">
        <f t="shared" si="986"/>
        <v>-6771585.0791213326</v>
      </c>
      <c r="S523">
        <f t="shared" si="987"/>
        <v>-67.715850791213327</v>
      </c>
      <c r="T523">
        <f t="shared" si="988"/>
        <v>-6.7715850791213325E-2</v>
      </c>
    </row>
    <row r="524" spans="1:20" x14ac:dyDescent="0.25">
      <c r="A524" s="5">
        <v>44069</v>
      </c>
      <c r="B524">
        <v>0.89329999999999998</v>
      </c>
      <c r="C524">
        <v>0.93559999999999999</v>
      </c>
      <c r="D524">
        <v>0.81620000000000004</v>
      </c>
      <c r="E524">
        <v>0.83660000000000001</v>
      </c>
      <c r="F524">
        <v>2148915.27</v>
      </c>
      <c r="G524">
        <v>0</v>
      </c>
      <c r="L524" t="s">
        <v>7</v>
      </c>
      <c r="M524" t="s">
        <v>7</v>
      </c>
      <c r="N524" t="s">
        <v>8</v>
      </c>
      <c r="P524">
        <f t="shared" si="984"/>
        <v>-0.65829145728643246</v>
      </c>
      <c r="Q524">
        <f t="shared" si="985"/>
        <v>-1414612.5646733674</v>
      </c>
      <c r="R524">
        <f t="shared" si="986"/>
        <v>-5954481.2179650534</v>
      </c>
      <c r="S524">
        <f t="shared" si="987"/>
        <v>-59.544812179650535</v>
      </c>
      <c r="T524">
        <f t="shared" si="988"/>
        <v>-5.9544812179650533E-2</v>
      </c>
    </row>
    <row r="525" spans="1:20" x14ac:dyDescent="0.25">
      <c r="A525" s="5">
        <v>44068</v>
      </c>
      <c r="B525">
        <v>0.79930000000000001</v>
      </c>
      <c r="C525">
        <v>1.0099</v>
      </c>
      <c r="D525">
        <v>0.78129999999999999</v>
      </c>
      <c r="E525">
        <v>0.89600000000000002</v>
      </c>
      <c r="F525">
        <v>8817827.7200000007</v>
      </c>
      <c r="G525">
        <v>0</v>
      </c>
      <c r="L525" t="s">
        <v>8</v>
      </c>
      <c r="M525" t="s">
        <v>8</v>
      </c>
      <c r="N525" t="s">
        <v>8</v>
      </c>
      <c r="P525">
        <f t="shared" si="984"/>
        <v>3.4995625546807648E-3</v>
      </c>
      <c r="Q525">
        <f t="shared" si="985"/>
        <v>30858.539702538066</v>
      </c>
      <c r="R525">
        <f t="shared" si="986"/>
        <v>-4539868.6532916855</v>
      </c>
      <c r="S525">
        <f t="shared" si="987"/>
        <v>-45.398686532916855</v>
      </c>
      <c r="T525">
        <f t="shared" si="988"/>
        <v>-4.5398686532916857E-2</v>
      </c>
    </row>
    <row r="526" spans="1:20" x14ac:dyDescent="0.25">
      <c r="A526" s="5">
        <v>44067</v>
      </c>
      <c r="B526">
        <v>0.7137</v>
      </c>
      <c r="C526">
        <v>0.82950000000000002</v>
      </c>
      <c r="D526">
        <v>0.71</v>
      </c>
      <c r="E526">
        <v>0.79930000000000001</v>
      </c>
      <c r="F526">
        <v>4090981.5</v>
      </c>
      <c r="G526">
        <v>0</v>
      </c>
      <c r="L526" t="s">
        <v>8</v>
      </c>
      <c r="M526" t="s">
        <v>8</v>
      </c>
      <c r="N526" t="s">
        <v>8</v>
      </c>
      <c r="P526">
        <f t="shared" si="984"/>
        <v>0.49456066945606708</v>
      </c>
      <c r="Q526">
        <f t="shared" si="985"/>
        <v>2023238.5493723855</v>
      </c>
      <c r="R526">
        <f t="shared" si="986"/>
        <v>-4570727.1929942239</v>
      </c>
      <c r="S526">
        <f t="shared" si="987"/>
        <v>-45.707271929942237</v>
      </c>
      <c r="T526">
        <f t="shared" si="988"/>
        <v>-4.5707271929942235E-2</v>
      </c>
    </row>
    <row r="527" spans="1:20" x14ac:dyDescent="0.25">
      <c r="A527" s="5">
        <v>44066</v>
      </c>
      <c r="B527">
        <v>0.75819999999999999</v>
      </c>
      <c r="C527">
        <v>0.7591</v>
      </c>
      <c r="D527">
        <v>0.70499999999999996</v>
      </c>
      <c r="E527">
        <v>0.71350000000000002</v>
      </c>
      <c r="F527">
        <v>2211794.2400000002</v>
      </c>
      <c r="G527">
        <v>0</v>
      </c>
      <c r="L527" t="s">
        <v>8</v>
      </c>
      <c r="M527" t="s">
        <v>7</v>
      </c>
      <c r="N527" t="s">
        <v>7</v>
      </c>
      <c r="P527">
        <f t="shared" si="984"/>
        <v>-0.68576709796672619</v>
      </c>
      <c r="Q527">
        <f t="shared" si="985"/>
        <v>-1516775.7172643209</v>
      </c>
      <c r="R527">
        <f t="shared" si="986"/>
        <v>-6593965.7423666092</v>
      </c>
      <c r="S527">
        <f t="shared" si="987"/>
        <v>-65.939657423666091</v>
      </c>
      <c r="T527">
        <f t="shared" si="988"/>
        <v>-6.5939657423666087E-2</v>
      </c>
    </row>
    <row r="528" spans="1:20" x14ac:dyDescent="0.25">
      <c r="A528" s="5">
        <v>44065</v>
      </c>
      <c r="B528">
        <v>0.69179999999999997</v>
      </c>
      <c r="C528">
        <v>0.77290000000000003</v>
      </c>
      <c r="D528">
        <v>0.67600000000000005</v>
      </c>
      <c r="E528">
        <v>0.7591</v>
      </c>
      <c r="F528">
        <v>1716528.51</v>
      </c>
      <c r="G528">
        <v>0</v>
      </c>
      <c r="L528" t="s">
        <v>7</v>
      </c>
      <c r="M528" t="s">
        <v>7</v>
      </c>
      <c r="N528" t="s">
        <v>7</v>
      </c>
      <c r="P528">
        <f t="shared" si="984"/>
        <v>0.71517027863777016</v>
      </c>
      <c r="Q528">
        <f t="shared" si="985"/>
        <v>1227610.1727863764</v>
      </c>
      <c r="R528">
        <f t="shared" si="986"/>
        <v>-5077190.0251022885</v>
      </c>
      <c r="S528">
        <f t="shared" si="987"/>
        <v>-50.771900251022885</v>
      </c>
      <c r="T528">
        <f t="shared" si="988"/>
        <v>-5.0771900251022885E-2</v>
      </c>
    </row>
    <row r="529" spans="1:20" x14ac:dyDescent="0.25">
      <c r="A529" s="5">
        <v>44064</v>
      </c>
      <c r="B529">
        <v>0.67989999999999995</v>
      </c>
      <c r="C529">
        <v>0.76119999999999999</v>
      </c>
      <c r="D529">
        <v>0.67949999999999999</v>
      </c>
      <c r="E529">
        <v>0.69479999999999997</v>
      </c>
      <c r="F529">
        <v>2670631.31</v>
      </c>
      <c r="G529">
        <v>0</v>
      </c>
      <c r="L529" t="s">
        <v>8</v>
      </c>
      <c r="M529" t="s">
        <v>7</v>
      </c>
      <c r="N529" t="s">
        <v>7</v>
      </c>
      <c r="P529">
        <f t="shared" si="984"/>
        <v>-0.62545899632802981</v>
      </c>
      <c r="Q529">
        <f t="shared" si="985"/>
        <v>-1670370.3787148115</v>
      </c>
      <c r="R529">
        <f t="shared" si="986"/>
        <v>-6304800.1978886649</v>
      </c>
      <c r="S529">
        <f t="shared" si="987"/>
        <v>-63.048001978886646</v>
      </c>
      <c r="T529">
        <f t="shared" si="988"/>
        <v>-6.3048001978886645E-2</v>
      </c>
    </row>
    <row r="530" spans="1:20" x14ac:dyDescent="0.25">
      <c r="A530" s="5">
        <v>44063</v>
      </c>
      <c r="B530">
        <v>0.66059999999999997</v>
      </c>
      <c r="C530">
        <v>0.68069999999999997</v>
      </c>
      <c r="D530">
        <v>0.6512</v>
      </c>
      <c r="E530">
        <v>0.67979999999999996</v>
      </c>
      <c r="F530">
        <v>1092416.54</v>
      </c>
      <c r="G530">
        <v>0</v>
      </c>
      <c r="L530" t="s">
        <v>7</v>
      </c>
      <c r="M530" t="s">
        <v>7</v>
      </c>
      <c r="N530" t="s">
        <v>7</v>
      </c>
      <c r="P530">
        <f t="shared" si="984"/>
        <v>0.93898305084745681</v>
      </c>
      <c r="Q530">
        <f t="shared" si="985"/>
        <v>1025760.6155254229</v>
      </c>
      <c r="R530">
        <f t="shared" si="986"/>
        <v>-4634429.8191738529</v>
      </c>
      <c r="S530">
        <f t="shared" si="987"/>
        <v>-46.344298191738531</v>
      </c>
      <c r="T530">
        <f t="shared" si="988"/>
        <v>-4.6344298191738534E-2</v>
      </c>
    </row>
    <row r="531" spans="1:20" x14ac:dyDescent="0.25">
      <c r="A531" s="5">
        <v>44062</v>
      </c>
      <c r="B531">
        <v>0.68769999999999998</v>
      </c>
      <c r="C531">
        <v>0.71209999999999996</v>
      </c>
      <c r="D531">
        <v>0.65600000000000003</v>
      </c>
      <c r="E531">
        <v>0.66059999999999997</v>
      </c>
      <c r="F531">
        <v>1144815.1000000001</v>
      </c>
      <c r="G531">
        <v>0</v>
      </c>
      <c r="L531" t="s">
        <v>7</v>
      </c>
      <c r="M531" t="s">
        <v>7</v>
      </c>
      <c r="N531" t="s">
        <v>7</v>
      </c>
      <c r="P531">
        <f t="shared" si="984"/>
        <v>-0.83600713012477923</v>
      </c>
      <c r="Q531">
        <f t="shared" si="985"/>
        <v>-957073.58627451223</v>
      </c>
      <c r="R531">
        <f t="shared" si="986"/>
        <v>-5660190.4346992755</v>
      </c>
      <c r="S531">
        <f t="shared" si="987"/>
        <v>-56.601904346992754</v>
      </c>
      <c r="T531">
        <f t="shared" si="988"/>
        <v>-5.6601904346992755E-2</v>
      </c>
    </row>
    <row r="532" spans="1:20" x14ac:dyDescent="0.25">
      <c r="A532" s="5">
        <v>44061</v>
      </c>
      <c r="B532">
        <v>0.66679999999999995</v>
      </c>
      <c r="C532">
        <v>0.79990000000000006</v>
      </c>
      <c r="D532">
        <v>0.66649999999999998</v>
      </c>
      <c r="E532">
        <v>0.68810000000000004</v>
      </c>
      <c r="F532">
        <v>2652350.4900000002</v>
      </c>
      <c r="G532">
        <v>0</v>
      </c>
      <c r="L532" t="s">
        <v>8</v>
      </c>
      <c r="M532" t="s">
        <v>8</v>
      </c>
      <c r="N532" t="s">
        <v>7</v>
      </c>
      <c r="P532">
        <f t="shared" si="984"/>
        <v>-0.67616191904047895</v>
      </c>
      <c r="Q532">
        <f t="shared" si="985"/>
        <v>-1793418.3972863548</v>
      </c>
      <c r="R532">
        <f t="shared" si="986"/>
        <v>-4703116.8484247634</v>
      </c>
      <c r="S532">
        <f t="shared" si="987"/>
        <v>-47.031168484247637</v>
      </c>
      <c r="T532">
        <f t="shared" si="988"/>
        <v>-4.703116848424764E-2</v>
      </c>
    </row>
    <row r="533" spans="1:20" x14ac:dyDescent="0.25">
      <c r="A533" s="5">
        <v>44060</v>
      </c>
      <c r="B533">
        <v>0.65820000000000001</v>
      </c>
      <c r="C533">
        <v>0.68500000000000005</v>
      </c>
      <c r="D533">
        <v>0.65059999999999996</v>
      </c>
      <c r="E533">
        <v>0.67130000000000001</v>
      </c>
      <c r="F533">
        <v>362121.53</v>
      </c>
      <c r="G533">
        <v>0</v>
      </c>
      <c r="L533" t="s">
        <v>8</v>
      </c>
      <c r="M533" t="s">
        <v>7</v>
      </c>
      <c r="N533" t="s">
        <v>7</v>
      </c>
      <c r="P533">
        <f t="shared" si="984"/>
        <v>0.20348837209302287</v>
      </c>
      <c r="Q533">
        <f t="shared" si="985"/>
        <v>73687.520639534749</v>
      </c>
      <c r="R533">
        <f t="shared" si="986"/>
        <v>-2909698.4511384084</v>
      </c>
      <c r="S533">
        <f t="shared" si="987"/>
        <v>-29.096984511384083</v>
      </c>
      <c r="T533">
        <f t="shared" si="988"/>
        <v>-2.9096984511384084E-2</v>
      </c>
    </row>
    <row r="534" spans="1:20" x14ac:dyDescent="0.25">
      <c r="A534" s="5">
        <v>44059</v>
      </c>
      <c r="B534">
        <v>0.65920000000000001</v>
      </c>
      <c r="C534">
        <v>0.6623</v>
      </c>
      <c r="D534">
        <v>0.62829999999999997</v>
      </c>
      <c r="E534">
        <v>0.65810000000000002</v>
      </c>
      <c r="F534">
        <v>379240.21</v>
      </c>
      <c r="G534">
        <v>0</v>
      </c>
      <c r="L534" t="s">
        <v>7</v>
      </c>
      <c r="M534" t="s">
        <v>7</v>
      </c>
      <c r="N534" t="s">
        <v>7</v>
      </c>
      <c r="P534">
        <f t="shared" si="984"/>
        <v>0.75294117647058956</v>
      </c>
      <c r="Q534">
        <f t="shared" si="985"/>
        <v>285545.56988235348</v>
      </c>
      <c r="R534">
        <f t="shared" si="986"/>
        <v>-2983385.971777943</v>
      </c>
      <c r="S534">
        <f t="shared" si="987"/>
        <v>-29.833859717779429</v>
      </c>
      <c r="T534">
        <f t="shared" si="988"/>
        <v>-2.983385971777943E-2</v>
      </c>
    </row>
    <row r="535" spans="1:20" x14ac:dyDescent="0.25">
      <c r="A535" s="5">
        <v>44058</v>
      </c>
      <c r="B535">
        <v>0.69099999999999995</v>
      </c>
      <c r="C535">
        <v>0.69469999999999998</v>
      </c>
      <c r="D535">
        <v>0.65049999999999997</v>
      </c>
      <c r="E535">
        <v>0.65939999999999999</v>
      </c>
      <c r="F535">
        <v>335593.08</v>
      </c>
      <c r="G535">
        <v>0</v>
      </c>
      <c r="L535" t="s">
        <v>7</v>
      </c>
      <c r="M535" t="s">
        <v>8</v>
      </c>
      <c r="N535" t="s">
        <v>7</v>
      </c>
      <c r="P535">
        <f t="shared" si="984"/>
        <v>-0.59728506787330249</v>
      </c>
      <c r="Q535">
        <f t="shared" si="985"/>
        <v>-200444.73556561064</v>
      </c>
      <c r="R535">
        <f t="shared" si="986"/>
        <v>-3268931.5416602963</v>
      </c>
      <c r="S535">
        <f t="shared" si="987"/>
        <v>-32.689315416602966</v>
      </c>
      <c r="T535">
        <f t="shared" si="988"/>
        <v>-3.2689315416602964E-2</v>
      </c>
    </row>
    <row r="536" spans="1:20" x14ac:dyDescent="0.25">
      <c r="A536" s="5">
        <v>44057</v>
      </c>
      <c r="B536">
        <v>0.69530000000000003</v>
      </c>
      <c r="C536">
        <v>0.76219999999999999</v>
      </c>
      <c r="D536">
        <v>0.66890000000000005</v>
      </c>
      <c r="E536">
        <v>0.69079999999999997</v>
      </c>
      <c r="F536">
        <v>520657.75</v>
      </c>
      <c r="G536">
        <v>0</v>
      </c>
      <c r="L536" t="s">
        <v>8</v>
      </c>
      <c r="M536" t="s">
        <v>8</v>
      </c>
      <c r="N536" t="s">
        <v>7</v>
      </c>
      <c r="P536">
        <f t="shared" si="984"/>
        <v>-0.53054662379421369</v>
      </c>
      <c r="Q536">
        <f t="shared" si="985"/>
        <v>-276233.21141479176</v>
      </c>
      <c r="R536">
        <f t="shared" si="986"/>
        <v>-3068486.8060946856</v>
      </c>
      <c r="S536">
        <f t="shared" si="987"/>
        <v>-30.684868060946854</v>
      </c>
      <c r="T536">
        <f t="shared" si="988"/>
        <v>-3.0684868060946856E-2</v>
      </c>
    </row>
    <row r="537" spans="1:20" x14ac:dyDescent="0.25">
      <c r="A537" s="5">
        <v>44056</v>
      </c>
      <c r="B537">
        <v>0.68769999999999998</v>
      </c>
      <c r="C537">
        <v>0.749</v>
      </c>
      <c r="D537">
        <v>0.64329999999999998</v>
      </c>
      <c r="E537">
        <v>0.69599999999999995</v>
      </c>
      <c r="F537">
        <v>967313.13</v>
      </c>
      <c r="G537">
        <v>0</v>
      </c>
      <c r="L537" t="s">
        <v>8</v>
      </c>
      <c r="M537" t="s">
        <v>8</v>
      </c>
      <c r="N537" t="s">
        <v>7</v>
      </c>
      <c r="P537">
        <f t="shared" si="984"/>
        <v>-2.8382213812684761E-3</v>
      </c>
      <c r="Q537">
        <f t="shared" si="985"/>
        <v>-2745.4488079477333</v>
      </c>
      <c r="R537">
        <f t="shared" si="986"/>
        <v>-2792253.5946798939</v>
      </c>
      <c r="S537">
        <f t="shared" si="987"/>
        <v>-27.922535946798938</v>
      </c>
      <c r="T537">
        <f t="shared" si="988"/>
        <v>-2.7922535946798936E-2</v>
      </c>
    </row>
    <row r="538" spans="1:20" x14ac:dyDescent="0.25">
      <c r="A538" s="5">
        <v>44055</v>
      </c>
      <c r="B538">
        <v>0.68</v>
      </c>
      <c r="C538">
        <v>0.7399</v>
      </c>
      <c r="D538">
        <v>0.60970000000000002</v>
      </c>
      <c r="E538">
        <v>0.69</v>
      </c>
      <c r="F538">
        <v>1456093.58</v>
      </c>
      <c r="G538">
        <v>0</v>
      </c>
      <c r="L538" t="s">
        <v>7</v>
      </c>
      <c r="M538" t="s">
        <v>7</v>
      </c>
      <c r="N538" t="s">
        <v>7</v>
      </c>
      <c r="P538">
        <f t="shared" si="984"/>
        <v>0.23348694316436155</v>
      </c>
      <c r="Q538">
        <f t="shared" si="985"/>
        <v>339978.83895545173</v>
      </c>
      <c r="R538">
        <f t="shared" si="986"/>
        <v>-2789508.1458719461</v>
      </c>
      <c r="S538">
        <f t="shared" si="987"/>
        <v>-27.89508145871946</v>
      </c>
      <c r="T538">
        <f t="shared" si="988"/>
        <v>-2.789508145871946E-2</v>
      </c>
    </row>
    <row r="539" spans="1:20" x14ac:dyDescent="0.25">
      <c r="A539" s="5">
        <v>44054</v>
      </c>
      <c r="B539">
        <v>0.60519999999999996</v>
      </c>
      <c r="C539">
        <v>0.86</v>
      </c>
      <c r="D539">
        <v>0.59660000000000002</v>
      </c>
      <c r="E539">
        <v>0.68</v>
      </c>
      <c r="F539">
        <v>4189517.46</v>
      </c>
      <c r="G539">
        <v>0</v>
      </c>
      <c r="L539" t="s">
        <v>8</v>
      </c>
      <c r="M539" t="s">
        <v>8</v>
      </c>
      <c r="N539" t="s">
        <v>8</v>
      </c>
      <c r="P539">
        <f t="shared" si="984"/>
        <v>-0.36674259681093363</v>
      </c>
      <c r="Q539">
        <f t="shared" si="985"/>
        <v>-1536474.5126651467</v>
      </c>
      <c r="R539">
        <f t="shared" si="986"/>
        <v>-3129486.9848273979</v>
      </c>
      <c r="S539">
        <f t="shared" si="987"/>
        <v>-31.294869848273979</v>
      </c>
      <c r="T539">
        <f t="shared" si="988"/>
        <v>-3.1294869848273982E-2</v>
      </c>
    </row>
    <row r="540" spans="1:20" x14ac:dyDescent="0.25">
      <c r="A540" s="5">
        <v>44053</v>
      </c>
      <c r="B540">
        <v>0.57569999999999999</v>
      </c>
      <c r="C540">
        <v>0.6159</v>
      </c>
      <c r="D540">
        <v>0.57220000000000004</v>
      </c>
      <c r="E540">
        <v>0.60360000000000003</v>
      </c>
      <c r="F540">
        <v>681834.16</v>
      </c>
      <c r="G540">
        <v>0</v>
      </c>
      <c r="L540" t="s">
        <v>8</v>
      </c>
      <c r="M540" t="s">
        <v>8</v>
      </c>
      <c r="N540" t="s">
        <v>7</v>
      </c>
      <c r="P540">
        <f t="shared" si="984"/>
        <v>0.43707093821510351</v>
      </c>
      <c r="Q540">
        <f t="shared" si="985"/>
        <v>298009.89601830702</v>
      </c>
      <c r="R540">
        <f t="shared" si="986"/>
        <v>-1593012.4721622511</v>
      </c>
      <c r="S540">
        <f t="shared" si="987"/>
        <v>-15.930124721622512</v>
      </c>
      <c r="T540">
        <f t="shared" si="988"/>
        <v>-1.5930124721622512E-2</v>
      </c>
    </row>
    <row r="541" spans="1:20" x14ac:dyDescent="0.25">
      <c r="A541" s="5">
        <v>44052</v>
      </c>
      <c r="B541">
        <v>0.53400000000000003</v>
      </c>
      <c r="C541">
        <v>0.58830000000000005</v>
      </c>
      <c r="D541">
        <v>0.52659999999999996</v>
      </c>
      <c r="E541">
        <v>0.57550000000000001</v>
      </c>
      <c r="F541">
        <v>685092.8</v>
      </c>
      <c r="G541">
        <v>0</v>
      </c>
      <c r="L541" t="s">
        <v>8</v>
      </c>
      <c r="M541" t="s">
        <v>8</v>
      </c>
      <c r="N541" t="s">
        <v>7</v>
      </c>
      <c r="P541">
        <f t="shared" si="984"/>
        <v>0.58508914100486176</v>
      </c>
      <c r="Q541">
        <f t="shared" si="985"/>
        <v>400840.35786061559</v>
      </c>
      <c r="R541">
        <f t="shared" si="986"/>
        <v>-1891022.3681805581</v>
      </c>
      <c r="S541">
        <f t="shared" si="987"/>
        <v>-18.910223681805579</v>
      </c>
      <c r="T541">
        <f t="shared" si="988"/>
        <v>-1.8910223681805581E-2</v>
      </c>
    </row>
    <row r="542" spans="1:20" x14ac:dyDescent="0.25">
      <c r="A542" s="5">
        <v>44051</v>
      </c>
      <c r="B542">
        <v>0.51790000000000003</v>
      </c>
      <c r="C542">
        <v>0.53410000000000002</v>
      </c>
      <c r="D542">
        <v>0.51490000000000002</v>
      </c>
      <c r="E542">
        <v>0.53400000000000003</v>
      </c>
      <c r="F542">
        <v>278439.96999999997</v>
      </c>
      <c r="G542">
        <v>0</v>
      </c>
      <c r="L542" t="s">
        <v>8</v>
      </c>
      <c r="M542" t="s">
        <v>8</v>
      </c>
      <c r="N542" t="s">
        <v>7</v>
      </c>
      <c r="P542">
        <f t="shared" si="984"/>
        <v>0.98958333333333448</v>
      </c>
      <c r="Q542">
        <f t="shared" si="985"/>
        <v>275539.55364583363</v>
      </c>
      <c r="R542">
        <f t="shared" si="986"/>
        <v>-2291862.7260411736</v>
      </c>
      <c r="S542">
        <f t="shared" si="987"/>
        <v>-22.918627260411736</v>
      </c>
      <c r="T542">
        <f t="shared" si="988"/>
        <v>-2.2918627260411734E-2</v>
      </c>
    </row>
    <row r="543" spans="1:20" x14ac:dyDescent="0.25">
      <c r="A543" s="5">
        <v>44050</v>
      </c>
      <c r="B543">
        <v>0.52800000000000002</v>
      </c>
      <c r="C543">
        <v>0.53310000000000002</v>
      </c>
      <c r="D543">
        <v>0.502</v>
      </c>
      <c r="E543">
        <v>0.5171</v>
      </c>
      <c r="F543">
        <v>282882.63</v>
      </c>
      <c r="G543">
        <v>0</v>
      </c>
      <c r="L543" t="s">
        <v>8</v>
      </c>
      <c r="M543" t="s">
        <v>8</v>
      </c>
      <c r="N543" t="s">
        <v>7</v>
      </c>
      <c r="P543">
        <f t="shared" si="984"/>
        <v>-2.8938906752411942E-2</v>
      </c>
      <c r="Q543">
        <f t="shared" si="985"/>
        <v>-8186.3140514470488</v>
      </c>
      <c r="R543">
        <f t="shared" si="986"/>
        <v>-2567402.2796870074</v>
      </c>
      <c r="S543">
        <f t="shared" si="987"/>
        <v>-25.674022796870073</v>
      </c>
      <c r="T543">
        <f t="shared" si="988"/>
        <v>-2.5674022796870075E-2</v>
      </c>
    </row>
    <row r="544" spans="1:20" x14ac:dyDescent="0.25">
      <c r="A544" s="5">
        <v>44049</v>
      </c>
      <c r="B544">
        <v>0.53100000000000003</v>
      </c>
      <c r="C544">
        <v>0.53300000000000003</v>
      </c>
      <c r="D544">
        <v>0.52059999999999995</v>
      </c>
      <c r="E544">
        <v>0.52810000000000001</v>
      </c>
      <c r="F544">
        <v>266458.58</v>
      </c>
      <c r="G544">
        <v>0</v>
      </c>
      <c r="L544" t="s">
        <v>8</v>
      </c>
      <c r="M544" t="s">
        <v>8</v>
      </c>
      <c r="N544" t="s">
        <v>7</v>
      </c>
      <c r="P544">
        <f t="shared" si="984"/>
        <v>0.20967741935484116</v>
      </c>
      <c r="Q544">
        <f t="shared" si="985"/>
        <v>55870.347419355494</v>
      </c>
      <c r="R544">
        <f t="shared" si="986"/>
        <v>-2559215.9656355605</v>
      </c>
      <c r="S544">
        <f t="shared" si="987"/>
        <v>-25.592159656355605</v>
      </c>
      <c r="T544">
        <f t="shared" si="988"/>
        <v>-2.5592159656355605E-2</v>
      </c>
    </row>
    <row r="545" spans="1:20" x14ac:dyDescent="0.25">
      <c r="A545" s="5">
        <v>44048</v>
      </c>
      <c r="B545">
        <v>0.51739999999999997</v>
      </c>
      <c r="C545">
        <v>0.53169999999999995</v>
      </c>
      <c r="D545">
        <v>0.51439999999999997</v>
      </c>
      <c r="E545">
        <v>0.53059999999999996</v>
      </c>
      <c r="F545">
        <v>262475.45</v>
      </c>
      <c r="G545">
        <v>0</v>
      </c>
      <c r="L545" t="s">
        <v>8</v>
      </c>
      <c r="M545" t="s">
        <v>8</v>
      </c>
      <c r="N545" t="s">
        <v>7</v>
      </c>
      <c r="P545">
        <f t="shared" si="984"/>
        <v>0.87283236994219759</v>
      </c>
      <c r="Q545">
        <f t="shared" si="985"/>
        <v>229097.0690751448</v>
      </c>
      <c r="R545">
        <f t="shared" si="986"/>
        <v>-2615086.313054916</v>
      </c>
      <c r="S545">
        <f t="shared" si="987"/>
        <v>-26.150863130549158</v>
      </c>
      <c r="T545">
        <f t="shared" si="988"/>
        <v>-2.6150863130549158E-2</v>
      </c>
    </row>
    <row r="546" spans="1:20" x14ac:dyDescent="0.25">
      <c r="A546" s="5">
        <v>44047</v>
      </c>
      <c r="B546">
        <v>0.51880000000000004</v>
      </c>
      <c r="C546">
        <v>0.52510000000000001</v>
      </c>
      <c r="D546">
        <v>0.51429999999999998</v>
      </c>
      <c r="E546">
        <v>0.51559999999999995</v>
      </c>
      <c r="F546">
        <v>202672.91</v>
      </c>
      <c r="G546">
        <v>0</v>
      </c>
      <c r="L546" t="s">
        <v>8</v>
      </c>
      <c r="M546" t="s">
        <v>8</v>
      </c>
      <c r="N546" t="s">
        <v>7</v>
      </c>
      <c r="P546">
        <f t="shared" si="984"/>
        <v>-0.75925925925926596</v>
      </c>
      <c r="Q546">
        <f t="shared" si="985"/>
        <v>-153881.28351851989</v>
      </c>
      <c r="R546">
        <f t="shared" si="986"/>
        <v>-2844183.3821300608</v>
      </c>
      <c r="S546">
        <f t="shared" si="987"/>
        <v>-28.441833821300609</v>
      </c>
      <c r="T546">
        <f t="shared" si="988"/>
        <v>-2.8441833821300607E-2</v>
      </c>
    </row>
    <row r="547" spans="1:20" x14ac:dyDescent="0.25">
      <c r="A547" s="5">
        <v>44046</v>
      </c>
      <c r="B547">
        <v>0.50370000000000004</v>
      </c>
      <c r="C547">
        <v>0.52749999999999997</v>
      </c>
      <c r="D547">
        <v>0.49959999999999999</v>
      </c>
      <c r="E547">
        <v>0.51870000000000005</v>
      </c>
      <c r="F547">
        <v>334657.40999999997</v>
      </c>
      <c r="G547">
        <v>0</v>
      </c>
      <c r="L547" t="s">
        <v>8</v>
      </c>
      <c r="M547" t="s">
        <v>8</v>
      </c>
      <c r="N547" t="s">
        <v>7</v>
      </c>
      <c r="P547">
        <f t="shared" si="984"/>
        <v>0.36917562724014874</v>
      </c>
      <c r="Q547">
        <f t="shared" si="985"/>
        <v>123547.35924731362</v>
      </c>
      <c r="R547">
        <f t="shared" si="986"/>
        <v>-2690302.0986115411</v>
      </c>
      <c r="S547">
        <f t="shared" si="987"/>
        <v>-26.903020986115411</v>
      </c>
      <c r="T547">
        <f t="shared" si="988"/>
        <v>-2.6903020986115411E-2</v>
      </c>
    </row>
    <row r="548" spans="1:20" x14ac:dyDescent="0.25">
      <c r="A548" s="5">
        <v>44045</v>
      </c>
      <c r="B548">
        <v>0.52759999999999996</v>
      </c>
      <c r="C548">
        <v>0.53990000000000005</v>
      </c>
      <c r="D548">
        <v>0.48549999999999999</v>
      </c>
      <c r="E548">
        <v>0.50360000000000005</v>
      </c>
      <c r="F548">
        <v>489171.02</v>
      </c>
      <c r="G548">
        <v>0</v>
      </c>
      <c r="L548" t="s">
        <v>7</v>
      </c>
      <c r="M548" t="s">
        <v>8</v>
      </c>
      <c r="N548" t="s">
        <v>7</v>
      </c>
      <c r="P548">
        <f t="shared" si="984"/>
        <v>-0.33455882352941024</v>
      </c>
      <c r="Q548">
        <f t="shared" si="985"/>
        <v>-163656.48095588162</v>
      </c>
      <c r="R548">
        <f t="shared" si="986"/>
        <v>-2813849.4578588549</v>
      </c>
      <c r="S548">
        <f t="shared" si="987"/>
        <v>-28.138494578588549</v>
      </c>
      <c r="T548">
        <f t="shared" si="988"/>
        <v>-2.8138494578588549E-2</v>
      </c>
    </row>
    <row r="549" spans="1:20" x14ac:dyDescent="0.25">
      <c r="A549" s="5">
        <v>44044</v>
      </c>
      <c r="B549">
        <v>0.5161</v>
      </c>
      <c r="C549">
        <v>0.52949999999999997</v>
      </c>
      <c r="D549">
        <v>0.51500000000000001</v>
      </c>
      <c r="E549">
        <v>0.52790000000000004</v>
      </c>
      <c r="F549">
        <v>213802.9</v>
      </c>
      <c r="G549">
        <v>0</v>
      </c>
      <c r="L549" t="s">
        <v>7</v>
      </c>
      <c r="M549" t="s">
        <v>8</v>
      </c>
      <c r="N549" t="s">
        <v>7</v>
      </c>
      <c r="P549">
        <f t="shared" si="984"/>
        <v>0.77931034482759454</v>
      </c>
      <c r="Q549">
        <f t="shared" si="985"/>
        <v>166618.8117241397</v>
      </c>
      <c r="R549">
        <f t="shared" si="986"/>
        <v>-2650192.9769029734</v>
      </c>
      <c r="S549">
        <f t="shared" si="987"/>
        <v>-26.501929769029733</v>
      </c>
      <c r="T549">
        <f t="shared" si="988"/>
        <v>-2.6501929769029733E-2</v>
      </c>
    </row>
    <row r="550" spans="1:20" x14ac:dyDescent="0.25">
      <c r="A550" s="5">
        <v>44043</v>
      </c>
      <c r="B550">
        <v>0.53</v>
      </c>
      <c r="C550">
        <v>0.53120000000000001</v>
      </c>
      <c r="D550">
        <v>0.5141</v>
      </c>
      <c r="E550">
        <v>0.51619999999999999</v>
      </c>
      <c r="F550">
        <v>267877.53999999998</v>
      </c>
      <c r="G550">
        <v>0</v>
      </c>
      <c r="L550" t="s">
        <v>7</v>
      </c>
      <c r="M550" t="s">
        <v>8</v>
      </c>
      <c r="N550" t="s">
        <v>7</v>
      </c>
      <c r="P550">
        <f t="shared" si="984"/>
        <v>-0.75438596491228183</v>
      </c>
      <c r="Q550">
        <f t="shared" si="985"/>
        <v>-202083.05649122834</v>
      </c>
      <c r="R550">
        <f t="shared" si="986"/>
        <v>-2816811.7886271132</v>
      </c>
      <c r="S550">
        <f t="shared" si="987"/>
        <v>-28.168117886271133</v>
      </c>
      <c r="T550">
        <f t="shared" si="988"/>
        <v>-2.8168117886271132E-2</v>
      </c>
    </row>
    <row r="551" spans="1:20" x14ac:dyDescent="0.25">
      <c r="A551" s="5">
        <v>44042</v>
      </c>
      <c r="B551">
        <v>0.52939999999999998</v>
      </c>
      <c r="C551">
        <v>0.53169999999999995</v>
      </c>
      <c r="D551">
        <v>0.51539999999999997</v>
      </c>
      <c r="E551">
        <v>0.52980000000000005</v>
      </c>
      <c r="F551">
        <v>249525.85</v>
      </c>
      <c r="G551">
        <v>0</v>
      </c>
      <c r="L551" t="s">
        <v>7</v>
      </c>
      <c r="M551" t="s">
        <v>8</v>
      </c>
      <c r="N551" t="s">
        <v>7</v>
      </c>
      <c r="P551">
        <f t="shared" si="984"/>
        <v>0.76687116564418356</v>
      </c>
      <c r="Q551">
        <f t="shared" si="985"/>
        <v>191354.17944785571</v>
      </c>
      <c r="R551">
        <f t="shared" si="986"/>
        <v>-2614728.7321358849</v>
      </c>
      <c r="S551">
        <f t="shared" si="987"/>
        <v>-26.147287321358849</v>
      </c>
      <c r="T551">
        <f t="shared" si="988"/>
        <v>-2.6147287321358851E-2</v>
      </c>
    </row>
    <row r="552" spans="1:20" x14ac:dyDescent="0.25">
      <c r="A552" s="5">
        <v>44041</v>
      </c>
      <c r="B552">
        <v>0.53690000000000004</v>
      </c>
      <c r="C552">
        <v>0.53939999999999999</v>
      </c>
      <c r="D552">
        <v>0.5252</v>
      </c>
      <c r="E552">
        <v>0.5292</v>
      </c>
      <c r="F552">
        <v>290258.98</v>
      </c>
      <c r="G552">
        <v>0</v>
      </c>
      <c r="L552" t="s">
        <v>8</v>
      </c>
      <c r="M552" t="s">
        <v>8</v>
      </c>
      <c r="N552" t="s">
        <v>7</v>
      </c>
      <c r="P552">
        <f t="shared" si="984"/>
        <v>-0.4366197183098583</v>
      </c>
      <c r="Q552">
        <f t="shared" si="985"/>
        <v>-126732.79408450678</v>
      </c>
      <c r="R552">
        <f t="shared" si="986"/>
        <v>-2806082.9115837407</v>
      </c>
      <c r="S552">
        <f t="shared" si="987"/>
        <v>-28.060829115837407</v>
      </c>
      <c r="T552">
        <f t="shared" si="988"/>
        <v>-2.8060829115837408E-2</v>
      </c>
    </row>
    <row r="553" spans="1:20" x14ac:dyDescent="0.25">
      <c r="A553" s="5">
        <v>44040</v>
      </c>
      <c r="B553">
        <v>0.53890000000000005</v>
      </c>
      <c r="C553">
        <v>0.54600000000000004</v>
      </c>
      <c r="D553">
        <v>0.52300000000000002</v>
      </c>
      <c r="E553">
        <v>0.53459999999999996</v>
      </c>
      <c r="F553">
        <v>393358.11</v>
      </c>
      <c r="G553">
        <v>0</v>
      </c>
      <c r="L553" t="s">
        <v>8</v>
      </c>
      <c r="M553" t="s">
        <v>8</v>
      </c>
      <c r="N553" t="s">
        <v>7</v>
      </c>
      <c r="P553">
        <f t="shared" si="984"/>
        <v>8.6956521739072513E-3</v>
      </c>
      <c r="Q553">
        <f t="shared" si="985"/>
        <v>3420.5053043455478</v>
      </c>
      <c r="R553">
        <f t="shared" si="986"/>
        <v>-2679350.1174992342</v>
      </c>
      <c r="S553">
        <f t="shared" si="987"/>
        <v>-26.793501174992343</v>
      </c>
      <c r="T553">
        <f t="shared" si="988"/>
        <v>-2.6793501174992344E-2</v>
      </c>
    </row>
    <row r="554" spans="1:20" x14ac:dyDescent="0.25">
      <c r="A554" s="5">
        <v>44039</v>
      </c>
      <c r="B554">
        <v>0.4985</v>
      </c>
      <c r="C554">
        <v>0.55969999999999998</v>
      </c>
      <c r="D554">
        <v>0.49309999999999998</v>
      </c>
      <c r="E554">
        <v>0.53580000000000005</v>
      </c>
      <c r="F554">
        <v>610696.72</v>
      </c>
      <c r="G554">
        <v>0</v>
      </c>
      <c r="L554" t="s">
        <v>8</v>
      </c>
      <c r="M554" t="s">
        <v>8</v>
      </c>
      <c r="N554" t="s">
        <v>7</v>
      </c>
      <c r="P554">
        <f t="shared" si="984"/>
        <v>0.28228228228228458</v>
      </c>
      <c r="Q554">
        <f t="shared" si="985"/>
        <v>172388.86390390529</v>
      </c>
      <c r="R554">
        <f t="shared" si="986"/>
        <v>-2682770.6228035796</v>
      </c>
      <c r="S554">
        <f t="shared" si="987"/>
        <v>-26.827706228035794</v>
      </c>
      <c r="T554">
        <f t="shared" si="988"/>
        <v>-2.6827706228035795E-2</v>
      </c>
    </row>
    <row r="555" spans="1:20" x14ac:dyDescent="0.25">
      <c r="A555" s="5">
        <v>44038</v>
      </c>
      <c r="B555">
        <v>0.4995</v>
      </c>
      <c r="C555">
        <v>0.50829999999999997</v>
      </c>
      <c r="D555">
        <v>0.49230000000000002</v>
      </c>
      <c r="E555">
        <v>0.49690000000000001</v>
      </c>
      <c r="F555">
        <v>246618.9</v>
      </c>
      <c r="G555">
        <v>0</v>
      </c>
      <c r="L555" t="s">
        <v>7</v>
      </c>
      <c r="M555" t="s">
        <v>7</v>
      </c>
      <c r="N555" t="s">
        <v>7</v>
      </c>
      <c r="P555">
        <f t="shared" si="984"/>
        <v>-0.42499999999999938</v>
      </c>
      <c r="Q555">
        <f t="shared" si="985"/>
        <v>-104813.03249999984</v>
      </c>
      <c r="R555">
        <f t="shared" si="986"/>
        <v>-2855159.4867074848</v>
      </c>
      <c r="S555">
        <f t="shared" si="987"/>
        <v>-28.551594867074847</v>
      </c>
      <c r="T555">
        <f t="shared" si="988"/>
        <v>-2.8551594867074846E-2</v>
      </c>
    </row>
    <row r="556" spans="1:20" x14ac:dyDescent="0.25">
      <c r="A556" s="5">
        <v>44037</v>
      </c>
      <c r="B556">
        <v>0.50109999999999999</v>
      </c>
      <c r="C556">
        <v>0.51</v>
      </c>
      <c r="D556">
        <v>0.49690000000000001</v>
      </c>
      <c r="E556">
        <v>0.49969999999999998</v>
      </c>
      <c r="F556">
        <v>313323</v>
      </c>
      <c r="G556">
        <v>0</v>
      </c>
      <c r="L556" t="s">
        <v>7</v>
      </c>
      <c r="M556" t="s">
        <v>7</v>
      </c>
      <c r="N556" t="s">
        <v>7</v>
      </c>
      <c r="P556">
        <f t="shared" si="984"/>
        <v>-0.57251908396947038</v>
      </c>
      <c r="Q556">
        <f t="shared" si="985"/>
        <v>-179383.39694656635</v>
      </c>
      <c r="R556">
        <f t="shared" si="986"/>
        <v>-2750346.4542074851</v>
      </c>
      <c r="S556">
        <f t="shared" si="987"/>
        <v>-27.503464542074852</v>
      </c>
      <c r="T556">
        <f t="shared" si="988"/>
        <v>-2.7503464542074852E-2</v>
      </c>
    </row>
    <row r="557" spans="1:20" x14ac:dyDescent="0.25">
      <c r="A557" s="5">
        <v>44036</v>
      </c>
      <c r="B557">
        <v>0.51070000000000004</v>
      </c>
      <c r="C557">
        <v>0.51570000000000005</v>
      </c>
      <c r="D557">
        <v>0.50039999999999996</v>
      </c>
      <c r="E557">
        <v>0.50119999999999998</v>
      </c>
      <c r="F557">
        <v>204787.49</v>
      </c>
      <c r="G557">
        <v>0</v>
      </c>
      <c r="L557" t="s">
        <v>8</v>
      </c>
      <c r="M557" t="s">
        <v>7</v>
      </c>
      <c r="N557" t="s">
        <v>7</v>
      </c>
      <c r="P557">
        <f t="shared" si="984"/>
        <v>-0.89542483660130479</v>
      </c>
      <c r="Q557">
        <f t="shared" si="985"/>
        <v>-183371.80477124132</v>
      </c>
      <c r="R557">
        <f t="shared" si="986"/>
        <v>-2570963.0572609189</v>
      </c>
      <c r="S557">
        <f t="shared" si="987"/>
        <v>-25.709630572609189</v>
      </c>
      <c r="T557">
        <f t="shared" si="988"/>
        <v>-2.570963057260919E-2</v>
      </c>
    </row>
    <row r="558" spans="1:20" x14ac:dyDescent="0.25">
      <c r="A558" s="5">
        <v>44035</v>
      </c>
      <c r="B558">
        <v>0.51539999999999997</v>
      </c>
      <c r="C558">
        <v>0.51859999999999995</v>
      </c>
      <c r="D558">
        <v>0.51</v>
      </c>
      <c r="E558">
        <v>0.51080000000000003</v>
      </c>
      <c r="F558">
        <v>262183.40999999997</v>
      </c>
      <c r="G558">
        <v>0</v>
      </c>
      <c r="L558" t="s">
        <v>8</v>
      </c>
      <c r="M558" t="s">
        <v>7</v>
      </c>
      <c r="N558" t="s">
        <v>7</v>
      </c>
      <c r="P558">
        <f t="shared" si="984"/>
        <v>-0.81395348837208636</v>
      </c>
      <c r="Q558">
        <f t="shared" si="985"/>
        <v>-213405.10116278892</v>
      </c>
      <c r="R558">
        <f t="shared" si="986"/>
        <v>-2387591.2524896776</v>
      </c>
      <c r="S558">
        <f t="shared" si="987"/>
        <v>-23.875912524896776</v>
      </c>
      <c r="T558">
        <f t="shared" si="988"/>
        <v>-2.3875912524896778E-2</v>
      </c>
    </row>
    <row r="559" spans="1:20" x14ac:dyDescent="0.25">
      <c r="A559" s="5">
        <v>44034</v>
      </c>
      <c r="B559">
        <v>0.51370000000000005</v>
      </c>
      <c r="C559">
        <v>0.52339999999999998</v>
      </c>
      <c r="D559">
        <v>0.50900000000000001</v>
      </c>
      <c r="E559">
        <v>0.51719999999999999</v>
      </c>
      <c r="F559">
        <v>175900.65</v>
      </c>
      <c r="G559">
        <v>0</v>
      </c>
      <c r="L559" t="s">
        <v>8</v>
      </c>
      <c r="M559" t="s">
        <v>7</v>
      </c>
      <c r="N559" t="s">
        <v>7</v>
      </c>
      <c r="P559">
        <f t="shared" si="984"/>
        <v>0.13888888888888931</v>
      </c>
      <c r="Q559">
        <f t="shared" si="985"/>
        <v>24430.645833333409</v>
      </c>
      <c r="R559">
        <f t="shared" si="986"/>
        <v>-2174186.1513268887</v>
      </c>
      <c r="S559">
        <f t="shared" si="987"/>
        <v>-21.741861513268887</v>
      </c>
      <c r="T559">
        <f t="shared" si="988"/>
        <v>-2.1741861513268887E-2</v>
      </c>
    </row>
    <row r="560" spans="1:20" x14ac:dyDescent="0.25">
      <c r="A560" s="5">
        <v>44033</v>
      </c>
      <c r="B560">
        <v>0.51270000000000004</v>
      </c>
      <c r="C560">
        <v>0.52090000000000003</v>
      </c>
      <c r="D560">
        <v>0.50609999999999999</v>
      </c>
      <c r="E560">
        <v>0.51370000000000005</v>
      </c>
      <c r="F560">
        <v>180908.25</v>
      </c>
      <c r="G560">
        <v>0</v>
      </c>
      <c r="L560" t="s">
        <v>8</v>
      </c>
      <c r="M560" t="s">
        <v>7</v>
      </c>
      <c r="N560" t="s">
        <v>7</v>
      </c>
      <c r="P560">
        <f t="shared" si="984"/>
        <v>2.7027027027031487E-2</v>
      </c>
      <c r="Q560">
        <f t="shared" si="985"/>
        <v>4889.4121621629693</v>
      </c>
      <c r="R560">
        <f t="shared" si="986"/>
        <v>-2198616.7971602222</v>
      </c>
      <c r="S560">
        <f t="shared" si="987"/>
        <v>-21.986167971602221</v>
      </c>
      <c r="T560">
        <f t="shared" si="988"/>
        <v>-2.198616797160222E-2</v>
      </c>
    </row>
    <row r="561" spans="1:104" x14ac:dyDescent="0.25">
      <c r="A561" s="5">
        <v>44032</v>
      </c>
      <c r="B561">
        <v>0.51480000000000004</v>
      </c>
      <c r="C561">
        <v>0.52939999999999998</v>
      </c>
      <c r="D561">
        <v>0.50760000000000005</v>
      </c>
      <c r="E561">
        <v>0.51280000000000003</v>
      </c>
      <c r="F561">
        <v>201660.11</v>
      </c>
      <c r="G561">
        <v>0</v>
      </c>
      <c r="L561" t="s">
        <v>8</v>
      </c>
      <c r="M561" t="s">
        <v>7</v>
      </c>
      <c r="N561" t="s">
        <v>7</v>
      </c>
      <c r="P561">
        <f t="shared" si="984"/>
        <v>-0.52293577981651385</v>
      </c>
      <c r="Q561">
        <f t="shared" si="985"/>
        <v>-105455.28688073395</v>
      </c>
      <c r="R561">
        <f t="shared" si="986"/>
        <v>-2203506.209322385</v>
      </c>
      <c r="S561">
        <f t="shared" si="987"/>
        <v>-22.03506209322385</v>
      </c>
      <c r="T561">
        <f t="shared" si="988"/>
        <v>-2.203506209322385E-2</v>
      </c>
      <c r="CZ561" t="s">
        <v>7</v>
      </c>
    </row>
    <row r="562" spans="1:104" x14ac:dyDescent="0.25">
      <c r="A562" s="5">
        <v>44031</v>
      </c>
      <c r="B562">
        <v>0.51639999999999997</v>
      </c>
      <c r="C562">
        <v>0.54</v>
      </c>
      <c r="D562">
        <v>0.50800000000000001</v>
      </c>
      <c r="E562">
        <v>0.51470000000000005</v>
      </c>
      <c r="F562">
        <v>432046.4</v>
      </c>
      <c r="G562">
        <v>0</v>
      </c>
      <c r="L562" t="s">
        <v>8</v>
      </c>
      <c r="M562" t="s">
        <v>7</v>
      </c>
      <c r="N562" t="s">
        <v>7</v>
      </c>
      <c r="P562">
        <f t="shared" si="984"/>
        <v>-0.58124999999999793</v>
      </c>
      <c r="Q562">
        <f t="shared" si="985"/>
        <v>-251126.96999999913</v>
      </c>
      <c r="R562">
        <f t="shared" si="986"/>
        <v>-2098050.9224416511</v>
      </c>
      <c r="S562">
        <f t="shared" si="987"/>
        <v>-20.980509224416512</v>
      </c>
      <c r="T562">
        <f t="shared" si="988"/>
        <v>-2.0980509224416511E-2</v>
      </c>
      <c r="CZ562" t="s">
        <v>7</v>
      </c>
    </row>
    <row r="563" spans="1:104" x14ac:dyDescent="0.25">
      <c r="A563" s="5">
        <v>44030</v>
      </c>
      <c r="B563">
        <v>0.4924</v>
      </c>
      <c r="C563">
        <v>0.53969999999999996</v>
      </c>
      <c r="D563">
        <v>0.48549999999999999</v>
      </c>
      <c r="E563">
        <v>0.5161</v>
      </c>
      <c r="F563">
        <v>296553.17</v>
      </c>
      <c r="G563">
        <v>0</v>
      </c>
      <c r="L563" t="s">
        <v>8</v>
      </c>
      <c r="M563" t="s">
        <v>7</v>
      </c>
      <c r="N563" t="s">
        <v>7</v>
      </c>
      <c r="P563">
        <f t="shared" si="984"/>
        <v>0.12915129151291635</v>
      </c>
      <c r="Q563">
        <f t="shared" si="985"/>
        <v>38300.224907749434</v>
      </c>
      <c r="R563">
        <f t="shared" si="986"/>
        <v>-1846923.9524416521</v>
      </c>
      <c r="S563">
        <f t="shared" si="987"/>
        <v>-18.469239524416519</v>
      </c>
      <c r="T563">
        <f t="shared" si="988"/>
        <v>-1.8469239524416519E-2</v>
      </c>
      <c r="CZ563" t="s">
        <v>7</v>
      </c>
    </row>
    <row r="564" spans="1:104" x14ac:dyDescent="0.25">
      <c r="A564" s="5">
        <v>44029</v>
      </c>
      <c r="B564">
        <v>0.49719999999999998</v>
      </c>
      <c r="C564">
        <v>0.49840000000000001</v>
      </c>
      <c r="D564">
        <v>0.48299999999999998</v>
      </c>
      <c r="E564">
        <v>0.49230000000000002</v>
      </c>
      <c r="F564">
        <v>257064.21</v>
      </c>
      <c r="G564">
        <v>0</v>
      </c>
      <c r="L564" t="s">
        <v>7</v>
      </c>
      <c r="M564" t="s">
        <v>7</v>
      </c>
      <c r="N564" t="s">
        <v>7</v>
      </c>
      <c r="P564">
        <f t="shared" si="984"/>
        <v>0.2077922077922098</v>
      </c>
      <c r="Q564">
        <f t="shared" si="985"/>
        <v>53415.939740260255</v>
      </c>
      <c r="R564">
        <f t="shared" si="986"/>
        <v>-1885224.1773494014</v>
      </c>
      <c r="S564">
        <f t="shared" si="987"/>
        <v>-18.852241773494015</v>
      </c>
      <c r="T564">
        <f t="shared" si="988"/>
        <v>-1.8852241773494014E-2</v>
      </c>
    </row>
    <row r="565" spans="1:104" x14ac:dyDescent="0.25">
      <c r="A565" s="5">
        <v>44028</v>
      </c>
      <c r="B565">
        <v>0.52129999999999999</v>
      </c>
      <c r="C565">
        <v>0.54720000000000002</v>
      </c>
      <c r="D565">
        <v>0.48480000000000001</v>
      </c>
      <c r="E565">
        <v>0.49859999999999999</v>
      </c>
      <c r="F565">
        <v>537751.30000000005</v>
      </c>
      <c r="G565">
        <v>0</v>
      </c>
      <c r="L565" t="s">
        <v>7</v>
      </c>
      <c r="M565" t="s">
        <v>7</v>
      </c>
      <c r="N565" t="s">
        <v>7</v>
      </c>
      <c r="P565">
        <f t="shared" si="984"/>
        <v>-0.55769230769230849</v>
      </c>
      <c r="Q565">
        <f t="shared" si="985"/>
        <v>-299899.76346153894</v>
      </c>
      <c r="R565">
        <f t="shared" si="986"/>
        <v>-1938640.1170896618</v>
      </c>
      <c r="S565">
        <f t="shared" si="987"/>
        <v>-19.386401170896619</v>
      </c>
      <c r="T565">
        <f t="shared" si="988"/>
        <v>-1.9386401170896617E-2</v>
      </c>
    </row>
    <row r="566" spans="1:104" x14ac:dyDescent="0.25">
      <c r="A566" s="5">
        <v>44027</v>
      </c>
      <c r="B566">
        <v>0.51680000000000004</v>
      </c>
      <c r="C566">
        <v>0.52800000000000002</v>
      </c>
      <c r="D566">
        <v>0.50890000000000002</v>
      </c>
      <c r="E566">
        <v>0.52139999999999997</v>
      </c>
      <c r="F566">
        <v>171420.18</v>
      </c>
      <c r="G566">
        <v>0</v>
      </c>
      <c r="L566" t="s">
        <v>7</v>
      </c>
      <c r="M566" t="s">
        <v>7</v>
      </c>
      <c r="N566" t="s">
        <v>7</v>
      </c>
      <c r="P566">
        <f t="shared" si="984"/>
        <v>0.30890052356020437</v>
      </c>
      <c r="Q566">
        <f t="shared" si="985"/>
        <v>52951.78335078447</v>
      </c>
      <c r="R566">
        <f t="shared" si="986"/>
        <v>-1638740.3536281229</v>
      </c>
      <c r="S566">
        <f t="shared" si="987"/>
        <v>-16.38740353628123</v>
      </c>
      <c r="T566">
        <f t="shared" si="988"/>
        <v>-1.638740353628123E-2</v>
      </c>
    </row>
    <row r="567" spans="1:104" x14ac:dyDescent="0.25">
      <c r="A567" s="5">
        <v>44026</v>
      </c>
      <c r="B567">
        <v>0.51380000000000003</v>
      </c>
      <c r="C567">
        <v>0.51910000000000001</v>
      </c>
      <c r="D567">
        <v>0.49809999999999999</v>
      </c>
      <c r="E567">
        <v>0.51670000000000005</v>
      </c>
      <c r="F567">
        <v>258801.32</v>
      </c>
      <c r="G567">
        <v>0</v>
      </c>
      <c r="L567" t="s">
        <v>7</v>
      </c>
      <c r="M567" t="s">
        <v>7</v>
      </c>
      <c r="N567" t="s">
        <v>7</v>
      </c>
      <c r="P567">
        <f t="shared" si="984"/>
        <v>0.77142857142857568</v>
      </c>
      <c r="Q567">
        <f t="shared" si="985"/>
        <v>199646.73257142969</v>
      </c>
      <c r="R567">
        <f t="shared" si="986"/>
        <v>-1691692.1369789075</v>
      </c>
      <c r="S567">
        <f t="shared" si="987"/>
        <v>-16.916921369789076</v>
      </c>
      <c r="T567">
        <f t="shared" si="988"/>
        <v>-1.6916921369789076E-2</v>
      </c>
    </row>
    <row r="568" spans="1:104" x14ac:dyDescent="0.25">
      <c r="A568" s="5">
        <v>44025</v>
      </c>
      <c r="B568">
        <v>0.5131</v>
      </c>
      <c r="C568">
        <v>0.52839999999999998</v>
      </c>
      <c r="D568">
        <v>0.50729999999999997</v>
      </c>
      <c r="E568">
        <v>0.51400000000000001</v>
      </c>
      <c r="F568">
        <v>251931.09</v>
      </c>
      <c r="G568">
        <v>0</v>
      </c>
      <c r="L568" t="s">
        <v>7</v>
      </c>
      <c r="M568" t="s">
        <v>7</v>
      </c>
      <c r="N568" t="s">
        <v>7</v>
      </c>
      <c r="P568">
        <f t="shared" si="984"/>
        <v>-0.36492890995260313</v>
      </c>
      <c r="Q568">
        <f t="shared" si="985"/>
        <v>-91936.938056871149</v>
      </c>
      <c r="R568">
        <f t="shared" si="986"/>
        <v>-1891338.8695503371</v>
      </c>
      <c r="S568">
        <f t="shared" si="987"/>
        <v>-18.913388695503372</v>
      </c>
      <c r="T568">
        <f t="shared" si="988"/>
        <v>-1.8913388695503373E-2</v>
      </c>
    </row>
    <row r="569" spans="1:104" x14ac:dyDescent="0.25">
      <c r="A569" s="5">
        <v>44024</v>
      </c>
      <c r="B569">
        <v>0.51219999999999999</v>
      </c>
      <c r="C569">
        <v>0.52010000000000001</v>
      </c>
      <c r="D569">
        <v>0.51</v>
      </c>
      <c r="E569">
        <v>0.51319999999999999</v>
      </c>
      <c r="F569">
        <v>211268.35</v>
      </c>
      <c r="G569">
        <v>0</v>
      </c>
      <c r="L569" t="s">
        <v>7</v>
      </c>
      <c r="M569" t="s">
        <v>7</v>
      </c>
      <c r="N569" t="s">
        <v>7</v>
      </c>
      <c r="P569">
        <f t="shared" si="984"/>
        <v>-0.36633663366337005</v>
      </c>
      <c r="Q569">
        <f t="shared" si="985"/>
        <v>-77395.336138614643</v>
      </c>
      <c r="R569">
        <f t="shared" si="986"/>
        <v>-1799401.931493466</v>
      </c>
      <c r="S569">
        <f t="shared" si="987"/>
        <v>-17.994019314934661</v>
      </c>
      <c r="T569">
        <f t="shared" si="988"/>
        <v>-1.7994019314934662E-2</v>
      </c>
    </row>
    <row r="570" spans="1:104" x14ac:dyDescent="0.25">
      <c r="A570" s="5">
        <v>44023</v>
      </c>
      <c r="B570">
        <v>0.51070000000000004</v>
      </c>
      <c r="C570">
        <v>0.5151</v>
      </c>
      <c r="D570">
        <v>0.50309999999999999</v>
      </c>
      <c r="E570">
        <v>0.51149999999999995</v>
      </c>
      <c r="F570">
        <v>205100.67</v>
      </c>
      <c r="G570">
        <v>0</v>
      </c>
      <c r="L570" t="s">
        <v>7</v>
      </c>
      <c r="M570" t="s">
        <v>7</v>
      </c>
      <c r="N570" t="s">
        <v>7</v>
      </c>
      <c r="P570">
        <f t="shared" si="984"/>
        <v>0.39999999999999258</v>
      </c>
      <c r="Q570">
        <f t="shared" si="985"/>
        <v>82040.267999998483</v>
      </c>
      <c r="R570">
        <f t="shared" si="986"/>
        <v>-1722006.5953548513</v>
      </c>
      <c r="S570">
        <f t="shared" si="987"/>
        <v>-17.220065953548513</v>
      </c>
      <c r="T570">
        <f t="shared" si="988"/>
        <v>-1.7220065953548514E-2</v>
      </c>
    </row>
    <row r="571" spans="1:104" x14ac:dyDescent="0.25">
      <c r="A571" s="5">
        <v>44022</v>
      </c>
      <c r="B571">
        <v>0.52710000000000001</v>
      </c>
      <c r="C571">
        <v>0.52710000000000001</v>
      </c>
      <c r="D571">
        <v>0.49990000000000001</v>
      </c>
      <c r="E571">
        <v>0.50990000000000002</v>
      </c>
      <c r="F571">
        <v>212232.19</v>
      </c>
      <c r="G571">
        <v>0</v>
      </c>
      <c r="L571" t="s">
        <v>7</v>
      </c>
      <c r="M571" t="s">
        <v>7</v>
      </c>
      <c r="N571" t="s">
        <v>7</v>
      </c>
      <c r="P571">
        <f t="shared" si="984"/>
        <v>-0.26470588235294057</v>
      </c>
      <c r="Q571">
        <f t="shared" si="985"/>
        <v>-56179.109117646927</v>
      </c>
      <c r="R571">
        <f t="shared" si="986"/>
        <v>-1804046.8633548499</v>
      </c>
      <c r="S571">
        <f t="shared" si="987"/>
        <v>-18.0404686335485</v>
      </c>
      <c r="T571">
        <f t="shared" si="988"/>
        <v>-1.8040468633548499E-2</v>
      </c>
    </row>
    <row r="572" spans="1:104" x14ac:dyDescent="0.25">
      <c r="A572" s="5">
        <v>44021</v>
      </c>
      <c r="B572">
        <v>0.52310000000000001</v>
      </c>
      <c r="C572">
        <v>0.54</v>
      </c>
      <c r="D572">
        <v>0.50429999999999997</v>
      </c>
      <c r="E572">
        <v>0.52749999999999997</v>
      </c>
      <c r="F572">
        <v>320786.61</v>
      </c>
      <c r="G572">
        <v>0</v>
      </c>
      <c r="L572" t="s">
        <v>8</v>
      </c>
      <c r="M572" t="s">
        <v>7</v>
      </c>
      <c r="N572" t="s">
        <v>7</v>
      </c>
      <c r="P572">
        <f t="shared" si="984"/>
        <v>0.29971988795517962</v>
      </c>
      <c r="Q572">
        <f t="shared" si="985"/>
        <v>96146.126806721892</v>
      </c>
      <c r="R572">
        <f t="shared" si="986"/>
        <v>-1747867.7542372029</v>
      </c>
      <c r="S572">
        <f t="shared" si="987"/>
        <v>-17.478677542372029</v>
      </c>
      <c r="T572">
        <f t="shared" si="988"/>
        <v>-1.7478677542372031E-2</v>
      </c>
    </row>
    <row r="573" spans="1:104" x14ac:dyDescent="0.25">
      <c r="A573" s="5">
        <v>44020</v>
      </c>
      <c r="B573">
        <v>0.50800000000000001</v>
      </c>
      <c r="C573">
        <v>0.52900000000000003</v>
      </c>
      <c r="D573">
        <v>0.50390000000000001</v>
      </c>
      <c r="E573">
        <v>0.52339999999999998</v>
      </c>
      <c r="F573">
        <v>152598.9</v>
      </c>
      <c r="G573">
        <v>0</v>
      </c>
      <c r="L573" t="s">
        <v>8</v>
      </c>
      <c r="M573" t="s">
        <v>7</v>
      </c>
      <c r="N573" t="s">
        <v>7</v>
      </c>
      <c r="P573">
        <f t="shared" si="984"/>
        <v>0.55378486055776521</v>
      </c>
      <c r="Q573">
        <f t="shared" si="985"/>
        <v>84506.960557768354</v>
      </c>
      <c r="R573">
        <f t="shared" si="986"/>
        <v>-1844013.8810439247</v>
      </c>
      <c r="S573">
        <f t="shared" si="987"/>
        <v>-18.440138810439247</v>
      </c>
      <c r="T573">
        <f t="shared" si="988"/>
        <v>-1.8440138810439249E-2</v>
      </c>
    </row>
    <row r="574" spans="1:104" x14ac:dyDescent="0.25">
      <c r="A574" s="5">
        <v>44019</v>
      </c>
      <c r="B574">
        <v>0.51349999999999996</v>
      </c>
      <c r="C574">
        <v>0.51990000000000003</v>
      </c>
      <c r="D574">
        <v>0.50149999999999995</v>
      </c>
      <c r="E574">
        <v>0.50849999999999995</v>
      </c>
      <c r="F574">
        <v>151362.56</v>
      </c>
      <c r="G574">
        <v>0</v>
      </c>
      <c r="L574" t="s">
        <v>7</v>
      </c>
      <c r="M574" t="s">
        <v>7</v>
      </c>
      <c r="N574" t="s">
        <v>7</v>
      </c>
      <c r="P574">
        <f t="shared" si="984"/>
        <v>-0.23913043478261145</v>
      </c>
      <c r="Q574">
        <f t="shared" si="985"/>
        <v>-36195.39478260911</v>
      </c>
      <c r="R574">
        <f t="shared" si="986"/>
        <v>-1928520.8416016931</v>
      </c>
      <c r="S574">
        <f t="shared" si="987"/>
        <v>-19.285208416016932</v>
      </c>
      <c r="T574">
        <f t="shared" si="988"/>
        <v>-1.9285208416016931E-2</v>
      </c>
    </row>
    <row r="575" spans="1:104" x14ac:dyDescent="0.25">
      <c r="A575" s="5">
        <v>44018</v>
      </c>
      <c r="B575">
        <v>0.50429999999999997</v>
      </c>
      <c r="C575">
        <v>0.51519999999999999</v>
      </c>
      <c r="D575">
        <v>0.49909999999999999</v>
      </c>
      <c r="E575">
        <v>0.51349999999999996</v>
      </c>
      <c r="F575">
        <v>193622.71</v>
      </c>
      <c r="G575">
        <v>0</v>
      </c>
      <c r="L575" t="s">
        <v>7</v>
      </c>
      <c r="M575" t="s">
        <v>7</v>
      </c>
      <c r="N575" t="s">
        <v>7</v>
      </c>
      <c r="P575">
        <f t="shared" si="984"/>
        <v>0.78881987577639323</v>
      </c>
      <c r="Q575">
        <f t="shared" si="985"/>
        <v>152733.4420496886</v>
      </c>
      <c r="R575">
        <f t="shared" si="986"/>
        <v>-1892325.446819084</v>
      </c>
      <c r="S575">
        <f t="shared" si="987"/>
        <v>-18.923254468190841</v>
      </c>
      <c r="T575">
        <f t="shared" si="988"/>
        <v>-1.8923254468190841E-2</v>
      </c>
    </row>
    <row r="576" spans="1:104" x14ac:dyDescent="0.25">
      <c r="A576" s="5">
        <v>44017</v>
      </c>
      <c r="B576">
        <v>0.50339999999999996</v>
      </c>
      <c r="C576">
        <v>0.50939999999999996</v>
      </c>
      <c r="D576">
        <v>0.48470000000000002</v>
      </c>
      <c r="E576">
        <v>0.50349999999999995</v>
      </c>
      <c r="F576">
        <v>126809.01</v>
      </c>
      <c r="G576">
        <v>0</v>
      </c>
      <c r="L576" t="s">
        <v>7</v>
      </c>
      <c r="M576" t="s">
        <v>7</v>
      </c>
      <c r="N576" t="s">
        <v>7</v>
      </c>
      <c r="P576">
        <f t="shared" si="984"/>
        <v>0.52226720647773039</v>
      </c>
      <c r="Q576">
        <f t="shared" si="985"/>
        <v>66228.187408906582</v>
      </c>
      <c r="R576">
        <f t="shared" si="986"/>
        <v>-2045058.8888687727</v>
      </c>
      <c r="S576">
        <f t="shared" si="987"/>
        <v>-20.450588888687726</v>
      </c>
      <c r="T576">
        <f t="shared" si="988"/>
        <v>-2.0450588888687726E-2</v>
      </c>
    </row>
    <row r="577" spans="1:20" x14ac:dyDescent="0.25">
      <c r="A577" s="5">
        <v>44016</v>
      </c>
      <c r="B577">
        <v>0.49070000000000003</v>
      </c>
      <c r="C577">
        <v>0.51339999999999997</v>
      </c>
      <c r="D577">
        <v>0.48770000000000002</v>
      </c>
      <c r="E577">
        <v>0.50339999999999996</v>
      </c>
      <c r="F577">
        <v>105757.62</v>
      </c>
      <c r="G577">
        <v>0</v>
      </c>
      <c r="L577" t="s">
        <v>7</v>
      </c>
      <c r="M577" t="s">
        <v>7</v>
      </c>
      <c r="N577" t="s">
        <v>7</v>
      </c>
      <c r="P577">
        <f t="shared" si="984"/>
        <v>0.22178988326848015</v>
      </c>
      <c r="Q577">
        <f t="shared" si="985"/>
        <v>23455.970194552279</v>
      </c>
      <c r="R577">
        <f t="shared" si="986"/>
        <v>-2111287.0762776793</v>
      </c>
      <c r="S577">
        <f t="shared" si="987"/>
        <v>-21.112870762776794</v>
      </c>
      <c r="T577">
        <f t="shared" si="988"/>
        <v>-2.1112870762776795E-2</v>
      </c>
    </row>
    <row r="578" spans="1:20" x14ac:dyDescent="0.25">
      <c r="A578" s="5">
        <v>44015</v>
      </c>
      <c r="B578">
        <v>0.4914</v>
      </c>
      <c r="C578">
        <v>0.4955</v>
      </c>
      <c r="D578">
        <v>0.48509999999999998</v>
      </c>
      <c r="E578">
        <v>0.49030000000000001</v>
      </c>
      <c r="F578">
        <v>75361.320000000007</v>
      </c>
      <c r="G578">
        <v>0</v>
      </c>
      <c r="L578" t="s">
        <v>7</v>
      </c>
      <c r="M578" t="s">
        <v>7</v>
      </c>
      <c r="N578" t="s">
        <v>7</v>
      </c>
      <c r="P578">
        <f t="shared" si="984"/>
        <v>5.3376106953132419E-15</v>
      </c>
      <c r="Q578">
        <f t="shared" si="985"/>
        <v>4.0224938764492374E-10</v>
      </c>
      <c r="R578">
        <f t="shared" si="986"/>
        <v>-2134743.0464722314</v>
      </c>
      <c r="S578">
        <f t="shared" si="987"/>
        <v>-21.347430464722315</v>
      </c>
      <c r="T578">
        <f t="shared" si="988"/>
        <v>-2.1347430464722313E-2</v>
      </c>
    </row>
    <row r="579" spans="1:20" x14ac:dyDescent="0.25">
      <c r="A579" s="5">
        <v>44014</v>
      </c>
      <c r="B579">
        <v>0.51480000000000004</v>
      </c>
      <c r="C579">
        <v>0.53180000000000005</v>
      </c>
      <c r="D579">
        <v>0.47760000000000002</v>
      </c>
      <c r="E579">
        <v>0.49109999999999998</v>
      </c>
      <c r="F579">
        <v>261100.1</v>
      </c>
      <c r="G579">
        <v>0</v>
      </c>
      <c r="L579" t="s">
        <v>8</v>
      </c>
      <c r="M579" t="s">
        <v>7</v>
      </c>
      <c r="N579" t="s">
        <v>7</v>
      </c>
      <c r="P579">
        <f t="shared" si="984"/>
        <v>-0.50184501845018636</v>
      </c>
      <c r="Q579">
        <f t="shared" si="985"/>
        <v>-131031.78450184551</v>
      </c>
      <c r="R579">
        <f t="shared" si="986"/>
        <v>-2134743.0464722319</v>
      </c>
      <c r="S579">
        <f t="shared" si="987"/>
        <v>-21.347430464722319</v>
      </c>
      <c r="T579">
        <f t="shared" si="988"/>
        <v>-2.134743046472232E-2</v>
      </c>
    </row>
    <row r="580" spans="1:20" x14ac:dyDescent="0.25">
      <c r="A580" s="5">
        <v>44013</v>
      </c>
      <c r="B580">
        <v>0.48020000000000002</v>
      </c>
      <c r="C580">
        <v>0.51639999999999997</v>
      </c>
      <c r="D580">
        <v>0.47799999999999998</v>
      </c>
      <c r="E580">
        <v>0.51480000000000004</v>
      </c>
      <c r="F580">
        <v>262237.03000000003</v>
      </c>
      <c r="G580">
        <v>0</v>
      </c>
      <c r="L580" t="s">
        <v>8</v>
      </c>
      <c r="M580" t="s">
        <v>7</v>
      </c>
      <c r="N580" t="s">
        <v>7</v>
      </c>
      <c r="P580">
        <f t="shared" si="984"/>
        <v>0.91666666666667007</v>
      </c>
      <c r="Q580">
        <f t="shared" si="985"/>
        <v>240383.94416666758</v>
      </c>
      <c r="R580">
        <f t="shared" si="986"/>
        <v>-2003711.2619703861</v>
      </c>
      <c r="S580">
        <f t="shared" si="987"/>
        <v>-20.037112619703862</v>
      </c>
      <c r="T580">
        <f t="shared" si="988"/>
        <v>-2.003711261970386E-2</v>
      </c>
    </row>
    <row r="581" spans="1:20" x14ac:dyDescent="0.25">
      <c r="A581" s="5">
        <v>44012</v>
      </c>
      <c r="B581">
        <v>0.48599999999999999</v>
      </c>
      <c r="C581">
        <v>0.4874</v>
      </c>
      <c r="D581">
        <v>0.47389999999999999</v>
      </c>
      <c r="E581">
        <v>0.48299999999999998</v>
      </c>
      <c r="F581">
        <v>98256.67</v>
      </c>
      <c r="G581">
        <v>0</v>
      </c>
      <c r="L581" t="s">
        <v>7</v>
      </c>
      <c r="M581" t="s">
        <v>7</v>
      </c>
      <c r="N581" t="s">
        <v>7</v>
      </c>
      <c r="P581">
        <f t="shared" si="984"/>
        <v>0.34814814814814649</v>
      </c>
      <c r="Q581">
        <f t="shared" si="985"/>
        <v>34207.87770370354</v>
      </c>
      <c r="R581">
        <f t="shared" si="986"/>
        <v>-2244095.2061370537</v>
      </c>
      <c r="S581">
        <f t="shared" si="987"/>
        <v>-22.440952061370538</v>
      </c>
      <c r="T581">
        <f t="shared" si="988"/>
        <v>-2.2440952061370537E-2</v>
      </c>
    </row>
    <row r="582" spans="1:20" x14ac:dyDescent="0.25">
      <c r="A582" s="5">
        <v>44011</v>
      </c>
      <c r="B582">
        <v>0.48349999999999999</v>
      </c>
      <c r="C582">
        <v>0.4924</v>
      </c>
      <c r="D582">
        <v>0.47499999999999998</v>
      </c>
      <c r="E582">
        <v>0.48609999999999998</v>
      </c>
      <c r="F582">
        <v>120761.22</v>
      </c>
      <c r="G582">
        <v>0</v>
      </c>
      <c r="L582" t="s">
        <v>7</v>
      </c>
      <c r="M582" t="s">
        <v>7</v>
      </c>
      <c r="N582" t="s">
        <v>7</v>
      </c>
      <c r="P582">
        <f t="shared" ref="P582:P645" si="989">IF(C582=D582,0,((E582-D582)-(C582-E582))/(C582-D582))</f>
        <v>0.27586206896551513</v>
      </c>
      <c r="Q582">
        <f t="shared" ref="Q582:Q645" si="990">F582*P582</f>
        <v>33313.439999999748</v>
      </c>
      <c r="R582">
        <f t="shared" ref="R582:R645" si="991">R583+Q582</f>
        <v>-2278303.0838407571</v>
      </c>
      <c r="S582">
        <f t="shared" ref="S582:S645" si="992">R582/100000</f>
        <v>-22.783030838407573</v>
      </c>
      <c r="T582">
        <f t="shared" ref="T582:T645" si="993">S582/1000</f>
        <v>-2.2783030838407572E-2</v>
      </c>
    </row>
    <row r="583" spans="1:20" x14ac:dyDescent="0.25">
      <c r="A583" s="5">
        <v>44010</v>
      </c>
      <c r="B583">
        <v>0.47849999999999998</v>
      </c>
      <c r="C583">
        <v>0.49</v>
      </c>
      <c r="D583">
        <v>0.4662</v>
      </c>
      <c r="E583">
        <v>0.4834</v>
      </c>
      <c r="F583">
        <v>147214.15</v>
      </c>
      <c r="G583">
        <v>0</v>
      </c>
      <c r="L583" t="s">
        <v>7</v>
      </c>
      <c r="M583" t="s">
        <v>7</v>
      </c>
      <c r="N583" t="s">
        <v>7</v>
      </c>
      <c r="P583">
        <f t="shared" si="989"/>
        <v>0.44537815126050434</v>
      </c>
      <c r="Q583">
        <f t="shared" si="990"/>
        <v>65565.965966386575</v>
      </c>
      <c r="R583">
        <f t="shared" si="991"/>
        <v>-2311616.5238407571</v>
      </c>
      <c r="S583">
        <f t="shared" si="992"/>
        <v>-23.116165238407572</v>
      </c>
      <c r="T583">
        <f t="shared" si="993"/>
        <v>-2.3116165238407572E-2</v>
      </c>
    </row>
    <row r="584" spans="1:20" x14ac:dyDescent="0.25">
      <c r="A584" s="5">
        <v>44009</v>
      </c>
      <c r="B584">
        <v>0.50139999999999996</v>
      </c>
      <c r="C584">
        <v>0.50229999999999997</v>
      </c>
      <c r="D584">
        <v>0.47010000000000002</v>
      </c>
      <c r="E584">
        <v>0.48010000000000003</v>
      </c>
      <c r="F584">
        <v>140526.04</v>
      </c>
      <c r="G584">
        <v>0</v>
      </c>
      <c r="L584" t="s">
        <v>7</v>
      </c>
      <c r="M584" t="s">
        <v>7</v>
      </c>
      <c r="N584" t="s">
        <v>7</v>
      </c>
      <c r="P584">
        <f t="shared" si="989"/>
        <v>-0.37888198757763825</v>
      </c>
      <c r="Q584">
        <f t="shared" si="990"/>
        <v>-53242.785341614697</v>
      </c>
      <c r="R584">
        <f t="shared" si="991"/>
        <v>-2377182.4898071438</v>
      </c>
      <c r="S584">
        <f t="shared" si="992"/>
        <v>-23.771824898071436</v>
      </c>
      <c r="T584">
        <f t="shared" si="993"/>
        <v>-2.3771824898071437E-2</v>
      </c>
    </row>
    <row r="585" spans="1:20" x14ac:dyDescent="0.25">
      <c r="A585" s="5">
        <v>44008</v>
      </c>
      <c r="B585">
        <v>0.50439999999999996</v>
      </c>
      <c r="C585">
        <v>0.51229999999999998</v>
      </c>
      <c r="D585">
        <v>0.49030000000000001</v>
      </c>
      <c r="E585">
        <v>0.50170000000000003</v>
      </c>
      <c r="F585">
        <v>100296.92</v>
      </c>
      <c r="G585">
        <v>0</v>
      </c>
      <c r="L585" t="s">
        <v>7</v>
      </c>
      <c r="M585" t="s">
        <v>7</v>
      </c>
      <c r="N585" t="s">
        <v>7</v>
      </c>
      <c r="P585">
        <f t="shared" si="989"/>
        <v>3.6363636363639991E-2</v>
      </c>
      <c r="Q585">
        <f t="shared" si="990"/>
        <v>3647.1607272730912</v>
      </c>
      <c r="R585">
        <f t="shared" si="991"/>
        <v>-2323939.704465529</v>
      </c>
      <c r="S585">
        <f t="shared" si="992"/>
        <v>-23.239397044655288</v>
      </c>
      <c r="T585">
        <f t="shared" si="993"/>
        <v>-2.3239397044655288E-2</v>
      </c>
    </row>
    <row r="586" spans="1:20" x14ac:dyDescent="0.25">
      <c r="A586" s="5">
        <v>44007</v>
      </c>
      <c r="B586">
        <v>0.51490000000000002</v>
      </c>
      <c r="C586">
        <v>0.5181</v>
      </c>
      <c r="D586">
        <v>0.49220000000000003</v>
      </c>
      <c r="E586">
        <v>0.50439999999999996</v>
      </c>
      <c r="F586">
        <v>165224.89000000001</v>
      </c>
      <c r="G586">
        <v>0</v>
      </c>
      <c r="L586" t="s">
        <v>7</v>
      </c>
      <c r="M586" t="s">
        <v>7</v>
      </c>
      <c r="N586" t="s">
        <v>7</v>
      </c>
      <c r="P586">
        <f t="shared" si="989"/>
        <v>-5.7915057915062303E-2</v>
      </c>
      <c r="Q586">
        <f t="shared" si="990"/>
        <v>-9569.009073359799</v>
      </c>
      <c r="R586">
        <f t="shared" si="991"/>
        <v>-2327586.8651928022</v>
      </c>
      <c r="S586">
        <f t="shared" si="992"/>
        <v>-23.275868651928022</v>
      </c>
      <c r="T586">
        <f t="shared" si="993"/>
        <v>-2.327586865192802E-2</v>
      </c>
    </row>
    <row r="587" spans="1:20" x14ac:dyDescent="0.25">
      <c r="A587" s="5">
        <v>44006</v>
      </c>
      <c r="B587">
        <v>0.53600000000000003</v>
      </c>
      <c r="C587">
        <v>0.54469999999999996</v>
      </c>
      <c r="D587">
        <v>0.50860000000000005</v>
      </c>
      <c r="E587">
        <v>0.51490000000000002</v>
      </c>
      <c r="F587">
        <v>339606.26</v>
      </c>
      <c r="G587">
        <v>0</v>
      </c>
      <c r="L587" t="s">
        <v>7</v>
      </c>
      <c r="M587" t="s">
        <v>8</v>
      </c>
      <c r="N587" t="s">
        <v>7</v>
      </c>
      <c r="P587">
        <f t="shared" si="989"/>
        <v>-0.65096952908587324</v>
      </c>
      <c r="Q587">
        <f t="shared" si="990"/>
        <v>-221073.32714681464</v>
      </c>
      <c r="R587">
        <f t="shared" si="991"/>
        <v>-2318017.8561194423</v>
      </c>
      <c r="S587">
        <f t="shared" si="992"/>
        <v>-23.180178561194424</v>
      </c>
      <c r="T587">
        <f t="shared" si="993"/>
        <v>-2.3180178561194423E-2</v>
      </c>
    </row>
    <row r="588" spans="1:20" x14ac:dyDescent="0.25">
      <c r="A588" s="5">
        <v>44005</v>
      </c>
      <c r="B588">
        <v>0.55379999999999996</v>
      </c>
      <c r="C588">
        <v>0.55579999999999996</v>
      </c>
      <c r="D588">
        <v>0.53269999999999995</v>
      </c>
      <c r="E588">
        <v>0.53590000000000004</v>
      </c>
      <c r="F588">
        <v>349034.28</v>
      </c>
      <c r="G588">
        <v>0</v>
      </c>
      <c r="L588" t="s">
        <v>7</v>
      </c>
      <c r="M588" t="s">
        <v>8</v>
      </c>
      <c r="N588" t="s">
        <v>7</v>
      </c>
      <c r="P588">
        <f t="shared" si="989"/>
        <v>-0.72294372294371512</v>
      </c>
      <c r="Q588">
        <f t="shared" si="990"/>
        <v>-252332.14181817911</v>
      </c>
      <c r="R588">
        <f t="shared" si="991"/>
        <v>-2096944.5289726278</v>
      </c>
      <c r="S588">
        <f t="shared" si="992"/>
        <v>-20.969445289726277</v>
      </c>
      <c r="T588">
        <f t="shared" si="993"/>
        <v>-2.0969445289726277E-2</v>
      </c>
    </row>
    <row r="589" spans="1:20" x14ac:dyDescent="0.25">
      <c r="A589" s="5">
        <v>44004</v>
      </c>
      <c r="B589">
        <v>0.53739999999999999</v>
      </c>
      <c r="C589">
        <v>0.55800000000000005</v>
      </c>
      <c r="D589">
        <v>0.53310000000000002</v>
      </c>
      <c r="E589">
        <v>0.55389999999999995</v>
      </c>
      <c r="F589">
        <v>220366.97</v>
      </c>
      <c r="G589">
        <v>0</v>
      </c>
      <c r="L589" t="s">
        <v>7</v>
      </c>
      <c r="M589" t="s">
        <v>8</v>
      </c>
      <c r="N589" t="s">
        <v>7</v>
      </c>
      <c r="P589">
        <f t="shared" si="989"/>
        <v>0.67068273092368691</v>
      </c>
      <c r="Q589">
        <f t="shared" si="990"/>
        <v>147796.3212449782</v>
      </c>
      <c r="R589">
        <f t="shared" si="991"/>
        <v>-1844612.3871544488</v>
      </c>
      <c r="S589">
        <f t="shared" si="992"/>
        <v>-18.446123871544486</v>
      </c>
      <c r="T589">
        <f t="shared" si="993"/>
        <v>-1.8446123871544488E-2</v>
      </c>
    </row>
    <row r="590" spans="1:20" x14ac:dyDescent="0.25">
      <c r="A590" s="5">
        <v>44003</v>
      </c>
      <c r="B590">
        <v>0.54810000000000003</v>
      </c>
      <c r="C590">
        <v>0.54810000000000003</v>
      </c>
      <c r="D590">
        <v>0.53569999999999995</v>
      </c>
      <c r="E590">
        <v>0.53749999999999998</v>
      </c>
      <c r="F590">
        <v>74994.95</v>
      </c>
      <c r="G590">
        <v>0</v>
      </c>
      <c r="L590" t="s">
        <v>7</v>
      </c>
      <c r="M590" t="s">
        <v>8</v>
      </c>
      <c r="N590" t="s">
        <v>7</v>
      </c>
      <c r="P590">
        <f t="shared" si="989"/>
        <v>-0.70967741935483664</v>
      </c>
      <c r="Q590">
        <f t="shared" si="990"/>
        <v>-53222.222580645001</v>
      </c>
      <c r="R590">
        <f t="shared" si="991"/>
        <v>-1992408.7083994269</v>
      </c>
      <c r="S590">
        <f t="shared" si="992"/>
        <v>-19.924087083994269</v>
      </c>
      <c r="T590">
        <f t="shared" si="993"/>
        <v>-1.992408708399427E-2</v>
      </c>
    </row>
    <row r="591" spans="1:20" x14ac:dyDescent="0.25">
      <c r="A591" s="5">
        <v>44002</v>
      </c>
      <c r="B591">
        <v>0.53649999999999998</v>
      </c>
      <c r="C591">
        <v>0.5554</v>
      </c>
      <c r="D591">
        <v>0.5323</v>
      </c>
      <c r="E591">
        <v>0.54830000000000001</v>
      </c>
      <c r="F591">
        <v>90530.25</v>
      </c>
      <c r="G591">
        <v>0</v>
      </c>
      <c r="L591" t="s">
        <v>7</v>
      </c>
      <c r="M591" t="s">
        <v>8</v>
      </c>
      <c r="N591" t="s">
        <v>7</v>
      </c>
      <c r="P591">
        <f t="shared" si="989"/>
        <v>0.38528138528138595</v>
      </c>
      <c r="Q591">
        <f t="shared" si="990"/>
        <v>34879.620129870193</v>
      </c>
      <c r="R591">
        <f t="shared" si="991"/>
        <v>-1939186.4858187819</v>
      </c>
      <c r="S591">
        <f t="shared" si="992"/>
        <v>-19.391864858187819</v>
      </c>
      <c r="T591">
        <f t="shared" si="993"/>
        <v>-1.9391864858187821E-2</v>
      </c>
    </row>
    <row r="592" spans="1:20" x14ac:dyDescent="0.25">
      <c r="A592" s="5">
        <v>44001</v>
      </c>
      <c r="B592">
        <v>0.55510000000000004</v>
      </c>
      <c r="C592">
        <v>0.55840000000000001</v>
      </c>
      <c r="D592">
        <v>0.53080000000000005</v>
      </c>
      <c r="E592">
        <v>0.53800000000000003</v>
      </c>
      <c r="F592">
        <v>165203.99</v>
      </c>
      <c r="G592">
        <v>0</v>
      </c>
      <c r="L592" t="s">
        <v>7</v>
      </c>
      <c r="M592" t="s">
        <v>8</v>
      </c>
      <c r="N592" t="s">
        <v>7</v>
      </c>
      <c r="P592">
        <f t="shared" si="989"/>
        <v>-0.47826086956521774</v>
      </c>
      <c r="Q592">
        <f t="shared" si="990"/>
        <v>-79010.603913043538</v>
      </c>
      <c r="R592">
        <f t="shared" si="991"/>
        <v>-1974066.1059486521</v>
      </c>
      <c r="S592">
        <f t="shared" si="992"/>
        <v>-19.74066105948652</v>
      </c>
      <c r="T592">
        <f t="shared" si="993"/>
        <v>-1.974066105948652E-2</v>
      </c>
    </row>
    <row r="593" spans="1:20" x14ac:dyDescent="0.25">
      <c r="A593" s="5">
        <v>44000</v>
      </c>
      <c r="B593">
        <v>0.55110000000000003</v>
      </c>
      <c r="C593">
        <v>0.5736</v>
      </c>
      <c r="D593">
        <v>0.54090000000000005</v>
      </c>
      <c r="E593">
        <v>0.55510000000000004</v>
      </c>
      <c r="F593">
        <v>224908.41</v>
      </c>
      <c r="G593">
        <v>0</v>
      </c>
      <c r="L593" t="s">
        <v>7</v>
      </c>
      <c r="M593" t="s">
        <v>8</v>
      </c>
      <c r="N593" t="s">
        <v>7</v>
      </c>
      <c r="P593">
        <f t="shared" si="989"/>
        <v>-0.13149847094801154</v>
      </c>
      <c r="Q593">
        <f t="shared" si="990"/>
        <v>-29575.112018348467</v>
      </c>
      <c r="R593">
        <f t="shared" si="991"/>
        <v>-1895055.5020356085</v>
      </c>
      <c r="S593">
        <f t="shared" si="992"/>
        <v>-18.950555020356084</v>
      </c>
      <c r="T593">
        <f t="shared" si="993"/>
        <v>-1.8950555020356086E-2</v>
      </c>
    </row>
    <row r="594" spans="1:20" x14ac:dyDescent="0.25">
      <c r="A594" s="5">
        <v>43999</v>
      </c>
      <c r="B594">
        <v>0.56459999999999999</v>
      </c>
      <c r="C594">
        <v>0.56640000000000001</v>
      </c>
      <c r="D594">
        <v>0.53690000000000004</v>
      </c>
      <c r="E594">
        <v>0.55159999999999998</v>
      </c>
      <c r="F594">
        <v>182766.4</v>
      </c>
      <c r="G594">
        <v>0</v>
      </c>
      <c r="L594" t="s">
        <v>7</v>
      </c>
      <c r="M594" t="s">
        <v>8</v>
      </c>
      <c r="N594" t="s">
        <v>7</v>
      </c>
      <c r="P594">
        <f t="shared" si="989"/>
        <v>-3.3898305084779697E-3</v>
      </c>
      <c r="Q594">
        <f t="shared" si="990"/>
        <v>-619.547118644688</v>
      </c>
      <c r="R594">
        <f t="shared" si="991"/>
        <v>-1865480.3900172601</v>
      </c>
      <c r="S594">
        <f t="shared" si="992"/>
        <v>-18.654803900172602</v>
      </c>
      <c r="T594">
        <f t="shared" si="993"/>
        <v>-1.8654803900172604E-2</v>
      </c>
    </row>
    <row r="595" spans="1:20" x14ac:dyDescent="0.25">
      <c r="A595" s="5">
        <v>43998</v>
      </c>
      <c r="B595">
        <v>0.56789999999999996</v>
      </c>
      <c r="C595">
        <v>0.59099999999999997</v>
      </c>
      <c r="D595">
        <v>0.55600000000000005</v>
      </c>
      <c r="E595">
        <v>0.56640000000000001</v>
      </c>
      <c r="F595">
        <v>326880.73</v>
      </c>
      <c r="G595">
        <v>0</v>
      </c>
      <c r="L595" t="s">
        <v>8</v>
      </c>
      <c r="M595" t="s">
        <v>8</v>
      </c>
      <c r="N595" t="s">
        <v>7</v>
      </c>
      <c r="P595">
        <f t="shared" si="989"/>
        <v>-0.40571428571428636</v>
      </c>
      <c r="Q595">
        <f t="shared" si="990"/>
        <v>-132620.1818857145</v>
      </c>
      <c r="R595">
        <f t="shared" si="991"/>
        <v>-1864860.8428986154</v>
      </c>
      <c r="S595">
        <f t="shared" si="992"/>
        <v>-18.648608428986154</v>
      </c>
      <c r="T595">
        <f t="shared" si="993"/>
        <v>-1.8648608428986156E-2</v>
      </c>
    </row>
    <row r="596" spans="1:20" x14ac:dyDescent="0.25">
      <c r="A596" s="5">
        <v>43997</v>
      </c>
      <c r="B596">
        <v>0.54610000000000003</v>
      </c>
      <c r="C596">
        <v>0.78139999999999998</v>
      </c>
      <c r="D596">
        <v>0.4914</v>
      </c>
      <c r="E596">
        <v>0.56769999999999998</v>
      </c>
      <c r="F596">
        <v>1238601.92</v>
      </c>
      <c r="G596">
        <v>0</v>
      </c>
      <c r="L596" t="s">
        <v>7</v>
      </c>
      <c r="M596" t="s">
        <v>7</v>
      </c>
      <c r="N596" t="s">
        <v>8</v>
      </c>
      <c r="P596">
        <f t="shared" si="989"/>
        <v>-0.47379310344827597</v>
      </c>
      <c r="Q596">
        <f t="shared" si="990"/>
        <v>-586841.04761379317</v>
      </c>
      <c r="R596">
        <f t="shared" si="991"/>
        <v>-1732240.661012901</v>
      </c>
      <c r="S596">
        <f t="shared" si="992"/>
        <v>-17.322406610129011</v>
      </c>
      <c r="T596">
        <f t="shared" si="993"/>
        <v>-1.7322406610129012E-2</v>
      </c>
    </row>
    <row r="597" spans="1:20" x14ac:dyDescent="0.25">
      <c r="A597" s="5">
        <v>43996</v>
      </c>
      <c r="B597">
        <v>0.57089999999999996</v>
      </c>
      <c r="C597">
        <v>0.57709999999999995</v>
      </c>
      <c r="D597">
        <v>0.53879999999999995</v>
      </c>
      <c r="E597">
        <v>0.54579999999999995</v>
      </c>
      <c r="F597">
        <v>109136.18</v>
      </c>
      <c r="G597">
        <v>0</v>
      </c>
      <c r="L597" t="s">
        <v>7</v>
      </c>
      <c r="M597" t="s">
        <v>7</v>
      </c>
      <c r="N597" t="s">
        <v>8</v>
      </c>
      <c r="P597">
        <f t="shared" si="989"/>
        <v>-0.63446475195822427</v>
      </c>
      <c r="Q597">
        <f t="shared" si="990"/>
        <v>-69243.059373368116</v>
      </c>
      <c r="R597">
        <f t="shared" si="991"/>
        <v>-1145399.6133991077</v>
      </c>
      <c r="S597">
        <f t="shared" si="992"/>
        <v>-11.453996133991078</v>
      </c>
      <c r="T597">
        <f t="shared" si="993"/>
        <v>-1.1453996133991078E-2</v>
      </c>
    </row>
    <row r="598" spans="1:20" x14ac:dyDescent="0.25">
      <c r="A598" s="5">
        <v>43995</v>
      </c>
      <c r="B598">
        <v>0.56950000000000001</v>
      </c>
      <c r="C598">
        <v>0.57589999999999997</v>
      </c>
      <c r="D598">
        <v>0.55389999999999995</v>
      </c>
      <c r="E598">
        <v>0.57110000000000005</v>
      </c>
      <c r="F598">
        <v>123763.85</v>
      </c>
      <c r="G598">
        <v>0</v>
      </c>
      <c r="L598" t="s">
        <v>8</v>
      </c>
      <c r="M598" t="s">
        <v>7</v>
      </c>
      <c r="N598" t="s">
        <v>8</v>
      </c>
      <c r="P598">
        <f t="shared" si="989"/>
        <v>0.56363636363637171</v>
      </c>
      <c r="Q598">
        <f t="shared" si="990"/>
        <v>69757.80636363737</v>
      </c>
      <c r="R598">
        <f t="shared" si="991"/>
        <v>-1076156.5540257397</v>
      </c>
      <c r="S598">
        <f t="shared" si="992"/>
        <v>-10.761565540257397</v>
      </c>
      <c r="T598">
        <f t="shared" si="993"/>
        <v>-1.0761565540257397E-2</v>
      </c>
    </row>
    <row r="599" spans="1:20" x14ac:dyDescent="0.25">
      <c r="A599" s="5">
        <v>43994</v>
      </c>
      <c r="B599">
        <v>0.53249999999999997</v>
      </c>
      <c r="C599">
        <v>0.58479999999999999</v>
      </c>
      <c r="D599">
        <v>0.52400000000000002</v>
      </c>
      <c r="E599">
        <v>0.5696</v>
      </c>
      <c r="F599">
        <v>453538.02</v>
      </c>
      <c r="G599">
        <v>0</v>
      </c>
      <c r="L599" t="s">
        <v>7</v>
      </c>
      <c r="M599" t="s">
        <v>7</v>
      </c>
      <c r="N599" t="s">
        <v>8</v>
      </c>
      <c r="P599">
        <f t="shared" si="989"/>
        <v>0.5</v>
      </c>
      <c r="Q599">
        <f t="shared" si="990"/>
        <v>226769.01</v>
      </c>
      <c r="R599">
        <f t="shared" si="991"/>
        <v>-1145914.360389377</v>
      </c>
      <c r="S599">
        <f t="shared" si="992"/>
        <v>-11.45914360389377</v>
      </c>
      <c r="T599">
        <f t="shared" si="993"/>
        <v>-1.145914360389377E-2</v>
      </c>
    </row>
    <row r="600" spans="1:20" x14ac:dyDescent="0.25">
      <c r="A600" s="5">
        <v>43993</v>
      </c>
      <c r="B600">
        <v>0.59460000000000002</v>
      </c>
      <c r="C600">
        <v>0.69</v>
      </c>
      <c r="D600">
        <v>0.52780000000000005</v>
      </c>
      <c r="E600">
        <v>0.53410000000000002</v>
      </c>
      <c r="F600">
        <v>1115734.8799999999</v>
      </c>
      <c r="G600">
        <v>0</v>
      </c>
      <c r="L600" t="s">
        <v>8</v>
      </c>
      <c r="M600" t="s">
        <v>8</v>
      </c>
      <c r="N600" t="s">
        <v>8</v>
      </c>
      <c r="P600">
        <f t="shared" si="989"/>
        <v>-0.92231812577065386</v>
      </c>
      <c r="Q600">
        <f t="shared" si="990"/>
        <v>-1029062.5033785453</v>
      </c>
      <c r="R600">
        <f t="shared" si="991"/>
        <v>-1372683.370389377</v>
      </c>
      <c r="S600">
        <f t="shared" si="992"/>
        <v>-13.726833703893769</v>
      </c>
      <c r="T600">
        <f t="shared" si="993"/>
        <v>-1.3726833703893769E-2</v>
      </c>
    </row>
    <row r="601" spans="1:20" x14ac:dyDescent="0.25">
      <c r="A601" s="5">
        <v>43992</v>
      </c>
      <c r="B601">
        <v>0.56740000000000002</v>
      </c>
      <c r="C601">
        <v>0.62470000000000003</v>
      </c>
      <c r="D601">
        <v>0.56069999999999998</v>
      </c>
      <c r="E601">
        <v>0.59440000000000004</v>
      </c>
      <c r="F601">
        <v>529793.67000000004</v>
      </c>
      <c r="G601">
        <v>0</v>
      </c>
      <c r="L601" t="s">
        <v>8</v>
      </c>
      <c r="M601" t="s">
        <v>8</v>
      </c>
      <c r="N601" t="s">
        <v>8</v>
      </c>
      <c r="P601">
        <f t="shared" si="989"/>
        <v>5.3125000000001039E-2</v>
      </c>
      <c r="Q601">
        <f t="shared" si="990"/>
        <v>28145.288718750551</v>
      </c>
      <c r="R601">
        <f t="shared" si="991"/>
        <v>-343620.86701083172</v>
      </c>
      <c r="S601">
        <f t="shared" si="992"/>
        <v>-3.436208670108317</v>
      </c>
      <c r="T601">
        <f t="shared" si="993"/>
        <v>-3.436208670108317E-3</v>
      </c>
    </row>
    <row r="602" spans="1:20" x14ac:dyDescent="0.25">
      <c r="A602" s="5">
        <v>43991</v>
      </c>
      <c r="B602">
        <v>0.52939999999999998</v>
      </c>
      <c r="C602">
        <v>0.57010000000000005</v>
      </c>
      <c r="D602">
        <v>0.52090000000000003</v>
      </c>
      <c r="E602">
        <v>0.56740000000000002</v>
      </c>
      <c r="F602">
        <v>427988.28</v>
      </c>
      <c r="G602">
        <v>0</v>
      </c>
      <c r="L602" t="s">
        <v>8</v>
      </c>
      <c r="M602" t="s">
        <v>8</v>
      </c>
      <c r="N602" t="s">
        <v>8</v>
      </c>
      <c r="P602">
        <f t="shared" si="989"/>
        <v>0.89024390243902296</v>
      </c>
      <c r="Q602">
        <f t="shared" si="990"/>
        <v>381013.95658536529</v>
      </c>
      <c r="R602">
        <f t="shared" si="991"/>
        <v>-371766.15572958224</v>
      </c>
      <c r="S602">
        <f t="shared" si="992"/>
        <v>-3.7176615572958225</v>
      </c>
      <c r="T602">
        <f t="shared" si="993"/>
        <v>-3.7176615572958225E-3</v>
      </c>
    </row>
    <row r="603" spans="1:20" x14ac:dyDescent="0.25">
      <c r="A603" s="5">
        <v>43990</v>
      </c>
      <c r="B603">
        <v>0.52510000000000001</v>
      </c>
      <c r="C603">
        <v>0.5554</v>
      </c>
      <c r="D603">
        <v>0.51939999999999997</v>
      </c>
      <c r="E603">
        <v>0.52949999999999997</v>
      </c>
      <c r="F603">
        <v>347316.64</v>
      </c>
      <c r="G603">
        <v>0</v>
      </c>
      <c r="L603" t="s">
        <v>8</v>
      </c>
      <c r="M603" t="s">
        <v>8</v>
      </c>
      <c r="N603" t="s">
        <v>8</v>
      </c>
      <c r="P603">
        <f t="shared" si="989"/>
        <v>-0.43888888888888949</v>
      </c>
      <c r="Q603">
        <f t="shared" si="990"/>
        <v>-152433.41422222243</v>
      </c>
      <c r="R603">
        <f t="shared" si="991"/>
        <v>-752780.11231494753</v>
      </c>
      <c r="S603">
        <f t="shared" si="992"/>
        <v>-7.5278011231494757</v>
      </c>
      <c r="T603">
        <f t="shared" si="993"/>
        <v>-7.5278011231494756E-3</v>
      </c>
    </row>
    <row r="604" spans="1:20" x14ac:dyDescent="0.25">
      <c r="A604" s="5">
        <v>43989</v>
      </c>
      <c r="B604">
        <v>0.52259999999999995</v>
      </c>
      <c r="C604">
        <v>0.52829999999999999</v>
      </c>
      <c r="D604">
        <v>0.50990000000000002</v>
      </c>
      <c r="E604">
        <v>0.52529999999999999</v>
      </c>
      <c r="F604">
        <v>173600.51</v>
      </c>
      <c r="G604">
        <v>0</v>
      </c>
      <c r="L604" t="s">
        <v>8</v>
      </c>
      <c r="M604" t="s">
        <v>8</v>
      </c>
      <c r="N604" t="s">
        <v>8</v>
      </c>
      <c r="P604">
        <f t="shared" si="989"/>
        <v>0.67391304347826009</v>
      </c>
      <c r="Q604">
        <f t="shared" si="990"/>
        <v>116991.64804347813</v>
      </c>
      <c r="R604">
        <f t="shared" si="991"/>
        <v>-600346.69809272513</v>
      </c>
      <c r="S604">
        <f t="shared" si="992"/>
        <v>-6.003466980927251</v>
      </c>
      <c r="T604">
        <f t="shared" si="993"/>
        <v>-6.0034669809272507E-3</v>
      </c>
    </row>
    <row r="605" spans="1:20" x14ac:dyDescent="0.25">
      <c r="A605" s="5">
        <v>43988</v>
      </c>
      <c r="B605">
        <v>0.52070000000000005</v>
      </c>
      <c r="C605">
        <v>0.52400000000000002</v>
      </c>
      <c r="D605">
        <v>0.50760000000000005</v>
      </c>
      <c r="E605">
        <v>0.52229999999999999</v>
      </c>
      <c r="F605">
        <v>177331.8</v>
      </c>
      <c r="G605">
        <v>0</v>
      </c>
      <c r="L605" t="s">
        <v>8</v>
      </c>
      <c r="M605" t="s">
        <v>8</v>
      </c>
      <c r="N605" t="s">
        <v>8</v>
      </c>
      <c r="P605">
        <f t="shared" si="989"/>
        <v>0.79268292682926367</v>
      </c>
      <c r="Q605">
        <f t="shared" si="990"/>
        <v>140567.89024390161</v>
      </c>
      <c r="R605">
        <f t="shared" si="991"/>
        <v>-717338.34613620327</v>
      </c>
      <c r="S605">
        <f t="shared" si="992"/>
        <v>-7.1733834613620324</v>
      </c>
      <c r="T605">
        <f t="shared" si="993"/>
        <v>-7.1733834613620321E-3</v>
      </c>
    </row>
    <row r="606" spans="1:20" x14ac:dyDescent="0.25">
      <c r="A606" s="5">
        <v>43987</v>
      </c>
      <c r="B606">
        <v>0.52139999999999997</v>
      </c>
      <c r="C606">
        <v>0.5282</v>
      </c>
      <c r="D606">
        <v>0.38279999999999997</v>
      </c>
      <c r="E606">
        <v>0.52070000000000005</v>
      </c>
      <c r="F606">
        <v>195261.33</v>
      </c>
      <c r="G606">
        <v>0</v>
      </c>
      <c r="L606" t="s">
        <v>7</v>
      </c>
      <c r="M606" t="s">
        <v>7</v>
      </c>
      <c r="N606" t="s">
        <v>7</v>
      </c>
      <c r="P606">
        <f t="shared" si="989"/>
        <v>0.89683631361760729</v>
      </c>
      <c r="Q606">
        <f t="shared" si="990"/>
        <v>175117.4513892711</v>
      </c>
      <c r="R606">
        <f t="shared" si="991"/>
        <v>-857906.23638010491</v>
      </c>
      <c r="S606">
        <f t="shared" si="992"/>
        <v>-8.5790623638010484</v>
      </c>
      <c r="T606">
        <f t="shared" si="993"/>
        <v>-8.5790623638010485E-3</v>
      </c>
    </row>
    <row r="607" spans="1:20" x14ac:dyDescent="0.25">
      <c r="A607" s="5">
        <v>43986</v>
      </c>
      <c r="B607">
        <v>0.53320000000000001</v>
      </c>
      <c r="C607">
        <v>0.53890000000000005</v>
      </c>
      <c r="D607">
        <v>0.50790000000000002</v>
      </c>
      <c r="E607">
        <v>0.52139999999999997</v>
      </c>
      <c r="F607">
        <v>246943.24</v>
      </c>
      <c r="G607">
        <v>0</v>
      </c>
      <c r="L607" t="s">
        <v>8</v>
      </c>
      <c r="M607" t="s">
        <v>7</v>
      </c>
      <c r="N607" t="s">
        <v>7</v>
      </c>
      <c r="P607">
        <f t="shared" si="989"/>
        <v>-0.12903225806451971</v>
      </c>
      <c r="Q607">
        <f t="shared" si="990"/>
        <v>-31863.643870968623</v>
      </c>
      <c r="R607">
        <f t="shared" si="991"/>
        <v>-1033023.687769376</v>
      </c>
      <c r="S607">
        <f t="shared" si="992"/>
        <v>-10.330236877693761</v>
      </c>
      <c r="T607">
        <f t="shared" si="993"/>
        <v>-1.0330236877693761E-2</v>
      </c>
    </row>
    <row r="608" spans="1:20" x14ac:dyDescent="0.25">
      <c r="A608" s="5">
        <v>43985</v>
      </c>
      <c r="B608">
        <v>0.51039999999999996</v>
      </c>
      <c r="C608">
        <v>0.53249999999999997</v>
      </c>
      <c r="D608">
        <v>0.50660000000000005</v>
      </c>
      <c r="E608">
        <v>0.53200000000000003</v>
      </c>
      <c r="F608">
        <v>183375.28</v>
      </c>
      <c r="G608">
        <v>0</v>
      </c>
      <c r="L608" t="s">
        <v>8</v>
      </c>
      <c r="M608" t="s">
        <v>7</v>
      </c>
      <c r="N608" t="s">
        <v>7</v>
      </c>
      <c r="P608">
        <f t="shared" si="989"/>
        <v>0.96138996138996557</v>
      </c>
      <c r="Q608">
        <f t="shared" si="990"/>
        <v>176295.15335907412</v>
      </c>
      <c r="R608">
        <f t="shared" si="991"/>
        <v>-1001160.0438984074</v>
      </c>
      <c r="S608">
        <f t="shared" si="992"/>
        <v>-10.011600438984074</v>
      </c>
      <c r="T608">
        <f t="shared" si="993"/>
        <v>-1.0011600438984074E-2</v>
      </c>
    </row>
    <row r="609" spans="1:20" x14ac:dyDescent="0.25">
      <c r="A609" s="5">
        <v>43984</v>
      </c>
      <c r="B609">
        <v>0.54179999999999995</v>
      </c>
      <c r="C609">
        <v>0.54359999999999997</v>
      </c>
      <c r="D609">
        <v>0.48909999999999998</v>
      </c>
      <c r="E609">
        <v>0.51080000000000003</v>
      </c>
      <c r="F609">
        <v>176963.76</v>
      </c>
      <c r="G609">
        <v>0</v>
      </c>
      <c r="L609" t="s">
        <v>7</v>
      </c>
      <c r="M609" t="s">
        <v>7</v>
      </c>
      <c r="N609" t="s">
        <v>7</v>
      </c>
      <c r="P609">
        <f t="shared" si="989"/>
        <v>-0.20366972477064016</v>
      </c>
      <c r="Q609">
        <f t="shared" si="990"/>
        <v>-36042.160293577625</v>
      </c>
      <c r="R609">
        <f t="shared" si="991"/>
        <v>-1177455.1972574815</v>
      </c>
      <c r="S609">
        <f t="shared" si="992"/>
        <v>-11.774551972574816</v>
      </c>
      <c r="T609">
        <f t="shared" si="993"/>
        <v>-1.1774551972574815E-2</v>
      </c>
    </row>
    <row r="610" spans="1:20" x14ac:dyDescent="0.25">
      <c r="A610" s="5">
        <v>43983</v>
      </c>
      <c r="B610">
        <v>0.51739999999999997</v>
      </c>
      <c r="C610">
        <v>0.54930000000000001</v>
      </c>
      <c r="D610">
        <v>0.51359999999999995</v>
      </c>
      <c r="E610">
        <v>0.53859999999999997</v>
      </c>
      <c r="F610">
        <v>175408.69</v>
      </c>
      <c r="G610">
        <v>0</v>
      </c>
      <c r="L610" t="s">
        <v>7</v>
      </c>
      <c r="M610" t="s">
        <v>8</v>
      </c>
      <c r="N610" t="s">
        <v>7</v>
      </c>
      <c r="P610">
        <f t="shared" si="989"/>
        <v>0.40056022408963454</v>
      </c>
      <c r="Q610">
        <f t="shared" si="990"/>
        <v>70261.744173669242</v>
      </c>
      <c r="R610">
        <f t="shared" si="991"/>
        <v>-1141413.0369639038</v>
      </c>
      <c r="S610">
        <f t="shared" si="992"/>
        <v>-11.414130369639038</v>
      </c>
      <c r="T610">
        <f t="shared" si="993"/>
        <v>-1.1414130369639038E-2</v>
      </c>
    </row>
    <row r="611" spans="1:20" x14ac:dyDescent="0.25">
      <c r="A611" s="5">
        <v>43982</v>
      </c>
      <c r="B611">
        <v>0.53700000000000003</v>
      </c>
      <c r="C611">
        <v>0.54449999999999998</v>
      </c>
      <c r="D611">
        <v>0.51490000000000002</v>
      </c>
      <c r="E611">
        <v>0.51739999999999997</v>
      </c>
      <c r="F611">
        <v>298011.09000000003</v>
      </c>
      <c r="G611">
        <v>0</v>
      </c>
      <c r="L611" t="s">
        <v>7</v>
      </c>
      <c r="M611" t="s">
        <v>8</v>
      </c>
      <c r="N611" t="s">
        <v>7</v>
      </c>
      <c r="P611">
        <f t="shared" si="989"/>
        <v>-0.83108108108108447</v>
      </c>
      <c r="Q611">
        <f t="shared" si="990"/>
        <v>-247671.37885135238</v>
      </c>
      <c r="R611">
        <f t="shared" si="991"/>
        <v>-1211674.7811375731</v>
      </c>
      <c r="S611">
        <f t="shared" si="992"/>
        <v>-12.116747811375731</v>
      </c>
      <c r="T611">
        <f t="shared" si="993"/>
        <v>-1.2116747811375731E-2</v>
      </c>
    </row>
    <row r="612" spans="1:20" x14ac:dyDescent="0.25">
      <c r="A612" s="5">
        <v>43981</v>
      </c>
      <c r="B612">
        <v>0.51049999999999995</v>
      </c>
      <c r="C612">
        <v>0.59</v>
      </c>
      <c r="D612">
        <v>0.50109999999999999</v>
      </c>
      <c r="E612">
        <v>0.53700000000000003</v>
      </c>
      <c r="F612">
        <v>646163.6</v>
      </c>
      <c r="G612">
        <v>0</v>
      </c>
      <c r="L612" t="s">
        <v>8</v>
      </c>
      <c r="M612" t="s">
        <v>8</v>
      </c>
      <c r="N612" t="s">
        <v>7</v>
      </c>
      <c r="P612">
        <f t="shared" si="989"/>
        <v>-0.19235095613048253</v>
      </c>
      <c r="Q612">
        <f t="shared" si="990"/>
        <v>-124290.18627671465</v>
      </c>
      <c r="R612">
        <f t="shared" si="991"/>
        <v>-964003.40228622057</v>
      </c>
      <c r="S612">
        <f t="shared" si="992"/>
        <v>-9.6400340228622063</v>
      </c>
      <c r="T612">
        <f t="shared" si="993"/>
        <v>-9.6400340228622056E-3</v>
      </c>
    </row>
    <row r="613" spans="1:20" x14ac:dyDescent="0.25">
      <c r="A613" s="5">
        <v>43980</v>
      </c>
      <c r="B613">
        <v>0.50880000000000003</v>
      </c>
      <c r="C613">
        <v>0.51900000000000002</v>
      </c>
      <c r="D613">
        <v>0.50109999999999999</v>
      </c>
      <c r="E613">
        <v>0.51049999999999995</v>
      </c>
      <c r="F613">
        <v>161072.85</v>
      </c>
      <c r="G613">
        <v>0</v>
      </c>
      <c r="L613" t="s">
        <v>7</v>
      </c>
      <c r="M613" t="s">
        <v>7</v>
      </c>
      <c r="N613" t="s">
        <v>7</v>
      </c>
      <c r="P613">
        <f t="shared" si="989"/>
        <v>5.0279329608932936E-2</v>
      </c>
      <c r="Q613">
        <f t="shared" si="990"/>
        <v>8098.6349162002134</v>
      </c>
      <c r="R613">
        <f t="shared" si="991"/>
        <v>-839713.21600950591</v>
      </c>
      <c r="S613">
        <f t="shared" si="992"/>
        <v>-8.3971321600950599</v>
      </c>
      <c r="T613">
        <f t="shared" si="993"/>
        <v>-8.3971321600950603E-3</v>
      </c>
    </row>
    <row r="614" spans="1:20" x14ac:dyDescent="0.25">
      <c r="A614" s="5">
        <v>43979</v>
      </c>
      <c r="B614">
        <v>0.51829999999999998</v>
      </c>
      <c r="C614">
        <v>0.53490000000000004</v>
      </c>
      <c r="D614">
        <v>0.49719999999999998</v>
      </c>
      <c r="E614">
        <v>0.50860000000000005</v>
      </c>
      <c r="F614">
        <v>312732.36</v>
      </c>
      <c r="G614">
        <v>0</v>
      </c>
      <c r="L614" t="s">
        <v>7</v>
      </c>
      <c r="M614" t="s">
        <v>7</v>
      </c>
      <c r="N614" t="s">
        <v>7</v>
      </c>
      <c r="P614">
        <f t="shared" si="989"/>
        <v>-0.39522546419097843</v>
      </c>
      <c r="Q614">
        <f t="shared" si="990"/>
        <v>-123599.79214854017</v>
      </c>
      <c r="R614">
        <f t="shared" si="991"/>
        <v>-847811.85092570609</v>
      </c>
      <c r="S614">
        <f t="shared" si="992"/>
        <v>-8.4781185092570617</v>
      </c>
      <c r="T614">
        <f t="shared" si="993"/>
        <v>-8.4781185092570616E-3</v>
      </c>
    </row>
    <row r="615" spans="1:20" x14ac:dyDescent="0.25">
      <c r="A615" s="5">
        <v>43978</v>
      </c>
      <c r="B615">
        <v>0.4829</v>
      </c>
      <c r="C615">
        <v>0.6</v>
      </c>
      <c r="D615">
        <v>0.47510000000000002</v>
      </c>
      <c r="E615">
        <v>0.51570000000000005</v>
      </c>
      <c r="F615">
        <v>525775.12</v>
      </c>
      <c r="G615">
        <v>0</v>
      </c>
      <c r="L615" t="s">
        <v>8</v>
      </c>
      <c r="M615" t="s">
        <v>8</v>
      </c>
      <c r="N615" t="s">
        <v>7</v>
      </c>
      <c r="P615">
        <f t="shared" si="989"/>
        <v>-0.34987990392313789</v>
      </c>
      <c r="Q615">
        <f t="shared" si="990"/>
        <v>-183958.1484707763</v>
      </c>
      <c r="R615">
        <f t="shared" si="991"/>
        <v>-724212.05877716595</v>
      </c>
      <c r="S615">
        <f t="shared" si="992"/>
        <v>-7.2421205877716597</v>
      </c>
      <c r="T615">
        <f t="shared" si="993"/>
        <v>-7.2421205877716598E-3</v>
      </c>
    </row>
    <row r="616" spans="1:20" x14ac:dyDescent="0.25">
      <c r="A616" s="5">
        <v>43977</v>
      </c>
      <c r="B616">
        <v>0.4788</v>
      </c>
      <c r="C616">
        <v>0.48899999999999999</v>
      </c>
      <c r="D616">
        <v>0.46989999999999998</v>
      </c>
      <c r="E616">
        <v>0.48309999999999997</v>
      </c>
      <c r="F616">
        <v>233927.35</v>
      </c>
      <c r="G616">
        <v>0</v>
      </c>
      <c r="L616" t="s">
        <v>7</v>
      </c>
      <c r="M616" t="s">
        <v>7</v>
      </c>
      <c r="N616" t="s">
        <v>7</v>
      </c>
      <c r="P616">
        <f t="shared" si="989"/>
        <v>0.38219895287957961</v>
      </c>
      <c r="Q616">
        <f t="shared" si="990"/>
        <v>89406.788219894923</v>
      </c>
      <c r="R616">
        <f t="shared" si="991"/>
        <v>-540253.91030638968</v>
      </c>
      <c r="S616">
        <f t="shared" si="992"/>
        <v>-5.402539103063897</v>
      </c>
      <c r="T616">
        <f t="shared" si="993"/>
        <v>-5.4025391030638973E-3</v>
      </c>
    </row>
    <row r="617" spans="1:20" x14ac:dyDescent="0.25">
      <c r="A617" s="5">
        <v>43976</v>
      </c>
      <c r="B617">
        <v>0.46010000000000001</v>
      </c>
      <c r="C617">
        <v>0.48099999999999998</v>
      </c>
      <c r="D617">
        <v>0.45729999999999998</v>
      </c>
      <c r="E617">
        <v>0.47549999999999998</v>
      </c>
      <c r="F617">
        <v>180152.25</v>
      </c>
      <c r="G617">
        <v>0</v>
      </c>
      <c r="L617" t="s">
        <v>7</v>
      </c>
      <c r="M617" t="s">
        <v>7</v>
      </c>
      <c r="N617" t="s">
        <v>7</v>
      </c>
      <c r="P617">
        <f t="shared" si="989"/>
        <v>0.53586497890295315</v>
      </c>
      <c r="Q617">
        <f t="shared" si="990"/>
        <v>96537.281645569543</v>
      </c>
      <c r="R617">
        <f t="shared" si="991"/>
        <v>-629660.69852628466</v>
      </c>
      <c r="S617">
        <f t="shared" si="992"/>
        <v>-6.296606985262847</v>
      </c>
      <c r="T617">
        <f t="shared" si="993"/>
        <v>-6.2966069852628467E-3</v>
      </c>
    </row>
    <row r="618" spans="1:20" x14ac:dyDescent="0.25">
      <c r="A618" s="5">
        <v>43975</v>
      </c>
      <c r="B618">
        <v>0.4904</v>
      </c>
      <c r="C618">
        <v>0.49680000000000002</v>
      </c>
      <c r="D618">
        <v>0.46</v>
      </c>
      <c r="E618">
        <v>0.46139999999999998</v>
      </c>
      <c r="F618">
        <v>304558.44</v>
      </c>
      <c r="G618">
        <v>0</v>
      </c>
      <c r="L618" t="s">
        <v>7</v>
      </c>
      <c r="M618" t="s">
        <v>7</v>
      </c>
      <c r="N618" t="s">
        <v>7</v>
      </c>
      <c r="P618">
        <f t="shared" si="989"/>
        <v>-0.9239130434782632</v>
      </c>
      <c r="Q618">
        <f t="shared" si="990"/>
        <v>-281385.51521739201</v>
      </c>
      <c r="R618">
        <f t="shared" si="991"/>
        <v>-726197.98017185414</v>
      </c>
      <c r="S618">
        <f t="shared" si="992"/>
        <v>-7.2619798017185415</v>
      </c>
      <c r="T618">
        <f t="shared" si="993"/>
        <v>-7.2619798017185414E-3</v>
      </c>
    </row>
    <row r="619" spans="1:20" x14ac:dyDescent="0.25">
      <c r="A619" s="5">
        <v>43974</v>
      </c>
      <c r="B619">
        <v>0.48280000000000001</v>
      </c>
      <c r="C619">
        <v>0.52539999999999998</v>
      </c>
      <c r="D619">
        <v>0.48249999999999998</v>
      </c>
      <c r="E619">
        <v>0.49030000000000001</v>
      </c>
      <c r="F619">
        <v>391566.01</v>
      </c>
      <c r="G619">
        <v>0</v>
      </c>
      <c r="L619" t="s">
        <v>8</v>
      </c>
      <c r="M619" t="s">
        <v>7</v>
      </c>
      <c r="N619" t="s">
        <v>7</v>
      </c>
      <c r="P619">
        <f t="shared" si="989"/>
        <v>-0.63636363636363491</v>
      </c>
      <c r="Q619">
        <f t="shared" si="990"/>
        <v>-249178.36999999944</v>
      </c>
      <c r="R619">
        <f t="shared" si="991"/>
        <v>-444812.46495446219</v>
      </c>
      <c r="S619">
        <f t="shared" si="992"/>
        <v>-4.4481246495446216</v>
      </c>
      <c r="T619">
        <f t="shared" si="993"/>
        <v>-4.4481246495446216E-3</v>
      </c>
    </row>
    <row r="620" spans="1:20" x14ac:dyDescent="0.25">
      <c r="A620" s="5">
        <v>43973</v>
      </c>
      <c r="B620">
        <v>0.46060000000000001</v>
      </c>
      <c r="C620">
        <v>0.5</v>
      </c>
      <c r="D620">
        <v>0.44879999999999998</v>
      </c>
      <c r="E620">
        <v>0.48280000000000001</v>
      </c>
      <c r="F620">
        <v>329265.09999999998</v>
      </c>
      <c r="G620">
        <v>0</v>
      </c>
      <c r="L620" t="s">
        <v>8</v>
      </c>
      <c r="M620" t="s">
        <v>7</v>
      </c>
      <c r="N620" t="s">
        <v>7</v>
      </c>
      <c r="P620">
        <f t="shared" si="989"/>
        <v>0.32812500000000056</v>
      </c>
      <c r="Q620">
        <f t="shared" si="990"/>
        <v>108040.11093750017</v>
      </c>
      <c r="R620">
        <f t="shared" si="991"/>
        <v>-195634.09495446275</v>
      </c>
      <c r="S620">
        <f t="shared" si="992"/>
        <v>-1.9563409495446276</v>
      </c>
      <c r="T620">
        <f t="shared" si="993"/>
        <v>-1.9563409495446274E-3</v>
      </c>
    </row>
    <row r="621" spans="1:20" x14ac:dyDescent="0.25">
      <c r="A621" s="5">
        <v>43972</v>
      </c>
      <c r="B621">
        <v>0.48170000000000002</v>
      </c>
      <c r="C621">
        <v>0.48330000000000001</v>
      </c>
      <c r="D621">
        <v>0.44419999999999998</v>
      </c>
      <c r="E621">
        <v>0.46079999999999999</v>
      </c>
      <c r="F621">
        <v>256815.9</v>
      </c>
      <c r="G621">
        <v>0</v>
      </c>
      <c r="L621" t="s">
        <v>7</v>
      </c>
      <c r="M621" t="s">
        <v>7</v>
      </c>
      <c r="N621" t="s">
        <v>7</v>
      </c>
      <c r="P621">
        <f t="shared" si="989"/>
        <v>-0.15089514066496196</v>
      </c>
      <c r="Q621">
        <f t="shared" si="990"/>
        <v>-38752.2713554988</v>
      </c>
      <c r="R621">
        <f t="shared" si="991"/>
        <v>-303674.20589196292</v>
      </c>
      <c r="S621">
        <f t="shared" si="992"/>
        <v>-3.036742058919629</v>
      </c>
      <c r="T621">
        <f t="shared" si="993"/>
        <v>-3.036742058919629E-3</v>
      </c>
    </row>
    <row r="622" spans="1:20" x14ac:dyDescent="0.25">
      <c r="A622" s="5">
        <v>43971</v>
      </c>
      <c r="B622">
        <v>0.49130000000000001</v>
      </c>
      <c r="C622">
        <v>0.49159999999999998</v>
      </c>
      <c r="D622">
        <v>0.4713</v>
      </c>
      <c r="E622">
        <v>0.48170000000000002</v>
      </c>
      <c r="F622">
        <v>226757.38</v>
      </c>
      <c r="G622">
        <v>0</v>
      </c>
      <c r="L622" t="s">
        <v>8</v>
      </c>
      <c r="M622" t="s">
        <v>7</v>
      </c>
      <c r="N622" t="s">
        <v>7</v>
      </c>
      <c r="P622">
        <f t="shared" si="989"/>
        <v>2.4630541871923955E-2</v>
      </c>
      <c r="Q622">
        <f t="shared" si="990"/>
        <v>5585.1571428577718</v>
      </c>
      <c r="R622">
        <f t="shared" si="991"/>
        <v>-264921.9345364641</v>
      </c>
      <c r="S622">
        <f t="shared" si="992"/>
        <v>-2.6492193453646409</v>
      </c>
      <c r="T622">
        <f t="shared" si="993"/>
        <v>-2.6492193453646409E-3</v>
      </c>
    </row>
    <row r="623" spans="1:20" x14ac:dyDescent="0.25">
      <c r="A623" s="5">
        <v>43970</v>
      </c>
      <c r="B623">
        <v>0.48359999999999997</v>
      </c>
      <c r="C623">
        <v>0.49399999999999999</v>
      </c>
      <c r="D623">
        <v>0.47099999999999997</v>
      </c>
      <c r="E623">
        <v>0.49120000000000003</v>
      </c>
      <c r="F623">
        <v>196084.57</v>
      </c>
      <c r="G623">
        <v>0</v>
      </c>
      <c r="L623" t="s">
        <v>8</v>
      </c>
      <c r="M623" t="s">
        <v>7</v>
      </c>
      <c r="N623" t="s">
        <v>7</v>
      </c>
      <c r="P623">
        <f t="shared" si="989"/>
        <v>0.75652173913043763</v>
      </c>
      <c r="Q623">
        <f t="shared" si="990"/>
        <v>148342.23991304403</v>
      </c>
      <c r="R623">
        <f t="shared" si="991"/>
        <v>-270507.09167932189</v>
      </c>
      <c r="S623">
        <f t="shared" si="992"/>
        <v>-2.7050709167932188</v>
      </c>
      <c r="T623">
        <f t="shared" si="993"/>
        <v>-2.7050709167932186E-3</v>
      </c>
    </row>
    <row r="624" spans="1:20" x14ac:dyDescent="0.25">
      <c r="A624" s="5">
        <v>43969</v>
      </c>
      <c r="B624">
        <v>0.4743</v>
      </c>
      <c r="C624">
        <v>0.48949999999999999</v>
      </c>
      <c r="D624">
        <v>0.47360000000000002</v>
      </c>
      <c r="E624">
        <v>0.4839</v>
      </c>
      <c r="F624">
        <v>212720.52</v>
      </c>
      <c r="G624">
        <v>0</v>
      </c>
      <c r="L624" t="s">
        <v>8</v>
      </c>
      <c r="M624" t="s">
        <v>7</v>
      </c>
      <c r="N624" t="s">
        <v>7</v>
      </c>
      <c r="P624">
        <f t="shared" si="989"/>
        <v>0.29559748427672899</v>
      </c>
      <c r="Q624">
        <f t="shared" si="990"/>
        <v>62879.650566037613</v>
      </c>
      <c r="R624">
        <f t="shared" si="991"/>
        <v>-418849.33159236592</v>
      </c>
      <c r="S624">
        <f t="shared" si="992"/>
        <v>-4.188493315923659</v>
      </c>
      <c r="T624">
        <f t="shared" si="993"/>
        <v>-4.1884933159236594E-3</v>
      </c>
    </row>
    <row r="625" spans="1:20" x14ac:dyDescent="0.25">
      <c r="A625" s="5">
        <v>43968</v>
      </c>
      <c r="B625">
        <v>0.47360000000000002</v>
      </c>
      <c r="C625">
        <v>0.48230000000000001</v>
      </c>
      <c r="D625">
        <v>0.46800000000000003</v>
      </c>
      <c r="E625">
        <v>0.47439999999999999</v>
      </c>
      <c r="F625">
        <v>338968.53</v>
      </c>
      <c r="G625">
        <v>0</v>
      </c>
      <c r="L625" t="s">
        <v>8</v>
      </c>
      <c r="M625" t="s">
        <v>7</v>
      </c>
      <c r="N625" t="s">
        <v>7</v>
      </c>
      <c r="P625">
        <f t="shared" si="989"/>
        <v>-0.10489510489510902</v>
      </c>
      <c r="Q625">
        <f t="shared" si="990"/>
        <v>-35556.13951049091</v>
      </c>
      <c r="R625">
        <f t="shared" si="991"/>
        <v>-481728.98215840355</v>
      </c>
      <c r="S625">
        <f t="shared" si="992"/>
        <v>-4.8172898215840352</v>
      </c>
      <c r="T625">
        <f t="shared" si="993"/>
        <v>-4.817289821584035E-3</v>
      </c>
    </row>
    <row r="626" spans="1:20" x14ac:dyDescent="0.25">
      <c r="A626" s="5">
        <v>43967</v>
      </c>
      <c r="B626">
        <v>0.47589999999999999</v>
      </c>
      <c r="C626">
        <v>0.4824</v>
      </c>
      <c r="D626">
        <v>0.47089999999999999</v>
      </c>
      <c r="E626">
        <v>0.4738</v>
      </c>
      <c r="F626">
        <v>244820.46</v>
      </c>
      <c r="G626">
        <v>0</v>
      </c>
      <c r="L626" t="s">
        <v>8</v>
      </c>
      <c r="M626" t="s">
        <v>7</v>
      </c>
      <c r="N626" t="s">
        <v>7</v>
      </c>
      <c r="P626">
        <f t="shared" si="989"/>
        <v>-0.49565217391304156</v>
      </c>
      <c r="Q626">
        <f t="shared" si="990"/>
        <v>-121345.79321739083</v>
      </c>
      <c r="R626">
        <f t="shared" si="991"/>
        <v>-446172.84264791262</v>
      </c>
      <c r="S626">
        <f t="shared" si="992"/>
        <v>-4.4617284264791266</v>
      </c>
      <c r="T626">
        <f t="shared" si="993"/>
        <v>-4.4617284264791262E-3</v>
      </c>
    </row>
    <row r="627" spans="1:20" x14ac:dyDescent="0.25">
      <c r="A627" s="5">
        <v>43966</v>
      </c>
      <c r="B627">
        <v>0.48270000000000002</v>
      </c>
      <c r="C627">
        <v>0.49359999999999998</v>
      </c>
      <c r="D627">
        <v>0.47039999999999998</v>
      </c>
      <c r="E627">
        <v>0.47460000000000002</v>
      </c>
      <c r="F627">
        <v>420339.42</v>
      </c>
      <c r="G627">
        <v>0</v>
      </c>
      <c r="L627" t="s">
        <v>8</v>
      </c>
      <c r="M627" t="s">
        <v>7</v>
      </c>
      <c r="N627" t="s">
        <v>7</v>
      </c>
      <c r="P627">
        <f t="shared" si="989"/>
        <v>-0.63793103448275545</v>
      </c>
      <c r="Q627">
        <f t="shared" si="990"/>
        <v>-268147.56103448139</v>
      </c>
      <c r="R627">
        <f t="shared" si="991"/>
        <v>-324827.04943052179</v>
      </c>
      <c r="S627">
        <f t="shared" si="992"/>
        <v>-3.2482704943052179</v>
      </c>
      <c r="T627">
        <f t="shared" si="993"/>
        <v>-3.248270494305218E-3</v>
      </c>
    </row>
    <row r="628" spans="1:20" x14ac:dyDescent="0.25">
      <c r="A628" s="5">
        <v>43965</v>
      </c>
      <c r="B628">
        <v>0.4637</v>
      </c>
      <c r="C628">
        <v>0.49199999999999999</v>
      </c>
      <c r="D628">
        <v>0.45190000000000002</v>
      </c>
      <c r="E628">
        <v>0.48259999999999997</v>
      </c>
      <c r="F628">
        <v>317840.62</v>
      </c>
      <c r="G628">
        <v>0</v>
      </c>
      <c r="L628" t="s">
        <v>7</v>
      </c>
      <c r="M628" t="s">
        <v>7</v>
      </c>
      <c r="N628" t="s">
        <v>7</v>
      </c>
      <c r="P628">
        <f t="shared" si="989"/>
        <v>0.53117206982543508</v>
      </c>
      <c r="Q628">
        <f t="shared" si="990"/>
        <v>168828.05999999956</v>
      </c>
      <c r="R628">
        <f t="shared" si="991"/>
        <v>-56679.488396040426</v>
      </c>
      <c r="S628">
        <f t="shared" si="992"/>
        <v>-0.56679488396040423</v>
      </c>
      <c r="T628">
        <f t="shared" si="993"/>
        <v>-5.6679488396040425E-4</v>
      </c>
    </row>
    <row r="629" spans="1:20" x14ac:dyDescent="0.25">
      <c r="A629" s="5">
        <v>43964</v>
      </c>
      <c r="B629">
        <v>0.44850000000000001</v>
      </c>
      <c r="C629">
        <v>0.499</v>
      </c>
      <c r="D629">
        <v>0.44850000000000001</v>
      </c>
      <c r="E629">
        <v>0.46329999999999999</v>
      </c>
      <c r="F629">
        <v>544886.66</v>
      </c>
      <c r="G629">
        <v>0</v>
      </c>
      <c r="P629">
        <f t="shared" si="989"/>
        <v>-0.41386138613861456</v>
      </c>
      <c r="Q629">
        <f t="shared" si="990"/>
        <v>-225507.54839603999</v>
      </c>
      <c r="R629">
        <f t="shared" si="991"/>
        <v>-225507.54839603999</v>
      </c>
      <c r="S629">
        <f t="shared" si="992"/>
        <v>-2.2550754839603999</v>
      </c>
      <c r="T629">
        <f t="shared" si="993"/>
        <v>-2.2550754839604E-3</v>
      </c>
    </row>
    <row r="630" spans="1:20" x14ac:dyDescent="0.25">
      <c r="A630" s="5"/>
      <c r="C630"/>
      <c r="D630"/>
      <c r="P630">
        <f t="shared" si="989"/>
        <v>0</v>
      </c>
      <c r="Q630">
        <f t="shared" si="990"/>
        <v>0</v>
      </c>
      <c r="R630">
        <f t="shared" si="991"/>
        <v>0</v>
      </c>
      <c r="S630">
        <f t="shared" si="992"/>
        <v>0</v>
      </c>
      <c r="T630">
        <f t="shared" si="993"/>
        <v>0</v>
      </c>
    </row>
    <row r="631" spans="1:20" x14ac:dyDescent="0.25">
      <c r="A631" s="5"/>
      <c r="C631"/>
      <c r="D631"/>
      <c r="P631">
        <f t="shared" si="989"/>
        <v>0</v>
      </c>
      <c r="Q631">
        <f t="shared" si="990"/>
        <v>0</v>
      </c>
      <c r="R631">
        <f t="shared" si="991"/>
        <v>0</v>
      </c>
      <c r="S631">
        <f t="shared" si="992"/>
        <v>0</v>
      </c>
      <c r="T631">
        <f t="shared" si="993"/>
        <v>0</v>
      </c>
    </row>
    <row r="632" spans="1:20" x14ac:dyDescent="0.25">
      <c r="A632" s="5"/>
      <c r="C632"/>
      <c r="D632"/>
      <c r="P632">
        <f t="shared" si="989"/>
        <v>0</v>
      </c>
      <c r="Q632">
        <f t="shared" si="990"/>
        <v>0</v>
      </c>
      <c r="R632">
        <f t="shared" si="991"/>
        <v>0</v>
      </c>
      <c r="S632">
        <f t="shared" si="992"/>
        <v>0</v>
      </c>
      <c r="T632">
        <f t="shared" si="993"/>
        <v>0</v>
      </c>
    </row>
    <row r="633" spans="1:20" x14ac:dyDescent="0.25">
      <c r="A633" s="5"/>
      <c r="C633"/>
      <c r="D633"/>
      <c r="P633">
        <f t="shared" si="989"/>
        <v>0</v>
      </c>
      <c r="Q633">
        <f t="shared" si="990"/>
        <v>0</v>
      </c>
      <c r="R633">
        <f t="shared" si="991"/>
        <v>0</v>
      </c>
      <c r="S633">
        <f t="shared" si="992"/>
        <v>0</v>
      </c>
      <c r="T633">
        <f t="shared" si="993"/>
        <v>0</v>
      </c>
    </row>
    <row r="634" spans="1:20" x14ac:dyDescent="0.25">
      <c r="A634" s="5"/>
      <c r="C634"/>
      <c r="D634"/>
      <c r="P634">
        <f t="shared" si="989"/>
        <v>0</v>
      </c>
      <c r="Q634">
        <f t="shared" si="990"/>
        <v>0</v>
      </c>
      <c r="R634">
        <f t="shared" si="991"/>
        <v>0</v>
      </c>
      <c r="S634">
        <f t="shared" si="992"/>
        <v>0</v>
      </c>
      <c r="T634">
        <f t="shared" si="993"/>
        <v>0</v>
      </c>
    </row>
    <row r="635" spans="1:20" x14ac:dyDescent="0.25">
      <c r="A635" s="5"/>
      <c r="C635"/>
      <c r="D635"/>
      <c r="P635">
        <f t="shared" si="989"/>
        <v>0</v>
      </c>
      <c r="Q635">
        <f t="shared" si="990"/>
        <v>0</v>
      </c>
      <c r="R635">
        <f t="shared" si="991"/>
        <v>0</v>
      </c>
      <c r="S635">
        <f t="shared" si="992"/>
        <v>0</v>
      </c>
      <c r="T635">
        <f t="shared" si="993"/>
        <v>0</v>
      </c>
    </row>
    <row r="636" spans="1:20" x14ac:dyDescent="0.25">
      <c r="A636" s="5"/>
      <c r="C636"/>
      <c r="D636"/>
      <c r="P636">
        <f t="shared" si="989"/>
        <v>0</v>
      </c>
      <c r="Q636">
        <f t="shared" si="990"/>
        <v>0</v>
      </c>
      <c r="R636">
        <f t="shared" si="991"/>
        <v>0</v>
      </c>
      <c r="S636">
        <f t="shared" si="992"/>
        <v>0</v>
      </c>
      <c r="T636">
        <f t="shared" si="993"/>
        <v>0</v>
      </c>
    </row>
    <row r="637" spans="1:20" x14ac:dyDescent="0.25">
      <c r="A637" s="5"/>
      <c r="C637"/>
      <c r="D637"/>
      <c r="P637">
        <f t="shared" si="989"/>
        <v>0</v>
      </c>
      <c r="Q637">
        <f t="shared" si="990"/>
        <v>0</v>
      </c>
      <c r="R637">
        <f t="shared" si="991"/>
        <v>0</v>
      </c>
      <c r="S637">
        <f t="shared" si="992"/>
        <v>0</v>
      </c>
      <c r="T637">
        <f t="shared" si="993"/>
        <v>0</v>
      </c>
    </row>
    <row r="638" spans="1:20" x14ac:dyDescent="0.25">
      <c r="A638" s="5"/>
      <c r="C638"/>
      <c r="D638"/>
      <c r="P638">
        <f t="shared" si="989"/>
        <v>0</v>
      </c>
      <c r="Q638">
        <f t="shared" si="990"/>
        <v>0</v>
      </c>
      <c r="R638">
        <f t="shared" si="991"/>
        <v>0</v>
      </c>
      <c r="S638">
        <f t="shared" si="992"/>
        <v>0</v>
      </c>
      <c r="T638">
        <f t="shared" si="993"/>
        <v>0</v>
      </c>
    </row>
    <row r="639" spans="1:20" x14ac:dyDescent="0.25">
      <c r="A639" s="5"/>
      <c r="C639"/>
      <c r="D639"/>
      <c r="P639">
        <f t="shared" si="989"/>
        <v>0</v>
      </c>
      <c r="Q639">
        <f t="shared" si="990"/>
        <v>0</v>
      </c>
      <c r="R639">
        <f t="shared" si="991"/>
        <v>0</v>
      </c>
      <c r="S639">
        <f t="shared" si="992"/>
        <v>0</v>
      </c>
      <c r="T639">
        <f t="shared" si="993"/>
        <v>0</v>
      </c>
    </row>
    <row r="640" spans="1:20" x14ac:dyDescent="0.25">
      <c r="A640" s="5"/>
      <c r="C640"/>
      <c r="D640"/>
      <c r="P640">
        <f t="shared" si="989"/>
        <v>0</v>
      </c>
      <c r="Q640">
        <f t="shared" si="990"/>
        <v>0</v>
      </c>
      <c r="R640">
        <f t="shared" si="991"/>
        <v>0</v>
      </c>
      <c r="S640">
        <f t="shared" si="992"/>
        <v>0</v>
      </c>
      <c r="T640">
        <f t="shared" si="993"/>
        <v>0</v>
      </c>
    </row>
    <row r="641" spans="1:20" x14ac:dyDescent="0.25">
      <c r="A641" s="5"/>
      <c r="C641"/>
      <c r="D641"/>
      <c r="P641">
        <f t="shared" si="989"/>
        <v>0</v>
      </c>
      <c r="Q641">
        <f t="shared" si="990"/>
        <v>0</v>
      </c>
      <c r="R641">
        <f t="shared" si="991"/>
        <v>0</v>
      </c>
      <c r="S641">
        <f t="shared" si="992"/>
        <v>0</v>
      </c>
      <c r="T641">
        <f t="shared" si="993"/>
        <v>0</v>
      </c>
    </row>
    <row r="642" spans="1:20" x14ac:dyDescent="0.25">
      <c r="A642" s="5"/>
      <c r="C642"/>
      <c r="D642"/>
      <c r="P642">
        <f t="shared" si="989"/>
        <v>0</v>
      </c>
      <c r="Q642">
        <f t="shared" si="990"/>
        <v>0</v>
      </c>
      <c r="R642">
        <f t="shared" si="991"/>
        <v>0</v>
      </c>
      <c r="S642">
        <f t="shared" si="992"/>
        <v>0</v>
      </c>
      <c r="T642">
        <f t="shared" si="993"/>
        <v>0</v>
      </c>
    </row>
    <row r="643" spans="1:20" x14ac:dyDescent="0.25">
      <c r="A643" s="5"/>
      <c r="C643"/>
      <c r="D643"/>
      <c r="P643">
        <f t="shared" si="989"/>
        <v>0</v>
      </c>
      <c r="Q643">
        <f t="shared" si="990"/>
        <v>0</v>
      </c>
      <c r="R643">
        <f t="shared" si="991"/>
        <v>0</v>
      </c>
      <c r="S643">
        <f t="shared" si="992"/>
        <v>0</v>
      </c>
      <c r="T643">
        <f t="shared" si="993"/>
        <v>0</v>
      </c>
    </row>
    <row r="644" spans="1:20" x14ac:dyDescent="0.25">
      <c r="A644" s="5"/>
      <c r="C644"/>
      <c r="D644"/>
      <c r="P644">
        <f t="shared" si="989"/>
        <v>0</v>
      </c>
      <c r="Q644">
        <f t="shared" si="990"/>
        <v>0</v>
      </c>
      <c r="R644">
        <f t="shared" si="991"/>
        <v>0</v>
      </c>
      <c r="S644">
        <f t="shared" si="992"/>
        <v>0</v>
      </c>
      <c r="T644">
        <f t="shared" si="993"/>
        <v>0</v>
      </c>
    </row>
    <row r="645" spans="1:20" x14ac:dyDescent="0.25">
      <c r="A645" s="5"/>
      <c r="C645"/>
      <c r="D645"/>
      <c r="P645">
        <f t="shared" si="989"/>
        <v>0</v>
      </c>
      <c r="Q645">
        <f t="shared" si="990"/>
        <v>0</v>
      </c>
      <c r="R645">
        <f t="shared" si="991"/>
        <v>0</v>
      </c>
      <c r="S645">
        <f t="shared" si="992"/>
        <v>0</v>
      </c>
      <c r="T645">
        <f t="shared" si="993"/>
        <v>0</v>
      </c>
    </row>
    <row r="646" spans="1:20" x14ac:dyDescent="0.25">
      <c r="A646" s="5"/>
      <c r="C646"/>
      <c r="D646"/>
      <c r="P646">
        <f t="shared" ref="P646:P709" si="994">IF(C646=D646,0,((E646-D646)-(C646-E646))/(C646-D646))</f>
        <v>0</v>
      </c>
      <c r="Q646">
        <f t="shared" ref="Q646:Q709" si="995">F646*P646</f>
        <v>0</v>
      </c>
      <c r="R646">
        <f t="shared" ref="R646:R709" si="996">R647+Q646</f>
        <v>0</v>
      </c>
      <c r="S646">
        <f t="shared" ref="S646:S709" si="997">R646/100000</f>
        <v>0</v>
      </c>
      <c r="T646">
        <f t="shared" ref="T646:T709" si="998">S646/1000</f>
        <v>0</v>
      </c>
    </row>
    <row r="647" spans="1:20" x14ac:dyDescent="0.25">
      <c r="A647" s="5"/>
      <c r="C647"/>
      <c r="D647"/>
      <c r="P647">
        <f t="shared" si="994"/>
        <v>0</v>
      </c>
      <c r="Q647">
        <f t="shared" si="995"/>
        <v>0</v>
      </c>
      <c r="R647">
        <f t="shared" si="996"/>
        <v>0</v>
      </c>
      <c r="S647">
        <f t="shared" si="997"/>
        <v>0</v>
      </c>
      <c r="T647">
        <f t="shared" si="998"/>
        <v>0</v>
      </c>
    </row>
    <row r="648" spans="1:20" x14ac:dyDescent="0.25">
      <c r="A648" s="5"/>
      <c r="C648"/>
      <c r="D648"/>
      <c r="P648">
        <f t="shared" si="994"/>
        <v>0</v>
      </c>
      <c r="Q648">
        <f t="shared" si="995"/>
        <v>0</v>
      </c>
      <c r="R648">
        <f t="shared" si="996"/>
        <v>0</v>
      </c>
      <c r="S648">
        <f t="shared" si="997"/>
        <v>0</v>
      </c>
      <c r="T648">
        <f t="shared" si="998"/>
        <v>0</v>
      </c>
    </row>
    <row r="649" spans="1:20" x14ac:dyDescent="0.25">
      <c r="A649" s="5"/>
      <c r="C649"/>
      <c r="D649"/>
      <c r="P649">
        <f t="shared" si="994"/>
        <v>0</v>
      </c>
      <c r="Q649">
        <f t="shared" si="995"/>
        <v>0</v>
      </c>
      <c r="R649">
        <f t="shared" si="996"/>
        <v>0</v>
      </c>
      <c r="S649">
        <f t="shared" si="997"/>
        <v>0</v>
      </c>
      <c r="T649">
        <f t="shared" si="998"/>
        <v>0</v>
      </c>
    </row>
    <row r="650" spans="1:20" x14ac:dyDescent="0.25">
      <c r="A650" s="5"/>
      <c r="C650"/>
      <c r="D650"/>
      <c r="P650">
        <f t="shared" si="994"/>
        <v>0</v>
      </c>
      <c r="Q650">
        <f t="shared" si="995"/>
        <v>0</v>
      </c>
      <c r="R650">
        <f t="shared" si="996"/>
        <v>0</v>
      </c>
      <c r="S650">
        <f t="shared" si="997"/>
        <v>0</v>
      </c>
      <c r="T650">
        <f t="shared" si="998"/>
        <v>0</v>
      </c>
    </row>
    <row r="651" spans="1:20" x14ac:dyDescent="0.25">
      <c r="A651" s="5"/>
      <c r="C651"/>
      <c r="D651"/>
      <c r="P651">
        <f t="shared" si="994"/>
        <v>0</v>
      </c>
      <c r="Q651">
        <f t="shared" si="995"/>
        <v>0</v>
      </c>
      <c r="R651">
        <f t="shared" si="996"/>
        <v>0</v>
      </c>
      <c r="S651">
        <f t="shared" si="997"/>
        <v>0</v>
      </c>
      <c r="T651">
        <f t="shared" si="998"/>
        <v>0</v>
      </c>
    </row>
    <row r="652" spans="1:20" x14ac:dyDescent="0.25">
      <c r="A652" s="5"/>
      <c r="C652"/>
      <c r="D652"/>
      <c r="P652">
        <f t="shared" si="994"/>
        <v>0</v>
      </c>
      <c r="Q652">
        <f t="shared" si="995"/>
        <v>0</v>
      </c>
      <c r="R652">
        <f t="shared" si="996"/>
        <v>0</v>
      </c>
      <c r="S652">
        <f t="shared" si="997"/>
        <v>0</v>
      </c>
      <c r="T652">
        <f t="shared" si="998"/>
        <v>0</v>
      </c>
    </row>
    <row r="653" spans="1:20" x14ac:dyDescent="0.25">
      <c r="A653" s="5"/>
      <c r="C653"/>
      <c r="D653"/>
      <c r="P653">
        <f t="shared" si="994"/>
        <v>0</v>
      </c>
      <c r="Q653">
        <f t="shared" si="995"/>
        <v>0</v>
      </c>
      <c r="R653">
        <f t="shared" si="996"/>
        <v>0</v>
      </c>
      <c r="S653">
        <f t="shared" si="997"/>
        <v>0</v>
      </c>
      <c r="T653">
        <f t="shared" si="998"/>
        <v>0</v>
      </c>
    </row>
    <row r="654" spans="1:20" x14ac:dyDescent="0.25">
      <c r="A654" s="5"/>
      <c r="C654"/>
      <c r="D654"/>
      <c r="P654">
        <f t="shared" si="994"/>
        <v>0</v>
      </c>
      <c r="Q654">
        <f t="shared" si="995"/>
        <v>0</v>
      </c>
      <c r="R654">
        <f t="shared" si="996"/>
        <v>0</v>
      </c>
      <c r="S654">
        <f t="shared" si="997"/>
        <v>0</v>
      </c>
      <c r="T654">
        <f t="shared" si="998"/>
        <v>0</v>
      </c>
    </row>
    <row r="655" spans="1:20" x14ac:dyDescent="0.25">
      <c r="A655" s="5"/>
      <c r="C655"/>
      <c r="D655"/>
      <c r="P655">
        <f t="shared" si="994"/>
        <v>0</v>
      </c>
      <c r="Q655">
        <f t="shared" si="995"/>
        <v>0</v>
      </c>
      <c r="R655">
        <f t="shared" si="996"/>
        <v>0</v>
      </c>
      <c r="S655">
        <f t="shared" si="997"/>
        <v>0</v>
      </c>
      <c r="T655">
        <f t="shared" si="998"/>
        <v>0</v>
      </c>
    </row>
    <row r="656" spans="1:20" x14ac:dyDescent="0.25">
      <c r="A656" s="5"/>
      <c r="C656"/>
      <c r="D656"/>
      <c r="P656">
        <f t="shared" si="994"/>
        <v>0</v>
      </c>
      <c r="Q656">
        <f t="shared" si="995"/>
        <v>0</v>
      </c>
      <c r="R656">
        <f t="shared" si="996"/>
        <v>0</v>
      </c>
      <c r="S656">
        <f t="shared" si="997"/>
        <v>0</v>
      </c>
      <c r="T656">
        <f t="shared" si="998"/>
        <v>0</v>
      </c>
    </row>
    <row r="657" spans="1:20" x14ac:dyDescent="0.25">
      <c r="A657" s="5"/>
      <c r="C657"/>
      <c r="D657"/>
      <c r="P657">
        <f t="shared" si="994"/>
        <v>0</v>
      </c>
      <c r="Q657">
        <f t="shared" si="995"/>
        <v>0</v>
      </c>
      <c r="R657">
        <f t="shared" si="996"/>
        <v>0</v>
      </c>
      <c r="S657">
        <f t="shared" si="997"/>
        <v>0</v>
      </c>
      <c r="T657">
        <f t="shared" si="998"/>
        <v>0</v>
      </c>
    </row>
    <row r="658" spans="1:20" x14ac:dyDescent="0.25">
      <c r="A658" s="5"/>
      <c r="C658"/>
      <c r="D658"/>
      <c r="P658">
        <f t="shared" si="994"/>
        <v>0</v>
      </c>
      <c r="Q658">
        <f t="shared" si="995"/>
        <v>0</v>
      </c>
      <c r="R658">
        <f t="shared" si="996"/>
        <v>0</v>
      </c>
      <c r="S658">
        <f t="shared" si="997"/>
        <v>0</v>
      </c>
      <c r="T658">
        <f t="shared" si="998"/>
        <v>0</v>
      </c>
    </row>
    <row r="659" spans="1:20" x14ac:dyDescent="0.25">
      <c r="A659" s="5"/>
      <c r="C659"/>
      <c r="D659"/>
      <c r="P659">
        <f t="shared" si="994"/>
        <v>0</v>
      </c>
      <c r="Q659">
        <f t="shared" si="995"/>
        <v>0</v>
      </c>
      <c r="R659">
        <f t="shared" si="996"/>
        <v>0</v>
      </c>
      <c r="S659">
        <f t="shared" si="997"/>
        <v>0</v>
      </c>
      <c r="T659">
        <f t="shared" si="998"/>
        <v>0</v>
      </c>
    </row>
    <row r="660" spans="1:20" x14ac:dyDescent="0.25">
      <c r="A660" s="5"/>
      <c r="C660"/>
      <c r="D660"/>
      <c r="P660">
        <f t="shared" si="994"/>
        <v>0</v>
      </c>
      <c r="Q660">
        <f t="shared" si="995"/>
        <v>0</v>
      </c>
      <c r="R660">
        <f t="shared" si="996"/>
        <v>0</v>
      </c>
      <c r="S660">
        <f t="shared" si="997"/>
        <v>0</v>
      </c>
      <c r="T660">
        <f t="shared" si="998"/>
        <v>0</v>
      </c>
    </row>
    <row r="661" spans="1:20" x14ac:dyDescent="0.25">
      <c r="A661" s="5"/>
      <c r="P661">
        <f t="shared" si="994"/>
        <v>0</v>
      </c>
      <c r="Q661">
        <f t="shared" si="995"/>
        <v>0</v>
      </c>
      <c r="R661">
        <f t="shared" si="996"/>
        <v>0</v>
      </c>
      <c r="S661">
        <f t="shared" si="997"/>
        <v>0</v>
      </c>
      <c r="T661">
        <f t="shared" si="998"/>
        <v>0</v>
      </c>
    </row>
    <row r="662" spans="1:20" x14ac:dyDescent="0.25">
      <c r="A662" s="5"/>
      <c r="P662">
        <f t="shared" si="994"/>
        <v>0</v>
      </c>
      <c r="Q662">
        <f t="shared" si="995"/>
        <v>0</v>
      </c>
      <c r="R662">
        <f t="shared" si="996"/>
        <v>0</v>
      </c>
      <c r="S662">
        <f t="shared" si="997"/>
        <v>0</v>
      </c>
      <c r="T662">
        <f t="shared" si="998"/>
        <v>0</v>
      </c>
    </row>
    <row r="663" spans="1:20" x14ac:dyDescent="0.25">
      <c r="A663" s="5"/>
      <c r="P663">
        <f t="shared" si="994"/>
        <v>0</v>
      </c>
      <c r="Q663">
        <f t="shared" si="995"/>
        <v>0</v>
      </c>
      <c r="R663">
        <f t="shared" si="996"/>
        <v>0</v>
      </c>
      <c r="S663">
        <f t="shared" si="997"/>
        <v>0</v>
      </c>
      <c r="T663">
        <f t="shared" si="998"/>
        <v>0</v>
      </c>
    </row>
    <row r="664" spans="1:20" x14ac:dyDescent="0.25">
      <c r="A664" s="5"/>
      <c r="C664" s="4"/>
      <c r="D664" s="4"/>
      <c r="P664">
        <f t="shared" si="994"/>
        <v>0</v>
      </c>
      <c r="Q664">
        <f t="shared" si="995"/>
        <v>0</v>
      </c>
      <c r="R664">
        <f t="shared" si="996"/>
        <v>0</v>
      </c>
      <c r="S664">
        <f t="shared" si="997"/>
        <v>0</v>
      </c>
      <c r="T664">
        <f t="shared" si="998"/>
        <v>0</v>
      </c>
    </row>
    <row r="665" spans="1:20" x14ac:dyDescent="0.25">
      <c r="A665" s="5"/>
      <c r="C665" s="4"/>
      <c r="D665" s="4"/>
      <c r="P665">
        <f t="shared" si="994"/>
        <v>0</v>
      </c>
      <c r="Q665">
        <f t="shared" si="995"/>
        <v>0</v>
      </c>
      <c r="R665">
        <f t="shared" si="996"/>
        <v>0</v>
      </c>
      <c r="S665">
        <f t="shared" si="997"/>
        <v>0</v>
      </c>
      <c r="T665">
        <f t="shared" si="998"/>
        <v>0</v>
      </c>
    </row>
    <row r="666" spans="1:20" x14ac:dyDescent="0.25">
      <c r="A666" s="5"/>
      <c r="C666" s="4"/>
      <c r="D666" s="4"/>
      <c r="P666">
        <f t="shared" si="994"/>
        <v>0</v>
      </c>
      <c r="Q666">
        <f t="shared" si="995"/>
        <v>0</v>
      </c>
      <c r="R666">
        <f t="shared" si="996"/>
        <v>0</v>
      </c>
      <c r="S666">
        <f t="shared" si="997"/>
        <v>0</v>
      </c>
      <c r="T666">
        <f t="shared" si="998"/>
        <v>0</v>
      </c>
    </row>
    <row r="667" spans="1:20" x14ac:dyDescent="0.25">
      <c r="A667" s="5"/>
      <c r="C667" s="4"/>
      <c r="D667" s="4"/>
      <c r="P667">
        <f t="shared" si="994"/>
        <v>0</v>
      </c>
      <c r="Q667">
        <f t="shared" si="995"/>
        <v>0</v>
      </c>
      <c r="R667">
        <f t="shared" si="996"/>
        <v>0</v>
      </c>
      <c r="S667">
        <f t="shared" si="997"/>
        <v>0</v>
      </c>
      <c r="T667">
        <f t="shared" si="998"/>
        <v>0</v>
      </c>
    </row>
    <row r="668" spans="1:20" x14ac:dyDescent="0.25">
      <c r="A668" s="5"/>
      <c r="C668" s="4"/>
      <c r="D668" s="4"/>
      <c r="P668">
        <f t="shared" si="994"/>
        <v>0</v>
      </c>
      <c r="Q668">
        <f t="shared" si="995"/>
        <v>0</v>
      </c>
      <c r="R668">
        <f t="shared" si="996"/>
        <v>0</v>
      </c>
      <c r="S668">
        <f t="shared" si="997"/>
        <v>0</v>
      </c>
      <c r="T668">
        <f t="shared" si="998"/>
        <v>0</v>
      </c>
    </row>
    <row r="669" spans="1:20" x14ac:dyDescent="0.25">
      <c r="A669" s="5"/>
      <c r="C669" s="4"/>
      <c r="D669" s="4"/>
      <c r="P669">
        <f t="shared" si="994"/>
        <v>0</v>
      </c>
      <c r="Q669">
        <f t="shared" si="995"/>
        <v>0</v>
      </c>
      <c r="R669">
        <f t="shared" si="996"/>
        <v>0</v>
      </c>
      <c r="S669">
        <f t="shared" si="997"/>
        <v>0</v>
      </c>
      <c r="T669">
        <f t="shared" si="998"/>
        <v>0</v>
      </c>
    </row>
    <row r="670" spans="1:20" x14ac:dyDescent="0.25">
      <c r="A670" s="5"/>
      <c r="C670" s="4"/>
      <c r="D670" s="4"/>
      <c r="P670">
        <f t="shared" si="994"/>
        <v>0</v>
      </c>
      <c r="Q670">
        <f t="shared" si="995"/>
        <v>0</v>
      </c>
      <c r="R670">
        <f t="shared" si="996"/>
        <v>0</v>
      </c>
      <c r="S670">
        <f t="shared" si="997"/>
        <v>0</v>
      </c>
      <c r="T670">
        <f t="shared" si="998"/>
        <v>0</v>
      </c>
    </row>
    <row r="671" spans="1:20" x14ac:dyDescent="0.25">
      <c r="A671" s="5"/>
      <c r="C671" s="4"/>
      <c r="D671" s="4"/>
      <c r="P671">
        <f t="shared" si="994"/>
        <v>0</v>
      </c>
      <c r="Q671">
        <f t="shared" si="995"/>
        <v>0</v>
      </c>
      <c r="R671">
        <f t="shared" si="996"/>
        <v>0</v>
      </c>
      <c r="S671">
        <f t="shared" si="997"/>
        <v>0</v>
      </c>
      <c r="T671">
        <f t="shared" si="998"/>
        <v>0</v>
      </c>
    </row>
    <row r="672" spans="1:20" x14ac:dyDescent="0.25">
      <c r="A672" s="5"/>
      <c r="C672" s="4"/>
      <c r="D672" s="4"/>
      <c r="P672">
        <f t="shared" si="994"/>
        <v>0</v>
      </c>
      <c r="Q672">
        <f t="shared" si="995"/>
        <v>0</v>
      </c>
      <c r="R672">
        <f t="shared" si="996"/>
        <v>0</v>
      </c>
      <c r="S672">
        <f t="shared" si="997"/>
        <v>0</v>
      </c>
      <c r="T672">
        <f t="shared" si="998"/>
        <v>0</v>
      </c>
    </row>
    <row r="673" spans="1:20" x14ac:dyDescent="0.25">
      <c r="A673" s="5"/>
      <c r="C673" s="4"/>
      <c r="D673" s="4"/>
      <c r="P673">
        <f t="shared" si="994"/>
        <v>0</v>
      </c>
      <c r="Q673">
        <f t="shared" si="995"/>
        <v>0</v>
      </c>
      <c r="R673">
        <f t="shared" si="996"/>
        <v>0</v>
      </c>
      <c r="S673">
        <f t="shared" si="997"/>
        <v>0</v>
      </c>
      <c r="T673">
        <f t="shared" si="998"/>
        <v>0</v>
      </c>
    </row>
    <row r="674" spans="1:20" x14ac:dyDescent="0.25">
      <c r="A674" s="5"/>
      <c r="C674" s="4"/>
      <c r="D674" s="4"/>
      <c r="P674">
        <f t="shared" si="994"/>
        <v>0</v>
      </c>
      <c r="Q674">
        <f t="shared" si="995"/>
        <v>0</v>
      </c>
      <c r="R674">
        <f t="shared" si="996"/>
        <v>0</v>
      </c>
      <c r="S674">
        <f t="shared" si="997"/>
        <v>0</v>
      </c>
      <c r="T674">
        <f t="shared" si="998"/>
        <v>0</v>
      </c>
    </row>
    <row r="675" spans="1:20" x14ac:dyDescent="0.25">
      <c r="A675" s="5"/>
      <c r="C675" s="4"/>
      <c r="D675" s="4"/>
      <c r="P675">
        <f t="shared" si="994"/>
        <v>0</v>
      </c>
      <c r="Q675">
        <f t="shared" si="995"/>
        <v>0</v>
      </c>
      <c r="R675">
        <f t="shared" si="996"/>
        <v>0</v>
      </c>
      <c r="S675">
        <f t="shared" si="997"/>
        <v>0</v>
      </c>
      <c r="T675">
        <f t="shared" si="998"/>
        <v>0</v>
      </c>
    </row>
    <row r="676" spans="1:20" x14ac:dyDescent="0.25">
      <c r="A676" s="5"/>
      <c r="C676" s="4"/>
      <c r="D676" s="4"/>
      <c r="P676">
        <f t="shared" si="994"/>
        <v>0</v>
      </c>
      <c r="Q676">
        <f t="shared" si="995"/>
        <v>0</v>
      </c>
      <c r="R676">
        <f t="shared" si="996"/>
        <v>0</v>
      </c>
      <c r="S676">
        <f t="shared" si="997"/>
        <v>0</v>
      </c>
      <c r="T676">
        <f t="shared" si="998"/>
        <v>0</v>
      </c>
    </row>
    <row r="677" spans="1:20" x14ac:dyDescent="0.25">
      <c r="A677" s="5"/>
      <c r="C677" s="4"/>
      <c r="D677" s="4"/>
      <c r="P677">
        <f t="shared" si="994"/>
        <v>0</v>
      </c>
      <c r="Q677">
        <f t="shared" si="995"/>
        <v>0</v>
      </c>
      <c r="R677">
        <f t="shared" si="996"/>
        <v>0</v>
      </c>
      <c r="S677">
        <f t="shared" si="997"/>
        <v>0</v>
      </c>
      <c r="T677">
        <f t="shared" si="998"/>
        <v>0</v>
      </c>
    </row>
    <row r="678" spans="1:20" x14ac:dyDescent="0.25">
      <c r="A678" s="5"/>
      <c r="C678" s="4"/>
      <c r="D678" s="4"/>
      <c r="P678">
        <f t="shared" si="994"/>
        <v>0</v>
      </c>
      <c r="Q678">
        <f t="shared" si="995"/>
        <v>0</v>
      </c>
      <c r="R678">
        <f t="shared" si="996"/>
        <v>0</v>
      </c>
      <c r="S678">
        <f t="shared" si="997"/>
        <v>0</v>
      </c>
      <c r="T678">
        <f t="shared" si="998"/>
        <v>0</v>
      </c>
    </row>
    <row r="679" spans="1:20" x14ac:dyDescent="0.25">
      <c r="A679" s="5"/>
      <c r="C679" s="4"/>
      <c r="D679" s="4"/>
      <c r="P679">
        <f t="shared" si="994"/>
        <v>0</v>
      </c>
      <c r="Q679">
        <f t="shared" si="995"/>
        <v>0</v>
      </c>
      <c r="R679">
        <f t="shared" si="996"/>
        <v>0</v>
      </c>
      <c r="S679">
        <f t="shared" si="997"/>
        <v>0</v>
      </c>
      <c r="T679">
        <f t="shared" si="998"/>
        <v>0</v>
      </c>
    </row>
    <row r="680" spans="1:20" x14ac:dyDescent="0.25">
      <c r="A680" s="5"/>
      <c r="C680" s="4"/>
      <c r="D680" s="4"/>
      <c r="P680">
        <f t="shared" si="994"/>
        <v>0</v>
      </c>
      <c r="Q680">
        <f t="shared" si="995"/>
        <v>0</v>
      </c>
      <c r="R680">
        <f t="shared" si="996"/>
        <v>0</v>
      </c>
      <c r="S680">
        <f t="shared" si="997"/>
        <v>0</v>
      </c>
      <c r="T680">
        <f t="shared" si="998"/>
        <v>0</v>
      </c>
    </row>
    <row r="681" spans="1:20" x14ac:dyDescent="0.25">
      <c r="A681" s="5"/>
      <c r="C681" s="4"/>
      <c r="D681" s="4"/>
      <c r="P681">
        <f t="shared" si="994"/>
        <v>0</v>
      </c>
      <c r="Q681">
        <f t="shared" si="995"/>
        <v>0</v>
      </c>
      <c r="R681">
        <f t="shared" si="996"/>
        <v>0</v>
      </c>
      <c r="S681">
        <f t="shared" si="997"/>
        <v>0</v>
      </c>
      <c r="T681">
        <f t="shared" si="998"/>
        <v>0</v>
      </c>
    </row>
    <row r="682" spans="1:20" x14ac:dyDescent="0.25">
      <c r="A682" s="5"/>
      <c r="C682" s="4"/>
      <c r="D682" s="4"/>
      <c r="P682">
        <f t="shared" si="994"/>
        <v>0</v>
      </c>
      <c r="Q682">
        <f t="shared" si="995"/>
        <v>0</v>
      </c>
      <c r="R682">
        <f t="shared" si="996"/>
        <v>0</v>
      </c>
      <c r="S682">
        <f t="shared" si="997"/>
        <v>0</v>
      </c>
      <c r="T682">
        <f t="shared" si="998"/>
        <v>0</v>
      </c>
    </row>
    <row r="683" spans="1:20" x14ac:dyDescent="0.25">
      <c r="A683" s="5"/>
      <c r="C683" s="4"/>
      <c r="D683" s="4"/>
      <c r="P683">
        <f t="shared" si="994"/>
        <v>0</v>
      </c>
      <c r="Q683">
        <f t="shared" si="995"/>
        <v>0</v>
      </c>
      <c r="R683">
        <f t="shared" si="996"/>
        <v>0</v>
      </c>
      <c r="S683">
        <f t="shared" si="997"/>
        <v>0</v>
      </c>
      <c r="T683">
        <f t="shared" si="998"/>
        <v>0</v>
      </c>
    </row>
    <row r="684" spans="1:20" x14ac:dyDescent="0.25">
      <c r="A684" s="5"/>
      <c r="C684" s="4"/>
      <c r="D684" s="4"/>
      <c r="P684">
        <f t="shared" si="994"/>
        <v>0</v>
      </c>
      <c r="Q684">
        <f t="shared" si="995"/>
        <v>0</v>
      </c>
      <c r="R684">
        <f t="shared" si="996"/>
        <v>0</v>
      </c>
      <c r="S684">
        <f t="shared" si="997"/>
        <v>0</v>
      </c>
      <c r="T684">
        <f t="shared" si="998"/>
        <v>0</v>
      </c>
    </row>
    <row r="685" spans="1:20" x14ac:dyDescent="0.25">
      <c r="A685" s="5"/>
      <c r="C685" s="4"/>
      <c r="D685" s="4"/>
      <c r="P685">
        <f t="shared" si="994"/>
        <v>0</v>
      </c>
      <c r="Q685">
        <f t="shared" si="995"/>
        <v>0</v>
      </c>
      <c r="R685">
        <f t="shared" si="996"/>
        <v>0</v>
      </c>
      <c r="S685">
        <f t="shared" si="997"/>
        <v>0</v>
      </c>
      <c r="T685">
        <f t="shared" si="998"/>
        <v>0</v>
      </c>
    </row>
    <row r="686" spans="1:20" x14ac:dyDescent="0.25">
      <c r="A686" s="5"/>
      <c r="C686" s="4"/>
      <c r="D686" s="4"/>
      <c r="P686">
        <f t="shared" si="994"/>
        <v>0</v>
      </c>
      <c r="Q686">
        <f t="shared" si="995"/>
        <v>0</v>
      </c>
      <c r="R686">
        <f t="shared" si="996"/>
        <v>0</v>
      </c>
      <c r="S686">
        <f t="shared" si="997"/>
        <v>0</v>
      </c>
      <c r="T686">
        <f t="shared" si="998"/>
        <v>0</v>
      </c>
    </row>
    <row r="687" spans="1:20" x14ac:dyDescent="0.25">
      <c r="A687" s="5"/>
      <c r="C687" s="4"/>
      <c r="D687" s="4"/>
      <c r="P687">
        <f t="shared" si="994"/>
        <v>0</v>
      </c>
      <c r="Q687">
        <f t="shared" si="995"/>
        <v>0</v>
      </c>
      <c r="R687">
        <f t="shared" si="996"/>
        <v>0</v>
      </c>
      <c r="S687">
        <f t="shared" si="997"/>
        <v>0</v>
      </c>
      <c r="T687">
        <f t="shared" si="998"/>
        <v>0</v>
      </c>
    </row>
    <row r="688" spans="1:20" x14ac:dyDescent="0.25">
      <c r="A688" s="5"/>
      <c r="C688" s="4"/>
      <c r="D688" s="4"/>
      <c r="P688">
        <f t="shared" si="994"/>
        <v>0</v>
      </c>
      <c r="Q688">
        <f t="shared" si="995"/>
        <v>0</v>
      </c>
      <c r="R688">
        <f t="shared" si="996"/>
        <v>0</v>
      </c>
      <c r="S688">
        <f t="shared" si="997"/>
        <v>0</v>
      </c>
      <c r="T688">
        <f t="shared" si="998"/>
        <v>0</v>
      </c>
    </row>
    <row r="689" spans="1:20" x14ac:dyDescent="0.25">
      <c r="A689" s="5"/>
      <c r="C689" s="4"/>
      <c r="D689" s="4"/>
      <c r="P689">
        <f t="shared" si="994"/>
        <v>0</v>
      </c>
      <c r="Q689">
        <f t="shared" si="995"/>
        <v>0</v>
      </c>
      <c r="R689">
        <f t="shared" si="996"/>
        <v>0</v>
      </c>
      <c r="S689">
        <f t="shared" si="997"/>
        <v>0</v>
      </c>
      <c r="T689">
        <f t="shared" si="998"/>
        <v>0</v>
      </c>
    </row>
    <row r="690" spans="1:20" x14ac:dyDescent="0.25">
      <c r="A690" s="5"/>
      <c r="C690" s="4"/>
      <c r="D690" s="4"/>
      <c r="P690">
        <f t="shared" si="994"/>
        <v>0</v>
      </c>
      <c r="Q690">
        <f t="shared" si="995"/>
        <v>0</v>
      </c>
      <c r="R690">
        <f t="shared" si="996"/>
        <v>0</v>
      </c>
      <c r="S690">
        <f t="shared" si="997"/>
        <v>0</v>
      </c>
      <c r="T690">
        <f t="shared" si="998"/>
        <v>0</v>
      </c>
    </row>
    <row r="691" spans="1:20" x14ac:dyDescent="0.25">
      <c r="A691" s="5"/>
      <c r="C691" s="4"/>
      <c r="D691" s="4"/>
      <c r="P691">
        <f t="shared" si="994"/>
        <v>0</v>
      </c>
      <c r="Q691">
        <f t="shared" si="995"/>
        <v>0</v>
      </c>
      <c r="R691">
        <f t="shared" si="996"/>
        <v>0</v>
      </c>
      <c r="S691">
        <f t="shared" si="997"/>
        <v>0</v>
      </c>
      <c r="T691">
        <f t="shared" si="998"/>
        <v>0</v>
      </c>
    </row>
    <row r="692" spans="1:20" x14ac:dyDescent="0.25">
      <c r="A692" s="5"/>
      <c r="C692" s="4"/>
      <c r="D692" s="4"/>
      <c r="P692">
        <f t="shared" si="994"/>
        <v>0</v>
      </c>
      <c r="Q692">
        <f t="shared" si="995"/>
        <v>0</v>
      </c>
      <c r="R692">
        <f t="shared" si="996"/>
        <v>0</v>
      </c>
      <c r="S692">
        <f t="shared" si="997"/>
        <v>0</v>
      </c>
      <c r="T692">
        <f t="shared" si="998"/>
        <v>0</v>
      </c>
    </row>
    <row r="693" spans="1:20" x14ac:dyDescent="0.25">
      <c r="A693" s="5"/>
      <c r="C693" s="4"/>
      <c r="D693" s="4"/>
      <c r="P693">
        <f t="shared" si="994"/>
        <v>0</v>
      </c>
      <c r="Q693">
        <f t="shared" si="995"/>
        <v>0</v>
      </c>
      <c r="R693">
        <f t="shared" si="996"/>
        <v>0</v>
      </c>
      <c r="S693">
        <f t="shared" si="997"/>
        <v>0</v>
      </c>
      <c r="T693">
        <f t="shared" si="998"/>
        <v>0</v>
      </c>
    </row>
    <row r="694" spans="1:20" x14ac:dyDescent="0.25">
      <c r="A694" s="5"/>
      <c r="C694" s="4"/>
      <c r="D694" s="4"/>
      <c r="P694">
        <f t="shared" si="994"/>
        <v>0</v>
      </c>
      <c r="Q694">
        <f t="shared" si="995"/>
        <v>0</v>
      </c>
      <c r="R694">
        <f t="shared" si="996"/>
        <v>0</v>
      </c>
      <c r="S694">
        <f t="shared" si="997"/>
        <v>0</v>
      </c>
      <c r="T694">
        <f t="shared" si="998"/>
        <v>0</v>
      </c>
    </row>
    <row r="695" spans="1:20" x14ac:dyDescent="0.25">
      <c r="A695" s="5"/>
      <c r="C695" s="4"/>
      <c r="D695" s="4"/>
      <c r="P695">
        <f t="shared" si="994"/>
        <v>0</v>
      </c>
      <c r="Q695">
        <f t="shared" si="995"/>
        <v>0</v>
      </c>
      <c r="R695">
        <f t="shared" si="996"/>
        <v>0</v>
      </c>
      <c r="S695">
        <f t="shared" si="997"/>
        <v>0</v>
      </c>
      <c r="T695">
        <f t="shared" si="998"/>
        <v>0</v>
      </c>
    </row>
    <row r="696" spans="1:20" x14ac:dyDescent="0.25">
      <c r="A696" s="5"/>
      <c r="C696" s="4"/>
      <c r="D696" s="4"/>
      <c r="P696">
        <f t="shared" si="994"/>
        <v>0</v>
      </c>
      <c r="Q696">
        <f t="shared" si="995"/>
        <v>0</v>
      </c>
      <c r="R696">
        <f t="shared" si="996"/>
        <v>0</v>
      </c>
      <c r="S696">
        <f t="shared" si="997"/>
        <v>0</v>
      </c>
      <c r="T696">
        <f t="shared" si="998"/>
        <v>0</v>
      </c>
    </row>
    <row r="697" spans="1:20" x14ac:dyDescent="0.25">
      <c r="A697" s="5"/>
      <c r="C697" s="4"/>
      <c r="D697" s="4"/>
      <c r="P697">
        <f t="shared" si="994"/>
        <v>0</v>
      </c>
      <c r="Q697">
        <f t="shared" si="995"/>
        <v>0</v>
      </c>
      <c r="R697">
        <f t="shared" si="996"/>
        <v>0</v>
      </c>
      <c r="S697">
        <f t="shared" si="997"/>
        <v>0</v>
      </c>
      <c r="T697">
        <f t="shared" si="998"/>
        <v>0</v>
      </c>
    </row>
    <row r="698" spans="1:20" x14ac:dyDescent="0.25">
      <c r="A698" s="5"/>
      <c r="C698" s="4"/>
      <c r="D698" s="4"/>
      <c r="P698">
        <f t="shared" si="994"/>
        <v>0</v>
      </c>
      <c r="Q698">
        <f t="shared" si="995"/>
        <v>0</v>
      </c>
      <c r="R698">
        <f t="shared" si="996"/>
        <v>0</v>
      </c>
      <c r="S698">
        <f t="shared" si="997"/>
        <v>0</v>
      </c>
      <c r="T698">
        <f t="shared" si="998"/>
        <v>0</v>
      </c>
    </row>
    <row r="699" spans="1:20" x14ac:dyDescent="0.25">
      <c r="A699" s="5"/>
      <c r="C699" s="4"/>
      <c r="D699" s="4"/>
      <c r="P699">
        <f t="shared" si="994"/>
        <v>0</v>
      </c>
      <c r="Q699">
        <f t="shared" si="995"/>
        <v>0</v>
      </c>
      <c r="R699">
        <f t="shared" si="996"/>
        <v>0</v>
      </c>
      <c r="S699">
        <f t="shared" si="997"/>
        <v>0</v>
      </c>
      <c r="T699">
        <f t="shared" si="998"/>
        <v>0</v>
      </c>
    </row>
    <row r="700" spans="1:20" x14ac:dyDescent="0.25">
      <c r="A700" s="5"/>
      <c r="C700" s="4"/>
      <c r="D700" s="4"/>
      <c r="P700">
        <f t="shared" si="994"/>
        <v>0</v>
      </c>
      <c r="Q700">
        <f t="shared" si="995"/>
        <v>0</v>
      </c>
      <c r="R700">
        <f t="shared" si="996"/>
        <v>0</v>
      </c>
      <c r="S700">
        <f t="shared" si="997"/>
        <v>0</v>
      </c>
      <c r="T700">
        <f t="shared" si="998"/>
        <v>0</v>
      </c>
    </row>
    <row r="701" spans="1:20" x14ac:dyDescent="0.25">
      <c r="A701" s="5"/>
      <c r="C701" s="4"/>
      <c r="D701" s="4"/>
      <c r="P701">
        <f t="shared" si="994"/>
        <v>0</v>
      </c>
      <c r="Q701">
        <f t="shared" si="995"/>
        <v>0</v>
      </c>
      <c r="R701">
        <f t="shared" si="996"/>
        <v>0</v>
      </c>
      <c r="S701">
        <f t="shared" si="997"/>
        <v>0</v>
      </c>
      <c r="T701">
        <f t="shared" si="998"/>
        <v>0</v>
      </c>
    </row>
    <row r="702" spans="1:20" x14ac:dyDescent="0.25">
      <c r="A702" s="5"/>
      <c r="C702" s="4"/>
      <c r="D702" s="4"/>
      <c r="P702">
        <f t="shared" si="994"/>
        <v>0</v>
      </c>
      <c r="Q702">
        <f t="shared" si="995"/>
        <v>0</v>
      </c>
      <c r="R702">
        <f t="shared" si="996"/>
        <v>0</v>
      </c>
      <c r="S702">
        <f t="shared" si="997"/>
        <v>0</v>
      </c>
      <c r="T702">
        <f t="shared" si="998"/>
        <v>0</v>
      </c>
    </row>
    <row r="703" spans="1:20" x14ac:dyDescent="0.25">
      <c r="A703" s="5"/>
      <c r="C703" s="4"/>
      <c r="D703" s="4"/>
      <c r="P703">
        <f t="shared" si="994"/>
        <v>0</v>
      </c>
      <c r="Q703">
        <f t="shared" si="995"/>
        <v>0</v>
      </c>
      <c r="R703">
        <f t="shared" si="996"/>
        <v>0</v>
      </c>
      <c r="S703">
        <f t="shared" si="997"/>
        <v>0</v>
      </c>
      <c r="T703">
        <f t="shared" si="998"/>
        <v>0</v>
      </c>
    </row>
    <row r="704" spans="1:20" x14ac:dyDescent="0.25">
      <c r="A704" s="5"/>
      <c r="C704" s="4"/>
      <c r="D704" s="4"/>
      <c r="P704">
        <f t="shared" si="994"/>
        <v>0</v>
      </c>
      <c r="Q704">
        <f t="shared" si="995"/>
        <v>0</v>
      </c>
      <c r="R704">
        <f t="shared" si="996"/>
        <v>0</v>
      </c>
      <c r="S704">
        <f t="shared" si="997"/>
        <v>0</v>
      </c>
      <c r="T704">
        <f t="shared" si="998"/>
        <v>0</v>
      </c>
    </row>
    <row r="705" spans="1:20" x14ac:dyDescent="0.25">
      <c r="A705" s="5"/>
      <c r="C705" s="4"/>
      <c r="D705" s="4"/>
      <c r="P705">
        <f t="shared" si="994"/>
        <v>0</v>
      </c>
      <c r="Q705">
        <f t="shared" si="995"/>
        <v>0</v>
      </c>
      <c r="R705">
        <f t="shared" si="996"/>
        <v>0</v>
      </c>
      <c r="S705">
        <f t="shared" si="997"/>
        <v>0</v>
      </c>
      <c r="T705">
        <f t="shared" si="998"/>
        <v>0</v>
      </c>
    </row>
    <row r="706" spans="1:20" x14ac:dyDescent="0.25">
      <c r="A706" s="5"/>
      <c r="C706" s="4"/>
      <c r="D706" s="4"/>
      <c r="P706">
        <f t="shared" si="994"/>
        <v>0</v>
      </c>
      <c r="Q706">
        <f t="shared" si="995"/>
        <v>0</v>
      </c>
      <c r="R706">
        <f t="shared" si="996"/>
        <v>0</v>
      </c>
      <c r="S706">
        <f t="shared" si="997"/>
        <v>0</v>
      </c>
      <c r="T706">
        <f t="shared" si="998"/>
        <v>0</v>
      </c>
    </row>
    <row r="707" spans="1:20" x14ac:dyDescent="0.25">
      <c r="A707" s="5"/>
      <c r="C707" s="4"/>
      <c r="D707" s="4"/>
      <c r="P707">
        <f t="shared" si="994"/>
        <v>0</v>
      </c>
      <c r="Q707">
        <f t="shared" si="995"/>
        <v>0</v>
      </c>
      <c r="R707">
        <f t="shared" si="996"/>
        <v>0</v>
      </c>
      <c r="S707">
        <f t="shared" si="997"/>
        <v>0</v>
      </c>
      <c r="T707">
        <f t="shared" si="998"/>
        <v>0</v>
      </c>
    </row>
    <row r="708" spans="1:20" x14ac:dyDescent="0.25">
      <c r="A708" s="5"/>
      <c r="C708" s="4"/>
      <c r="D708" s="4"/>
      <c r="P708">
        <f t="shared" si="994"/>
        <v>0</v>
      </c>
      <c r="Q708">
        <f t="shared" si="995"/>
        <v>0</v>
      </c>
      <c r="R708">
        <f t="shared" si="996"/>
        <v>0</v>
      </c>
      <c r="S708">
        <f t="shared" si="997"/>
        <v>0</v>
      </c>
      <c r="T708">
        <f t="shared" si="998"/>
        <v>0</v>
      </c>
    </row>
    <row r="709" spans="1:20" x14ac:dyDescent="0.25">
      <c r="A709" s="5"/>
      <c r="C709" s="4"/>
      <c r="D709" s="4"/>
      <c r="P709">
        <f t="shared" si="994"/>
        <v>0</v>
      </c>
      <c r="Q709">
        <f t="shared" si="995"/>
        <v>0</v>
      </c>
      <c r="R709">
        <f t="shared" si="996"/>
        <v>0</v>
      </c>
      <c r="S709">
        <f t="shared" si="997"/>
        <v>0</v>
      </c>
      <c r="T709">
        <f t="shared" si="998"/>
        <v>0</v>
      </c>
    </row>
    <row r="710" spans="1:20" x14ac:dyDescent="0.25">
      <c r="A710" s="5"/>
      <c r="C710" s="4"/>
      <c r="D710" s="4"/>
      <c r="P710">
        <f t="shared" ref="P710:P766" si="999">IF(C710=D710,0,((E710-D710)-(C710-E710))/(C710-D710))</f>
        <v>0</v>
      </c>
      <c r="Q710">
        <f t="shared" ref="Q710:Q766" si="1000">F710*P710</f>
        <v>0</v>
      </c>
      <c r="R710">
        <f t="shared" ref="R710:R766" si="1001">R711+Q710</f>
        <v>0</v>
      </c>
      <c r="S710">
        <f t="shared" ref="S710:S766" si="1002">R710/100000</f>
        <v>0</v>
      </c>
      <c r="T710">
        <f t="shared" ref="T710:T766" si="1003">S710/1000</f>
        <v>0</v>
      </c>
    </row>
    <row r="711" spans="1:20" x14ac:dyDescent="0.25">
      <c r="A711" s="5"/>
      <c r="C711" s="4"/>
      <c r="D711" s="4"/>
      <c r="P711">
        <f t="shared" si="999"/>
        <v>0</v>
      </c>
      <c r="Q711">
        <f t="shared" si="1000"/>
        <v>0</v>
      </c>
      <c r="R711">
        <f t="shared" si="1001"/>
        <v>0</v>
      </c>
      <c r="S711">
        <f t="shared" si="1002"/>
        <v>0</v>
      </c>
      <c r="T711">
        <f t="shared" si="1003"/>
        <v>0</v>
      </c>
    </row>
    <row r="712" spans="1:20" x14ac:dyDescent="0.25">
      <c r="A712" s="5"/>
      <c r="C712" s="4"/>
      <c r="D712" s="4"/>
      <c r="P712">
        <f t="shared" si="999"/>
        <v>0</v>
      </c>
      <c r="Q712">
        <f t="shared" si="1000"/>
        <v>0</v>
      </c>
      <c r="R712">
        <f t="shared" si="1001"/>
        <v>0</v>
      </c>
      <c r="S712">
        <f t="shared" si="1002"/>
        <v>0</v>
      </c>
      <c r="T712">
        <f t="shared" si="1003"/>
        <v>0</v>
      </c>
    </row>
    <row r="713" spans="1:20" x14ac:dyDescent="0.25">
      <c r="A713" s="5"/>
      <c r="C713" s="4"/>
      <c r="D713" s="4"/>
      <c r="P713">
        <f t="shared" si="999"/>
        <v>0</v>
      </c>
      <c r="Q713">
        <f t="shared" si="1000"/>
        <v>0</v>
      </c>
      <c r="R713">
        <f t="shared" si="1001"/>
        <v>0</v>
      </c>
      <c r="S713">
        <f t="shared" si="1002"/>
        <v>0</v>
      </c>
      <c r="T713">
        <f t="shared" si="1003"/>
        <v>0</v>
      </c>
    </row>
    <row r="714" spans="1:20" x14ac:dyDescent="0.25">
      <c r="A714" s="5"/>
      <c r="C714" s="4"/>
      <c r="D714" s="4"/>
      <c r="P714">
        <f t="shared" si="999"/>
        <v>0</v>
      </c>
      <c r="Q714">
        <f t="shared" si="1000"/>
        <v>0</v>
      </c>
      <c r="R714">
        <f t="shared" si="1001"/>
        <v>0</v>
      </c>
      <c r="S714">
        <f t="shared" si="1002"/>
        <v>0</v>
      </c>
      <c r="T714">
        <f t="shared" si="1003"/>
        <v>0</v>
      </c>
    </row>
    <row r="715" spans="1:20" x14ac:dyDescent="0.25">
      <c r="A715" s="5"/>
      <c r="C715" s="4"/>
      <c r="D715" s="4"/>
      <c r="P715">
        <f t="shared" si="999"/>
        <v>0</v>
      </c>
      <c r="Q715">
        <f t="shared" si="1000"/>
        <v>0</v>
      </c>
      <c r="R715">
        <f t="shared" si="1001"/>
        <v>0</v>
      </c>
      <c r="S715">
        <f t="shared" si="1002"/>
        <v>0</v>
      </c>
      <c r="T715">
        <f t="shared" si="1003"/>
        <v>0</v>
      </c>
    </row>
    <row r="716" spans="1:20" x14ac:dyDescent="0.25">
      <c r="A716" s="5"/>
      <c r="C716" s="4"/>
      <c r="D716" s="4"/>
      <c r="P716">
        <f t="shared" si="999"/>
        <v>0</v>
      </c>
      <c r="Q716">
        <f t="shared" si="1000"/>
        <v>0</v>
      </c>
      <c r="R716">
        <f t="shared" si="1001"/>
        <v>0</v>
      </c>
      <c r="S716">
        <f t="shared" si="1002"/>
        <v>0</v>
      </c>
      <c r="T716">
        <f t="shared" si="1003"/>
        <v>0</v>
      </c>
    </row>
    <row r="717" spans="1:20" x14ac:dyDescent="0.25">
      <c r="A717" s="5"/>
      <c r="C717" s="4"/>
      <c r="D717" s="4"/>
      <c r="P717">
        <f t="shared" si="999"/>
        <v>0</v>
      </c>
      <c r="Q717">
        <f t="shared" si="1000"/>
        <v>0</v>
      </c>
      <c r="R717">
        <f t="shared" si="1001"/>
        <v>0</v>
      </c>
      <c r="S717">
        <f t="shared" si="1002"/>
        <v>0</v>
      </c>
      <c r="T717">
        <f t="shared" si="1003"/>
        <v>0</v>
      </c>
    </row>
    <row r="718" spans="1:20" x14ac:dyDescent="0.25">
      <c r="A718" s="5"/>
      <c r="C718" s="4"/>
      <c r="D718" s="4"/>
      <c r="P718">
        <f t="shared" si="999"/>
        <v>0</v>
      </c>
      <c r="Q718">
        <f t="shared" si="1000"/>
        <v>0</v>
      </c>
      <c r="R718">
        <f t="shared" si="1001"/>
        <v>0</v>
      </c>
      <c r="S718">
        <f t="shared" si="1002"/>
        <v>0</v>
      </c>
      <c r="T718">
        <f t="shared" si="1003"/>
        <v>0</v>
      </c>
    </row>
    <row r="719" spans="1:20" x14ac:dyDescent="0.25">
      <c r="A719" s="5"/>
      <c r="C719" s="4"/>
      <c r="D719" s="4"/>
      <c r="P719">
        <f t="shared" si="999"/>
        <v>0</v>
      </c>
      <c r="Q719">
        <f t="shared" si="1000"/>
        <v>0</v>
      </c>
      <c r="R719">
        <f t="shared" si="1001"/>
        <v>0</v>
      </c>
      <c r="S719">
        <f t="shared" si="1002"/>
        <v>0</v>
      </c>
      <c r="T719">
        <f t="shared" si="1003"/>
        <v>0</v>
      </c>
    </row>
    <row r="720" spans="1:20" x14ac:dyDescent="0.25">
      <c r="A720" s="5"/>
      <c r="C720" s="4"/>
      <c r="D720" s="4"/>
      <c r="P720">
        <f t="shared" si="999"/>
        <v>0</v>
      </c>
      <c r="Q720">
        <f t="shared" si="1000"/>
        <v>0</v>
      </c>
      <c r="R720">
        <f t="shared" si="1001"/>
        <v>0</v>
      </c>
      <c r="S720">
        <f t="shared" si="1002"/>
        <v>0</v>
      </c>
      <c r="T720">
        <f t="shared" si="1003"/>
        <v>0</v>
      </c>
    </row>
    <row r="721" spans="1:20" x14ac:dyDescent="0.25">
      <c r="A721" s="5"/>
      <c r="C721" s="4"/>
      <c r="D721" s="4"/>
      <c r="P721">
        <f t="shared" si="999"/>
        <v>0</v>
      </c>
      <c r="Q721">
        <f t="shared" si="1000"/>
        <v>0</v>
      </c>
      <c r="R721">
        <f t="shared" si="1001"/>
        <v>0</v>
      </c>
      <c r="S721">
        <f t="shared" si="1002"/>
        <v>0</v>
      </c>
      <c r="T721">
        <f t="shared" si="1003"/>
        <v>0</v>
      </c>
    </row>
    <row r="722" spans="1:20" x14ac:dyDescent="0.25">
      <c r="A722" s="5"/>
      <c r="C722" s="4"/>
      <c r="D722" s="4"/>
      <c r="P722">
        <f t="shared" si="999"/>
        <v>0</v>
      </c>
      <c r="Q722">
        <f t="shared" si="1000"/>
        <v>0</v>
      </c>
      <c r="R722">
        <f t="shared" si="1001"/>
        <v>0</v>
      </c>
      <c r="S722">
        <f t="shared" si="1002"/>
        <v>0</v>
      </c>
      <c r="T722">
        <f t="shared" si="1003"/>
        <v>0</v>
      </c>
    </row>
    <row r="723" spans="1:20" x14ac:dyDescent="0.25">
      <c r="A723" s="5"/>
      <c r="C723" s="4"/>
      <c r="D723" s="4"/>
      <c r="P723">
        <f t="shared" si="999"/>
        <v>0</v>
      </c>
      <c r="Q723">
        <f t="shared" si="1000"/>
        <v>0</v>
      </c>
      <c r="R723">
        <f t="shared" si="1001"/>
        <v>0</v>
      </c>
      <c r="S723">
        <f t="shared" si="1002"/>
        <v>0</v>
      </c>
      <c r="T723">
        <f t="shared" si="1003"/>
        <v>0</v>
      </c>
    </row>
    <row r="724" spans="1:20" x14ac:dyDescent="0.25">
      <c r="A724" s="5"/>
      <c r="C724" s="4"/>
      <c r="D724" s="4"/>
      <c r="P724">
        <f t="shared" si="999"/>
        <v>0</v>
      </c>
      <c r="Q724">
        <f t="shared" si="1000"/>
        <v>0</v>
      </c>
      <c r="R724">
        <f t="shared" si="1001"/>
        <v>0</v>
      </c>
      <c r="S724">
        <f t="shared" si="1002"/>
        <v>0</v>
      </c>
      <c r="T724">
        <f t="shared" si="1003"/>
        <v>0</v>
      </c>
    </row>
    <row r="725" spans="1:20" x14ac:dyDescent="0.25">
      <c r="A725" s="5"/>
      <c r="C725" s="4"/>
      <c r="D725" s="4"/>
      <c r="P725">
        <f t="shared" si="999"/>
        <v>0</v>
      </c>
      <c r="Q725">
        <f t="shared" si="1000"/>
        <v>0</v>
      </c>
      <c r="R725">
        <f t="shared" si="1001"/>
        <v>0</v>
      </c>
      <c r="S725">
        <f t="shared" si="1002"/>
        <v>0</v>
      </c>
      <c r="T725">
        <f t="shared" si="1003"/>
        <v>0</v>
      </c>
    </row>
    <row r="726" spans="1:20" x14ac:dyDescent="0.25">
      <c r="A726" s="5"/>
      <c r="C726" s="4"/>
      <c r="D726" s="4"/>
      <c r="P726">
        <f t="shared" si="999"/>
        <v>0</v>
      </c>
      <c r="Q726">
        <f t="shared" si="1000"/>
        <v>0</v>
      </c>
      <c r="R726">
        <f t="shared" si="1001"/>
        <v>0</v>
      </c>
      <c r="S726">
        <f t="shared" si="1002"/>
        <v>0</v>
      </c>
      <c r="T726">
        <f t="shared" si="1003"/>
        <v>0</v>
      </c>
    </row>
    <row r="727" spans="1:20" x14ac:dyDescent="0.25">
      <c r="A727" s="5"/>
      <c r="C727" s="4"/>
      <c r="D727" s="4"/>
      <c r="P727">
        <f t="shared" si="999"/>
        <v>0</v>
      </c>
      <c r="Q727">
        <f t="shared" si="1000"/>
        <v>0</v>
      </c>
      <c r="R727">
        <f t="shared" si="1001"/>
        <v>0</v>
      </c>
      <c r="S727">
        <f t="shared" si="1002"/>
        <v>0</v>
      </c>
      <c r="T727">
        <f t="shared" si="1003"/>
        <v>0</v>
      </c>
    </row>
    <row r="728" spans="1:20" x14ac:dyDescent="0.25">
      <c r="A728" s="5"/>
      <c r="C728" s="4"/>
      <c r="D728" s="4"/>
      <c r="P728">
        <f t="shared" si="999"/>
        <v>0</v>
      </c>
      <c r="Q728">
        <f t="shared" si="1000"/>
        <v>0</v>
      </c>
      <c r="R728">
        <f t="shared" si="1001"/>
        <v>0</v>
      </c>
      <c r="S728">
        <f t="shared" si="1002"/>
        <v>0</v>
      </c>
      <c r="T728">
        <f t="shared" si="1003"/>
        <v>0</v>
      </c>
    </row>
    <row r="729" spans="1:20" x14ac:dyDescent="0.25">
      <c r="A729" s="5"/>
      <c r="C729" s="4"/>
      <c r="D729" s="4"/>
      <c r="P729">
        <f t="shared" si="999"/>
        <v>0</v>
      </c>
      <c r="Q729">
        <f t="shared" si="1000"/>
        <v>0</v>
      </c>
      <c r="R729">
        <f t="shared" si="1001"/>
        <v>0</v>
      </c>
      <c r="S729">
        <f t="shared" si="1002"/>
        <v>0</v>
      </c>
      <c r="T729">
        <f t="shared" si="1003"/>
        <v>0</v>
      </c>
    </row>
    <row r="730" spans="1:20" x14ac:dyDescent="0.25">
      <c r="A730" s="5"/>
      <c r="C730" s="4"/>
      <c r="D730" s="4"/>
      <c r="P730">
        <f t="shared" si="999"/>
        <v>0</v>
      </c>
      <c r="Q730">
        <f t="shared" si="1000"/>
        <v>0</v>
      </c>
      <c r="R730">
        <f t="shared" si="1001"/>
        <v>0</v>
      </c>
      <c r="S730">
        <f t="shared" si="1002"/>
        <v>0</v>
      </c>
      <c r="T730">
        <f t="shared" si="1003"/>
        <v>0</v>
      </c>
    </row>
    <row r="731" spans="1:20" x14ac:dyDescent="0.25">
      <c r="A731" s="5"/>
      <c r="C731" s="4"/>
      <c r="D731" s="4"/>
      <c r="P731">
        <f t="shared" si="999"/>
        <v>0</v>
      </c>
      <c r="Q731">
        <f t="shared" si="1000"/>
        <v>0</v>
      </c>
      <c r="R731">
        <f t="shared" si="1001"/>
        <v>0</v>
      </c>
      <c r="S731">
        <f t="shared" si="1002"/>
        <v>0</v>
      </c>
      <c r="T731">
        <f t="shared" si="1003"/>
        <v>0</v>
      </c>
    </row>
    <row r="732" spans="1:20" x14ac:dyDescent="0.25">
      <c r="A732" s="5"/>
      <c r="C732" s="4"/>
      <c r="D732" s="4"/>
      <c r="P732">
        <f t="shared" si="999"/>
        <v>0</v>
      </c>
      <c r="Q732">
        <f t="shared" si="1000"/>
        <v>0</v>
      </c>
      <c r="R732">
        <f t="shared" si="1001"/>
        <v>0</v>
      </c>
      <c r="S732">
        <f t="shared" si="1002"/>
        <v>0</v>
      </c>
      <c r="T732">
        <f t="shared" si="1003"/>
        <v>0</v>
      </c>
    </row>
    <row r="733" spans="1:20" x14ac:dyDescent="0.25">
      <c r="A733" s="5"/>
      <c r="C733" s="4"/>
      <c r="D733" s="4"/>
      <c r="P733">
        <f t="shared" si="999"/>
        <v>0</v>
      </c>
      <c r="Q733">
        <f t="shared" si="1000"/>
        <v>0</v>
      </c>
      <c r="R733">
        <f t="shared" si="1001"/>
        <v>0</v>
      </c>
      <c r="S733">
        <f t="shared" si="1002"/>
        <v>0</v>
      </c>
      <c r="T733">
        <f t="shared" si="1003"/>
        <v>0</v>
      </c>
    </row>
    <row r="734" spans="1:20" x14ac:dyDescent="0.25">
      <c r="A734" s="5"/>
      <c r="C734" s="4"/>
      <c r="D734" s="4"/>
      <c r="P734">
        <f t="shared" si="999"/>
        <v>0</v>
      </c>
      <c r="Q734">
        <f t="shared" si="1000"/>
        <v>0</v>
      </c>
      <c r="R734">
        <f t="shared" si="1001"/>
        <v>0</v>
      </c>
      <c r="S734">
        <f t="shared" si="1002"/>
        <v>0</v>
      </c>
      <c r="T734">
        <f t="shared" si="1003"/>
        <v>0</v>
      </c>
    </row>
    <row r="735" spans="1:20" x14ac:dyDescent="0.25">
      <c r="A735" s="5"/>
      <c r="C735" s="4"/>
      <c r="D735" s="4"/>
      <c r="P735">
        <f t="shared" si="999"/>
        <v>0</v>
      </c>
      <c r="Q735">
        <f t="shared" si="1000"/>
        <v>0</v>
      </c>
      <c r="R735">
        <f t="shared" si="1001"/>
        <v>0</v>
      </c>
      <c r="S735">
        <f t="shared" si="1002"/>
        <v>0</v>
      </c>
      <c r="T735">
        <f t="shared" si="1003"/>
        <v>0</v>
      </c>
    </row>
    <row r="736" spans="1:20" x14ac:dyDescent="0.25">
      <c r="A736" s="5"/>
      <c r="C736" s="4"/>
      <c r="D736" s="4"/>
      <c r="P736">
        <f t="shared" si="999"/>
        <v>0</v>
      </c>
      <c r="Q736">
        <f t="shared" si="1000"/>
        <v>0</v>
      </c>
      <c r="R736">
        <f t="shared" si="1001"/>
        <v>0</v>
      </c>
      <c r="S736">
        <f t="shared" si="1002"/>
        <v>0</v>
      </c>
      <c r="T736">
        <f t="shared" si="1003"/>
        <v>0</v>
      </c>
    </row>
    <row r="737" spans="1:20" x14ac:dyDescent="0.25">
      <c r="A737" s="5"/>
      <c r="C737" s="4"/>
      <c r="D737" s="4"/>
      <c r="P737">
        <f t="shared" si="999"/>
        <v>0</v>
      </c>
      <c r="Q737">
        <f t="shared" si="1000"/>
        <v>0</v>
      </c>
      <c r="R737">
        <f t="shared" si="1001"/>
        <v>0</v>
      </c>
      <c r="S737">
        <f t="shared" si="1002"/>
        <v>0</v>
      </c>
      <c r="T737">
        <f t="shared" si="1003"/>
        <v>0</v>
      </c>
    </row>
    <row r="738" spans="1:20" x14ac:dyDescent="0.25">
      <c r="A738" s="5"/>
      <c r="C738" s="4"/>
      <c r="D738" s="4"/>
      <c r="P738">
        <f t="shared" si="999"/>
        <v>0</v>
      </c>
      <c r="Q738">
        <f t="shared" si="1000"/>
        <v>0</v>
      </c>
      <c r="R738">
        <f t="shared" si="1001"/>
        <v>0</v>
      </c>
      <c r="S738">
        <f t="shared" si="1002"/>
        <v>0</v>
      </c>
      <c r="T738">
        <f t="shared" si="1003"/>
        <v>0</v>
      </c>
    </row>
    <row r="739" spans="1:20" x14ac:dyDescent="0.25">
      <c r="A739" s="5"/>
      <c r="C739" s="4"/>
      <c r="D739" s="4"/>
      <c r="P739">
        <f t="shared" si="999"/>
        <v>0</v>
      </c>
      <c r="Q739">
        <f t="shared" si="1000"/>
        <v>0</v>
      </c>
      <c r="R739">
        <f t="shared" si="1001"/>
        <v>0</v>
      </c>
      <c r="S739">
        <f t="shared" si="1002"/>
        <v>0</v>
      </c>
      <c r="T739">
        <f t="shared" si="1003"/>
        <v>0</v>
      </c>
    </row>
    <row r="740" spans="1:20" x14ac:dyDescent="0.25">
      <c r="A740" s="5"/>
      <c r="C740" s="4"/>
      <c r="D740" s="4"/>
      <c r="P740">
        <f t="shared" si="999"/>
        <v>0</v>
      </c>
      <c r="Q740">
        <f t="shared" si="1000"/>
        <v>0</v>
      </c>
      <c r="R740">
        <f t="shared" si="1001"/>
        <v>0</v>
      </c>
      <c r="S740">
        <f t="shared" si="1002"/>
        <v>0</v>
      </c>
      <c r="T740">
        <f t="shared" si="1003"/>
        <v>0</v>
      </c>
    </row>
    <row r="741" spans="1:20" x14ac:dyDescent="0.25">
      <c r="A741" s="5"/>
      <c r="C741" s="4"/>
      <c r="D741" s="4"/>
      <c r="P741">
        <f t="shared" si="999"/>
        <v>0</v>
      </c>
      <c r="Q741">
        <f t="shared" si="1000"/>
        <v>0</v>
      </c>
      <c r="R741">
        <f t="shared" si="1001"/>
        <v>0</v>
      </c>
      <c r="S741">
        <f t="shared" si="1002"/>
        <v>0</v>
      </c>
      <c r="T741">
        <f t="shared" si="1003"/>
        <v>0</v>
      </c>
    </row>
    <row r="742" spans="1:20" x14ac:dyDescent="0.25">
      <c r="A742" s="5"/>
      <c r="C742" s="4"/>
      <c r="D742" s="4"/>
      <c r="P742">
        <f t="shared" si="999"/>
        <v>0</v>
      </c>
      <c r="Q742">
        <f t="shared" si="1000"/>
        <v>0</v>
      </c>
      <c r="R742">
        <f t="shared" si="1001"/>
        <v>0</v>
      </c>
      <c r="S742">
        <f t="shared" si="1002"/>
        <v>0</v>
      </c>
      <c r="T742">
        <f t="shared" si="1003"/>
        <v>0</v>
      </c>
    </row>
    <row r="743" spans="1:20" x14ac:dyDescent="0.25">
      <c r="A743" s="5"/>
      <c r="C743" s="4"/>
      <c r="D743" s="4"/>
      <c r="P743">
        <f t="shared" si="999"/>
        <v>0</v>
      </c>
      <c r="Q743">
        <f t="shared" si="1000"/>
        <v>0</v>
      </c>
      <c r="R743">
        <f t="shared" si="1001"/>
        <v>0</v>
      </c>
      <c r="S743">
        <f t="shared" si="1002"/>
        <v>0</v>
      </c>
      <c r="T743">
        <f t="shared" si="1003"/>
        <v>0</v>
      </c>
    </row>
    <row r="744" spans="1:20" x14ac:dyDescent="0.25">
      <c r="A744" s="5"/>
      <c r="C744" s="4"/>
      <c r="D744" s="4"/>
      <c r="P744">
        <f t="shared" si="999"/>
        <v>0</v>
      </c>
      <c r="Q744">
        <f t="shared" si="1000"/>
        <v>0</v>
      </c>
      <c r="R744">
        <f t="shared" si="1001"/>
        <v>0</v>
      </c>
      <c r="S744">
        <f t="shared" si="1002"/>
        <v>0</v>
      </c>
      <c r="T744">
        <f t="shared" si="1003"/>
        <v>0</v>
      </c>
    </row>
    <row r="745" spans="1:20" x14ac:dyDescent="0.25">
      <c r="A745" s="5"/>
      <c r="C745" s="4"/>
      <c r="D745" s="4"/>
      <c r="P745">
        <f t="shared" si="999"/>
        <v>0</v>
      </c>
      <c r="Q745">
        <f t="shared" si="1000"/>
        <v>0</v>
      </c>
      <c r="R745">
        <f t="shared" si="1001"/>
        <v>0</v>
      </c>
      <c r="S745">
        <f t="shared" si="1002"/>
        <v>0</v>
      </c>
      <c r="T745">
        <f t="shared" si="1003"/>
        <v>0</v>
      </c>
    </row>
    <row r="746" spans="1:20" x14ac:dyDescent="0.25">
      <c r="A746" s="5"/>
      <c r="C746" s="4"/>
      <c r="D746" s="4"/>
      <c r="P746">
        <f t="shared" si="999"/>
        <v>0</v>
      </c>
      <c r="Q746">
        <f t="shared" si="1000"/>
        <v>0</v>
      </c>
      <c r="R746">
        <f t="shared" si="1001"/>
        <v>0</v>
      </c>
      <c r="S746">
        <f t="shared" si="1002"/>
        <v>0</v>
      </c>
      <c r="T746">
        <f t="shared" si="1003"/>
        <v>0</v>
      </c>
    </row>
    <row r="747" spans="1:20" x14ac:dyDescent="0.25">
      <c r="A747" s="5"/>
      <c r="C747" s="4"/>
      <c r="D747" s="4"/>
      <c r="P747">
        <f t="shared" si="999"/>
        <v>0</v>
      </c>
      <c r="Q747">
        <f t="shared" si="1000"/>
        <v>0</v>
      </c>
      <c r="R747">
        <f t="shared" si="1001"/>
        <v>0</v>
      </c>
      <c r="S747">
        <f t="shared" si="1002"/>
        <v>0</v>
      </c>
      <c r="T747">
        <f t="shared" si="1003"/>
        <v>0</v>
      </c>
    </row>
    <row r="748" spans="1:20" x14ac:dyDescent="0.25">
      <c r="A748" s="5"/>
      <c r="C748" s="4"/>
      <c r="D748" s="4"/>
      <c r="P748">
        <f t="shared" si="999"/>
        <v>0</v>
      </c>
      <c r="Q748">
        <f t="shared" si="1000"/>
        <v>0</v>
      </c>
      <c r="R748">
        <f t="shared" si="1001"/>
        <v>0</v>
      </c>
      <c r="S748">
        <f t="shared" si="1002"/>
        <v>0</v>
      </c>
      <c r="T748">
        <f t="shared" si="1003"/>
        <v>0</v>
      </c>
    </row>
    <row r="749" spans="1:20" x14ac:dyDescent="0.25">
      <c r="A749" s="5"/>
      <c r="C749" s="4"/>
      <c r="D749" s="4"/>
      <c r="P749">
        <f t="shared" si="999"/>
        <v>0</v>
      </c>
      <c r="Q749">
        <f t="shared" si="1000"/>
        <v>0</v>
      </c>
      <c r="R749">
        <f t="shared" si="1001"/>
        <v>0</v>
      </c>
      <c r="S749">
        <f t="shared" si="1002"/>
        <v>0</v>
      </c>
      <c r="T749">
        <f t="shared" si="1003"/>
        <v>0</v>
      </c>
    </row>
    <row r="750" spans="1:20" x14ac:dyDescent="0.25">
      <c r="A750" s="5"/>
      <c r="C750" s="4"/>
      <c r="D750" s="4"/>
      <c r="P750">
        <f t="shared" si="999"/>
        <v>0</v>
      </c>
      <c r="Q750">
        <f t="shared" si="1000"/>
        <v>0</v>
      </c>
      <c r="R750">
        <f t="shared" si="1001"/>
        <v>0</v>
      </c>
      <c r="S750">
        <f t="shared" si="1002"/>
        <v>0</v>
      </c>
      <c r="T750">
        <f t="shared" si="1003"/>
        <v>0</v>
      </c>
    </row>
    <row r="751" spans="1:20" x14ac:dyDescent="0.25">
      <c r="A751" s="5"/>
      <c r="C751" s="4"/>
      <c r="D751" s="4"/>
      <c r="P751">
        <f t="shared" si="999"/>
        <v>0</v>
      </c>
      <c r="Q751">
        <f t="shared" si="1000"/>
        <v>0</v>
      </c>
      <c r="R751">
        <f t="shared" si="1001"/>
        <v>0</v>
      </c>
      <c r="S751">
        <f t="shared" si="1002"/>
        <v>0</v>
      </c>
      <c r="T751">
        <f t="shared" si="1003"/>
        <v>0</v>
      </c>
    </row>
    <row r="752" spans="1:20" x14ac:dyDescent="0.25">
      <c r="A752" s="5"/>
      <c r="C752" s="4"/>
      <c r="D752" s="4"/>
      <c r="P752">
        <f t="shared" si="999"/>
        <v>0</v>
      </c>
      <c r="Q752">
        <f t="shared" si="1000"/>
        <v>0</v>
      </c>
      <c r="R752">
        <f t="shared" si="1001"/>
        <v>0</v>
      </c>
      <c r="S752">
        <f t="shared" si="1002"/>
        <v>0</v>
      </c>
      <c r="T752">
        <f t="shared" si="1003"/>
        <v>0</v>
      </c>
    </row>
    <row r="753" spans="1:20" x14ac:dyDescent="0.25">
      <c r="A753" s="5"/>
      <c r="C753" s="4"/>
      <c r="D753" s="4"/>
      <c r="P753">
        <f t="shared" si="999"/>
        <v>0</v>
      </c>
      <c r="Q753">
        <f t="shared" si="1000"/>
        <v>0</v>
      </c>
      <c r="R753">
        <f t="shared" si="1001"/>
        <v>0</v>
      </c>
      <c r="S753">
        <f t="shared" si="1002"/>
        <v>0</v>
      </c>
      <c r="T753">
        <f t="shared" si="1003"/>
        <v>0</v>
      </c>
    </row>
    <row r="754" spans="1:20" x14ac:dyDescent="0.25">
      <c r="A754" s="5"/>
      <c r="C754" s="4"/>
      <c r="D754" s="4"/>
      <c r="P754">
        <f t="shared" si="999"/>
        <v>0</v>
      </c>
      <c r="Q754">
        <f t="shared" si="1000"/>
        <v>0</v>
      </c>
      <c r="R754">
        <f t="shared" si="1001"/>
        <v>0</v>
      </c>
      <c r="S754">
        <f t="shared" si="1002"/>
        <v>0</v>
      </c>
      <c r="T754">
        <f t="shared" si="1003"/>
        <v>0</v>
      </c>
    </row>
    <row r="755" spans="1:20" x14ac:dyDescent="0.25">
      <c r="A755" s="5"/>
      <c r="C755" s="4"/>
      <c r="D755" s="4"/>
      <c r="P755">
        <f t="shared" si="999"/>
        <v>0</v>
      </c>
      <c r="Q755">
        <f t="shared" si="1000"/>
        <v>0</v>
      </c>
      <c r="R755">
        <f t="shared" si="1001"/>
        <v>0</v>
      </c>
      <c r="S755">
        <f t="shared" si="1002"/>
        <v>0</v>
      </c>
      <c r="T755">
        <f t="shared" si="1003"/>
        <v>0</v>
      </c>
    </row>
    <row r="756" spans="1:20" x14ac:dyDescent="0.25">
      <c r="A756" s="5"/>
      <c r="C756" s="4"/>
      <c r="D756" s="4"/>
      <c r="P756">
        <f t="shared" si="999"/>
        <v>0</v>
      </c>
      <c r="Q756">
        <f t="shared" si="1000"/>
        <v>0</v>
      </c>
      <c r="R756">
        <f t="shared" si="1001"/>
        <v>0</v>
      </c>
      <c r="S756">
        <f t="shared" si="1002"/>
        <v>0</v>
      </c>
      <c r="T756">
        <f t="shared" si="1003"/>
        <v>0</v>
      </c>
    </row>
    <row r="757" spans="1:20" x14ac:dyDescent="0.25">
      <c r="A757" s="5"/>
      <c r="C757" s="4"/>
      <c r="D757" s="4"/>
      <c r="P757">
        <f t="shared" si="999"/>
        <v>0</v>
      </c>
      <c r="Q757">
        <f t="shared" si="1000"/>
        <v>0</v>
      </c>
      <c r="R757">
        <f t="shared" si="1001"/>
        <v>0</v>
      </c>
      <c r="S757">
        <f t="shared" si="1002"/>
        <v>0</v>
      </c>
      <c r="T757">
        <f t="shared" si="1003"/>
        <v>0</v>
      </c>
    </row>
    <row r="758" spans="1:20" x14ac:dyDescent="0.25">
      <c r="A758" s="5"/>
      <c r="C758" s="4"/>
      <c r="D758" s="4"/>
      <c r="P758">
        <f t="shared" si="999"/>
        <v>0</v>
      </c>
      <c r="Q758">
        <f t="shared" si="1000"/>
        <v>0</v>
      </c>
      <c r="R758">
        <f t="shared" si="1001"/>
        <v>0</v>
      </c>
      <c r="S758">
        <f t="shared" si="1002"/>
        <v>0</v>
      </c>
      <c r="T758">
        <f t="shared" si="1003"/>
        <v>0</v>
      </c>
    </row>
    <row r="759" spans="1:20" x14ac:dyDescent="0.25">
      <c r="A759" s="5"/>
      <c r="C759" s="4"/>
      <c r="D759" s="4"/>
      <c r="P759">
        <f t="shared" si="999"/>
        <v>0</v>
      </c>
      <c r="Q759">
        <f t="shared" si="1000"/>
        <v>0</v>
      </c>
      <c r="R759">
        <f t="shared" si="1001"/>
        <v>0</v>
      </c>
      <c r="S759">
        <f t="shared" si="1002"/>
        <v>0</v>
      </c>
      <c r="T759">
        <f t="shared" si="1003"/>
        <v>0</v>
      </c>
    </row>
    <row r="760" spans="1:20" x14ac:dyDescent="0.25">
      <c r="A760" s="5"/>
      <c r="C760" s="4"/>
      <c r="D760" s="4"/>
      <c r="P760">
        <f t="shared" si="999"/>
        <v>0</v>
      </c>
      <c r="Q760">
        <f t="shared" si="1000"/>
        <v>0</v>
      </c>
      <c r="R760">
        <f t="shared" si="1001"/>
        <v>0</v>
      </c>
      <c r="S760">
        <f t="shared" si="1002"/>
        <v>0</v>
      </c>
      <c r="T760">
        <f t="shared" si="1003"/>
        <v>0</v>
      </c>
    </row>
    <row r="761" spans="1:20" x14ac:dyDescent="0.25">
      <c r="A761" s="5"/>
      <c r="C761" s="4"/>
      <c r="D761" s="4"/>
      <c r="P761">
        <f t="shared" si="999"/>
        <v>0</v>
      </c>
      <c r="Q761">
        <f t="shared" si="1000"/>
        <v>0</v>
      </c>
      <c r="R761">
        <f t="shared" si="1001"/>
        <v>0</v>
      </c>
      <c r="S761">
        <f t="shared" si="1002"/>
        <v>0</v>
      </c>
      <c r="T761">
        <f t="shared" si="1003"/>
        <v>0</v>
      </c>
    </row>
    <row r="762" spans="1:20" x14ac:dyDescent="0.25">
      <c r="A762" s="5"/>
      <c r="C762" s="4"/>
      <c r="D762" s="4"/>
      <c r="P762">
        <f t="shared" si="999"/>
        <v>0</v>
      </c>
      <c r="Q762">
        <f t="shared" si="1000"/>
        <v>0</v>
      </c>
      <c r="R762">
        <f t="shared" si="1001"/>
        <v>0</v>
      </c>
      <c r="S762">
        <f t="shared" si="1002"/>
        <v>0</v>
      </c>
      <c r="T762">
        <f t="shared" si="1003"/>
        <v>0</v>
      </c>
    </row>
    <row r="763" spans="1:20" x14ac:dyDescent="0.25">
      <c r="A763" s="5"/>
      <c r="C763" s="4"/>
      <c r="D763" s="4"/>
      <c r="P763">
        <f t="shared" si="999"/>
        <v>0</v>
      </c>
      <c r="Q763">
        <f t="shared" si="1000"/>
        <v>0</v>
      </c>
      <c r="R763">
        <f t="shared" si="1001"/>
        <v>0</v>
      </c>
      <c r="S763">
        <f t="shared" si="1002"/>
        <v>0</v>
      </c>
      <c r="T763">
        <f t="shared" si="1003"/>
        <v>0</v>
      </c>
    </row>
    <row r="764" spans="1:20" x14ac:dyDescent="0.25">
      <c r="A764" s="5"/>
      <c r="C764" s="4"/>
      <c r="D764" s="4"/>
      <c r="P764">
        <f t="shared" si="999"/>
        <v>0</v>
      </c>
      <c r="Q764">
        <f t="shared" si="1000"/>
        <v>0</v>
      </c>
      <c r="R764">
        <f t="shared" si="1001"/>
        <v>0</v>
      </c>
      <c r="S764">
        <f t="shared" si="1002"/>
        <v>0</v>
      </c>
      <c r="T764">
        <f t="shared" si="1003"/>
        <v>0</v>
      </c>
    </row>
    <row r="765" spans="1:20" x14ac:dyDescent="0.25">
      <c r="A765" s="5"/>
      <c r="C765" s="4"/>
      <c r="D765" s="4"/>
      <c r="P765">
        <f t="shared" si="999"/>
        <v>0</v>
      </c>
      <c r="Q765">
        <f t="shared" si="1000"/>
        <v>0</v>
      </c>
      <c r="R765">
        <f t="shared" si="1001"/>
        <v>0</v>
      </c>
      <c r="S765">
        <f t="shared" si="1002"/>
        <v>0</v>
      </c>
      <c r="T765">
        <f t="shared" si="1003"/>
        <v>0</v>
      </c>
    </row>
    <row r="766" spans="1:20" x14ac:dyDescent="0.25">
      <c r="A766" s="5"/>
      <c r="C766" s="4"/>
      <c r="D766" s="4"/>
      <c r="P766">
        <f t="shared" si="999"/>
        <v>0</v>
      </c>
      <c r="Q766">
        <f t="shared" si="1000"/>
        <v>0</v>
      </c>
      <c r="R766">
        <f t="shared" si="1001"/>
        <v>0</v>
      </c>
      <c r="S766">
        <f t="shared" si="1002"/>
        <v>0</v>
      </c>
      <c r="T766">
        <f t="shared" si="1003"/>
        <v>0</v>
      </c>
    </row>
    <row r="767" spans="1:20" x14ac:dyDescent="0.25">
      <c r="A767" s="5"/>
      <c r="C767" s="4"/>
      <c r="D767" s="4"/>
    </row>
    <row r="768" spans="1:20" x14ac:dyDescent="0.25">
      <c r="A768" s="5"/>
      <c r="C768" s="4"/>
      <c r="D768" s="4"/>
    </row>
    <row r="769" spans="1:4" x14ac:dyDescent="0.25">
      <c r="A769" s="5"/>
      <c r="C769" s="4"/>
      <c r="D769" s="4"/>
    </row>
    <row r="770" spans="1:4" x14ac:dyDescent="0.25">
      <c r="A770" s="5"/>
      <c r="C770" s="4"/>
      <c r="D770" s="4"/>
    </row>
    <row r="771" spans="1:4" x14ac:dyDescent="0.25">
      <c r="A771" s="5"/>
      <c r="C771" s="4"/>
      <c r="D771" s="4"/>
    </row>
    <row r="772" spans="1:4" x14ac:dyDescent="0.25">
      <c r="A772" s="5"/>
      <c r="C772" s="4"/>
      <c r="D772" s="4"/>
    </row>
    <row r="773" spans="1:4" x14ac:dyDescent="0.25">
      <c r="A773" s="5"/>
      <c r="C773" s="4"/>
      <c r="D773" s="4"/>
    </row>
    <row r="774" spans="1:4" x14ac:dyDescent="0.25">
      <c r="A774" s="5"/>
      <c r="C774" s="4"/>
      <c r="D774" s="4"/>
    </row>
    <row r="775" spans="1:4" x14ac:dyDescent="0.25">
      <c r="A775" s="5"/>
      <c r="C775" s="4"/>
      <c r="D775" s="4"/>
    </row>
    <row r="776" spans="1:4" x14ac:dyDescent="0.25">
      <c r="A776" s="5"/>
      <c r="C776" s="4"/>
      <c r="D776" s="4"/>
    </row>
    <row r="777" spans="1:4" x14ac:dyDescent="0.25">
      <c r="A777" s="5"/>
      <c r="C777" s="4"/>
      <c r="D777" s="4"/>
    </row>
    <row r="778" spans="1:4" x14ac:dyDescent="0.25">
      <c r="A778" s="5"/>
      <c r="C778" s="4"/>
      <c r="D778" s="4"/>
    </row>
    <row r="779" spans="1:4" x14ac:dyDescent="0.25">
      <c r="A779" s="5"/>
      <c r="C779" s="4"/>
      <c r="D779" s="4"/>
    </row>
    <row r="780" spans="1:4" x14ac:dyDescent="0.25">
      <c r="A780" s="5"/>
      <c r="C780" s="4"/>
      <c r="D780" s="4"/>
    </row>
    <row r="781" spans="1:4" x14ac:dyDescent="0.25">
      <c r="A781" s="5"/>
      <c r="C781" s="4"/>
      <c r="D781" s="4"/>
    </row>
    <row r="782" spans="1:4" x14ac:dyDescent="0.25">
      <c r="A782" s="5"/>
      <c r="C782" s="4"/>
      <c r="D782" s="4"/>
    </row>
    <row r="783" spans="1:4" x14ac:dyDescent="0.25">
      <c r="A783" s="5"/>
      <c r="C783" s="4"/>
      <c r="D783" s="4"/>
    </row>
    <row r="784" spans="1:4" x14ac:dyDescent="0.25">
      <c r="A784" s="5"/>
      <c r="C784" s="4"/>
      <c r="D784" s="4"/>
    </row>
    <row r="785" spans="1:4" x14ac:dyDescent="0.25">
      <c r="A785" s="5"/>
      <c r="C785" s="4"/>
      <c r="D785" s="4"/>
    </row>
    <row r="786" spans="1:4" x14ac:dyDescent="0.25">
      <c r="A786" s="5"/>
      <c r="C786" s="4"/>
      <c r="D786" s="4"/>
    </row>
    <row r="787" spans="1:4" x14ac:dyDescent="0.25">
      <c r="A787" s="5"/>
      <c r="C787" s="4"/>
      <c r="D787" s="4"/>
    </row>
    <row r="788" spans="1:4" x14ac:dyDescent="0.25">
      <c r="A788" s="5"/>
      <c r="C788" s="4"/>
      <c r="D788" s="4"/>
    </row>
    <row r="789" spans="1:4" x14ac:dyDescent="0.25">
      <c r="A789" s="5"/>
      <c r="C789" s="4"/>
      <c r="D789" s="4"/>
    </row>
    <row r="790" spans="1:4" x14ac:dyDescent="0.25">
      <c r="A790" s="5"/>
      <c r="C790" s="4"/>
      <c r="D790" s="4"/>
    </row>
    <row r="791" spans="1:4" x14ac:dyDescent="0.25">
      <c r="A791" s="5"/>
      <c r="C791" s="4"/>
      <c r="D791" s="4"/>
    </row>
    <row r="792" spans="1:4" x14ac:dyDescent="0.25">
      <c r="A792" s="5"/>
      <c r="C792" s="4"/>
      <c r="D792" s="4"/>
    </row>
    <row r="793" spans="1:4" x14ac:dyDescent="0.25">
      <c r="A793" s="5"/>
      <c r="C793" s="4"/>
      <c r="D793" s="4"/>
    </row>
    <row r="794" spans="1:4" x14ac:dyDescent="0.25">
      <c r="A794" s="5"/>
      <c r="C794" s="4"/>
      <c r="D794" s="4"/>
    </row>
    <row r="795" spans="1:4" x14ac:dyDescent="0.25">
      <c r="A795" s="5"/>
      <c r="C795" s="4"/>
      <c r="D795" s="4"/>
    </row>
    <row r="796" spans="1:4" x14ac:dyDescent="0.25">
      <c r="A796" s="5"/>
      <c r="C796" s="4"/>
      <c r="D796" s="4"/>
    </row>
    <row r="797" spans="1:4" x14ac:dyDescent="0.25">
      <c r="A797" s="5"/>
      <c r="C797" s="4"/>
      <c r="D797" s="4"/>
    </row>
    <row r="798" spans="1:4" x14ac:dyDescent="0.25">
      <c r="A798" s="5"/>
      <c r="C798" s="4"/>
      <c r="D798" s="4"/>
    </row>
    <row r="799" spans="1:4" x14ac:dyDescent="0.25">
      <c r="A799" s="5"/>
      <c r="C799" s="4"/>
      <c r="D799" s="4"/>
    </row>
    <row r="800" spans="1:4" x14ac:dyDescent="0.25">
      <c r="A800" s="5"/>
      <c r="C800" s="4"/>
      <c r="D800" s="4"/>
    </row>
    <row r="801" spans="1:4" x14ac:dyDescent="0.25">
      <c r="A801" s="5"/>
      <c r="C801" s="4"/>
      <c r="D801" s="4"/>
    </row>
    <row r="802" spans="1:4" x14ac:dyDescent="0.25">
      <c r="A802" s="5"/>
      <c r="C802" s="4"/>
      <c r="D802" s="4"/>
    </row>
    <row r="803" spans="1:4" x14ac:dyDescent="0.25">
      <c r="A803" s="5"/>
      <c r="C803" s="4"/>
      <c r="D803" s="4"/>
    </row>
    <row r="804" spans="1:4" x14ac:dyDescent="0.25">
      <c r="A804" s="5"/>
      <c r="C804" s="4"/>
      <c r="D804" s="4"/>
    </row>
    <row r="805" spans="1:4" x14ac:dyDescent="0.25">
      <c r="A805" s="5"/>
      <c r="C805" s="4"/>
      <c r="D805" s="4"/>
    </row>
    <row r="806" spans="1:4" x14ac:dyDescent="0.25">
      <c r="A806" s="5"/>
      <c r="C806" s="4"/>
      <c r="D806" s="4"/>
    </row>
    <row r="807" spans="1:4" x14ac:dyDescent="0.25">
      <c r="A807" s="5"/>
      <c r="C807" s="4"/>
      <c r="D807" s="4"/>
    </row>
    <row r="808" spans="1:4" x14ac:dyDescent="0.25">
      <c r="A808" s="5"/>
      <c r="C808" s="4"/>
      <c r="D808" s="4"/>
    </row>
    <row r="809" spans="1:4" x14ac:dyDescent="0.25">
      <c r="A809" s="5"/>
      <c r="C809" s="4"/>
      <c r="D809" s="4"/>
    </row>
    <row r="810" spans="1:4" x14ac:dyDescent="0.25">
      <c r="A810" s="5"/>
      <c r="C810" s="4"/>
      <c r="D810" s="4"/>
    </row>
    <row r="811" spans="1:4" x14ac:dyDescent="0.25">
      <c r="A811" s="5"/>
      <c r="C811" s="4"/>
      <c r="D811" s="4"/>
    </row>
    <row r="812" spans="1:4" x14ac:dyDescent="0.25">
      <c r="A812" s="5"/>
      <c r="C812" s="4"/>
      <c r="D812" s="4"/>
    </row>
    <row r="813" spans="1:4" x14ac:dyDescent="0.25">
      <c r="A813" s="5"/>
      <c r="C813" s="4"/>
      <c r="D813" s="4"/>
    </row>
    <row r="814" spans="1:4" x14ac:dyDescent="0.25">
      <c r="A814" s="5"/>
      <c r="C814" s="4"/>
      <c r="D814" s="4"/>
    </row>
    <row r="815" spans="1:4" x14ac:dyDescent="0.25">
      <c r="A815" s="5"/>
      <c r="C815" s="4"/>
      <c r="D815" s="4"/>
    </row>
    <row r="816" spans="1:4" x14ac:dyDescent="0.25">
      <c r="A816" s="5"/>
      <c r="C816" s="4"/>
      <c r="D816" s="4"/>
    </row>
    <row r="817" spans="1:4" x14ac:dyDescent="0.25">
      <c r="A817" s="5"/>
      <c r="C817" s="4"/>
      <c r="D817" s="4"/>
    </row>
    <row r="818" spans="1:4" x14ac:dyDescent="0.25">
      <c r="A818" s="5"/>
      <c r="C818" s="4"/>
      <c r="D818" s="4"/>
    </row>
    <row r="819" spans="1:4" x14ac:dyDescent="0.25">
      <c r="A819" s="5"/>
      <c r="C819" s="4"/>
      <c r="D819" s="4"/>
    </row>
    <row r="820" spans="1:4" x14ac:dyDescent="0.25">
      <c r="A820" s="5"/>
      <c r="C820" s="4"/>
      <c r="D820" s="4"/>
    </row>
    <row r="821" spans="1:4" x14ac:dyDescent="0.25">
      <c r="A821" s="5"/>
      <c r="C821" s="4"/>
      <c r="D821" s="4"/>
    </row>
    <row r="822" spans="1:4" x14ac:dyDescent="0.25">
      <c r="A822" s="5"/>
      <c r="C822" s="4"/>
      <c r="D822" s="4"/>
    </row>
    <row r="823" spans="1:4" x14ac:dyDescent="0.25">
      <c r="A823" s="5"/>
      <c r="C823" s="4"/>
      <c r="D823" s="4"/>
    </row>
    <row r="824" spans="1:4" x14ac:dyDescent="0.25">
      <c r="A824" s="5"/>
      <c r="C824" s="4"/>
      <c r="D824" s="4"/>
    </row>
    <row r="825" spans="1:4" x14ac:dyDescent="0.25">
      <c r="A825" s="5"/>
      <c r="C825" s="4"/>
      <c r="D825" s="4"/>
    </row>
    <row r="826" spans="1:4" x14ac:dyDescent="0.25">
      <c r="A826" s="5"/>
      <c r="C826" s="4"/>
      <c r="D826" s="4"/>
    </row>
    <row r="827" spans="1:4" x14ac:dyDescent="0.25">
      <c r="A827" s="5"/>
      <c r="C827" s="4"/>
      <c r="D827" s="4"/>
    </row>
    <row r="828" spans="1:4" x14ac:dyDescent="0.25">
      <c r="A828" s="5"/>
      <c r="C828" s="4"/>
      <c r="D828" s="4"/>
    </row>
    <row r="829" spans="1:4" x14ac:dyDescent="0.25">
      <c r="A829" s="5"/>
      <c r="C829" s="4"/>
      <c r="D829" s="4"/>
    </row>
    <row r="830" spans="1:4" x14ac:dyDescent="0.25">
      <c r="A830" s="5"/>
      <c r="C830" s="4"/>
      <c r="D830" s="4"/>
    </row>
    <row r="831" spans="1:4" x14ac:dyDescent="0.25">
      <c r="A831" s="5"/>
      <c r="C831" s="4"/>
      <c r="D831" s="4"/>
    </row>
    <row r="832" spans="1:4" x14ac:dyDescent="0.25">
      <c r="A832" s="5"/>
      <c r="C832" s="4"/>
      <c r="D832" s="4"/>
    </row>
    <row r="833" spans="1:4" x14ac:dyDescent="0.25">
      <c r="A833" s="5"/>
      <c r="C833" s="4"/>
      <c r="D833" s="4"/>
    </row>
    <row r="834" spans="1:4" x14ac:dyDescent="0.25">
      <c r="A834" s="5"/>
      <c r="C834" s="4"/>
      <c r="D834" s="4"/>
    </row>
    <row r="835" spans="1:4" x14ac:dyDescent="0.25">
      <c r="A835" s="5"/>
      <c r="C835" s="4"/>
      <c r="D835" s="4"/>
    </row>
    <row r="836" spans="1:4" x14ac:dyDescent="0.25">
      <c r="A836" s="5"/>
      <c r="C836" s="4"/>
      <c r="D836" s="4"/>
    </row>
    <row r="837" spans="1:4" x14ac:dyDescent="0.25">
      <c r="A837" s="5"/>
      <c r="C837" s="4"/>
      <c r="D837" s="4"/>
    </row>
    <row r="838" spans="1:4" x14ac:dyDescent="0.25">
      <c r="A838" s="5"/>
      <c r="C838" s="4"/>
      <c r="D838" s="4"/>
    </row>
    <row r="839" spans="1:4" x14ac:dyDescent="0.25">
      <c r="A839" s="5"/>
      <c r="C839" s="4"/>
      <c r="D839" s="4"/>
    </row>
    <row r="840" spans="1:4" x14ac:dyDescent="0.25">
      <c r="A840" s="5"/>
      <c r="C840" s="4"/>
      <c r="D840" s="4"/>
    </row>
    <row r="841" spans="1:4" x14ac:dyDescent="0.25">
      <c r="A841" s="5"/>
      <c r="C841" s="4"/>
      <c r="D841" s="4"/>
    </row>
    <row r="842" spans="1:4" x14ac:dyDescent="0.25">
      <c r="A842" s="5"/>
      <c r="C842" s="4"/>
      <c r="D842" s="4"/>
    </row>
    <row r="843" spans="1:4" x14ac:dyDescent="0.25">
      <c r="A843" s="5"/>
      <c r="C843" s="4"/>
      <c r="D843" s="4"/>
    </row>
    <row r="844" spans="1:4" x14ac:dyDescent="0.25">
      <c r="A844" s="5"/>
      <c r="C844" s="4"/>
      <c r="D844" s="4"/>
    </row>
    <row r="845" spans="1:4" x14ac:dyDescent="0.25">
      <c r="A845" s="5"/>
      <c r="C845" s="4"/>
      <c r="D845" s="4"/>
    </row>
    <row r="846" spans="1:4" x14ac:dyDescent="0.25">
      <c r="A846" s="5"/>
      <c r="C846" s="4"/>
      <c r="D846" s="4"/>
    </row>
    <row r="847" spans="1:4" x14ac:dyDescent="0.25">
      <c r="A847" s="5"/>
      <c r="C847" s="4"/>
      <c r="D847" s="4"/>
    </row>
    <row r="848" spans="1:4" x14ac:dyDescent="0.25">
      <c r="A848" s="5"/>
      <c r="C848" s="4"/>
      <c r="D848" s="4"/>
    </row>
    <row r="849" spans="1:4" x14ac:dyDescent="0.25">
      <c r="A849" s="5"/>
      <c r="C849" s="4"/>
      <c r="D849" s="4"/>
    </row>
    <row r="850" spans="1:4" x14ac:dyDescent="0.25">
      <c r="A850" s="5"/>
      <c r="C850" s="4"/>
      <c r="D850" s="4"/>
    </row>
    <row r="851" spans="1:4" x14ac:dyDescent="0.25">
      <c r="A851" s="5"/>
      <c r="C851" s="4"/>
      <c r="D851" s="4"/>
    </row>
    <row r="852" spans="1:4" x14ac:dyDescent="0.25">
      <c r="A852" s="5"/>
      <c r="C852" s="4"/>
      <c r="D852" s="4"/>
    </row>
    <row r="853" spans="1:4" x14ac:dyDescent="0.25">
      <c r="A853" s="5"/>
      <c r="C853" s="4"/>
      <c r="D853" s="4"/>
    </row>
    <row r="854" spans="1:4" x14ac:dyDescent="0.25">
      <c r="A854" s="5"/>
      <c r="C854" s="4"/>
      <c r="D854" s="4"/>
    </row>
    <row r="855" spans="1:4" x14ac:dyDescent="0.25">
      <c r="A855" s="5"/>
      <c r="C855" s="4"/>
      <c r="D855" s="4"/>
    </row>
    <row r="856" spans="1:4" x14ac:dyDescent="0.25">
      <c r="A856" s="5"/>
      <c r="C856" s="4"/>
      <c r="D856" s="4"/>
    </row>
    <row r="857" spans="1:4" x14ac:dyDescent="0.25">
      <c r="A857" s="5"/>
      <c r="C857" s="4"/>
      <c r="D857" s="4"/>
    </row>
    <row r="858" spans="1:4" x14ac:dyDescent="0.25">
      <c r="A858" s="5"/>
      <c r="C858" s="4"/>
      <c r="D858" s="4"/>
    </row>
    <row r="859" spans="1:4" x14ac:dyDescent="0.25">
      <c r="A859" s="5"/>
      <c r="C859" s="4"/>
      <c r="D859" s="4"/>
    </row>
    <row r="860" spans="1:4" x14ac:dyDescent="0.25">
      <c r="A860" s="5"/>
      <c r="C860" s="4"/>
      <c r="D860" s="4"/>
    </row>
    <row r="861" spans="1:4" x14ac:dyDescent="0.25">
      <c r="A861" s="5"/>
      <c r="C861" s="4"/>
      <c r="D861" s="4"/>
    </row>
    <row r="862" spans="1:4" x14ac:dyDescent="0.25">
      <c r="A862" s="5"/>
      <c r="C862" s="4"/>
      <c r="D862" s="4"/>
    </row>
    <row r="863" spans="1:4" x14ac:dyDescent="0.25">
      <c r="A863" s="5"/>
      <c r="C863" s="4"/>
      <c r="D863" s="4"/>
    </row>
    <row r="864" spans="1:4" x14ac:dyDescent="0.25">
      <c r="A864" s="5"/>
      <c r="C864" s="4"/>
      <c r="D864" s="4"/>
    </row>
    <row r="865" spans="1:4" x14ac:dyDescent="0.25">
      <c r="A865" s="5"/>
      <c r="C865" s="4"/>
      <c r="D865" s="4"/>
    </row>
    <row r="866" spans="1:4" x14ac:dyDescent="0.25">
      <c r="A866" s="5"/>
      <c r="C866" s="4"/>
      <c r="D866" s="4"/>
    </row>
    <row r="867" spans="1:4" x14ac:dyDescent="0.25">
      <c r="A867" s="5"/>
      <c r="C867" s="4"/>
      <c r="D867" s="4"/>
    </row>
    <row r="868" spans="1:4" x14ac:dyDescent="0.25">
      <c r="A868" s="5"/>
      <c r="C868" s="4"/>
      <c r="D868" s="4"/>
    </row>
    <row r="869" spans="1:4" x14ac:dyDescent="0.25">
      <c r="A869" s="5"/>
      <c r="C869" s="4"/>
      <c r="D869" s="4"/>
    </row>
    <row r="870" spans="1:4" x14ac:dyDescent="0.25">
      <c r="A870" s="5"/>
      <c r="C870" s="4"/>
      <c r="D870" s="4"/>
    </row>
    <row r="871" spans="1:4" x14ac:dyDescent="0.25">
      <c r="A871" s="5"/>
      <c r="C871" s="4"/>
      <c r="D871" s="4"/>
    </row>
    <row r="872" spans="1:4" x14ac:dyDescent="0.25">
      <c r="A872" s="5"/>
      <c r="C872" s="4"/>
      <c r="D872" s="4"/>
    </row>
    <row r="873" spans="1:4" x14ac:dyDescent="0.25">
      <c r="A873" s="5"/>
      <c r="C873" s="4"/>
      <c r="D873" s="4"/>
    </row>
    <row r="874" spans="1:4" x14ac:dyDescent="0.25">
      <c r="A874" s="5"/>
      <c r="C874" s="4"/>
      <c r="D874" s="4"/>
    </row>
    <row r="875" spans="1:4" x14ac:dyDescent="0.25">
      <c r="A875" s="5"/>
      <c r="C875" s="4"/>
      <c r="D875" s="4"/>
    </row>
    <row r="876" spans="1:4" x14ac:dyDescent="0.25">
      <c r="A876" s="5"/>
      <c r="C876" s="4"/>
      <c r="D876" s="4"/>
    </row>
    <row r="877" spans="1:4" x14ac:dyDescent="0.25">
      <c r="A877" s="5"/>
      <c r="C877" s="4"/>
      <c r="D877" s="4"/>
    </row>
    <row r="878" spans="1:4" x14ac:dyDescent="0.25">
      <c r="A878" s="5"/>
      <c r="C878" s="4"/>
      <c r="D878" s="4"/>
    </row>
    <row r="879" spans="1:4" x14ac:dyDescent="0.25">
      <c r="A879" s="5"/>
      <c r="C879" s="4"/>
      <c r="D879" s="4"/>
    </row>
    <row r="880" spans="1:4" x14ac:dyDescent="0.25">
      <c r="A880" s="5"/>
      <c r="C880" s="4"/>
      <c r="D880" s="4"/>
    </row>
    <row r="881" spans="1:4" x14ac:dyDescent="0.25">
      <c r="A881" s="5"/>
      <c r="C881" s="4"/>
      <c r="D881" s="4"/>
    </row>
    <row r="882" spans="1:4" x14ac:dyDescent="0.25">
      <c r="A882" s="5"/>
      <c r="C882" s="4"/>
      <c r="D882" s="4"/>
    </row>
    <row r="883" spans="1:4" x14ac:dyDescent="0.25">
      <c r="A883" s="5"/>
      <c r="C883" s="4"/>
      <c r="D883" s="4"/>
    </row>
    <row r="884" spans="1:4" x14ac:dyDescent="0.25">
      <c r="A884" s="5"/>
      <c r="C884" s="4"/>
      <c r="D884" s="4"/>
    </row>
    <row r="885" spans="1:4" x14ac:dyDescent="0.25">
      <c r="A885" s="5"/>
      <c r="C885" s="4"/>
      <c r="D885" s="4"/>
    </row>
    <row r="886" spans="1:4" x14ac:dyDescent="0.25">
      <c r="A886" s="5"/>
      <c r="C886" s="4"/>
      <c r="D886" s="4"/>
    </row>
    <row r="887" spans="1:4" x14ac:dyDescent="0.25">
      <c r="A887" s="5"/>
      <c r="C887" s="4"/>
      <c r="D887" s="4"/>
    </row>
    <row r="888" spans="1:4" x14ac:dyDescent="0.25">
      <c r="A888" s="5"/>
      <c r="C888" s="4"/>
      <c r="D888" s="4"/>
    </row>
    <row r="889" spans="1:4" x14ac:dyDescent="0.25">
      <c r="A889" s="5"/>
      <c r="C889" s="4"/>
      <c r="D889" s="4"/>
    </row>
    <row r="890" spans="1:4" x14ac:dyDescent="0.25">
      <c r="A890" s="5"/>
      <c r="C890" s="4"/>
      <c r="D890" s="4"/>
    </row>
    <row r="891" spans="1:4" x14ac:dyDescent="0.25">
      <c r="A891" s="5"/>
      <c r="C891" s="4"/>
      <c r="D891" s="4"/>
    </row>
    <row r="892" spans="1:4" x14ac:dyDescent="0.25">
      <c r="A892" s="5"/>
      <c r="C892" s="4"/>
      <c r="D892" s="4"/>
    </row>
    <row r="893" spans="1:4" x14ac:dyDescent="0.25">
      <c r="A893" s="5"/>
      <c r="C893" s="4"/>
      <c r="D893" s="4"/>
    </row>
    <row r="894" spans="1:4" x14ac:dyDescent="0.25">
      <c r="A894" s="5"/>
      <c r="C894" s="4"/>
      <c r="D894" s="4"/>
    </row>
    <row r="895" spans="1:4" x14ac:dyDescent="0.25">
      <c r="A895" s="5"/>
      <c r="C895" s="4"/>
      <c r="D895" s="4"/>
    </row>
    <row r="896" spans="1:4" x14ac:dyDescent="0.25">
      <c r="A896" s="5"/>
      <c r="C896" s="4"/>
      <c r="D896" s="4"/>
    </row>
    <row r="897" spans="1:4" x14ac:dyDescent="0.25">
      <c r="A897" s="5"/>
      <c r="C897" s="4"/>
      <c r="D897" s="4"/>
    </row>
    <row r="898" spans="1:4" x14ac:dyDescent="0.25">
      <c r="A898" s="5"/>
      <c r="C898" s="4"/>
      <c r="D898" s="4"/>
    </row>
    <row r="899" spans="1:4" x14ac:dyDescent="0.25">
      <c r="A899" s="5"/>
      <c r="C899" s="4"/>
      <c r="D899" s="4"/>
    </row>
    <row r="900" spans="1:4" x14ac:dyDescent="0.25">
      <c r="A900" s="5"/>
      <c r="C900" s="4"/>
      <c r="D900" s="4"/>
    </row>
    <row r="901" spans="1:4" x14ac:dyDescent="0.25">
      <c r="A901" s="5"/>
      <c r="C901" s="4"/>
      <c r="D901" s="4"/>
    </row>
    <row r="902" spans="1:4" x14ac:dyDescent="0.25">
      <c r="A902" s="5"/>
      <c r="C902" s="4"/>
      <c r="D902" s="4"/>
    </row>
    <row r="903" spans="1:4" x14ac:dyDescent="0.25">
      <c r="A903" s="5"/>
      <c r="C903" s="4"/>
      <c r="D903" s="4"/>
    </row>
    <row r="904" spans="1:4" x14ac:dyDescent="0.25">
      <c r="A904" s="5"/>
      <c r="C904" s="4"/>
      <c r="D904" s="4"/>
    </row>
    <row r="905" spans="1:4" x14ac:dyDescent="0.25">
      <c r="A905" s="5"/>
      <c r="C905" s="4"/>
      <c r="D905" s="4"/>
    </row>
    <row r="906" spans="1:4" x14ac:dyDescent="0.25">
      <c r="A906" s="5"/>
      <c r="C906" s="4"/>
      <c r="D906" s="4"/>
    </row>
    <row r="907" spans="1:4" x14ac:dyDescent="0.25">
      <c r="A907" s="5"/>
      <c r="C907" s="4"/>
      <c r="D907" s="4"/>
    </row>
    <row r="908" spans="1:4" x14ac:dyDescent="0.25">
      <c r="A908" s="5"/>
      <c r="C908" s="4"/>
      <c r="D908" s="4"/>
    </row>
    <row r="909" spans="1:4" x14ac:dyDescent="0.25">
      <c r="A909" s="5"/>
      <c r="C909" s="4"/>
      <c r="D909" s="4"/>
    </row>
    <row r="910" spans="1:4" x14ac:dyDescent="0.25">
      <c r="A910" s="5"/>
      <c r="C910" s="4"/>
      <c r="D910" s="4"/>
    </row>
    <row r="911" spans="1:4" x14ac:dyDescent="0.25">
      <c r="A911" s="5"/>
      <c r="C911" s="4"/>
      <c r="D911" s="4"/>
    </row>
    <row r="912" spans="1:4" x14ac:dyDescent="0.25">
      <c r="A912" s="5"/>
      <c r="C912" s="4"/>
      <c r="D912" s="4"/>
    </row>
    <row r="913" spans="1:4" x14ac:dyDescent="0.25">
      <c r="A913" s="5"/>
      <c r="C913" s="4"/>
      <c r="D913" s="4"/>
    </row>
    <row r="914" spans="1:4" x14ac:dyDescent="0.25">
      <c r="A914" s="5"/>
      <c r="C914" s="4"/>
      <c r="D914" s="4"/>
    </row>
    <row r="915" spans="1:4" x14ac:dyDescent="0.25">
      <c r="A915" s="5"/>
      <c r="C915" s="4"/>
      <c r="D915" s="4"/>
    </row>
    <row r="916" spans="1:4" x14ac:dyDescent="0.25">
      <c r="A916" s="5"/>
      <c r="C916" s="4"/>
      <c r="D916" s="4"/>
    </row>
    <row r="917" spans="1:4" x14ac:dyDescent="0.25">
      <c r="A917" s="5"/>
      <c r="C917" s="4"/>
      <c r="D917" s="4"/>
    </row>
    <row r="918" spans="1:4" x14ac:dyDescent="0.25">
      <c r="A918" s="5"/>
      <c r="C918" s="4"/>
      <c r="D918" s="4"/>
    </row>
    <row r="919" spans="1:4" x14ac:dyDescent="0.25">
      <c r="A919" s="5"/>
      <c r="C919" s="4"/>
      <c r="D919" s="4"/>
    </row>
    <row r="920" spans="1:4" x14ac:dyDescent="0.25">
      <c r="A920" s="5"/>
      <c r="C920" s="4"/>
      <c r="D920" s="4"/>
    </row>
    <row r="921" spans="1:4" x14ac:dyDescent="0.25">
      <c r="A921" s="5"/>
      <c r="C921" s="4"/>
      <c r="D921" s="4"/>
    </row>
    <row r="922" spans="1:4" x14ac:dyDescent="0.25">
      <c r="A922" s="5"/>
      <c r="C922" s="4"/>
      <c r="D922" s="4"/>
    </row>
    <row r="923" spans="1:4" x14ac:dyDescent="0.25">
      <c r="A923" s="5"/>
      <c r="C923" s="4"/>
      <c r="D923" s="4"/>
    </row>
    <row r="924" spans="1:4" x14ac:dyDescent="0.25">
      <c r="A924" s="5"/>
      <c r="C924" s="4"/>
      <c r="D924" s="4"/>
    </row>
    <row r="925" spans="1:4" x14ac:dyDescent="0.25">
      <c r="A925" s="5"/>
      <c r="C925" s="4"/>
      <c r="D925" s="4"/>
    </row>
    <row r="926" spans="1:4" x14ac:dyDescent="0.25">
      <c r="A926" s="5"/>
      <c r="C926" s="4"/>
      <c r="D926" s="4"/>
    </row>
    <row r="927" spans="1:4" x14ac:dyDescent="0.25">
      <c r="A927" s="5"/>
      <c r="C927" s="4"/>
      <c r="D927" s="4"/>
    </row>
    <row r="928" spans="1:4" x14ac:dyDescent="0.25">
      <c r="A928" s="5"/>
      <c r="C928" s="4"/>
      <c r="D928" s="4"/>
    </row>
    <row r="929" spans="1:4" x14ac:dyDescent="0.25">
      <c r="A929" s="5"/>
      <c r="C929" s="4"/>
      <c r="D929" s="4"/>
    </row>
    <row r="930" spans="1:4" x14ac:dyDescent="0.25">
      <c r="A930" s="5"/>
      <c r="C930" s="4"/>
      <c r="D930" s="4"/>
    </row>
    <row r="931" spans="1:4" x14ac:dyDescent="0.25">
      <c r="A931" s="5"/>
      <c r="C931" s="4"/>
      <c r="D931" s="4"/>
    </row>
    <row r="932" spans="1:4" x14ac:dyDescent="0.25">
      <c r="A932" s="5"/>
      <c r="C932" s="4"/>
      <c r="D932" s="4"/>
    </row>
    <row r="933" spans="1:4" x14ac:dyDescent="0.25">
      <c r="A933" s="5"/>
      <c r="C933" s="4"/>
      <c r="D933" s="4"/>
    </row>
    <row r="934" spans="1:4" x14ac:dyDescent="0.25">
      <c r="A934" s="5"/>
      <c r="C934" s="4"/>
      <c r="D934" s="4"/>
    </row>
    <row r="935" spans="1:4" x14ac:dyDescent="0.25">
      <c r="A935" s="5"/>
      <c r="C935" s="4"/>
      <c r="D935" s="4"/>
    </row>
    <row r="936" spans="1:4" x14ac:dyDescent="0.25">
      <c r="A936" s="5"/>
      <c r="C936" s="4"/>
      <c r="D936" s="4"/>
    </row>
    <row r="937" spans="1:4" x14ac:dyDescent="0.25">
      <c r="A937" s="5"/>
      <c r="C937" s="4"/>
      <c r="D937" s="4"/>
    </row>
    <row r="938" spans="1:4" x14ac:dyDescent="0.25">
      <c r="A938" s="5"/>
      <c r="C938" s="4"/>
      <c r="D938" s="4"/>
    </row>
    <row r="939" spans="1:4" x14ac:dyDescent="0.25">
      <c r="A939" s="5"/>
      <c r="C939" s="4"/>
      <c r="D939" s="4"/>
    </row>
    <row r="940" spans="1:4" x14ac:dyDescent="0.25">
      <c r="A940" s="5"/>
      <c r="C940" s="4"/>
      <c r="D940" s="4"/>
    </row>
    <row r="941" spans="1:4" x14ac:dyDescent="0.25">
      <c r="A941" s="5"/>
      <c r="C941" s="4"/>
      <c r="D941" s="4"/>
    </row>
    <row r="942" spans="1:4" x14ac:dyDescent="0.25">
      <c r="A942" s="5"/>
      <c r="C942" s="4"/>
      <c r="D942" s="4"/>
    </row>
    <row r="943" spans="1:4" x14ac:dyDescent="0.25">
      <c r="A943" s="5"/>
      <c r="C943" s="4"/>
      <c r="D943" s="4"/>
    </row>
    <row r="944" spans="1:4" x14ac:dyDescent="0.25">
      <c r="A944" s="5"/>
      <c r="C944" s="4"/>
      <c r="D944" s="4"/>
    </row>
    <row r="945" spans="1:4" x14ac:dyDescent="0.25">
      <c r="A945" s="5"/>
      <c r="C945" s="4"/>
      <c r="D945" s="4"/>
    </row>
    <row r="946" spans="1:4" x14ac:dyDescent="0.25">
      <c r="A946" s="5"/>
      <c r="C946" s="4"/>
      <c r="D946" s="4"/>
    </row>
    <row r="947" spans="1:4" x14ac:dyDescent="0.25">
      <c r="A947" s="5"/>
      <c r="C947" s="4"/>
      <c r="D947" s="4"/>
    </row>
    <row r="948" spans="1:4" x14ac:dyDescent="0.25">
      <c r="A948" s="5"/>
      <c r="C948" s="4"/>
      <c r="D948" s="4"/>
    </row>
    <row r="949" spans="1:4" x14ac:dyDescent="0.25">
      <c r="A949" s="5"/>
      <c r="C949" s="4"/>
      <c r="D949" s="4"/>
    </row>
    <row r="950" spans="1:4" x14ac:dyDescent="0.25">
      <c r="A950" s="5"/>
      <c r="C950" s="4"/>
      <c r="D950" s="4"/>
    </row>
    <row r="951" spans="1:4" x14ac:dyDescent="0.25">
      <c r="A951" s="5"/>
      <c r="C951" s="4"/>
      <c r="D951" s="4"/>
    </row>
    <row r="952" spans="1:4" x14ac:dyDescent="0.25">
      <c r="A952" s="5"/>
      <c r="C952" s="4"/>
      <c r="D952" s="4"/>
    </row>
    <row r="953" spans="1:4" x14ac:dyDescent="0.25">
      <c r="A953" s="5"/>
    </row>
    <row r="954" spans="1:4" x14ac:dyDescent="0.25">
      <c r="A954" s="5"/>
    </row>
    <row r="955" spans="1:4" x14ac:dyDescent="0.25">
      <c r="A955" s="5"/>
    </row>
    <row r="956" spans="1:4" x14ac:dyDescent="0.25">
      <c r="A956" s="5"/>
    </row>
    <row r="957" spans="1:4" x14ac:dyDescent="0.25">
      <c r="A957" s="5"/>
    </row>
    <row r="958" spans="1:4" x14ac:dyDescent="0.25">
      <c r="A958" s="5"/>
    </row>
    <row r="959" spans="1:4" x14ac:dyDescent="0.25">
      <c r="A959" s="5"/>
    </row>
    <row r="960" spans="1:4" x14ac:dyDescent="0.25">
      <c r="A960" s="5"/>
    </row>
    <row r="961" spans="1:4" x14ac:dyDescent="0.25">
      <c r="A961" s="5"/>
    </row>
    <row r="962" spans="1:4" x14ac:dyDescent="0.25">
      <c r="A962" s="5"/>
    </row>
    <row r="963" spans="1:4" x14ac:dyDescent="0.25">
      <c r="A963" s="5"/>
    </row>
    <row r="964" spans="1:4" x14ac:dyDescent="0.25">
      <c r="A964" s="5"/>
    </row>
    <row r="965" spans="1:4" x14ac:dyDescent="0.25">
      <c r="A965" s="5"/>
      <c r="C965"/>
      <c r="D965"/>
    </row>
    <row r="966" spans="1:4" x14ac:dyDescent="0.25">
      <c r="A966" s="5"/>
      <c r="C966"/>
      <c r="D966"/>
    </row>
    <row r="967" spans="1:4" x14ac:dyDescent="0.25">
      <c r="A967" s="5"/>
      <c r="C967"/>
      <c r="D967"/>
    </row>
    <row r="968" spans="1:4" x14ac:dyDescent="0.25">
      <c r="A968" s="5"/>
      <c r="C968"/>
      <c r="D968"/>
    </row>
    <row r="969" spans="1:4" x14ac:dyDescent="0.25">
      <c r="A969" s="5"/>
      <c r="C969"/>
      <c r="D969"/>
    </row>
    <row r="970" spans="1:4" x14ac:dyDescent="0.25">
      <c r="A970" s="5"/>
      <c r="C970"/>
      <c r="D970"/>
    </row>
    <row r="971" spans="1:4" x14ac:dyDescent="0.25">
      <c r="A971" s="5"/>
      <c r="C971"/>
      <c r="D971"/>
    </row>
    <row r="972" spans="1:4" x14ac:dyDescent="0.25">
      <c r="A972" s="5"/>
      <c r="C972"/>
      <c r="D972"/>
    </row>
    <row r="973" spans="1:4" x14ac:dyDescent="0.25">
      <c r="A973" s="5"/>
      <c r="C973"/>
      <c r="D973"/>
    </row>
    <row r="974" spans="1:4" x14ac:dyDescent="0.25">
      <c r="A974" s="5"/>
      <c r="C974"/>
      <c r="D974"/>
    </row>
    <row r="975" spans="1:4" x14ac:dyDescent="0.25">
      <c r="A975" s="5"/>
      <c r="C975"/>
      <c r="D975"/>
    </row>
    <row r="976" spans="1:4" x14ac:dyDescent="0.25">
      <c r="A976" s="5"/>
      <c r="C976"/>
      <c r="D976"/>
    </row>
    <row r="977" spans="1:4" x14ac:dyDescent="0.25">
      <c r="A977" s="5"/>
      <c r="C977"/>
      <c r="D977"/>
    </row>
    <row r="978" spans="1:4" x14ac:dyDescent="0.25">
      <c r="A978" s="5"/>
      <c r="C978"/>
      <c r="D978"/>
    </row>
    <row r="979" spans="1:4" x14ac:dyDescent="0.25">
      <c r="A979" s="5"/>
      <c r="C979"/>
      <c r="D979"/>
    </row>
    <row r="980" spans="1:4" x14ac:dyDescent="0.25">
      <c r="A980" s="5"/>
      <c r="C980"/>
      <c r="D980"/>
    </row>
    <row r="981" spans="1:4" x14ac:dyDescent="0.25">
      <c r="A981" s="5"/>
      <c r="C981"/>
      <c r="D981"/>
    </row>
    <row r="982" spans="1:4" x14ac:dyDescent="0.25">
      <c r="A982" s="5"/>
      <c r="C982"/>
      <c r="D982"/>
    </row>
    <row r="983" spans="1:4" x14ac:dyDescent="0.25">
      <c r="A983" s="5"/>
      <c r="C983"/>
      <c r="D983"/>
    </row>
    <row r="984" spans="1:4" x14ac:dyDescent="0.25">
      <c r="A984" s="5"/>
      <c r="C984"/>
      <c r="D984"/>
    </row>
    <row r="985" spans="1:4" x14ac:dyDescent="0.25">
      <c r="A985" s="5"/>
      <c r="C985"/>
      <c r="D985"/>
    </row>
    <row r="986" spans="1:4" x14ac:dyDescent="0.25">
      <c r="A986" s="5"/>
      <c r="C986"/>
      <c r="D986"/>
    </row>
    <row r="987" spans="1:4" x14ac:dyDescent="0.25">
      <c r="A987" s="5"/>
      <c r="C987"/>
      <c r="D987"/>
    </row>
    <row r="988" spans="1:4" x14ac:dyDescent="0.25">
      <c r="A988" s="5"/>
      <c r="C988"/>
      <c r="D988"/>
    </row>
    <row r="989" spans="1:4" x14ac:dyDescent="0.25">
      <c r="A989" s="5"/>
      <c r="C989"/>
      <c r="D989"/>
    </row>
    <row r="990" spans="1:4" x14ac:dyDescent="0.25">
      <c r="A990" s="5"/>
      <c r="C990"/>
      <c r="D990"/>
    </row>
    <row r="991" spans="1:4" x14ac:dyDescent="0.25">
      <c r="A991" s="5"/>
      <c r="C991"/>
      <c r="D991"/>
    </row>
    <row r="992" spans="1:4" x14ac:dyDescent="0.25">
      <c r="A992" s="5"/>
      <c r="C992"/>
      <c r="D992"/>
    </row>
    <row r="993" spans="1:4" x14ac:dyDescent="0.25">
      <c r="A993" s="5"/>
      <c r="C993"/>
      <c r="D993"/>
    </row>
    <row r="994" spans="1:4" x14ac:dyDescent="0.25">
      <c r="A994" s="5"/>
      <c r="C994"/>
      <c r="D994"/>
    </row>
    <row r="995" spans="1:4" x14ac:dyDescent="0.25">
      <c r="A995" s="5"/>
      <c r="C995"/>
      <c r="D995"/>
    </row>
    <row r="996" spans="1:4" x14ac:dyDescent="0.25">
      <c r="A996" s="5"/>
      <c r="C996"/>
      <c r="D996"/>
    </row>
    <row r="997" spans="1:4" x14ac:dyDescent="0.25">
      <c r="A997" s="5"/>
      <c r="C997"/>
      <c r="D997"/>
    </row>
    <row r="998" spans="1:4" x14ac:dyDescent="0.25">
      <c r="A998" s="5"/>
      <c r="C998"/>
      <c r="D998"/>
    </row>
    <row r="999" spans="1:4" x14ac:dyDescent="0.25">
      <c r="A999" s="5"/>
      <c r="C999"/>
      <c r="D999"/>
    </row>
    <row r="1000" spans="1:4" x14ac:dyDescent="0.25">
      <c r="A1000" s="5"/>
      <c r="C1000"/>
      <c r="D1000"/>
    </row>
    <row r="1001" spans="1:4" x14ac:dyDescent="0.25">
      <c r="A1001" s="5"/>
      <c r="C1001"/>
      <c r="D1001"/>
    </row>
    <row r="1002" spans="1:4" x14ac:dyDescent="0.25">
      <c r="A1002" s="5"/>
      <c r="C1002"/>
      <c r="D1002"/>
    </row>
    <row r="1003" spans="1:4" x14ac:dyDescent="0.25">
      <c r="A1003" s="5"/>
      <c r="C1003"/>
      <c r="D1003"/>
    </row>
    <row r="1004" spans="1:4" x14ac:dyDescent="0.25">
      <c r="A1004" s="5"/>
      <c r="C1004"/>
      <c r="D1004"/>
    </row>
    <row r="1005" spans="1:4" x14ac:dyDescent="0.25">
      <c r="A1005" s="5"/>
      <c r="C1005"/>
      <c r="D1005"/>
    </row>
    <row r="1006" spans="1:4" x14ac:dyDescent="0.25">
      <c r="A1006" s="5"/>
      <c r="C1006"/>
      <c r="D1006"/>
    </row>
    <row r="1007" spans="1:4" x14ac:dyDescent="0.25">
      <c r="A1007" s="5"/>
      <c r="C1007"/>
      <c r="D1007"/>
    </row>
    <row r="1008" spans="1:4" x14ac:dyDescent="0.25">
      <c r="A1008" s="5"/>
      <c r="C1008"/>
      <c r="D1008"/>
    </row>
    <row r="1009" spans="1:4" x14ac:dyDescent="0.25">
      <c r="A1009" s="5"/>
      <c r="C1009"/>
      <c r="D1009"/>
    </row>
    <row r="1010" spans="1:4" x14ac:dyDescent="0.25">
      <c r="A1010" s="5"/>
      <c r="C1010"/>
      <c r="D1010"/>
    </row>
    <row r="1011" spans="1:4" x14ac:dyDescent="0.25">
      <c r="A1011" s="5"/>
      <c r="C1011"/>
      <c r="D1011"/>
    </row>
    <row r="1012" spans="1:4" x14ac:dyDescent="0.25">
      <c r="A1012" s="5"/>
      <c r="C1012"/>
      <c r="D1012"/>
    </row>
    <row r="1013" spans="1:4" x14ac:dyDescent="0.25">
      <c r="A1013" s="5"/>
      <c r="C1013"/>
      <c r="D1013"/>
    </row>
    <row r="1014" spans="1:4" x14ac:dyDescent="0.25">
      <c r="A1014" s="5"/>
      <c r="C1014"/>
      <c r="D1014"/>
    </row>
    <row r="1015" spans="1:4" x14ac:dyDescent="0.25">
      <c r="A1015" s="5"/>
      <c r="C1015"/>
      <c r="D1015"/>
    </row>
    <row r="1016" spans="1:4" x14ac:dyDescent="0.25">
      <c r="A1016" s="5"/>
      <c r="C1016"/>
      <c r="D1016"/>
    </row>
    <row r="1017" spans="1:4" x14ac:dyDescent="0.25">
      <c r="A1017" s="5"/>
      <c r="C1017"/>
      <c r="D1017"/>
    </row>
    <row r="1018" spans="1:4" x14ac:dyDescent="0.25">
      <c r="A1018" s="5"/>
      <c r="C1018"/>
      <c r="D1018"/>
    </row>
    <row r="1019" spans="1:4" x14ac:dyDescent="0.25">
      <c r="A1019" s="5"/>
      <c r="C1019"/>
      <c r="D1019"/>
    </row>
    <row r="1020" spans="1:4" x14ac:dyDescent="0.25">
      <c r="A1020" s="5"/>
      <c r="C1020"/>
      <c r="D1020"/>
    </row>
    <row r="1021" spans="1:4" x14ac:dyDescent="0.25">
      <c r="A1021" s="5"/>
      <c r="C1021"/>
      <c r="D1021"/>
    </row>
    <row r="1022" spans="1:4" x14ac:dyDescent="0.25">
      <c r="A1022" s="5"/>
      <c r="C1022"/>
      <c r="D1022"/>
    </row>
    <row r="1023" spans="1:4" x14ac:dyDescent="0.25">
      <c r="A1023" s="5"/>
      <c r="C1023"/>
      <c r="D1023"/>
    </row>
    <row r="1024" spans="1:4" x14ac:dyDescent="0.25">
      <c r="A1024" s="5"/>
      <c r="C1024"/>
      <c r="D1024"/>
    </row>
    <row r="1025" spans="1:4" x14ac:dyDescent="0.25">
      <c r="A1025" s="5"/>
      <c r="C1025"/>
      <c r="D1025"/>
    </row>
    <row r="1026" spans="1:4" x14ac:dyDescent="0.25">
      <c r="A1026" s="5"/>
      <c r="C1026"/>
      <c r="D1026"/>
    </row>
    <row r="1027" spans="1:4" x14ac:dyDescent="0.25">
      <c r="A1027" s="5"/>
      <c r="C1027"/>
      <c r="D1027"/>
    </row>
    <row r="1028" spans="1:4" x14ac:dyDescent="0.25">
      <c r="A1028" s="5"/>
      <c r="C1028"/>
      <c r="D1028"/>
    </row>
    <row r="1029" spans="1:4" x14ac:dyDescent="0.25">
      <c r="A1029" s="5"/>
      <c r="C1029"/>
      <c r="D1029"/>
    </row>
    <row r="1030" spans="1:4" x14ac:dyDescent="0.25">
      <c r="A1030" s="5"/>
      <c r="C1030"/>
      <c r="D1030"/>
    </row>
    <row r="1031" spans="1:4" x14ac:dyDescent="0.25">
      <c r="A1031" s="5"/>
      <c r="C1031"/>
      <c r="D1031"/>
    </row>
    <row r="1032" spans="1:4" x14ac:dyDescent="0.25">
      <c r="A1032" s="5"/>
      <c r="C1032"/>
      <c r="D1032"/>
    </row>
    <row r="1033" spans="1:4" x14ac:dyDescent="0.25">
      <c r="A1033" s="5"/>
      <c r="C1033"/>
      <c r="D1033"/>
    </row>
    <row r="1034" spans="1:4" x14ac:dyDescent="0.25">
      <c r="A1034" s="5"/>
      <c r="C1034"/>
      <c r="D1034"/>
    </row>
    <row r="1035" spans="1:4" x14ac:dyDescent="0.25">
      <c r="A1035" s="5"/>
      <c r="C1035"/>
      <c r="D1035"/>
    </row>
    <row r="1036" spans="1:4" x14ac:dyDescent="0.25">
      <c r="A1036" s="5"/>
      <c r="C1036"/>
      <c r="D1036"/>
    </row>
    <row r="1037" spans="1:4" x14ac:dyDescent="0.25">
      <c r="A1037" s="5"/>
      <c r="C1037"/>
      <c r="D1037"/>
    </row>
    <row r="1038" spans="1:4" x14ac:dyDescent="0.25">
      <c r="A1038" s="5"/>
      <c r="C1038"/>
      <c r="D1038"/>
    </row>
    <row r="1039" spans="1:4" x14ac:dyDescent="0.25">
      <c r="A1039" s="5"/>
      <c r="C1039"/>
      <c r="D1039"/>
    </row>
    <row r="1040" spans="1:4" x14ac:dyDescent="0.25">
      <c r="A1040" s="5"/>
      <c r="C1040"/>
      <c r="D1040"/>
    </row>
    <row r="1041" spans="1:4" x14ac:dyDescent="0.25">
      <c r="A1041" s="5"/>
      <c r="C1041"/>
      <c r="D1041"/>
    </row>
    <row r="1042" spans="1:4" x14ac:dyDescent="0.25">
      <c r="A1042" s="5"/>
      <c r="C1042"/>
      <c r="D1042"/>
    </row>
    <row r="1043" spans="1:4" x14ac:dyDescent="0.25">
      <c r="A1043" s="5"/>
      <c r="C1043"/>
      <c r="D1043"/>
    </row>
    <row r="1044" spans="1:4" x14ac:dyDescent="0.25">
      <c r="A1044" s="5"/>
      <c r="C1044"/>
      <c r="D1044"/>
    </row>
    <row r="1045" spans="1:4" x14ac:dyDescent="0.25">
      <c r="A1045" s="5"/>
      <c r="C1045"/>
      <c r="D1045"/>
    </row>
    <row r="1046" spans="1:4" x14ac:dyDescent="0.25">
      <c r="A1046" s="5"/>
      <c r="C1046"/>
      <c r="D1046"/>
    </row>
    <row r="1047" spans="1:4" x14ac:dyDescent="0.25">
      <c r="A1047" s="5"/>
      <c r="C1047"/>
      <c r="D1047"/>
    </row>
    <row r="1048" spans="1:4" x14ac:dyDescent="0.25">
      <c r="A1048" s="5"/>
      <c r="C1048"/>
      <c r="D1048"/>
    </row>
    <row r="1049" spans="1:4" x14ac:dyDescent="0.25">
      <c r="A1049" s="5"/>
      <c r="C1049"/>
      <c r="D1049"/>
    </row>
    <row r="1050" spans="1:4" x14ac:dyDescent="0.25">
      <c r="A1050" s="5"/>
      <c r="C1050"/>
      <c r="D1050"/>
    </row>
    <row r="1051" spans="1:4" x14ac:dyDescent="0.25">
      <c r="A1051" s="5"/>
      <c r="C1051"/>
      <c r="D1051"/>
    </row>
    <row r="1052" spans="1:4" x14ac:dyDescent="0.25">
      <c r="A1052" s="5"/>
      <c r="C1052"/>
      <c r="D1052"/>
    </row>
    <row r="1053" spans="1:4" x14ac:dyDescent="0.25">
      <c r="A1053" s="5"/>
      <c r="C1053"/>
      <c r="D1053"/>
    </row>
    <row r="1054" spans="1:4" x14ac:dyDescent="0.25">
      <c r="A1054" s="5"/>
      <c r="C1054"/>
      <c r="D1054"/>
    </row>
    <row r="1055" spans="1:4" x14ac:dyDescent="0.25">
      <c r="A1055" s="5"/>
      <c r="C1055"/>
      <c r="D1055"/>
    </row>
    <row r="1056" spans="1:4" x14ac:dyDescent="0.25">
      <c r="A1056" s="5"/>
      <c r="C1056"/>
      <c r="D1056"/>
    </row>
    <row r="1057" spans="1:4" x14ac:dyDescent="0.25">
      <c r="A1057" s="5"/>
      <c r="C1057"/>
      <c r="D1057"/>
    </row>
    <row r="1058" spans="1:4" x14ac:dyDescent="0.25">
      <c r="A1058" s="5"/>
      <c r="C1058"/>
      <c r="D1058"/>
    </row>
    <row r="1059" spans="1:4" x14ac:dyDescent="0.25">
      <c r="A1059" s="5"/>
      <c r="C1059"/>
      <c r="D1059"/>
    </row>
    <row r="1060" spans="1:4" x14ac:dyDescent="0.25">
      <c r="A1060" s="5"/>
      <c r="C1060"/>
      <c r="D1060"/>
    </row>
    <row r="1061" spans="1:4" x14ac:dyDescent="0.25">
      <c r="A1061" s="5"/>
      <c r="C1061"/>
      <c r="D1061"/>
    </row>
    <row r="1062" spans="1:4" x14ac:dyDescent="0.25">
      <c r="A1062" s="5"/>
      <c r="C1062"/>
      <c r="D1062"/>
    </row>
    <row r="1063" spans="1:4" x14ac:dyDescent="0.25">
      <c r="A1063" s="5"/>
      <c r="C1063"/>
      <c r="D1063"/>
    </row>
    <row r="1064" spans="1:4" x14ac:dyDescent="0.25">
      <c r="A1064" s="5"/>
      <c r="C1064"/>
      <c r="D1064"/>
    </row>
    <row r="1065" spans="1:4" x14ac:dyDescent="0.25">
      <c r="A1065" s="5"/>
      <c r="C1065"/>
      <c r="D1065"/>
    </row>
    <row r="1066" spans="1:4" x14ac:dyDescent="0.25">
      <c r="A1066" s="5"/>
      <c r="C1066"/>
      <c r="D1066"/>
    </row>
    <row r="1067" spans="1:4" x14ac:dyDescent="0.25">
      <c r="A1067" s="5"/>
      <c r="C1067"/>
      <c r="D1067"/>
    </row>
    <row r="1068" spans="1:4" x14ac:dyDescent="0.25">
      <c r="A1068" s="5"/>
      <c r="C1068"/>
      <c r="D1068"/>
    </row>
    <row r="1069" spans="1:4" x14ac:dyDescent="0.25">
      <c r="A1069" s="5"/>
      <c r="C1069"/>
      <c r="D1069"/>
    </row>
    <row r="1070" spans="1:4" x14ac:dyDescent="0.25">
      <c r="A1070" s="5"/>
      <c r="C1070"/>
      <c r="D1070"/>
    </row>
    <row r="1071" spans="1:4" x14ac:dyDescent="0.25">
      <c r="A1071" s="5"/>
      <c r="C1071"/>
      <c r="D1071"/>
    </row>
    <row r="1072" spans="1:4" x14ac:dyDescent="0.25">
      <c r="A1072" s="5"/>
      <c r="C1072"/>
      <c r="D1072"/>
    </row>
    <row r="1073" spans="1:4" x14ac:dyDescent="0.25">
      <c r="A1073" s="5"/>
      <c r="C1073"/>
      <c r="D1073"/>
    </row>
    <row r="1074" spans="1:4" x14ac:dyDescent="0.25">
      <c r="A1074" s="5"/>
      <c r="C1074"/>
      <c r="D1074"/>
    </row>
    <row r="1075" spans="1:4" x14ac:dyDescent="0.25">
      <c r="A1075" s="5"/>
      <c r="C1075"/>
      <c r="D1075"/>
    </row>
    <row r="1076" spans="1:4" x14ac:dyDescent="0.25">
      <c r="A1076" s="5"/>
      <c r="C1076"/>
      <c r="D1076"/>
    </row>
    <row r="1077" spans="1:4" x14ac:dyDescent="0.25">
      <c r="A1077" s="5"/>
      <c r="C1077"/>
      <c r="D1077"/>
    </row>
    <row r="1078" spans="1:4" x14ac:dyDescent="0.25">
      <c r="A1078" s="5"/>
      <c r="C1078"/>
      <c r="D1078"/>
    </row>
    <row r="1079" spans="1:4" x14ac:dyDescent="0.25">
      <c r="A1079" s="5"/>
      <c r="C1079"/>
      <c r="D1079"/>
    </row>
    <row r="1080" spans="1:4" x14ac:dyDescent="0.25">
      <c r="A1080" s="5"/>
      <c r="C1080"/>
      <c r="D1080"/>
    </row>
    <row r="1081" spans="1:4" x14ac:dyDescent="0.25">
      <c r="A1081" s="5"/>
      <c r="C1081"/>
      <c r="D1081"/>
    </row>
    <row r="1082" spans="1:4" x14ac:dyDescent="0.25">
      <c r="A1082" s="5"/>
      <c r="C1082"/>
      <c r="D1082"/>
    </row>
    <row r="1083" spans="1:4" x14ac:dyDescent="0.25">
      <c r="A1083" s="5"/>
      <c r="C1083"/>
      <c r="D1083"/>
    </row>
    <row r="1084" spans="1:4" x14ac:dyDescent="0.25">
      <c r="A1084" s="5"/>
      <c r="C1084"/>
      <c r="D1084"/>
    </row>
    <row r="1085" spans="1:4" x14ac:dyDescent="0.25">
      <c r="A1085" s="5"/>
      <c r="C1085"/>
      <c r="D1085"/>
    </row>
    <row r="1086" spans="1:4" x14ac:dyDescent="0.25">
      <c r="A1086" s="5"/>
      <c r="C1086"/>
      <c r="D1086"/>
    </row>
    <row r="1087" spans="1:4" x14ac:dyDescent="0.25">
      <c r="A1087" s="5"/>
      <c r="C1087"/>
      <c r="D1087"/>
    </row>
    <row r="1088" spans="1:4" x14ac:dyDescent="0.25">
      <c r="A1088" s="5"/>
      <c r="C1088"/>
      <c r="D1088"/>
    </row>
    <row r="1089" spans="1:4" x14ac:dyDescent="0.25">
      <c r="A1089" s="5"/>
      <c r="C1089"/>
      <c r="D1089"/>
    </row>
    <row r="1090" spans="1:4" x14ac:dyDescent="0.25">
      <c r="A1090" s="5"/>
      <c r="C1090"/>
      <c r="D1090"/>
    </row>
    <row r="1091" spans="1:4" x14ac:dyDescent="0.25">
      <c r="A1091" s="5"/>
      <c r="C1091"/>
      <c r="D1091"/>
    </row>
    <row r="1092" spans="1:4" x14ac:dyDescent="0.25">
      <c r="A1092" s="5"/>
      <c r="C1092"/>
      <c r="D1092"/>
    </row>
    <row r="1093" spans="1:4" x14ac:dyDescent="0.25">
      <c r="A1093" s="5"/>
      <c r="C1093"/>
      <c r="D1093"/>
    </row>
    <row r="1094" spans="1:4" x14ac:dyDescent="0.25">
      <c r="A1094" s="5"/>
      <c r="C1094"/>
      <c r="D1094"/>
    </row>
    <row r="1095" spans="1:4" x14ac:dyDescent="0.25">
      <c r="A1095" s="5"/>
      <c r="C1095"/>
      <c r="D1095"/>
    </row>
    <row r="1096" spans="1:4" x14ac:dyDescent="0.25">
      <c r="A1096" s="5"/>
      <c r="C1096"/>
      <c r="D1096"/>
    </row>
    <row r="1097" spans="1:4" x14ac:dyDescent="0.25">
      <c r="A1097" s="5"/>
      <c r="C1097"/>
      <c r="D1097"/>
    </row>
    <row r="1098" spans="1:4" x14ac:dyDescent="0.25">
      <c r="A1098" s="5"/>
      <c r="C1098"/>
      <c r="D1098"/>
    </row>
    <row r="1099" spans="1:4" x14ac:dyDescent="0.25">
      <c r="A1099" s="5"/>
      <c r="C1099"/>
      <c r="D1099"/>
    </row>
    <row r="1100" spans="1:4" x14ac:dyDescent="0.25">
      <c r="A1100" s="5"/>
      <c r="C1100"/>
      <c r="D1100"/>
    </row>
    <row r="1101" spans="1:4" x14ac:dyDescent="0.25">
      <c r="A1101" s="5"/>
      <c r="C1101"/>
      <c r="D1101"/>
    </row>
    <row r="1102" spans="1:4" x14ac:dyDescent="0.25">
      <c r="A1102" s="5"/>
      <c r="C1102"/>
      <c r="D1102"/>
    </row>
    <row r="1103" spans="1:4" x14ac:dyDescent="0.25">
      <c r="A1103" s="5"/>
      <c r="C1103"/>
      <c r="D1103"/>
    </row>
    <row r="1104" spans="1:4" x14ac:dyDescent="0.25">
      <c r="A1104" s="5"/>
      <c r="C1104"/>
      <c r="D1104"/>
    </row>
    <row r="1105" spans="1:4" x14ac:dyDescent="0.25">
      <c r="A1105" s="5"/>
      <c r="C1105"/>
      <c r="D1105"/>
    </row>
    <row r="1106" spans="1:4" x14ac:dyDescent="0.25">
      <c r="A1106" s="5"/>
      <c r="C1106"/>
      <c r="D1106"/>
    </row>
    <row r="1107" spans="1:4" x14ac:dyDescent="0.25">
      <c r="A1107" s="5"/>
      <c r="C1107"/>
      <c r="D1107"/>
    </row>
    <row r="1108" spans="1:4" x14ac:dyDescent="0.25">
      <c r="A1108" s="5"/>
      <c r="C1108"/>
      <c r="D1108"/>
    </row>
    <row r="1109" spans="1:4" x14ac:dyDescent="0.25">
      <c r="A1109" s="5"/>
      <c r="C1109"/>
      <c r="D1109"/>
    </row>
    <row r="1110" spans="1:4" x14ac:dyDescent="0.25">
      <c r="A1110" s="5"/>
      <c r="C1110"/>
      <c r="D1110"/>
    </row>
    <row r="1111" spans="1:4" x14ac:dyDescent="0.25">
      <c r="A1111" s="5"/>
      <c r="C1111"/>
      <c r="D1111"/>
    </row>
    <row r="1112" spans="1:4" x14ac:dyDescent="0.25">
      <c r="A1112" s="5"/>
      <c r="C1112"/>
      <c r="D1112"/>
    </row>
    <row r="1113" spans="1:4" x14ac:dyDescent="0.25">
      <c r="A1113" s="5"/>
      <c r="C1113"/>
      <c r="D1113"/>
    </row>
    <row r="1114" spans="1:4" x14ac:dyDescent="0.25">
      <c r="A1114" s="5"/>
      <c r="C1114"/>
      <c r="D1114"/>
    </row>
    <row r="1115" spans="1:4" x14ac:dyDescent="0.25">
      <c r="A1115" s="5"/>
      <c r="C1115"/>
      <c r="D1115"/>
    </row>
    <row r="1116" spans="1:4" x14ac:dyDescent="0.25">
      <c r="A1116" s="5"/>
      <c r="C1116"/>
      <c r="D1116"/>
    </row>
    <row r="1117" spans="1:4" x14ac:dyDescent="0.25">
      <c r="A1117" s="5"/>
      <c r="C1117"/>
      <c r="D1117"/>
    </row>
    <row r="1118" spans="1:4" x14ac:dyDescent="0.25">
      <c r="A1118" s="5"/>
      <c r="C1118"/>
      <c r="D1118"/>
    </row>
    <row r="1119" spans="1:4" x14ac:dyDescent="0.25">
      <c r="A1119" s="5"/>
      <c r="C1119"/>
      <c r="D1119"/>
    </row>
    <row r="1120" spans="1:4" x14ac:dyDescent="0.25">
      <c r="A1120" s="5"/>
      <c r="C1120"/>
      <c r="D1120"/>
    </row>
    <row r="1121" spans="1:4" x14ac:dyDescent="0.25">
      <c r="A1121" s="5"/>
      <c r="C1121"/>
      <c r="D1121"/>
    </row>
    <row r="1122" spans="1:4" x14ac:dyDescent="0.25">
      <c r="A1122" s="5"/>
      <c r="C1122"/>
      <c r="D1122"/>
    </row>
    <row r="1123" spans="1:4" x14ac:dyDescent="0.25">
      <c r="A1123" s="5"/>
      <c r="C1123"/>
      <c r="D1123"/>
    </row>
    <row r="1124" spans="1:4" x14ac:dyDescent="0.25">
      <c r="A1124" s="5"/>
      <c r="C1124"/>
      <c r="D1124"/>
    </row>
    <row r="1125" spans="1:4" x14ac:dyDescent="0.25">
      <c r="A1125" s="5"/>
      <c r="C1125"/>
      <c r="D1125"/>
    </row>
    <row r="1126" spans="1:4" x14ac:dyDescent="0.25">
      <c r="A1126" s="5"/>
      <c r="C1126"/>
      <c r="D1126"/>
    </row>
    <row r="1127" spans="1:4" x14ac:dyDescent="0.25">
      <c r="A1127" s="5"/>
      <c r="C1127"/>
      <c r="D1127"/>
    </row>
    <row r="1128" spans="1:4" x14ac:dyDescent="0.25">
      <c r="A1128" s="5"/>
      <c r="C1128"/>
      <c r="D1128"/>
    </row>
    <row r="1129" spans="1:4" x14ac:dyDescent="0.25">
      <c r="A1129" s="5"/>
      <c r="C1129"/>
      <c r="D1129"/>
    </row>
    <row r="1130" spans="1:4" x14ac:dyDescent="0.25">
      <c r="A1130" s="5"/>
      <c r="C1130"/>
      <c r="D1130"/>
    </row>
    <row r="1131" spans="1:4" x14ac:dyDescent="0.25">
      <c r="A1131" s="5"/>
      <c r="C1131"/>
      <c r="D1131"/>
    </row>
    <row r="1132" spans="1:4" x14ac:dyDescent="0.25">
      <c r="A1132" s="5"/>
      <c r="C1132"/>
      <c r="D1132"/>
    </row>
    <row r="1133" spans="1:4" x14ac:dyDescent="0.25">
      <c r="A1133" s="5"/>
      <c r="C1133"/>
      <c r="D1133"/>
    </row>
    <row r="1134" spans="1:4" x14ac:dyDescent="0.25">
      <c r="A1134" s="5"/>
      <c r="C1134"/>
      <c r="D1134"/>
    </row>
    <row r="1135" spans="1:4" x14ac:dyDescent="0.25">
      <c r="A1135" s="5"/>
      <c r="C1135"/>
      <c r="D1135"/>
    </row>
    <row r="1136" spans="1:4" x14ac:dyDescent="0.25">
      <c r="A1136" s="5"/>
      <c r="C1136"/>
      <c r="D1136"/>
    </row>
    <row r="1137" spans="1:4" x14ac:dyDescent="0.25">
      <c r="A1137" s="5"/>
      <c r="C1137"/>
      <c r="D1137"/>
    </row>
    <row r="1138" spans="1:4" x14ac:dyDescent="0.25">
      <c r="A1138" s="5"/>
      <c r="C1138"/>
      <c r="D1138"/>
    </row>
    <row r="1139" spans="1:4" x14ac:dyDescent="0.25">
      <c r="A1139" s="5"/>
      <c r="C1139"/>
      <c r="D1139"/>
    </row>
    <row r="1140" spans="1:4" x14ac:dyDescent="0.25">
      <c r="A1140" s="5"/>
      <c r="C1140"/>
      <c r="D1140"/>
    </row>
    <row r="1141" spans="1:4" x14ac:dyDescent="0.25">
      <c r="A1141" s="5"/>
      <c r="C1141"/>
      <c r="D1141"/>
    </row>
    <row r="1142" spans="1:4" x14ac:dyDescent="0.25">
      <c r="A1142" s="5"/>
      <c r="C1142"/>
      <c r="D1142"/>
    </row>
    <row r="1143" spans="1:4" x14ac:dyDescent="0.25">
      <c r="A1143" s="5"/>
      <c r="C1143"/>
      <c r="D1143"/>
    </row>
    <row r="1144" spans="1:4" x14ac:dyDescent="0.25">
      <c r="A1144" s="5"/>
      <c r="C1144"/>
      <c r="D1144"/>
    </row>
    <row r="1145" spans="1:4" x14ac:dyDescent="0.25">
      <c r="A1145" s="5"/>
      <c r="C1145"/>
      <c r="D1145"/>
    </row>
    <row r="1146" spans="1:4" x14ac:dyDescent="0.25">
      <c r="A1146" s="5"/>
      <c r="C1146"/>
      <c r="D1146"/>
    </row>
    <row r="1147" spans="1:4" x14ac:dyDescent="0.25">
      <c r="A1147" s="5"/>
      <c r="C1147"/>
      <c r="D1147"/>
    </row>
    <row r="1148" spans="1:4" x14ac:dyDescent="0.25">
      <c r="A1148" s="5"/>
      <c r="C1148"/>
      <c r="D1148"/>
    </row>
    <row r="1149" spans="1:4" x14ac:dyDescent="0.25">
      <c r="A1149" s="5"/>
      <c r="C1149"/>
      <c r="D1149"/>
    </row>
    <row r="1150" spans="1:4" x14ac:dyDescent="0.25">
      <c r="A1150" s="5"/>
      <c r="C1150"/>
      <c r="D1150"/>
    </row>
    <row r="1151" spans="1:4" x14ac:dyDescent="0.25">
      <c r="A1151" s="5"/>
      <c r="C1151"/>
      <c r="D1151"/>
    </row>
    <row r="1152" spans="1:4" x14ac:dyDescent="0.25">
      <c r="A1152" s="5"/>
      <c r="C1152"/>
      <c r="D1152"/>
    </row>
    <row r="1153" spans="1:4" x14ac:dyDescent="0.25">
      <c r="A1153" s="5"/>
      <c r="C1153"/>
      <c r="D1153"/>
    </row>
    <row r="1154" spans="1:4" x14ac:dyDescent="0.25">
      <c r="A1154" s="5"/>
      <c r="C1154"/>
      <c r="D1154"/>
    </row>
    <row r="1155" spans="1:4" x14ac:dyDescent="0.25">
      <c r="A1155" s="5"/>
      <c r="C1155"/>
      <c r="D1155"/>
    </row>
    <row r="1156" spans="1:4" x14ac:dyDescent="0.25">
      <c r="A1156" s="5"/>
      <c r="C1156"/>
      <c r="D1156"/>
    </row>
    <row r="1157" spans="1:4" x14ac:dyDescent="0.25">
      <c r="A1157" s="5"/>
      <c r="C1157"/>
      <c r="D1157"/>
    </row>
    <row r="1158" spans="1:4" x14ac:dyDescent="0.25">
      <c r="A1158" s="5"/>
      <c r="C1158"/>
      <c r="D1158"/>
    </row>
    <row r="1159" spans="1:4" x14ac:dyDescent="0.25">
      <c r="A1159" s="5"/>
      <c r="C1159"/>
      <c r="D1159"/>
    </row>
    <row r="1160" spans="1:4" x14ac:dyDescent="0.25">
      <c r="A1160" s="5"/>
      <c r="C1160"/>
      <c r="D1160"/>
    </row>
    <row r="1161" spans="1:4" x14ac:dyDescent="0.25">
      <c r="A1161" s="5"/>
      <c r="C1161"/>
      <c r="D1161"/>
    </row>
    <row r="1162" spans="1:4" x14ac:dyDescent="0.25">
      <c r="A1162" s="5"/>
      <c r="C1162"/>
      <c r="D1162"/>
    </row>
    <row r="1163" spans="1:4" x14ac:dyDescent="0.25">
      <c r="A1163" s="5"/>
      <c r="C1163"/>
      <c r="D1163"/>
    </row>
    <row r="1164" spans="1:4" x14ac:dyDescent="0.25">
      <c r="A1164" s="5"/>
      <c r="C1164"/>
      <c r="D1164"/>
    </row>
    <row r="1165" spans="1:4" x14ac:dyDescent="0.25">
      <c r="A1165" s="5"/>
      <c r="C1165"/>
      <c r="D1165"/>
    </row>
    <row r="1166" spans="1:4" x14ac:dyDescent="0.25">
      <c r="A1166" s="5"/>
      <c r="C1166"/>
      <c r="D1166"/>
    </row>
    <row r="1167" spans="1:4" x14ac:dyDescent="0.25">
      <c r="A1167" s="5"/>
      <c r="C1167"/>
      <c r="D1167"/>
    </row>
    <row r="1168" spans="1:4" x14ac:dyDescent="0.25">
      <c r="A1168" s="5"/>
      <c r="C1168"/>
      <c r="D1168"/>
    </row>
    <row r="1169" spans="1:4" x14ac:dyDescent="0.25">
      <c r="A1169" s="5"/>
      <c r="C1169"/>
      <c r="D1169"/>
    </row>
    <row r="1170" spans="1:4" x14ac:dyDescent="0.25">
      <c r="A1170" s="5"/>
      <c r="C1170"/>
      <c r="D1170"/>
    </row>
    <row r="1171" spans="1:4" x14ac:dyDescent="0.25">
      <c r="A1171" s="5"/>
      <c r="C1171"/>
      <c r="D1171"/>
    </row>
    <row r="1172" spans="1:4" x14ac:dyDescent="0.25">
      <c r="A1172" s="5"/>
      <c r="C1172"/>
      <c r="D1172"/>
    </row>
    <row r="1173" spans="1:4" x14ac:dyDescent="0.25">
      <c r="A1173" s="5"/>
      <c r="C1173"/>
      <c r="D1173"/>
    </row>
    <row r="1174" spans="1:4" x14ac:dyDescent="0.25">
      <c r="A1174" s="5"/>
      <c r="C1174"/>
      <c r="D1174"/>
    </row>
    <row r="1175" spans="1:4" x14ac:dyDescent="0.25">
      <c r="A1175" s="5"/>
      <c r="C1175"/>
      <c r="D1175"/>
    </row>
    <row r="1176" spans="1:4" x14ac:dyDescent="0.25">
      <c r="A1176" s="5"/>
      <c r="C1176"/>
      <c r="D1176"/>
    </row>
    <row r="1177" spans="1:4" x14ac:dyDescent="0.25">
      <c r="A1177" s="5"/>
      <c r="C1177"/>
      <c r="D1177"/>
    </row>
    <row r="1178" spans="1:4" x14ac:dyDescent="0.25">
      <c r="A1178" s="5"/>
      <c r="C1178"/>
      <c r="D1178"/>
    </row>
    <row r="1179" spans="1:4" x14ac:dyDescent="0.25">
      <c r="A1179" s="5"/>
      <c r="C1179"/>
      <c r="D1179"/>
    </row>
    <row r="1180" spans="1:4" x14ac:dyDescent="0.25">
      <c r="A1180" s="5"/>
      <c r="C1180"/>
      <c r="D1180"/>
    </row>
    <row r="1181" spans="1:4" x14ac:dyDescent="0.25">
      <c r="A1181" s="5"/>
      <c r="C1181"/>
      <c r="D1181"/>
    </row>
    <row r="1182" spans="1:4" x14ac:dyDescent="0.25">
      <c r="A1182" s="5"/>
      <c r="C1182"/>
      <c r="D1182"/>
    </row>
    <row r="1183" spans="1:4" x14ac:dyDescent="0.25">
      <c r="A1183" s="5"/>
      <c r="C1183"/>
      <c r="D1183"/>
    </row>
    <row r="1184" spans="1:4" x14ac:dyDescent="0.25">
      <c r="A1184" s="5"/>
      <c r="C1184"/>
      <c r="D1184"/>
    </row>
    <row r="1185" spans="1:4" x14ac:dyDescent="0.25">
      <c r="A1185" s="5"/>
      <c r="C1185"/>
      <c r="D1185"/>
    </row>
    <row r="1186" spans="1:4" x14ac:dyDescent="0.25">
      <c r="A1186" s="5"/>
      <c r="C1186"/>
      <c r="D1186"/>
    </row>
    <row r="1187" spans="1:4" x14ac:dyDescent="0.25">
      <c r="A1187" s="5"/>
      <c r="C1187"/>
      <c r="D1187"/>
    </row>
    <row r="1188" spans="1:4" x14ac:dyDescent="0.25">
      <c r="A1188" s="5"/>
      <c r="C1188"/>
      <c r="D1188"/>
    </row>
    <row r="1189" spans="1:4" x14ac:dyDescent="0.25">
      <c r="A1189" s="5"/>
      <c r="C1189"/>
      <c r="D1189"/>
    </row>
    <row r="1190" spans="1:4" x14ac:dyDescent="0.25">
      <c r="A1190" s="5"/>
      <c r="C1190"/>
      <c r="D1190"/>
    </row>
    <row r="1191" spans="1:4" x14ac:dyDescent="0.25">
      <c r="A1191" s="5"/>
      <c r="C1191"/>
      <c r="D1191"/>
    </row>
    <row r="1192" spans="1:4" x14ac:dyDescent="0.25">
      <c r="A1192" s="5"/>
      <c r="C1192"/>
      <c r="D1192"/>
    </row>
    <row r="1193" spans="1:4" x14ac:dyDescent="0.25">
      <c r="A1193" s="5"/>
      <c r="C1193"/>
      <c r="D1193"/>
    </row>
    <row r="1194" spans="1:4" x14ac:dyDescent="0.25">
      <c r="A1194" s="5"/>
      <c r="C1194"/>
      <c r="D1194"/>
    </row>
    <row r="1195" spans="1:4" x14ac:dyDescent="0.25">
      <c r="A1195" s="5"/>
      <c r="C1195"/>
      <c r="D1195"/>
    </row>
    <row r="1196" spans="1:4" x14ac:dyDescent="0.25">
      <c r="A1196" s="5"/>
      <c r="C1196"/>
      <c r="D1196"/>
    </row>
    <row r="1197" spans="1:4" x14ac:dyDescent="0.25">
      <c r="A1197" s="5"/>
      <c r="C1197"/>
      <c r="D1197"/>
    </row>
    <row r="1198" spans="1:4" x14ac:dyDescent="0.25">
      <c r="A1198" s="5"/>
      <c r="C1198"/>
      <c r="D1198"/>
    </row>
    <row r="1199" spans="1:4" x14ac:dyDescent="0.25">
      <c r="A1199" s="5"/>
      <c r="C1199"/>
      <c r="D1199"/>
    </row>
    <row r="1200" spans="1:4" x14ac:dyDescent="0.25">
      <c r="A1200" s="5"/>
      <c r="C1200"/>
      <c r="D1200"/>
    </row>
    <row r="1201" spans="1:4" x14ac:dyDescent="0.25">
      <c r="A1201" s="5"/>
      <c r="C1201"/>
      <c r="D1201"/>
    </row>
    <row r="1202" spans="1:4" x14ac:dyDescent="0.25">
      <c r="A1202" s="5"/>
      <c r="C1202"/>
      <c r="D1202"/>
    </row>
    <row r="1203" spans="1:4" x14ac:dyDescent="0.25">
      <c r="A1203" s="5"/>
      <c r="C1203"/>
      <c r="D1203"/>
    </row>
    <row r="1204" spans="1:4" x14ac:dyDescent="0.25">
      <c r="A1204" s="5"/>
      <c r="C1204"/>
      <c r="D1204"/>
    </row>
    <row r="1205" spans="1:4" x14ac:dyDescent="0.25">
      <c r="A1205" s="5"/>
      <c r="C1205"/>
      <c r="D1205"/>
    </row>
    <row r="1206" spans="1:4" x14ac:dyDescent="0.25">
      <c r="A1206" s="5"/>
      <c r="C1206"/>
      <c r="D1206"/>
    </row>
    <row r="1207" spans="1:4" x14ac:dyDescent="0.25">
      <c r="A1207" s="5"/>
      <c r="C1207"/>
      <c r="D1207"/>
    </row>
    <row r="1208" spans="1:4" x14ac:dyDescent="0.25">
      <c r="A1208" s="5"/>
      <c r="C1208"/>
      <c r="D1208"/>
    </row>
    <row r="1209" spans="1:4" x14ac:dyDescent="0.25">
      <c r="A1209" s="5"/>
      <c r="C1209"/>
      <c r="D1209"/>
    </row>
    <row r="1210" spans="1:4" x14ac:dyDescent="0.25">
      <c r="A1210" s="5"/>
      <c r="C1210"/>
      <c r="D1210"/>
    </row>
    <row r="1211" spans="1:4" x14ac:dyDescent="0.25">
      <c r="A1211" s="5"/>
      <c r="C1211"/>
      <c r="D1211"/>
    </row>
    <row r="1212" spans="1:4" x14ac:dyDescent="0.25">
      <c r="A1212" s="5"/>
      <c r="C1212"/>
      <c r="D1212"/>
    </row>
    <row r="1213" spans="1:4" x14ac:dyDescent="0.25">
      <c r="A1213" s="5"/>
      <c r="C1213"/>
      <c r="D1213"/>
    </row>
    <row r="1214" spans="1:4" x14ac:dyDescent="0.25">
      <c r="A1214" s="5"/>
      <c r="C1214"/>
      <c r="D1214"/>
    </row>
    <row r="1215" spans="1:4" x14ac:dyDescent="0.25">
      <c r="A1215" s="5"/>
      <c r="C1215"/>
      <c r="D1215"/>
    </row>
    <row r="1216" spans="1:4" x14ac:dyDescent="0.25">
      <c r="A1216" s="5"/>
      <c r="C1216"/>
      <c r="D1216"/>
    </row>
    <row r="1217" spans="1:4" x14ac:dyDescent="0.25">
      <c r="A1217" s="5"/>
      <c r="C1217"/>
      <c r="D1217"/>
    </row>
    <row r="1218" spans="1:4" x14ac:dyDescent="0.25">
      <c r="A1218" s="5"/>
      <c r="C1218"/>
      <c r="D1218"/>
    </row>
    <row r="1219" spans="1:4" x14ac:dyDescent="0.25">
      <c r="A1219" s="5"/>
      <c r="C1219"/>
      <c r="D1219"/>
    </row>
    <row r="1220" spans="1:4" x14ac:dyDescent="0.25">
      <c r="A1220" s="5"/>
      <c r="C1220"/>
      <c r="D1220"/>
    </row>
    <row r="1221" spans="1:4" x14ac:dyDescent="0.25">
      <c r="A1221" s="5"/>
      <c r="C1221"/>
      <c r="D1221"/>
    </row>
    <row r="1222" spans="1:4" x14ac:dyDescent="0.25">
      <c r="A1222" s="5"/>
      <c r="C1222"/>
      <c r="D1222"/>
    </row>
    <row r="1223" spans="1:4" x14ac:dyDescent="0.25">
      <c r="A1223" s="5"/>
      <c r="C1223"/>
      <c r="D1223"/>
    </row>
    <row r="1224" spans="1:4" x14ac:dyDescent="0.25">
      <c r="A1224" s="5"/>
      <c r="C1224"/>
      <c r="D1224"/>
    </row>
    <row r="1225" spans="1:4" x14ac:dyDescent="0.25">
      <c r="A1225" s="5"/>
      <c r="C1225"/>
      <c r="D1225"/>
    </row>
    <row r="1226" spans="1:4" x14ac:dyDescent="0.25">
      <c r="A1226" s="5"/>
      <c r="C1226"/>
      <c r="D1226"/>
    </row>
    <row r="1227" spans="1:4" x14ac:dyDescent="0.25">
      <c r="A1227" s="5"/>
      <c r="C1227"/>
      <c r="D1227"/>
    </row>
    <row r="1228" spans="1:4" x14ac:dyDescent="0.25">
      <c r="A1228" s="5"/>
      <c r="C1228"/>
      <c r="D1228"/>
    </row>
    <row r="1229" spans="1:4" x14ac:dyDescent="0.25">
      <c r="A1229" s="5"/>
      <c r="C1229"/>
      <c r="D1229"/>
    </row>
    <row r="1230" spans="1:4" x14ac:dyDescent="0.25">
      <c r="A1230" s="5"/>
      <c r="C1230"/>
      <c r="D1230"/>
    </row>
    <row r="1231" spans="1:4" x14ac:dyDescent="0.25">
      <c r="A1231" s="5"/>
      <c r="C1231"/>
      <c r="D1231"/>
    </row>
    <row r="1232" spans="1:4" x14ac:dyDescent="0.25">
      <c r="A1232" s="5"/>
      <c r="C1232"/>
      <c r="D1232"/>
    </row>
    <row r="1233" spans="1:4" x14ac:dyDescent="0.25">
      <c r="A1233" s="5"/>
      <c r="C1233"/>
      <c r="D1233"/>
    </row>
    <row r="1234" spans="1:4" x14ac:dyDescent="0.25">
      <c r="A1234" s="5"/>
      <c r="C1234"/>
      <c r="D1234"/>
    </row>
    <row r="1235" spans="1:4" x14ac:dyDescent="0.25">
      <c r="A1235" s="5"/>
      <c r="C1235"/>
      <c r="D1235"/>
    </row>
    <row r="1236" spans="1:4" x14ac:dyDescent="0.25">
      <c r="A1236" s="5"/>
      <c r="C1236"/>
      <c r="D1236"/>
    </row>
    <row r="1237" spans="1:4" x14ac:dyDescent="0.25">
      <c r="A1237" s="5"/>
      <c r="C1237"/>
      <c r="D1237"/>
    </row>
    <row r="1238" spans="1:4" x14ac:dyDescent="0.25">
      <c r="A1238" s="5"/>
      <c r="C1238"/>
      <c r="D1238"/>
    </row>
    <row r="1239" spans="1:4" x14ac:dyDescent="0.25">
      <c r="A1239" s="5"/>
      <c r="C1239"/>
      <c r="D1239"/>
    </row>
    <row r="1240" spans="1:4" x14ac:dyDescent="0.25">
      <c r="A1240" s="5"/>
      <c r="C1240"/>
      <c r="D1240"/>
    </row>
    <row r="1241" spans="1:4" x14ac:dyDescent="0.25">
      <c r="A1241" s="5"/>
      <c r="C1241"/>
      <c r="D1241"/>
    </row>
    <row r="1242" spans="1:4" x14ac:dyDescent="0.25">
      <c r="A1242" s="5"/>
      <c r="C1242"/>
      <c r="D1242"/>
    </row>
    <row r="1243" spans="1:4" x14ac:dyDescent="0.25">
      <c r="A1243" s="5"/>
      <c r="C1243"/>
      <c r="D1243"/>
    </row>
    <row r="1244" spans="1:4" x14ac:dyDescent="0.25">
      <c r="A1244" s="5"/>
      <c r="C1244"/>
      <c r="D1244"/>
    </row>
    <row r="1245" spans="1:4" x14ac:dyDescent="0.25">
      <c r="A1245" s="5"/>
      <c r="C1245"/>
      <c r="D1245"/>
    </row>
    <row r="1246" spans="1:4" x14ac:dyDescent="0.25">
      <c r="A1246" s="5"/>
      <c r="C1246"/>
      <c r="D1246"/>
    </row>
    <row r="1247" spans="1:4" x14ac:dyDescent="0.25">
      <c r="A1247" s="5"/>
      <c r="C1247"/>
      <c r="D1247"/>
    </row>
    <row r="1248" spans="1:4" x14ac:dyDescent="0.25">
      <c r="A1248" s="5"/>
      <c r="C1248"/>
      <c r="D1248"/>
    </row>
    <row r="1249" spans="1:4" x14ac:dyDescent="0.25">
      <c r="A1249" s="5"/>
      <c r="C1249"/>
      <c r="D1249"/>
    </row>
    <row r="1250" spans="1:4" x14ac:dyDescent="0.25">
      <c r="A1250" s="5"/>
      <c r="C1250"/>
      <c r="D1250"/>
    </row>
    <row r="1251" spans="1:4" x14ac:dyDescent="0.25">
      <c r="A1251" s="5"/>
      <c r="C1251"/>
      <c r="D1251"/>
    </row>
    <row r="1252" spans="1:4" x14ac:dyDescent="0.25">
      <c r="A1252" s="5"/>
      <c r="C1252"/>
      <c r="D1252"/>
    </row>
    <row r="1253" spans="1:4" x14ac:dyDescent="0.25">
      <c r="A1253" s="5"/>
      <c r="C1253"/>
      <c r="D1253"/>
    </row>
    <row r="1254" spans="1:4" x14ac:dyDescent="0.25">
      <c r="A1254" s="5"/>
      <c r="C1254"/>
      <c r="D1254"/>
    </row>
    <row r="1255" spans="1:4" x14ac:dyDescent="0.25">
      <c r="A1255" s="5"/>
      <c r="C1255"/>
      <c r="D1255"/>
    </row>
    <row r="1256" spans="1:4" x14ac:dyDescent="0.25">
      <c r="A1256" s="5"/>
      <c r="C1256"/>
      <c r="D1256"/>
    </row>
    <row r="1257" spans="1:4" x14ac:dyDescent="0.25">
      <c r="A1257" s="5"/>
      <c r="C1257"/>
      <c r="D1257"/>
    </row>
    <row r="1258" spans="1:4" x14ac:dyDescent="0.25">
      <c r="A1258" s="5"/>
      <c r="C1258"/>
      <c r="D1258"/>
    </row>
    <row r="1259" spans="1:4" x14ac:dyDescent="0.25">
      <c r="A1259" s="5"/>
      <c r="C1259"/>
      <c r="D1259"/>
    </row>
    <row r="1260" spans="1:4" x14ac:dyDescent="0.25">
      <c r="A1260" s="5"/>
      <c r="C1260"/>
      <c r="D1260"/>
    </row>
    <row r="1261" spans="1:4" x14ac:dyDescent="0.25">
      <c r="A1261" s="5"/>
      <c r="C1261"/>
      <c r="D1261"/>
    </row>
    <row r="1262" spans="1:4" x14ac:dyDescent="0.25">
      <c r="A1262" s="5"/>
      <c r="C1262"/>
      <c r="D1262"/>
    </row>
    <row r="1263" spans="1:4" x14ac:dyDescent="0.25">
      <c r="A1263" s="5"/>
      <c r="C1263"/>
      <c r="D1263"/>
    </row>
    <row r="1264" spans="1:4" x14ac:dyDescent="0.25">
      <c r="A1264" s="5"/>
      <c r="C1264"/>
      <c r="D1264"/>
    </row>
    <row r="1265" spans="1:4" x14ac:dyDescent="0.25">
      <c r="A1265" s="5"/>
      <c r="C1265"/>
      <c r="D1265"/>
    </row>
    <row r="1266" spans="1:4" x14ac:dyDescent="0.25">
      <c r="A1266" s="5"/>
      <c r="C1266"/>
      <c r="D1266"/>
    </row>
    <row r="1267" spans="1:4" x14ac:dyDescent="0.25">
      <c r="A1267" s="5"/>
      <c r="C1267"/>
      <c r="D1267"/>
    </row>
    <row r="1268" spans="1:4" x14ac:dyDescent="0.25">
      <c r="A1268" s="5"/>
      <c r="C1268"/>
      <c r="D1268"/>
    </row>
    <row r="1269" spans="1:4" x14ac:dyDescent="0.25">
      <c r="A1269" s="5"/>
      <c r="C1269"/>
      <c r="D1269"/>
    </row>
    <row r="1270" spans="1:4" x14ac:dyDescent="0.25">
      <c r="A1270" s="5"/>
      <c r="C1270"/>
      <c r="D1270"/>
    </row>
    <row r="1271" spans="1:4" x14ac:dyDescent="0.25">
      <c r="A1271" s="5"/>
      <c r="C1271"/>
      <c r="D1271"/>
    </row>
    <row r="1272" spans="1:4" x14ac:dyDescent="0.25">
      <c r="A1272" s="5"/>
      <c r="C1272"/>
      <c r="D1272"/>
    </row>
    <row r="1273" spans="1:4" x14ac:dyDescent="0.25">
      <c r="A1273" s="5"/>
      <c r="C1273"/>
      <c r="D1273"/>
    </row>
    <row r="1274" spans="1:4" x14ac:dyDescent="0.25">
      <c r="A1274" s="5"/>
      <c r="C1274"/>
      <c r="D1274"/>
    </row>
    <row r="1275" spans="1:4" x14ac:dyDescent="0.25">
      <c r="A1275" s="5"/>
      <c r="C1275"/>
      <c r="D1275"/>
    </row>
    <row r="1276" spans="1:4" x14ac:dyDescent="0.25">
      <c r="A1276" s="5"/>
      <c r="C1276"/>
      <c r="D1276"/>
    </row>
    <row r="1277" spans="1:4" x14ac:dyDescent="0.25">
      <c r="A1277" s="5"/>
      <c r="C1277"/>
      <c r="D1277"/>
    </row>
    <row r="1278" spans="1:4" x14ac:dyDescent="0.25">
      <c r="A1278" s="5"/>
      <c r="C1278"/>
      <c r="D1278"/>
    </row>
    <row r="1279" spans="1:4" x14ac:dyDescent="0.25">
      <c r="A1279" s="5"/>
      <c r="C1279"/>
      <c r="D1279"/>
    </row>
    <row r="1280" spans="1:4" x14ac:dyDescent="0.25">
      <c r="A1280" s="5"/>
      <c r="C1280"/>
      <c r="D1280"/>
    </row>
    <row r="1281" spans="1:4" x14ac:dyDescent="0.25">
      <c r="A1281" s="5"/>
      <c r="C1281"/>
      <c r="D1281"/>
    </row>
    <row r="1282" spans="1:4" x14ac:dyDescent="0.25">
      <c r="A1282" s="5"/>
      <c r="C1282"/>
      <c r="D1282"/>
    </row>
    <row r="1283" spans="1:4" x14ac:dyDescent="0.25">
      <c r="A1283" s="5"/>
      <c r="C1283"/>
      <c r="D1283"/>
    </row>
    <row r="1284" spans="1:4" x14ac:dyDescent="0.25">
      <c r="A1284" s="5"/>
      <c r="C1284"/>
      <c r="D1284"/>
    </row>
    <row r="1285" spans="1:4" x14ac:dyDescent="0.25">
      <c r="A1285" s="5"/>
      <c r="C1285"/>
      <c r="D1285"/>
    </row>
    <row r="1286" spans="1:4" x14ac:dyDescent="0.25">
      <c r="A1286" s="5"/>
      <c r="C1286"/>
      <c r="D1286"/>
    </row>
    <row r="1287" spans="1:4" x14ac:dyDescent="0.25">
      <c r="A1287" s="5"/>
      <c r="C1287"/>
      <c r="D1287"/>
    </row>
    <row r="1288" spans="1:4" x14ac:dyDescent="0.25">
      <c r="A1288" s="5"/>
      <c r="C1288"/>
      <c r="D1288"/>
    </row>
    <row r="1289" spans="1:4" x14ac:dyDescent="0.25">
      <c r="A1289" s="5"/>
      <c r="C1289"/>
      <c r="D1289"/>
    </row>
    <row r="1290" spans="1:4" x14ac:dyDescent="0.25">
      <c r="A1290" s="5"/>
      <c r="C1290"/>
      <c r="D1290"/>
    </row>
    <row r="1291" spans="1:4" x14ac:dyDescent="0.25">
      <c r="A1291" s="5"/>
      <c r="C1291"/>
      <c r="D1291"/>
    </row>
    <row r="1292" spans="1:4" x14ac:dyDescent="0.25">
      <c r="A1292" s="5"/>
      <c r="C1292"/>
      <c r="D1292"/>
    </row>
    <row r="1293" spans="1:4" x14ac:dyDescent="0.25">
      <c r="A1293" s="5"/>
      <c r="C1293"/>
      <c r="D1293"/>
    </row>
    <row r="1294" spans="1:4" x14ac:dyDescent="0.25">
      <c r="A1294" s="5"/>
      <c r="C1294"/>
      <c r="D1294"/>
    </row>
    <row r="1295" spans="1:4" x14ac:dyDescent="0.25">
      <c r="A1295" s="5"/>
      <c r="C1295"/>
      <c r="D1295"/>
    </row>
    <row r="1296" spans="1:4" x14ac:dyDescent="0.25">
      <c r="A1296" s="5"/>
      <c r="C1296"/>
      <c r="D1296"/>
    </row>
    <row r="1297" spans="1:4" x14ac:dyDescent="0.25">
      <c r="A1297" s="5"/>
      <c r="C1297"/>
      <c r="D1297"/>
    </row>
    <row r="1298" spans="1:4" x14ac:dyDescent="0.25">
      <c r="A1298" s="5"/>
      <c r="C1298"/>
      <c r="D1298"/>
    </row>
    <row r="1299" spans="1:4" x14ac:dyDescent="0.25">
      <c r="A1299" s="5"/>
      <c r="C1299"/>
      <c r="D1299"/>
    </row>
    <row r="1300" spans="1:4" x14ac:dyDescent="0.25">
      <c r="A1300" s="5"/>
      <c r="C1300"/>
      <c r="D1300"/>
    </row>
    <row r="1301" spans="1:4" x14ac:dyDescent="0.25">
      <c r="A1301" s="5"/>
      <c r="C1301"/>
      <c r="D1301"/>
    </row>
    <row r="1302" spans="1:4" x14ac:dyDescent="0.25">
      <c r="A1302" s="5"/>
      <c r="C1302"/>
      <c r="D1302"/>
    </row>
    <row r="1303" spans="1:4" x14ac:dyDescent="0.25">
      <c r="A1303" s="5"/>
      <c r="C1303"/>
      <c r="D1303"/>
    </row>
    <row r="1304" spans="1:4" x14ac:dyDescent="0.25">
      <c r="A1304" s="5"/>
      <c r="C1304"/>
      <c r="D1304"/>
    </row>
    <row r="1305" spans="1:4" x14ac:dyDescent="0.25">
      <c r="A1305" s="5"/>
      <c r="C1305"/>
      <c r="D1305"/>
    </row>
    <row r="1306" spans="1:4" x14ac:dyDescent="0.25">
      <c r="A1306" s="5"/>
      <c r="C1306"/>
      <c r="D1306"/>
    </row>
    <row r="1307" spans="1:4" x14ac:dyDescent="0.25">
      <c r="A1307" s="5"/>
      <c r="C1307"/>
      <c r="D1307"/>
    </row>
    <row r="1308" spans="1:4" x14ac:dyDescent="0.25">
      <c r="A1308" s="5"/>
      <c r="C1308"/>
      <c r="D1308"/>
    </row>
    <row r="1309" spans="1:4" x14ac:dyDescent="0.25">
      <c r="A1309" s="5"/>
      <c r="C1309"/>
      <c r="D1309"/>
    </row>
    <row r="1310" spans="1:4" x14ac:dyDescent="0.25">
      <c r="A1310" s="5"/>
      <c r="C1310"/>
      <c r="D1310"/>
    </row>
    <row r="1311" spans="1:4" x14ac:dyDescent="0.25">
      <c r="A1311" s="5"/>
      <c r="C1311"/>
      <c r="D1311"/>
    </row>
    <row r="1312" spans="1:4" x14ac:dyDescent="0.25">
      <c r="A1312" s="5"/>
      <c r="C1312"/>
      <c r="D1312"/>
    </row>
    <row r="1313" spans="1:4" x14ac:dyDescent="0.25">
      <c r="A1313" s="5"/>
      <c r="C1313"/>
      <c r="D1313"/>
    </row>
    <row r="1314" spans="1:4" x14ac:dyDescent="0.25">
      <c r="A1314" s="5"/>
      <c r="C1314"/>
      <c r="D1314"/>
    </row>
    <row r="1315" spans="1:4" x14ac:dyDescent="0.25">
      <c r="A1315" s="5"/>
      <c r="C1315"/>
      <c r="D1315"/>
    </row>
    <row r="1316" spans="1:4" x14ac:dyDescent="0.25">
      <c r="A1316" s="5"/>
      <c r="C1316"/>
      <c r="D1316"/>
    </row>
    <row r="1317" spans="1:4" x14ac:dyDescent="0.25">
      <c r="A1317" s="5"/>
      <c r="C1317"/>
      <c r="D1317"/>
    </row>
    <row r="1318" spans="1:4" x14ac:dyDescent="0.25">
      <c r="A1318" s="5"/>
      <c r="C1318"/>
      <c r="D1318"/>
    </row>
    <row r="1319" spans="1:4" x14ac:dyDescent="0.25">
      <c r="A1319" s="5"/>
      <c r="C1319"/>
      <c r="D1319"/>
    </row>
    <row r="1320" spans="1:4" x14ac:dyDescent="0.25">
      <c r="A1320" s="5"/>
      <c r="C1320"/>
      <c r="D1320"/>
    </row>
    <row r="1321" spans="1:4" x14ac:dyDescent="0.25">
      <c r="A1321" s="5"/>
      <c r="C1321"/>
      <c r="D1321"/>
    </row>
    <row r="1322" spans="1:4" x14ac:dyDescent="0.25">
      <c r="A1322" s="5"/>
      <c r="C1322"/>
      <c r="D1322"/>
    </row>
    <row r="1323" spans="1:4" x14ac:dyDescent="0.25">
      <c r="A1323" s="5"/>
      <c r="C1323"/>
      <c r="D1323"/>
    </row>
    <row r="1324" spans="1:4" x14ac:dyDescent="0.25">
      <c r="A1324" s="5"/>
      <c r="C1324"/>
      <c r="D1324"/>
    </row>
    <row r="1325" spans="1:4" x14ac:dyDescent="0.25">
      <c r="A1325" s="5"/>
      <c r="C1325"/>
      <c r="D1325"/>
    </row>
    <row r="1326" spans="1:4" x14ac:dyDescent="0.25">
      <c r="A1326" s="5"/>
      <c r="C1326"/>
      <c r="D1326"/>
    </row>
    <row r="1327" spans="1:4" x14ac:dyDescent="0.25">
      <c r="A1327" s="5"/>
      <c r="C1327"/>
      <c r="D1327"/>
    </row>
    <row r="1328" spans="1:4" x14ac:dyDescent="0.25">
      <c r="A1328" s="5"/>
      <c r="C1328"/>
      <c r="D1328"/>
    </row>
    <row r="1329" spans="1:4" x14ac:dyDescent="0.25">
      <c r="A1329" s="5"/>
      <c r="C1329"/>
      <c r="D1329"/>
    </row>
    <row r="1330" spans="1:4" x14ac:dyDescent="0.25">
      <c r="A1330" s="5"/>
      <c r="C1330"/>
      <c r="D1330"/>
    </row>
    <row r="1331" spans="1:4" x14ac:dyDescent="0.25">
      <c r="A1331" s="5"/>
      <c r="C1331"/>
      <c r="D1331"/>
    </row>
    <row r="1332" spans="1:4" x14ac:dyDescent="0.25">
      <c r="A1332" s="5"/>
      <c r="C1332"/>
      <c r="D1332"/>
    </row>
    <row r="1333" spans="1:4" x14ac:dyDescent="0.25">
      <c r="A1333" s="5"/>
      <c r="C1333"/>
      <c r="D1333"/>
    </row>
    <row r="1334" spans="1:4" x14ac:dyDescent="0.25">
      <c r="A1334" s="5"/>
      <c r="C1334"/>
      <c r="D1334"/>
    </row>
    <row r="1335" spans="1:4" x14ac:dyDescent="0.25">
      <c r="A1335" s="5"/>
      <c r="C1335"/>
      <c r="D1335"/>
    </row>
    <row r="1336" spans="1:4" x14ac:dyDescent="0.25">
      <c r="A1336" s="5"/>
      <c r="C1336"/>
      <c r="D1336"/>
    </row>
    <row r="1337" spans="1:4" x14ac:dyDescent="0.25">
      <c r="A1337" s="5"/>
      <c r="C1337"/>
      <c r="D1337"/>
    </row>
    <row r="1338" spans="1:4" x14ac:dyDescent="0.25">
      <c r="A1338" s="5"/>
      <c r="C1338"/>
      <c r="D1338"/>
    </row>
    <row r="1339" spans="1:4" x14ac:dyDescent="0.25">
      <c r="A1339" s="5"/>
      <c r="C1339"/>
      <c r="D1339"/>
    </row>
    <row r="1340" spans="1:4" x14ac:dyDescent="0.25">
      <c r="A1340" s="5"/>
      <c r="C1340"/>
      <c r="D1340"/>
    </row>
    <row r="1341" spans="1:4" x14ac:dyDescent="0.25">
      <c r="A1341" s="5"/>
      <c r="C1341"/>
      <c r="D1341"/>
    </row>
    <row r="1342" spans="1:4" x14ac:dyDescent="0.25">
      <c r="A1342" s="5"/>
      <c r="C1342"/>
      <c r="D1342"/>
    </row>
    <row r="1343" spans="1:4" x14ac:dyDescent="0.25">
      <c r="A1343" s="5"/>
      <c r="C1343"/>
      <c r="D1343"/>
    </row>
    <row r="1344" spans="1:4" x14ac:dyDescent="0.25">
      <c r="A1344" s="5"/>
      <c r="C1344"/>
      <c r="D1344"/>
    </row>
    <row r="1345" spans="1:4" x14ac:dyDescent="0.25">
      <c r="A1345" s="5"/>
      <c r="C1345"/>
      <c r="D1345"/>
    </row>
    <row r="1346" spans="1:4" x14ac:dyDescent="0.25">
      <c r="A1346" s="5"/>
      <c r="C1346"/>
      <c r="D1346"/>
    </row>
    <row r="1347" spans="1:4" x14ac:dyDescent="0.25">
      <c r="A1347" s="5"/>
      <c r="C1347"/>
      <c r="D1347"/>
    </row>
    <row r="1348" spans="1:4" x14ac:dyDescent="0.25">
      <c r="A1348" s="5"/>
      <c r="C1348"/>
      <c r="D1348"/>
    </row>
    <row r="1349" spans="1:4" x14ac:dyDescent="0.25">
      <c r="A1349" s="5"/>
      <c r="C1349"/>
      <c r="D1349"/>
    </row>
    <row r="1350" spans="1:4" x14ac:dyDescent="0.25">
      <c r="A1350" s="5"/>
      <c r="C1350"/>
      <c r="D1350"/>
    </row>
    <row r="1351" spans="1:4" x14ac:dyDescent="0.25">
      <c r="A1351" s="5"/>
      <c r="C1351"/>
      <c r="D1351"/>
    </row>
    <row r="1352" spans="1:4" x14ac:dyDescent="0.25">
      <c r="A1352" s="5"/>
      <c r="C1352"/>
      <c r="D1352"/>
    </row>
    <row r="1353" spans="1:4" x14ac:dyDescent="0.25">
      <c r="A1353" s="5"/>
      <c r="C1353"/>
      <c r="D1353"/>
    </row>
    <row r="1354" spans="1:4" x14ac:dyDescent="0.25">
      <c r="A1354" s="5"/>
      <c r="C1354"/>
      <c r="D1354"/>
    </row>
    <row r="1355" spans="1:4" x14ac:dyDescent="0.25">
      <c r="A1355" s="5"/>
      <c r="C1355"/>
      <c r="D1355"/>
    </row>
    <row r="1356" spans="1:4" x14ac:dyDescent="0.25">
      <c r="A1356" s="5"/>
      <c r="C1356"/>
      <c r="D1356"/>
    </row>
    <row r="1357" spans="1:4" x14ac:dyDescent="0.25">
      <c r="A1357" s="5"/>
      <c r="C1357"/>
      <c r="D1357"/>
    </row>
    <row r="1358" spans="1:4" x14ac:dyDescent="0.25">
      <c r="A1358" s="5"/>
      <c r="C1358"/>
      <c r="D1358"/>
    </row>
    <row r="1359" spans="1:4" x14ac:dyDescent="0.25">
      <c r="A1359" s="5"/>
      <c r="C1359"/>
      <c r="D1359"/>
    </row>
    <row r="1360" spans="1:4" x14ac:dyDescent="0.25">
      <c r="A1360" s="5"/>
      <c r="C1360"/>
      <c r="D1360"/>
    </row>
    <row r="1361" spans="1:4" x14ac:dyDescent="0.25">
      <c r="A1361" s="5"/>
      <c r="C1361"/>
      <c r="D1361"/>
    </row>
    <row r="1362" spans="1:4" x14ac:dyDescent="0.25">
      <c r="A1362" s="5"/>
      <c r="C1362"/>
      <c r="D1362"/>
    </row>
    <row r="1363" spans="1:4" x14ac:dyDescent="0.25">
      <c r="A1363" s="5"/>
      <c r="C1363"/>
      <c r="D1363"/>
    </row>
    <row r="1364" spans="1:4" x14ac:dyDescent="0.25">
      <c r="A1364" s="5"/>
      <c r="C1364"/>
      <c r="D1364"/>
    </row>
    <row r="1365" spans="1:4" x14ac:dyDescent="0.25">
      <c r="A1365" s="5"/>
      <c r="C1365"/>
      <c r="D1365"/>
    </row>
    <row r="1366" spans="1:4" x14ac:dyDescent="0.25">
      <c r="A1366" s="5"/>
      <c r="C1366"/>
      <c r="D1366"/>
    </row>
    <row r="1367" spans="1:4" x14ac:dyDescent="0.25">
      <c r="A1367" s="5"/>
      <c r="C1367"/>
      <c r="D1367"/>
    </row>
    <row r="1368" spans="1:4" x14ac:dyDescent="0.25">
      <c r="A1368" s="5"/>
      <c r="C1368"/>
      <c r="D1368"/>
    </row>
    <row r="1369" spans="1:4" x14ac:dyDescent="0.25">
      <c r="A1369" s="5"/>
      <c r="C1369"/>
      <c r="D1369"/>
    </row>
    <row r="1370" spans="1:4" x14ac:dyDescent="0.25">
      <c r="A1370" s="5"/>
      <c r="C1370"/>
      <c r="D1370"/>
    </row>
    <row r="1371" spans="1:4" x14ac:dyDescent="0.25">
      <c r="A1371" s="5"/>
      <c r="C1371"/>
      <c r="D1371"/>
    </row>
    <row r="1372" spans="1:4" x14ac:dyDescent="0.25">
      <c r="A1372" s="5"/>
      <c r="C1372"/>
      <c r="D1372"/>
    </row>
    <row r="1373" spans="1:4" x14ac:dyDescent="0.25">
      <c r="A1373" s="5"/>
      <c r="C1373"/>
      <c r="D1373"/>
    </row>
    <row r="1374" spans="1:4" x14ac:dyDescent="0.25">
      <c r="A1374" s="5"/>
      <c r="C1374"/>
      <c r="D1374"/>
    </row>
    <row r="1375" spans="1:4" x14ac:dyDescent="0.25">
      <c r="A1375" s="5"/>
      <c r="C1375"/>
      <c r="D1375"/>
    </row>
    <row r="1376" spans="1:4" x14ac:dyDescent="0.25">
      <c r="A1376" s="5"/>
      <c r="C1376"/>
      <c r="D1376"/>
    </row>
    <row r="1377" spans="1:4" x14ac:dyDescent="0.25">
      <c r="A1377" s="5"/>
      <c r="C1377"/>
      <c r="D1377"/>
    </row>
    <row r="1378" spans="1:4" x14ac:dyDescent="0.25">
      <c r="A1378" s="5"/>
      <c r="C1378"/>
      <c r="D1378"/>
    </row>
    <row r="1379" spans="1:4" x14ac:dyDescent="0.25">
      <c r="A1379" s="5"/>
      <c r="C1379"/>
      <c r="D1379"/>
    </row>
    <row r="1380" spans="1:4" x14ac:dyDescent="0.25">
      <c r="A1380" s="5"/>
      <c r="C1380"/>
      <c r="D1380"/>
    </row>
    <row r="1381" spans="1:4" x14ac:dyDescent="0.25">
      <c r="A1381" s="5"/>
      <c r="C1381"/>
      <c r="D1381"/>
    </row>
    <row r="1382" spans="1:4" x14ac:dyDescent="0.25">
      <c r="A1382" s="5"/>
      <c r="C1382"/>
      <c r="D1382"/>
    </row>
    <row r="1383" spans="1:4" x14ac:dyDescent="0.25">
      <c r="A1383" s="5"/>
      <c r="C1383"/>
      <c r="D1383"/>
    </row>
    <row r="1384" spans="1:4" x14ac:dyDescent="0.25">
      <c r="A1384" s="5"/>
      <c r="C1384"/>
      <c r="D1384"/>
    </row>
    <row r="1385" spans="1:4" x14ac:dyDescent="0.25">
      <c r="A1385" s="5"/>
      <c r="C1385"/>
      <c r="D1385"/>
    </row>
    <row r="1386" spans="1:4" x14ac:dyDescent="0.25">
      <c r="A1386" s="5"/>
      <c r="C1386"/>
      <c r="D1386"/>
    </row>
    <row r="1387" spans="1:4" x14ac:dyDescent="0.25">
      <c r="A1387" s="5"/>
      <c r="C1387"/>
      <c r="D1387"/>
    </row>
    <row r="1388" spans="1:4" x14ac:dyDescent="0.25">
      <c r="A1388" s="5"/>
      <c r="C1388"/>
      <c r="D1388"/>
    </row>
    <row r="1389" spans="1:4" x14ac:dyDescent="0.25">
      <c r="A1389" s="5"/>
      <c r="C1389"/>
      <c r="D1389"/>
    </row>
    <row r="1390" spans="1:4" x14ac:dyDescent="0.25">
      <c r="A1390" s="5"/>
      <c r="C1390"/>
      <c r="D1390"/>
    </row>
    <row r="1391" spans="1:4" x14ac:dyDescent="0.25">
      <c r="A1391" s="5"/>
      <c r="C1391"/>
      <c r="D1391"/>
    </row>
    <row r="1392" spans="1:4" x14ac:dyDescent="0.25">
      <c r="A1392" s="5"/>
      <c r="C1392"/>
      <c r="D1392"/>
    </row>
    <row r="1393" spans="1:4" x14ac:dyDescent="0.25">
      <c r="A1393" s="5"/>
      <c r="C1393"/>
      <c r="D1393"/>
    </row>
    <row r="1394" spans="1:4" x14ac:dyDescent="0.25">
      <c r="A1394" s="5"/>
      <c r="C1394"/>
      <c r="D1394"/>
    </row>
    <row r="1395" spans="1:4" x14ac:dyDescent="0.25">
      <c r="A1395" s="5"/>
      <c r="C1395"/>
      <c r="D1395"/>
    </row>
    <row r="1396" spans="1:4" x14ac:dyDescent="0.25">
      <c r="A1396" s="5"/>
      <c r="C1396"/>
      <c r="D1396"/>
    </row>
    <row r="1397" spans="1:4" x14ac:dyDescent="0.25">
      <c r="A1397" s="5"/>
      <c r="C1397"/>
      <c r="D1397"/>
    </row>
    <row r="1398" spans="1:4" x14ac:dyDescent="0.25">
      <c r="A1398" s="5"/>
      <c r="C1398"/>
      <c r="D1398"/>
    </row>
    <row r="1399" spans="1:4" x14ac:dyDescent="0.25">
      <c r="A1399" s="5"/>
      <c r="C1399"/>
      <c r="D1399"/>
    </row>
    <row r="1400" spans="1:4" x14ac:dyDescent="0.25">
      <c r="A1400" s="5"/>
      <c r="C1400"/>
      <c r="D1400"/>
    </row>
    <row r="1401" spans="1:4" x14ac:dyDescent="0.25">
      <c r="A1401" s="5"/>
      <c r="C1401"/>
      <c r="D1401"/>
    </row>
    <row r="1402" spans="1:4" x14ac:dyDescent="0.25">
      <c r="A1402" s="5"/>
      <c r="C1402"/>
      <c r="D1402"/>
    </row>
    <row r="1403" spans="1:4" x14ac:dyDescent="0.25">
      <c r="A1403" s="5"/>
      <c r="C1403"/>
      <c r="D1403"/>
    </row>
    <row r="1404" spans="1:4" x14ac:dyDescent="0.25">
      <c r="A1404" s="5"/>
      <c r="C1404"/>
      <c r="D1404"/>
    </row>
    <row r="1405" spans="1:4" x14ac:dyDescent="0.25">
      <c r="A1405" s="5"/>
      <c r="C1405"/>
      <c r="D1405"/>
    </row>
    <row r="1406" spans="1:4" x14ac:dyDescent="0.25">
      <c r="A1406" s="5"/>
      <c r="C1406"/>
      <c r="D1406"/>
    </row>
    <row r="1407" spans="1:4" x14ac:dyDescent="0.25">
      <c r="A1407" s="5"/>
      <c r="C1407"/>
      <c r="D1407"/>
    </row>
    <row r="1408" spans="1:4" x14ac:dyDescent="0.25">
      <c r="A1408" s="5"/>
      <c r="C1408"/>
      <c r="D1408"/>
    </row>
    <row r="1409" spans="1:4" x14ac:dyDescent="0.25">
      <c r="A1409" s="5"/>
      <c r="C1409"/>
      <c r="D1409"/>
    </row>
    <row r="1410" spans="1:4" x14ac:dyDescent="0.25">
      <c r="A1410" s="5"/>
      <c r="C1410"/>
      <c r="D1410"/>
    </row>
    <row r="1411" spans="1:4" x14ac:dyDescent="0.25">
      <c r="A1411" s="5"/>
      <c r="C1411"/>
      <c r="D1411"/>
    </row>
    <row r="1412" spans="1:4" x14ac:dyDescent="0.25">
      <c r="A1412" s="5"/>
      <c r="C1412"/>
      <c r="D1412"/>
    </row>
    <row r="1413" spans="1:4" x14ac:dyDescent="0.25">
      <c r="A1413" s="5"/>
      <c r="C1413"/>
      <c r="D1413"/>
    </row>
    <row r="1414" spans="1:4" x14ac:dyDescent="0.25">
      <c r="A1414" s="5"/>
      <c r="C1414"/>
      <c r="D1414"/>
    </row>
    <row r="1415" spans="1:4" x14ac:dyDescent="0.25">
      <c r="A1415" s="5"/>
      <c r="C1415"/>
      <c r="D1415"/>
    </row>
    <row r="1416" spans="1:4" x14ac:dyDescent="0.25">
      <c r="A1416" s="5"/>
      <c r="C1416"/>
      <c r="D1416"/>
    </row>
    <row r="1417" spans="1:4" x14ac:dyDescent="0.25">
      <c r="A1417" s="5"/>
      <c r="C1417"/>
      <c r="D1417"/>
    </row>
    <row r="1418" spans="1:4" x14ac:dyDescent="0.25">
      <c r="A1418" s="5"/>
      <c r="C1418"/>
      <c r="D1418"/>
    </row>
    <row r="1419" spans="1:4" x14ac:dyDescent="0.25">
      <c r="A1419" s="5"/>
      <c r="C1419"/>
      <c r="D1419"/>
    </row>
    <row r="1420" spans="1:4" x14ac:dyDescent="0.25">
      <c r="A1420" s="5"/>
      <c r="C1420"/>
      <c r="D1420"/>
    </row>
    <row r="1421" spans="1:4" x14ac:dyDescent="0.25">
      <c r="A1421" s="5"/>
      <c r="C1421"/>
      <c r="D1421"/>
    </row>
    <row r="1422" spans="1:4" x14ac:dyDescent="0.25">
      <c r="A1422" s="5"/>
      <c r="C1422"/>
      <c r="D1422"/>
    </row>
    <row r="1423" spans="1:4" x14ac:dyDescent="0.25">
      <c r="A1423" s="5"/>
      <c r="C1423"/>
      <c r="D1423"/>
    </row>
    <row r="1424" spans="1:4" x14ac:dyDescent="0.25">
      <c r="A1424" s="5"/>
      <c r="C1424"/>
      <c r="D1424"/>
    </row>
    <row r="1425" spans="1:4" x14ac:dyDescent="0.25">
      <c r="A1425" s="5"/>
      <c r="C1425"/>
      <c r="D1425"/>
    </row>
    <row r="1426" spans="1:4" x14ac:dyDescent="0.25">
      <c r="A1426" s="5"/>
      <c r="C1426"/>
      <c r="D1426"/>
    </row>
    <row r="1427" spans="1:4" x14ac:dyDescent="0.25">
      <c r="A1427" s="5"/>
      <c r="C1427"/>
      <c r="D1427"/>
    </row>
    <row r="1428" spans="1:4" x14ac:dyDescent="0.25">
      <c r="A1428" s="5"/>
      <c r="C1428"/>
      <c r="D1428"/>
    </row>
    <row r="1429" spans="1:4" x14ac:dyDescent="0.25">
      <c r="A1429" s="5"/>
      <c r="C1429"/>
      <c r="D1429"/>
    </row>
    <row r="1430" spans="1:4" x14ac:dyDescent="0.25">
      <c r="A1430" s="5"/>
      <c r="C1430"/>
      <c r="D1430"/>
    </row>
    <row r="1431" spans="1:4" x14ac:dyDescent="0.25">
      <c r="A1431" s="5"/>
      <c r="C1431"/>
      <c r="D1431"/>
    </row>
    <row r="1432" spans="1:4" x14ac:dyDescent="0.25">
      <c r="A1432" s="5"/>
      <c r="C1432"/>
      <c r="D1432"/>
    </row>
    <row r="1433" spans="1:4" x14ac:dyDescent="0.25">
      <c r="A1433" s="5"/>
      <c r="C1433"/>
      <c r="D1433"/>
    </row>
    <row r="1434" spans="1:4" x14ac:dyDescent="0.25">
      <c r="A1434" s="5"/>
      <c r="C1434"/>
      <c r="D1434"/>
    </row>
    <row r="1435" spans="1:4" x14ac:dyDescent="0.25">
      <c r="A1435" s="5"/>
      <c r="C1435"/>
      <c r="D1435"/>
    </row>
    <row r="1436" spans="1:4" x14ac:dyDescent="0.25">
      <c r="A1436" s="5"/>
      <c r="C1436"/>
      <c r="D1436"/>
    </row>
    <row r="1437" spans="1:4" x14ac:dyDescent="0.25">
      <c r="A1437" s="5"/>
      <c r="C1437"/>
      <c r="D1437"/>
    </row>
    <row r="1438" spans="1:4" x14ac:dyDescent="0.25">
      <c r="A1438" s="5"/>
      <c r="C1438"/>
      <c r="D1438"/>
    </row>
    <row r="1439" spans="1:4" x14ac:dyDescent="0.25">
      <c r="A1439" s="5"/>
      <c r="C1439"/>
      <c r="D1439"/>
    </row>
    <row r="1440" spans="1:4" x14ac:dyDescent="0.25">
      <c r="A1440" s="5"/>
      <c r="C1440"/>
      <c r="D1440"/>
    </row>
    <row r="1441" spans="1:4" x14ac:dyDescent="0.25">
      <c r="A1441" s="5"/>
      <c r="C1441"/>
      <c r="D1441"/>
    </row>
    <row r="1442" spans="1:4" x14ac:dyDescent="0.25">
      <c r="A1442" s="5"/>
      <c r="C1442"/>
      <c r="D1442"/>
    </row>
    <row r="1443" spans="1:4" x14ac:dyDescent="0.25">
      <c r="A1443" s="5"/>
      <c r="C1443"/>
      <c r="D1443"/>
    </row>
    <row r="1444" spans="1:4" x14ac:dyDescent="0.25">
      <c r="A1444" s="5"/>
      <c r="C1444"/>
      <c r="D1444"/>
    </row>
    <row r="1445" spans="1:4" x14ac:dyDescent="0.25">
      <c r="A1445" s="5"/>
      <c r="C1445"/>
      <c r="D1445"/>
    </row>
    <row r="1446" spans="1:4" x14ac:dyDescent="0.25">
      <c r="A1446" s="5"/>
      <c r="C1446"/>
      <c r="D1446"/>
    </row>
    <row r="1447" spans="1:4" x14ac:dyDescent="0.25">
      <c r="A1447" s="5"/>
      <c r="C1447"/>
      <c r="D1447"/>
    </row>
    <row r="1448" spans="1:4" x14ac:dyDescent="0.25">
      <c r="A1448" s="5"/>
      <c r="C1448"/>
      <c r="D1448"/>
    </row>
    <row r="1449" spans="1:4" x14ac:dyDescent="0.25">
      <c r="A1449" s="5"/>
      <c r="C1449"/>
      <c r="D1449"/>
    </row>
    <row r="1450" spans="1:4" x14ac:dyDescent="0.25">
      <c r="A1450" s="5"/>
      <c r="C1450"/>
      <c r="D1450"/>
    </row>
    <row r="1451" spans="1:4" x14ac:dyDescent="0.25">
      <c r="A1451" s="5"/>
      <c r="C1451"/>
      <c r="D1451"/>
    </row>
    <row r="1452" spans="1:4" x14ac:dyDescent="0.25">
      <c r="A1452" s="5"/>
      <c r="C1452"/>
      <c r="D1452"/>
    </row>
    <row r="1453" spans="1:4" x14ac:dyDescent="0.25">
      <c r="A1453" s="5"/>
      <c r="C1453"/>
      <c r="D1453"/>
    </row>
    <row r="1454" spans="1:4" x14ac:dyDescent="0.25">
      <c r="A1454" s="5"/>
      <c r="C1454"/>
      <c r="D1454"/>
    </row>
    <row r="1455" spans="1:4" x14ac:dyDescent="0.25">
      <c r="A1455" s="5"/>
      <c r="C1455"/>
      <c r="D1455"/>
    </row>
    <row r="1456" spans="1:4" x14ac:dyDescent="0.25">
      <c r="A1456" s="5"/>
      <c r="C1456"/>
      <c r="D1456"/>
    </row>
    <row r="1457" spans="1:4" x14ac:dyDescent="0.25">
      <c r="A1457" s="5"/>
      <c r="C1457"/>
      <c r="D1457"/>
    </row>
    <row r="1458" spans="1:4" x14ac:dyDescent="0.25">
      <c r="A1458" s="5"/>
      <c r="C1458"/>
      <c r="D1458"/>
    </row>
    <row r="1459" spans="1:4" x14ac:dyDescent="0.25">
      <c r="A1459" s="5"/>
      <c r="C1459"/>
      <c r="D1459"/>
    </row>
    <row r="1460" spans="1:4" x14ac:dyDescent="0.25">
      <c r="A1460" s="5"/>
      <c r="C1460"/>
      <c r="D1460"/>
    </row>
    <row r="1461" spans="1:4" x14ac:dyDescent="0.25">
      <c r="A1461" s="5"/>
      <c r="C1461"/>
      <c r="D1461"/>
    </row>
    <row r="1462" spans="1:4" x14ac:dyDescent="0.25">
      <c r="A1462" s="5"/>
      <c r="C1462"/>
      <c r="D1462"/>
    </row>
    <row r="1463" spans="1:4" x14ac:dyDescent="0.25">
      <c r="A1463" s="5"/>
      <c r="C1463"/>
      <c r="D1463"/>
    </row>
    <row r="1464" spans="1:4" x14ac:dyDescent="0.25">
      <c r="A1464" s="5"/>
      <c r="C1464"/>
      <c r="D1464"/>
    </row>
    <row r="1465" spans="1:4" x14ac:dyDescent="0.25">
      <c r="A1465" s="5"/>
      <c r="C1465"/>
      <c r="D1465"/>
    </row>
    <row r="1466" spans="1:4" x14ac:dyDescent="0.25">
      <c r="A1466" s="5"/>
      <c r="C1466"/>
      <c r="D1466"/>
    </row>
    <row r="1467" spans="1:4" x14ac:dyDescent="0.25">
      <c r="A1467" s="5"/>
      <c r="C1467"/>
      <c r="D1467"/>
    </row>
    <row r="1468" spans="1:4" x14ac:dyDescent="0.25">
      <c r="A1468" s="5"/>
      <c r="C1468"/>
      <c r="D1468"/>
    </row>
    <row r="1469" spans="1:4" x14ac:dyDescent="0.25">
      <c r="A1469" s="5"/>
      <c r="C1469"/>
      <c r="D1469"/>
    </row>
    <row r="1470" spans="1:4" x14ac:dyDescent="0.25">
      <c r="A1470" s="5"/>
      <c r="C1470"/>
      <c r="D1470"/>
    </row>
    <row r="1471" spans="1:4" x14ac:dyDescent="0.25">
      <c r="A1471" s="5"/>
      <c r="C1471"/>
      <c r="D1471"/>
    </row>
    <row r="1472" spans="1:4" x14ac:dyDescent="0.25">
      <c r="A1472" s="5"/>
      <c r="C1472"/>
      <c r="D1472"/>
    </row>
    <row r="1473" spans="1:4" x14ac:dyDescent="0.25">
      <c r="A1473" s="5"/>
      <c r="C1473"/>
      <c r="D1473"/>
    </row>
    <row r="1474" spans="1:4" x14ac:dyDescent="0.25">
      <c r="A1474" s="5"/>
      <c r="C1474"/>
      <c r="D1474"/>
    </row>
    <row r="1475" spans="1:4" x14ac:dyDescent="0.25">
      <c r="A1475" s="5"/>
      <c r="C1475"/>
      <c r="D1475"/>
    </row>
    <row r="1476" spans="1:4" x14ac:dyDescent="0.25">
      <c r="A1476" s="5"/>
      <c r="C1476"/>
      <c r="D1476"/>
    </row>
    <row r="1477" spans="1:4" x14ac:dyDescent="0.25">
      <c r="A1477" s="5"/>
      <c r="C1477"/>
      <c r="D1477"/>
    </row>
    <row r="1478" spans="1:4" x14ac:dyDescent="0.25">
      <c r="A1478" s="5"/>
      <c r="C1478"/>
      <c r="D1478"/>
    </row>
    <row r="1479" spans="1:4" x14ac:dyDescent="0.25">
      <c r="A1479" s="5"/>
      <c r="C1479"/>
      <c r="D1479"/>
    </row>
    <row r="1480" spans="1:4" x14ac:dyDescent="0.25">
      <c r="A1480" s="5"/>
      <c r="C1480"/>
      <c r="D1480"/>
    </row>
    <row r="1481" spans="1:4" x14ac:dyDescent="0.25">
      <c r="A1481" s="5"/>
      <c r="C1481"/>
      <c r="D1481"/>
    </row>
    <row r="1482" spans="1:4" x14ac:dyDescent="0.25">
      <c r="A1482" s="5"/>
      <c r="C1482"/>
      <c r="D1482"/>
    </row>
    <row r="1483" spans="1:4" x14ac:dyDescent="0.25">
      <c r="A1483" s="5"/>
      <c r="C1483"/>
      <c r="D1483"/>
    </row>
    <row r="1484" spans="1:4" x14ac:dyDescent="0.25">
      <c r="A1484" s="5"/>
      <c r="C1484"/>
      <c r="D1484"/>
    </row>
    <row r="1485" spans="1:4" x14ac:dyDescent="0.25">
      <c r="A1485" s="5"/>
      <c r="C1485"/>
      <c r="D1485"/>
    </row>
    <row r="1486" spans="1:4" x14ac:dyDescent="0.25">
      <c r="A1486" s="5"/>
      <c r="C1486"/>
      <c r="D1486"/>
    </row>
    <row r="1487" spans="1:4" x14ac:dyDescent="0.25">
      <c r="A1487" s="5"/>
      <c r="C1487"/>
      <c r="D1487"/>
    </row>
    <row r="1488" spans="1:4" x14ac:dyDescent="0.25">
      <c r="A1488" s="5"/>
      <c r="C1488"/>
      <c r="D1488"/>
    </row>
    <row r="1489" spans="1:4" x14ac:dyDescent="0.25">
      <c r="A1489" s="5"/>
      <c r="C1489"/>
      <c r="D1489"/>
    </row>
    <row r="1490" spans="1:4" x14ac:dyDescent="0.25">
      <c r="A1490" s="5"/>
      <c r="C1490"/>
      <c r="D1490"/>
    </row>
    <row r="1491" spans="1:4" x14ac:dyDescent="0.25">
      <c r="A1491" s="5"/>
      <c r="C1491"/>
      <c r="D1491"/>
    </row>
    <row r="1492" spans="1:4" x14ac:dyDescent="0.25">
      <c r="A1492" s="5"/>
      <c r="C1492"/>
      <c r="D1492"/>
    </row>
    <row r="1493" spans="1:4" x14ac:dyDescent="0.25">
      <c r="A1493" s="5"/>
      <c r="C1493"/>
      <c r="D1493"/>
    </row>
    <row r="1494" spans="1:4" x14ac:dyDescent="0.25">
      <c r="A1494" s="5"/>
      <c r="C1494"/>
      <c r="D1494"/>
    </row>
    <row r="1495" spans="1:4" x14ac:dyDescent="0.25">
      <c r="A1495" s="5"/>
      <c r="C1495"/>
      <c r="D1495"/>
    </row>
    <row r="1496" spans="1:4" x14ac:dyDescent="0.25">
      <c r="A1496" s="5"/>
      <c r="C1496"/>
      <c r="D1496"/>
    </row>
    <row r="1497" spans="1:4" x14ac:dyDescent="0.25">
      <c r="A1497" s="5"/>
      <c r="C1497"/>
      <c r="D1497"/>
    </row>
    <row r="1498" spans="1:4" x14ac:dyDescent="0.25">
      <c r="A1498" s="5"/>
      <c r="C1498"/>
      <c r="D1498"/>
    </row>
    <row r="1499" spans="1:4" x14ac:dyDescent="0.25">
      <c r="A1499" s="5"/>
      <c r="C1499"/>
      <c r="D1499"/>
    </row>
    <row r="1500" spans="1:4" x14ac:dyDescent="0.25">
      <c r="A1500" s="5"/>
      <c r="C1500"/>
      <c r="D1500"/>
    </row>
    <row r="1501" spans="1:4" x14ac:dyDescent="0.25">
      <c r="A1501" s="5"/>
      <c r="C1501"/>
      <c r="D1501"/>
    </row>
    <row r="1502" spans="1:4" x14ac:dyDescent="0.25">
      <c r="A1502" s="5"/>
      <c r="C1502"/>
      <c r="D1502"/>
    </row>
    <row r="1503" spans="1:4" x14ac:dyDescent="0.25">
      <c r="A1503" s="5"/>
      <c r="C1503"/>
      <c r="D1503"/>
    </row>
    <row r="1504" spans="1:4" x14ac:dyDescent="0.25">
      <c r="A1504" s="5"/>
      <c r="C1504"/>
      <c r="D1504"/>
    </row>
    <row r="1505" spans="1:4" x14ac:dyDescent="0.25">
      <c r="A1505" s="5"/>
      <c r="C1505"/>
      <c r="D1505"/>
    </row>
    <row r="1506" spans="1:4" x14ac:dyDescent="0.25">
      <c r="A1506" s="5"/>
      <c r="C1506"/>
      <c r="D1506"/>
    </row>
    <row r="1507" spans="1:4" x14ac:dyDescent="0.25">
      <c r="A1507" s="5"/>
      <c r="C1507"/>
      <c r="D1507"/>
    </row>
    <row r="1508" spans="1:4" x14ac:dyDescent="0.25">
      <c r="A1508" s="5"/>
      <c r="C1508"/>
      <c r="D1508"/>
    </row>
    <row r="1509" spans="1:4" x14ac:dyDescent="0.25">
      <c r="A1509" s="5"/>
      <c r="C1509"/>
      <c r="D1509"/>
    </row>
    <row r="1510" spans="1:4" x14ac:dyDescent="0.25">
      <c r="A1510" s="5"/>
      <c r="C1510"/>
      <c r="D1510"/>
    </row>
    <row r="1511" spans="1:4" x14ac:dyDescent="0.25">
      <c r="A1511" s="5"/>
      <c r="C1511"/>
      <c r="D1511"/>
    </row>
    <row r="1512" spans="1:4" x14ac:dyDescent="0.25">
      <c r="A1512" s="5"/>
      <c r="C1512"/>
      <c r="D1512"/>
    </row>
    <row r="1513" spans="1:4" x14ac:dyDescent="0.25">
      <c r="A1513" s="5"/>
      <c r="C1513"/>
      <c r="D1513"/>
    </row>
    <row r="1514" spans="1:4" x14ac:dyDescent="0.25">
      <c r="A1514" s="5"/>
      <c r="C1514"/>
      <c r="D1514"/>
    </row>
    <row r="1515" spans="1:4" x14ac:dyDescent="0.25">
      <c r="A1515" s="5"/>
      <c r="C1515"/>
      <c r="D1515"/>
    </row>
    <row r="1516" spans="1:4" x14ac:dyDescent="0.25">
      <c r="A1516" s="5"/>
      <c r="C1516"/>
      <c r="D1516"/>
    </row>
    <row r="1517" spans="1:4" x14ac:dyDescent="0.25">
      <c r="A1517" s="5"/>
      <c r="C1517"/>
      <c r="D1517"/>
    </row>
    <row r="1518" spans="1:4" x14ac:dyDescent="0.25">
      <c r="A1518" s="5"/>
      <c r="C1518"/>
      <c r="D1518"/>
    </row>
    <row r="1519" spans="1:4" x14ac:dyDescent="0.25">
      <c r="A1519" s="5"/>
      <c r="C1519"/>
      <c r="D1519"/>
    </row>
    <row r="1520" spans="1:4" x14ac:dyDescent="0.25">
      <c r="A1520" s="5"/>
      <c r="C1520"/>
      <c r="D1520"/>
    </row>
    <row r="1521" spans="1:4" x14ac:dyDescent="0.25">
      <c r="A1521" s="5"/>
      <c r="C1521"/>
      <c r="D1521"/>
    </row>
    <row r="1522" spans="1:4" x14ac:dyDescent="0.25">
      <c r="A1522" s="5"/>
      <c r="C1522"/>
      <c r="D1522"/>
    </row>
    <row r="1523" spans="1:4" x14ac:dyDescent="0.25">
      <c r="A1523" s="5"/>
      <c r="C1523"/>
      <c r="D1523"/>
    </row>
    <row r="1524" spans="1:4" x14ac:dyDescent="0.25">
      <c r="A1524" s="5"/>
      <c r="C1524"/>
      <c r="D1524"/>
    </row>
    <row r="1525" spans="1:4" x14ac:dyDescent="0.25">
      <c r="A1525" s="5"/>
      <c r="C1525"/>
      <c r="D1525"/>
    </row>
    <row r="1526" spans="1:4" x14ac:dyDescent="0.25">
      <c r="A1526" s="5"/>
      <c r="C1526"/>
      <c r="D1526"/>
    </row>
    <row r="1527" spans="1:4" x14ac:dyDescent="0.25">
      <c r="A1527" s="5"/>
      <c r="C1527"/>
      <c r="D1527"/>
    </row>
    <row r="1528" spans="1:4" x14ac:dyDescent="0.25">
      <c r="A1528" s="5"/>
      <c r="C1528"/>
      <c r="D1528"/>
    </row>
    <row r="1529" spans="1:4" x14ac:dyDescent="0.25">
      <c r="A1529" s="5"/>
      <c r="C1529"/>
      <c r="D1529"/>
    </row>
    <row r="1530" spans="1:4" x14ac:dyDescent="0.25">
      <c r="A1530" s="5"/>
      <c r="C1530"/>
      <c r="D1530"/>
    </row>
    <row r="1531" spans="1:4" x14ac:dyDescent="0.25">
      <c r="A1531" s="5"/>
      <c r="C1531"/>
      <c r="D1531"/>
    </row>
    <row r="1532" spans="1:4" x14ac:dyDescent="0.25">
      <c r="A1532" s="5"/>
      <c r="C1532"/>
      <c r="D1532"/>
    </row>
    <row r="1533" spans="1:4" x14ac:dyDescent="0.25">
      <c r="A1533" s="5"/>
      <c r="C1533"/>
      <c r="D1533"/>
    </row>
    <row r="1534" spans="1:4" x14ac:dyDescent="0.25">
      <c r="A1534" s="5"/>
      <c r="C1534"/>
      <c r="D1534"/>
    </row>
    <row r="1535" spans="1:4" x14ac:dyDescent="0.25">
      <c r="A1535" s="5"/>
      <c r="C1535"/>
      <c r="D1535"/>
    </row>
    <row r="1536" spans="1:4" x14ac:dyDescent="0.25">
      <c r="A1536" s="5"/>
      <c r="C1536"/>
      <c r="D1536"/>
    </row>
    <row r="1537" spans="1:4" x14ac:dyDescent="0.25">
      <c r="A1537" s="5"/>
      <c r="C1537"/>
      <c r="D1537"/>
    </row>
    <row r="1538" spans="1:4" x14ac:dyDescent="0.25">
      <c r="A1538" s="5"/>
      <c r="C1538"/>
      <c r="D1538"/>
    </row>
    <row r="1539" spans="1:4" x14ac:dyDescent="0.25">
      <c r="A1539" s="5"/>
      <c r="C1539"/>
      <c r="D1539"/>
    </row>
    <row r="1540" spans="1:4" x14ac:dyDescent="0.25">
      <c r="A1540" s="5"/>
      <c r="C1540"/>
      <c r="D1540"/>
    </row>
    <row r="1541" spans="1:4" x14ac:dyDescent="0.25">
      <c r="A1541" s="5"/>
      <c r="C1541"/>
      <c r="D1541"/>
    </row>
    <row r="1542" spans="1:4" x14ac:dyDescent="0.25">
      <c r="A1542" s="5"/>
      <c r="C1542"/>
      <c r="D1542"/>
    </row>
    <row r="1543" spans="1:4" x14ac:dyDescent="0.25">
      <c r="A1543" s="5"/>
      <c r="C1543"/>
      <c r="D1543"/>
    </row>
    <row r="1544" spans="1:4" x14ac:dyDescent="0.25">
      <c r="A1544" s="5"/>
      <c r="C1544"/>
      <c r="D1544"/>
    </row>
    <row r="1545" spans="1:4" x14ac:dyDescent="0.25">
      <c r="A1545" s="5"/>
      <c r="C1545"/>
      <c r="D1545"/>
    </row>
    <row r="1546" spans="1:4" x14ac:dyDescent="0.25">
      <c r="A1546" s="5"/>
      <c r="C1546"/>
      <c r="D1546"/>
    </row>
    <row r="1547" spans="1:4" x14ac:dyDescent="0.25">
      <c r="A1547" s="5"/>
      <c r="C1547"/>
      <c r="D1547"/>
    </row>
    <row r="1548" spans="1:4" x14ac:dyDescent="0.25">
      <c r="A1548" s="5"/>
      <c r="C1548"/>
      <c r="D1548"/>
    </row>
    <row r="1549" spans="1:4" x14ac:dyDescent="0.25">
      <c r="A1549" s="5"/>
      <c r="C1549"/>
      <c r="D1549"/>
    </row>
    <row r="1550" spans="1:4" x14ac:dyDescent="0.25">
      <c r="A1550" s="5"/>
      <c r="C1550"/>
      <c r="D1550"/>
    </row>
    <row r="1551" spans="1:4" x14ac:dyDescent="0.25">
      <c r="A1551" s="5"/>
      <c r="C1551"/>
      <c r="D1551"/>
    </row>
    <row r="1552" spans="1:4" x14ac:dyDescent="0.25">
      <c r="A1552" s="5"/>
      <c r="C1552"/>
      <c r="D1552"/>
    </row>
    <row r="1553" spans="1:4" x14ac:dyDescent="0.25">
      <c r="A1553" s="5"/>
      <c r="C1553"/>
      <c r="D1553"/>
    </row>
    <row r="1554" spans="1:4" x14ac:dyDescent="0.25">
      <c r="A1554" s="5"/>
      <c r="C1554"/>
      <c r="D1554"/>
    </row>
    <row r="1555" spans="1:4" x14ac:dyDescent="0.25">
      <c r="A1555" s="5"/>
      <c r="C1555"/>
      <c r="D1555"/>
    </row>
    <row r="1556" spans="1:4" x14ac:dyDescent="0.25">
      <c r="A1556" s="5"/>
      <c r="C1556"/>
      <c r="D1556"/>
    </row>
    <row r="1557" spans="1:4" x14ac:dyDescent="0.25">
      <c r="A1557" s="5"/>
      <c r="C1557"/>
      <c r="D1557"/>
    </row>
    <row r="1558" spans="1:4" x14ac:dyDescent="0.25">
      <c r="A1558" s="5"/>
      <c r="C1558"/>
      <c r="D1558"/>
    </row>
    <row r="1559" spans="1:4" x14ac:dyDescent="0.25">
      <c r="A1559" s="5"/>
      <c r="C1559"/>
      <c r="D1559"/>
    </row>
    <row r="1560" spans="1:4" x14ac:dyDescent="0.25">
      <c r="A1560" s="5"/>
      <c r="C1560"/>
      <c r="D1560"/>
    </row>
    <row r="1561" spans="1:4" x14ac:dyDescent="0.25">
      <c r="A1561" s="5"/>
      <c r="C1561"/>
      <c r="D1561"/>
    </row>
    <row r="1562" spans="1:4" x14ac:dyDescent="0.25">
      <c r="A1562" s="5"/>
      <c r="C1562"/>
      <c r="D1562"/>
    </row>
    <row r="1563" spans="1:4" x14ac:dyDescent="0.25">
      <c r="A1563" s="5"/>
      <c r="C1563"/>
      <c r="D1563"/>
    </row>
    <row r="1564" spans="1:4" x14ac:dyDescent="0.25">
      <c r="A1564" s="5"/>
      <c r="C1564"/>
      <c r="D1564"/>
    </row>
    <row r="1565" spans="1:4" x14ac:dyDescent="0.25">
      <c r="A1565" s="5"/>
      <c r="C1565"/>
      <c r="D1565"/>
    </row>
    <row r="1566" spans="1:4" x14ac:dyDescent="0.25">
      <c r="A1566" s="5"/>
      <c r="C1566"/>
      <c r="D1566"/>
    </row>
    <row r="1567" spans="1:4" x14ac:dyDescent="0.25">
      <c r="A1567" s="5"/>
      <c r="C1567"/>
      <c r="D1567"/>
    </row>
    <row r="1568" spans="1:4" x14ac:dyDescent="0.25">
      <c r="A1568" s="5"/>
      <c r="C1568"/>
      <c r="D1568"/>
    </row>
    <row r="1569" spans="1:4" x14ac:dyDescent="0.25">
      <c r="A1569" s="5"/>
      <c r="C1569"/>
      <c r="D1569"/>
    </row>
    <row r="1570" spans="1:4" x14ac:dyDescent="0.25">
      <c r="A1570" s="5"/>
      <c r="C1570"/>
      <c r="D1570"/>
    </row>
    <row r="1571" spans="1:4" x14ac:dyDescent="0.25">
      <c r="A1571" s="5"/>
      <c r="C1571"/>
      <c r="D1571"/>
    </row>
    <row r="1572" spans="1:4" x14ac:dyDescent="0.25">
      <c r="A1572" s="5"/>
      <c r="C1572"/>
      <c r="D1572"/>
    </row>
    <row r="1573" spans="1:4" x14ac:dyDescent="0.25">
      <c r="A1573" s="5"/>
      <c r="C1573"/>
      <c r="D1573"/>
    </row>
    <row r="1574" spans="1:4" x14ac:dyDescent="0.25">
      <c r="A1574" s="5"/>
      <c r="C1574"/>
      <c r="D1574"/>
    </row>
    <row r="1575" spans="1:4" x14ac:dyDescent="0.25">
      <c r="A1575" s="5"/>
      <c r="C1575"/>
      <c r="D1575"/>
    </row>
    <row r="1576" spans="1:4" x14ac:dyDescent="0.25">
      <c r="A1576" s="5"/>
      <c r="C1576"/>
      <c r="D1576"/>
    </row>
    <row r="1577" spans="1:4" x14ac:dyDescent="0.25">
      <c r="A1577" s="5"/>
      <c r="C1577"/>
      <c r="D1577"/>
    </row>
    <row r="1578" spans="1:4" x14ac:dyDescent="0.25">
      <c r="A1578" s="5"/>
      <c r="C1578"/>
      <c r="D1578"/>
    </row>
    <row r="1579" spans="1:4" x14ac:dyDescent="0.25">
      <c r="A1579" s="5"/>
      <c r="C1579"/>
      <c r="D1579"/>
    </row>
    <row r="1580" spans="1:4" x14ac:dyDescent="0.25">
      <c r="A1580" s="5"/>
      <c r="C1580"/>
      <c r="D1580"/>
    </row>
    <row r="1581" spans="1:4" x14ac:dyDescent="0.25">
      <c r="A1581" s="5"/>
      <c r="C1581"/>
      <c r="D1581"/>
    </row>
    <row r="1582" spans="1:4" x14ac:dyDescent="0.25">
      <c r="A1582" s="5"/>
      <c r="C1582"/>
      <c r="D1582"/>
    </row>
    <row r="1583" spans="1:4" x14ac:dyDescent="0.25">
      <c r="A1583" s="5"/>
      <c r="C1583"/>
      <c r="D1583"/>
    </row>
    <row r="1584" spans="1:4" x14ac:dyDescent="0.25">
      <c r="A1584" s="5"/>
      <c r="C1584"/>
      <c r="D1584"/>
    </row>
    <row r="1585" spans="1:4" x14ac:dyDescent="0.25">
      <c r="A1585" s="5"/>
      <c r="C1585"/>
      <c r="D1585"/>
    </row>
    <row r="1586" spans="1:4" x14ac:dyDescent="0.25">
      <c r="A1586" s="5"/>
      <c r="C1586"/>
      <c r="D1586"/>
    </row>
    <row r="1587" spans="1:4" x14ac:dyDescent="0.25">
      <c r="A1587" s="5"/>
      <c r="C1587"/>
      <c r="D1587"/>
    </row>
    <row r="1588" spans="1:4" x14ac:dyDescent="0.25">
      <c r="A1588" s="5"/>
      <c r="C1588"/>
      <c r="D1588"/>
    </row>
    <row r="1589" spans="1:4" x14ac:dyDescent="0.25">
      <c r="A1589" s="5"/>
      <c r="C1589"/>
      <c r="D1589"/>
    </row>
    <row r="1590" spans="1:4" x14ac:dyDescent="0.25">
      <c r="A1590" s="5"/>
      <c r="C1590"/>
      <c r="D1590"/>
    </row>
    <row r="1591" spans="1:4" x14ac:dyDescent="0.25">
      <c r="A1591" s="5"/>
      <c r="C1591"/>
      <c r="D1591"/>
    </row>
    <row r="1592" spans="1:4" x14ac:dyDescent="0.25">
      <c r="A1592" s="5"/>
      <c r="C1592"/>
      <c r="D1592"/>
    </row>
    <row r="1593" spans="1:4" x14ac:dyDescent="0.25">
      <c r="A1593" s="5"/>
      <c r="C1593"/>
      <c r="D1593"/>
    </row>
    <row r="1594" spans="1:4" x14ac:dyDescent="0.25">
      <c r="A1594" s="5"/>
      <c r="C1594"/>
      <c r="D1594"/>
    </row>
    <row r="1595" spans="1:4" x14ac:dyDescent="0.25">
      <c r="A1595" s="5"/>
      <c r="C1595"/>
      <c r="D1595"/>
    </row>
    <row r="1596" spans="1:4" x14ac:dyDescent="0.25">
      <c r="A1596" s="5"/>
      <c r="C1596"/>
      <c r="D1596"/>
    </row>
    <row r="1597" spans="1:4" x14ac:dyDescent="0.25">
      <c r="A1597" s="5"/>
      <c r="C1597"/>
      <c r="D1597"/>
    </row>
    <row r="1598" spans="1:4" x14ac:dyDescent="0.25">
      <c r="A1598" s="5"/>
      <c r="C1598"/>
      <c r="D1598"/>
    </row>
    <row r="1599" spans="1:4" x14ac:dyDescent="0.25">
      <c r="A1599" s="5"/>
      <c r="C1599"/>
      <c r="D1599"/>
    </row>
    <row r="1600" spans="1:4" x14ac:dyDescent="0.25">
      <c r="A1600" s="5"/>
      <c r="C1600"/>
      <c r="D1600"/>
    </row>
    <row r="1601" spans="1:4" x14ac:dyDescent="0.25">
      <c r="A1601" s="5"/>
      <c r="C1601"/>
      <c r="D1601"/>
    </row>
    <row r="1602" spans="1:4" x14ac:dyDescent="0.25">
      <c r="A1602" s="5"/>
      <c r="C1602"/>
      <c r="D1602"/>
    </row>
    <row r="1603" spans="1:4" x14ac:dyDescent="0.25">
      <c r="A1603" s="5"/>
      <c r="C1603"/>
      <c r="D1603"/>
    </row>
    <row r="1604" spans="1:4" x14ac:dyDescent="0.25">
      <c r="A1604" s="5"/>
      <c r="C1604"/>
      <c r="D1604"/>
    </row>
    <row r="1605" spans="1:4" x14ac:dyDescent="0.25">
      <c r="A1605" s="5"/>
      <c r="C1605"/>
      <c r="D1605"/>
    </row>
    <row r="1606" spans="1:4" x14ac:dyDescent="0.25">
      <c r="A1606" s="5"/>
      <c r="C1606"/>
      <c r="D1606"/>
    </row>
    <row r="1607" spans="1:4" x14ac:dyDescent="0.25">
      <c r="A1607" s="5"/>
      <c r="C1607"/>
      <c r="D1607"/>
    </row>
    <row r="1608" spans="1:4" x14ac:dyDescent="0.25">
      <c r="A1608" s="5"/>
      <c r="C1608"/>
      <c r="D1608"/>
    </row>
    <row r="1609" spans="1:4" x14ac:dyDescent="0.25">
      <c r="A1609" s="5"/>
      <c r="C1609"/>
      <c r="D1609"/>
    </row>
    <row r="1610" spans="1:4" x14ac:dyDescent="0.25">
      <c r="A1610" s="5"/>
      <c r="C1610"/>
      <c r="D1610"/>
    </row>
    <row r="1611" spans="1:4" x14ac:dyDescent="0.25">
      <c r="A1611" s="5"/>
      <c r="C1611"/>
      <c r="D1611"/>
    </row>
    <row r="1612" spans="1:4" x14ac:dyDescent="0.25">
      <c r="A1612" s="5"/>
      <c r="C1612"/>
      <c r="D1612"/>
    </row>
    <row r="1613" spans="1:4" x14ac:dyDescent="0.25">
      <c r="A1613" s="5"/>
      <c r="C1613"/>
      <c r="D1613"/>
    </row>
    <row r="1614" spans="1:4" x14ac:dyDescent="0.25">
      <c r="A1614" s="5"/>
      <c r="C1614"/>
      <c r="D1614"/>
    </row>
    <row r="1615" spans="1:4" x14ac:dyDescent="0.25">
      <c r="A1615" s="5"/>
      <c r="C1615"/>
      <c r="D1615"/>
    </row>
    <row r="1616" spans="1:4" x14ac:dyDescent="0.25">
      <c r="A1616" s="5"/>
      <c r="C1616"/>
      <c r="D1616"/>
    </row>
    <row r="1617" spans="1:4" x14ac:dyDescent="0.25">
      <c r="A1617" s="5"/>
      <c r="C1617"/>
      <c r="D1617"/>
    </row>
    <row r="1618" spans="1:4" x14ac:dyDescent="0.25">
      <c r="A1618" s="5"/>
      <c r="C1618"/>
      <c r="D1618"/>
    </row>
    <row r="1619" spans="1:4" x14ac:dyDescent="0.25">
      <c r="A1619" s="5"/>
      <c r="C1619"/>
      <c r="D1619"/>
    </row>
    <row r="1620" spans="1:4" x14ac:dyDescent="0.25">
      <c r="A1620" s="5"/>
      <c r="C1620"/>
      <c r="D1620"/>
    </row>
    <row r="1621" spans="1:4" x14ac:dyDescent="0.25">
      <c r="A1621" s="5"/>
      <c r="C1621"/>
      <c r="D1621"/>
    </row>
    <row r="1622" spans="1:4" x14ac:dyDescent="0.25">
      <c r="A1622" s="5"/>
      <c r="C1622"/>
      <c r="D1622"/>
    </row>
    <row r="1623" spans="1:4" x14ac:dyDescent="0.25">
      <c r="A1623" s="5"/>
      <c r="C1623"/>
      <c r="D1623"/>
    </row>
    <row r="1624" spans="1:4" x14ac:dyDescent="0.25">
      <c r="A1624" s="5"/>
      <c r="C1624"/>
      <c r="D1624"/>
    </row>
    <row r="1625" spans="1:4" x14ac:dyDescent="0.25">
      <c r="A1625" s="5"/>
      <c r="C1625"/>
      <c r="D1625"/>
    </row>
    <row r="1626" spans="1:4" x14ac:dyDescent="0.25">
      <c r="A1626" s="5"/>
      <c r="C1626"/>
      <c r="D1626"/>
    </row>
    <row r="1627" spans="1:4" x14ac:dyDescent="0.25">
      <c r="A1627" s="5"/>
      <c r="C1627"/>
      <c r="D1627"/>
    </row>
    <row r="1628" spans="1:4" x14ac:dyDescent="0.25">
      <c r="A1628" s="5"/>
      <c r="C1628"/>
      <c r="D1628"/>
    </row>
    <row r="1629" spans="1:4" x14ac:dyDescent="0.25">
      <c r="A1629" s="5"/>
      <c r="C1629"/>
      <c r="D1629"/>
    </row>
    <row r="1630" spans="1:4" x14ac:dyDescent="0.25">
      <c r="A1630" s="5"/>
      <c r="C1630"/>
      <c r="D1630"/>
    </row>
    <row r="1631" spans="1:4" x14ac:dyDescent="0.25">
      <c r="A1631" s="5"/>
      <c r="C1631"/>
      <c r="D1631"/>
    </row>
    <row r="1632" spans="1:4" x14ac:dyDescent="0.25">
      <c r="A1632" s="5"/>
      <c r="C1632"/>
      <c r="D1632"/>
    </row>
    <row r="1633" spans="1:4" x14ac:dyDescent="0.25">
      <c r="A1633" s="5"/>
      <c r="C1633"/>
      <c r="D1633"/>
    </row>
    <row r="1634" spans="1:4" x14ac:dyDescent="0.25">
      <c r="A1634" s="5"/>
      <c r="C1634"/>
      <c r="D1634"/>
    </row>
    <row r="1635" spans="1:4" x14ac:dyDescent="0.25">
      <c r="A1635" s="5"/>
      <c r="C1635"/>
      <c r="D1635"/>
    </row>
    <row r="1636" spans="1:4" x14ac:dyDescent="0.25">
      <c r="A1636" s="5"/>
      <c r="C1636"/>
      <c r="D1636"/>
    </row>
    <row r="1637" spans="1:4" x14ac:dyDescent="0.25">
      <c r="A1637" s="5"/>
      <c r="C1637"/>
      <c r="D1637"/>
    </row>
    <row r="1638" spans="1:4" x14ac:dyDescent="0.25">
      <c r="A1638" s="5"/>
      <c r="C1638"/>
      <c r="D1638"/>
    </row>
    <row r="1639" spans="1:4" x14ac:dyDescent="0.25">
      <c r="A1639" s="5"/>
      <c r="C1639"/>
      <c r="D1639"/>
    </row>
    <row r="1640" spans="1:4" x14ac:dyDescent="0.25">
      <c r="A1640" s="5"/>
      <c r="C1640"/>
      <c r="D1640"/>
    </row>
    <row r="1641" spans="1:4" x14ac:dyDescent="0.25">
      <c r="A1641" s="5"/>
      <c r="C1641"/>
      <c r="D1641"/>
    </row>
    <row r="1642" spans="1:4" x14ac:dyDescent="0.25">
      <c r="A1642" s="5"/>
      <c r="C1642"/>
      <c r="D1642"/>
    </row>
    <row r="1643" spans="1:4" x14ac:dyDescent="0.25">
      <c r="A1643" s="5"/>
      <c r="C1643"/>
      <c r="D1643"/>
    </row>
    <row r="1644" spans="1:4" x14ac:dyDescent="0.25">
      <c r="A1644" s="5"/>
      <c r="C1644"/>
      <c r="D1644"/>
    </row>
    <row r="1645" spans="1:4" x14ac:dyDescent="0.25">
      <c r="A1645" s="5"/>
      <c r="C1645"/>
      <c r="D1645"/>
    </row>
    <row r="1646" spans="1:4" x14ac:dyDescent="0.25">
      <c r="A1646" s="5"/>
      <c r="C1646"/>
      <c r="D1646"/>
    </row>
    <row r="1647" spans="1:4" x14ac:dyDescent="0.25">
      <c r="A1647" s="5"/>
      <c r="C1647"/>
      <c r="D1647"/>
    </row>
    <row r="1648" spans="1:4" x14ac:dyDescent="0.25">
      <c r="A1648" s="5"/>
      <c r="C1648"/>
      <c r="D1648"/>
    </row>
    <row r="1649" spans="1:4" x14ac:dyDescent="0.25">
      <c r="A1649" s="5"/>
      <c r="C1649"/>
      <c r="D1649"/>
    </row>
    <row r="1650" spans="1:4" x14ac:dyDescent="0.25">
      <c r="A1650" s="5"/>
      <c r="C1650"/>
      <c r="D1650"/>
    </row>
    <row r="1651" spans="1:4" x14ac:dyDescent="0.25">
      <c r="A1651" s="5"/>
      <c r="C1651"/>
      <c r="D1651"/>
    </row>
    <row r="1652" spans="1:4" x14ac:dyDescent="0.25">
      <c r="A1652" s="5"/>
      <c r="C1652"/>
      <c r="D1652"/>
    </row>
    <row r="1653" spans="1:4" x14ac:dyDescent="0.25">
      <c r="A1653" s="5"/>
      <c r="C1653"/>
      <c r="D1653"/>
    </row>
    <row r="1654" spans="1:4" x14ac:dyDescent="0.25">
      <c r="A1654" s="5"/>
      <c r="C1654"/>
      <c r="D1654"/>
    </row>
    <row r="1655" spans="1:4" x14ac:dyDescent="0.25">
      <c r="A1655" s="5"/>
      <c r="C1655"/>
      <c r="D1655"/>
    </row>
    <row r="1656" spans="1:4" x14ac:dyDescent="0.25">
      <c r="A1656" s="5"/>
      <c r="C1656"/>
      <c r="D1656"/>
    </row>
    <row r="1657" spans="1:4" x14ac:dyDescent="0.25">
      <c r="A1657" s="5"/>
      <c r="C1657"/>
      <c r="D1657"/>
    </row>
    <row r="1658" spans="1:4" x14ac:dyDescent="0.25">
      <c r="A1658" s="5"/>
      <c r="C1658"/>
      <c r="D1658"/>
    </row>
    <row r="1659" spans="1:4" x14ac:dyDescent="0.25">
      <c r="A1659" s="5"/>
      <c r="C1659"/>
      <c r="D1659"/>
    </row>
    <row r="1660" spans="1:4" x14ac:dyDescent="0.25">
      <c r="A1660" s="5"/>
      <c r="C1660"/>
      <c r="D1660"/>
    </row>
    <row r="1661" spans="1:4" x14ac:dyDescent="0.25">
      <c r="A1661" s="5"/>
      <c r="C1661"/>
      <c r="D1661"/>
    </row>
    <row r="1662" spans="1:4" x14ac:dyDescent="0.25">
      <c r="A1662" s="5"/>
      <c r="C1662"/>
      <c r="D1662"/>
    </row>
    <row r="1663" spans="1:4" x14ac:dyDescent="0.25">
      <c r="A1663" s="5"/>
      <c r="C1663"/>
      <c r="D1663"/>
    </row>
    <row r="1664" spans="1:4" x14ac:dyDescent="0.25">
      <c r="A1664" s="5"/>
      <c r="C1664"/>
      <c r="D1664"/>
    </row>
    <row r="1665" spans="1:4" x14ac:dyDescent="0.25">
      <c r="A1665" s="5"/>
      <c r="C1665"/>
      <c r="D1665"/>
    </row>
    <row r="1666" spans="1:4" x14ac:dyDescent="0.25">
      <c r="A1666" s="5"/>
      <c r="C1666"/>
      <c r="D1666"/>
    </row>
    <row r="1667" spans="1:4" x14ac:dyDescent="0.25">
      <c r="A1667" s="5"/>
      <c r="C1667"/>
      <c r="D1667"/>
    </row>
    <row r="1668" spans="1:4" x14ac:dyDescent="0.25">
      <c r="A1668" s="5"/>
      <c r="C1668"/>
      <c r="D1668"/>
    </row>
    <row r="1669" spans="1:4" x14ac:dyDescent="0.25">
      <c r="A1669" s="5"/>
      <c r="C1669"/>
      <c r="D1669"/>
    </row>
    <row r="1670" spans="1:4" x14ac:dyDescent="0.25">
      <c r="A1670" s="5"/>
      <c r="C1670"/>
      <c r="D1670"/>
    </row>
    <row r="1671" spans="1:4" x14ac:dyDescent="0.25">
      <c r="A1671" s="5"/>
      <c r="C1671"/>
      <c r="D1671"/>
    </row>
    <row r="1672" spans="1:4" x14ac:dyDescent="0.25">
      <c r="A1672" s="5"/>
      <c r="C1672"/>
      <c r="D1672"/>
    </row>
    <row r="1673" spans="1:4" x14ac:dyDescent="0.25">
      <c r="A1673" s="5"/>
      <c r="C1673"/>
      <c r="D1673"/>
    </row>
    <row r="1674" spans="1:4" x14ac:dyDescent="0.25">
      <c r="A1674" s="5"/>
      <c r="C1674"/>
      <c r="D1674"/>
    </row>
    <row r="1675" spans="1:4" x14ac:dyDescent="0.25">
      <c r="A1675" s="5"/>
      <c r="C1675"/>
      <c r="D1675"/>
    </row>
    <row r="1676" spans="1:4" x14ac:dyDescent="0.25">
      <c r="A1676" s="5"/>
      <c r="C1676"/>
      <c r="D1676"/>
    </row>
    <row r="1677" spans="1:4" x14ac:dyDescent="0.25">
      <c r="A1677" s="5"/>
      <c r="C1677"/>
      <c r="D1677"/>
    </row>
    <row r="1678" spans="1:4" x14ac:dyDescent="0.25">
      <c r="A1678" s="5"/>
      <c r="C1678"/>
      <c r="D1678"/>
    </row>
    <row r="1679" spans="1:4" x14ac:dyDescent="0.25">
      <c r="A1679" s="5"/>
      <c r="C1679"/>
      <c r="D1679"/>
    </row>
    <row r="1680" spans="1:4" x14ac:dyDescent="0.25">
      <c r="A1680" s="5"/>
      <c r="C1680"/>
      <c r="D1680"/>
    </row>
    <row r="1681" spans="1:4" x14ac:dyDescent="0.25">
      <c r="A1681" s="5"/>
      <c r="C1681"/>
      <c r="D1681"/>
    </row>
    <row r="1682" spans="1:4" x14ac:dyDescent="0.25">
      <c r="A1682" s="5"/>
      <c r="C1682"/>
      <c r="D1682"/>
    </row>
    <row r="1683" spans="1:4" x14ac:dyDescent="0.25">
      <c r="A1683" s="5"/>
      <c r="C1683"/>
      <c r="D1683"/>
    </row>
    <row r="1684" spans="1:4" x14ac:dyDescent="0.25">
      <c r="A1684" s="5"/>
      <c r="C1684"/>
      <c r="D1684"/>
    </row>
    <row r="1685" spans="1:4" x14ac:dyDescent="0.25">
      <c r="A1685" s="5"/>
      <c r="C1685"/>
      <c r="D1685"/>
    </row>
    <row r="1686" spans="1:4" x14ac:dyDescent="0.25">
      <c r="A1686" s="5"/>
      <c r="C1686"/>
      <c r="D1686"/>
    </row>
    <row r="1687" spans="1:4" x14ac:dyDescent="0.25">
      <c r="A1687" s="5"/>
      <c r="C1687"/>
      <c r="D1687"/>
    </row>
    <row r="1688" spans="1:4" x14ac:dyDescent="0.25">
      <c r="A1688" s="5"/>
      <c r="C1688"/>
      <c r="D1688"/>
    </row>
    <row r="1689" spans="1:4" x14ac:dyDescent="0.25">
      <c r="A1689" s="5"/>
      <c r="C1689"/>
      <c r="D1689"/>
    </row>
    <row r="1690" spans="1:4" x14ac:dyDescent="0.25">
      <c r="A1690" s="5"/>
      <c r="C1690"/>
      <c r="D1690"/>
    </row>
    <row r="1691" spans="1:4" x14ac:dyDescent="0.25">
      <c r="A1691" s="5"/>
      <c r="C1691"/>
      <c r="D1691"/>
    </row>
    <row r="1692" spans="1:4" x14ac:dyDescent="0.25">
      <c r="A1692" s="5"/>
      <c r="C1692"/>
      <c r="D1692"/>
    </row>
    <row r="1693" spans="1:4" x14ac:dyDescent="0.25">
      <c r="A1693" s="5"/>
      <c r="C1693"/>
      <c r="D1693"/>
    </row>
    <row r="1694" spans="1:4" x14ac:dyDescent="0.25">
      <c r="A1694" s="5"/>
      <c r="C1694"/>
      <c r="D1694"/>
    </row>
    <row r="1695" spans="1:4" x14ac:dyDescent="0.25">
      <c r="A1695" s="5"/>
      <c r="C1695"/>
      <c r="D1695"/>
    </row>
    <row r="1696" spans="1:4" x14ac:dyDescent="0.25">
      <c r="A1696" s="5"/>
      <c r="C1696"/>
      <c r="D1696"/>
    </row>
    <row r="1697" spans="1:4" x14ac:dyDescent="0.25">
      <c r="A1697" s="5"/>
      <c r="C1697"/>
      <c r="D1697"/>
    </row>
    <row r="1698" spans="1:4" x14ac:dyDescent="0.25">
      <c r="A1698" s="5"/>
      <c r="C1698"/>
      <c r="D1698"/>
    </row>
    <row r="1699" spans="1:4" x14ac:dyDescent="0.25">
      <c r="A1699" s="5"/>
      <c r="C1699"/>
      <c r="D1699"/>
    </row>
    <row r="1700" spans="1:4" x14ac:dyDescent="0.25">
      <c r="A1700" s="5"/>
      <c r="C1700"/>
      <c r="D1700"/>
    </row>
    <row r="1701" spans="1:4" x14ac:dyDescent="0.25">
      <c r="A1701" s="5"/>
      <c r="C1701"/>
      <c r="D1701"/>
    </row>
    <row r="1702" spans="1:4" x14ac:dyDescent="0.25">
      <c r="A1702" s="5"/>
      <c r="C1702"/>
      <c r="D1702"/>
    </row>
    <row r="1703" spans="1:4" x14ac:dyDescent="0.25">
      <c r="A1703" s="5"/>
      <c r="C1703"/>
      <c r="D1703"/>
    </row>
    <row r="1704" spans="1:4" x14ac:dyDescent="0.25">
      <c r="A1704" s="5"/>
      <c r="C1704"/>
      <c r="D1704"/>
    </row>
    <row r="1705" spans="1:4" x14ac:dyDescent="0.25">
      <c r="A1705" s="5"/>
      <c r="C1705"/>
      <c r="D1705"/>
    </row>
    <row r="1706" spans="1:4" x14ac:dyDescent="0.25">
      <c r="A1706" s="5"/>
      <c r="C1706"/>
      <c r="D1706"/>
    </row>
    <row r="1707" spans="1:4" x14ac:dyDescent="0.25">
      <c r="A1707" s="5"/>
      <c r="C1707"/>
      <c r="D1707"/>
    </row>
    <row r="1708" spans="1:4" x14ac:dyDescent="0.25">
      <c r="A1708" s="5"/>
      <c r="C1708"/>
      <c r="D1708"/>
    </row>
    <row r="1709" spans="1:4" x14ac:dyDescent="0.25">
      <c r="A1709" s="5"/>
      <c r="C1709"/>
      <c r="D1709"/>
    </row>
    <row r="1710" spans="1:4" x14ac:dyDescent="0.25">
      <c r="A1710" s="5"/>
      <c r="C1710"/>
      <c r="D1710"/>
    </row>
    <row r="1711" spans="1:4" x14ac:dyDescent="0.25">
      <c r="A1711" s="5"/>
      <c r="C1711"/>
      <c r="D1711"/>
    </row>
    <row r="1712" spans="1:4" x14ac:dyDescent="0.25">
      <c r="A1712" s="5"/>
      <c r="C1712"/>
      <c r="D1712"/>
    </row>
    <row r="1713" spans="1:4" x14ac:dyDescent="0.25">
      <c r="A1713" s="5"/>
      <c r="C1713"/>
      <c r="D1713"/>
    </row>
    <row r="1714" spans="1:4" x14ac:dyDescent="0.25">
      <c r="A1714" s="5"/>
      <c r="C1714"/>
      <c r="D1714"/>
    </row>
    <row r="1715" spans="1:4" x14ac:dyDescent="0.25">
      <c r="A1715" s="5"/>
      <c r="C1715"/>
      <c r="D1715"/>
    </row>
    <row r="1716" spans="1:4" x14ac:dyDescent="0.25">
      <c r="A1716" s="5"/>
    </row>
    <row r="1717" spans="1:4" x14ac:dyDescent="0.25">
      <c r="A1717" s="5"/>
    </row>
    <row r="1718" spans="1:4" x14ac:dyDescent="0.25">
      <c r="A1718" s="5"/>
    </row>
    <row r="1719" spans="1:4" x14ac:dyDescent="0.25">
      <c r="A1719" s="5"/>
    </row>
    <row r="1720" spans="1:4" x14ac:dyDescent="0.25">
      <c r="A1720" s="5"/>
    </row>
    <row r="1721" spans="1:4" x14ac:dyDescent="0.25">
      <c r="A1721" s="5"/>
    </row>
    <row r="1722" spans="1:4" x14ac:dyDescent="0.25">
      <c r="A1722" s="5"/>
    </row>
    <row r="1723" spans="1:4" x14ac:dyDescent="0.25">
      <c r="A1723" s="5"/>
    </row>
    <row r="1724" spans="1:4" x14ac:dyDescent="0.25">
      <c r="A1724" s="5"/>
    </row>
    <row r="1725" spans="1:4" x14ac:dyDescent="0.25">
      <c r="A1725" s="5"/>
    </row>
    <row r="1726" spans="1:4" x14ac:dyDescent="0.25">
      <c r="A1726" s="5"/>
    </row>
    <row r="1727" spans="1:4" x14ac:dyDescent="0.25">
      <c r="A1727" s="5"/>
    </row>
    <row r="1728" spans="1:4" x14ac:dyDescent="0.25">
      <c r="A1728" s="5"/>
    </row>
    <row r="1729" spans="1:1" x14ac:dyDescent="0.25">
      <c r="A1729" s="5"/>
    </row>
    <row r="1730" spans="1:1" x14ac:dyDescent="0.25">
      <c r="A1730" s="5"/>
    </row>
    <row r="1731" spans="1:1" x14ac:dyDescent="0.25">
      <c r="A1731" s="5"/>
    </row>
    <row r="1732" spans="1:1" x14ac:dyDescent="0.25">
      <c r="A1732" s="5"/>
    </row>
    <row r="1733" spans="1:1" x14ac:dyDescent="0.25">
      <c r="A1733" s="5"/>
    </row>
    <row r="1734" spans="1:1" x14ac:dyDescent="0.25">
      <c r="A1734" s="5"/>
    </row>
    <row r="1735" spans="1:1" x14ac:dyDescent="0.25">
      <c r="A1735" s="5"/>
    </row>
    <row r="1736" spans="1:1" x14ac:dyDescent="0.25">
      <c r="A1736" s="5"/>
    </row>
    <row r="1737" spans="1:1" x14ac:dyDescent="0.25">
      <c r="A1737" s="5"/>
    </row>
    <row r="1738" spans="1:1" x14ac:dyDescent="0.25">
      <c r="A1738" s="5"/>
    </row>
    <row r="1739" spans="1:1" x14ac:dyDescent="0.25">
      <c r="A1739" s="5"/>
    </row>
    <row r="1740" spans="1:1" x14ac:dyDescent="0.25">
      <c r="A1740" s="5"/>
    </row>
    <row r="1741" spans="1:1" x14ac:dyDescent="0.25">
      <c r="A1741" s="5"/>
    </row>
    <row r="1742" spans="1:1" x14ac:dyDescent="0.25">
      <c r="A1742" s="5"/>
    </row>
    <row r="1743" spans="1:1" x14ac:dyDescent="0.25">
      <c r="A1743" s="5"/>
    </row>
    <row r="1744" spans="1:1" x14ac:dyDescent="0.25">
      <c r="A1744" s="5"/>
    </row>
    <row r="1745" spans="1:1" x14ac:dyDescent="0.25">
      <c r="A1745" s="5"/>
    </row>
    <row r="1746" spans="1:1" x14ac:dyDescent="0.25">
      <c r="A1746" s="5"/>
    </row>
    <row r="1747" spans="1:1" x14ac:dyDescent="0.25">
      <c r="A1747" s="5"/>
    </row>
    <row r="1748" spans="1:1" x14ac:dyDescent="0.25">
      <c r="A1748" s="5"/>
    </row>
    <row r="1749" spans="1:1" x14ac:dyDescent="0.25">
      <c r="A1749" s="5"/>
    </row>
    <row r="1750" spans="1:1" x14ac:dyDescent="0.25">
      <c r="A1750" s="5"/>
    </row>
    <row r="1751" spans="1:1" x14ac:dyDescent="0.25">
      <c r="A1751" s="5"/>
    </row>
    <row r="1752" spans="1:1" x14ac:dyDescent="0.25">
      <c r="A1752" s="5"/>
    </row>
    <row r="1753" spans="1:1" x14ac:dyDescent="0.25">
      <c r="A1753" s="5"/>
    </row>
    <row r="1754" spans="1:1" x14ac:dyDescent="0.25">
      <c r="A1754" s="5"/>
    </row>
    <row r="1755" spans="1:1" x14ac:dyDescent="0.25">
      <c r="A1755" s="5"/>
    </row>
    <row r="1756" spans="1:1" x14ac:dyDescent="0.25">
      <c r="A1756" s="5"/>
    </row>
    <row r="1757" spans="1:1" x14ac:dyDescent="0.25">
      <c r="A1757" s="5"/>
    </row>
    <row r="1758" spans="1:1" x14ac:dyDescent="0.25">
      <c r="A1758" s="5"/>
    </row>
    <row r="1759" spans="1:1" x14ac:dyDescent="0.25">
      <c r="A1759" s="5"/>
    </row>
    <row r="1760" spans="1:1" x14ac:dyDescent="0.25">
      <c r="A1760" s="5"/>
    </row>
    <row r="1761" spans="1:1" x14ac:dyDescent="0.25">
      <c r="A1761" s="5"/>
    </row>
    <row r="1762" spans="1:1" x14ac:dyDescent="0.25">
      <c r="A1762" s="5"/>
    </row>
    <row r="1763" spans="1:1" x14ac:dyDescent="0.25">
      <c r="A1763" s="5"/>
    </row>
    <row r="1764" spans="1:1" x14ac:dyDescent="0.25">
      <c r="A1764" s="5"/>
    </row>
    <row r="1765" spans="1:1" x14ac:dyDescent="0.25">
      <c r="A1765" s="5"/>
    </row>
    <row r="1766" spans="1:1" x14ac:dyDescent="0.25">
      <c r="A1766" s="5"/>
    </row>
    <row r="1767" spans="1:1" x14ac:dyDescent="0.25">
      <c r="A1767" s="5"/>
    </row>
    <row r="1768" spans="1:1" x14ac:dyDescent="0.25">
      <c r="A1768" s="5"/>
    </row>
    <row r="1769" spans="1:1" x14ac:dyDescent="0.25">
      <c r="A1769" s="5"/>
    </row>
    <row r="1770" spans="1:1" x14ac:dyDescent="0.25">
      <c r="A1770" s="5"/>
    </row>
    <row r="1771" spans="1:1" x14ac:dyDescent="0.25">
      <c r="A1771" s="5"/>
    </row>
    <row r="1772" spans="1:1" x14ac:dyDescent="0.25">
      <c r="A1772" s="5"/>
    </row>
    <row r="1773" spans="1:1" x14ac:dyDescent="0.25">
      <c r="A1773" s="5"/>
    </row>
    <row r="1774" spans="1:1" x14ac:dyDescent="0.25">
      <c r="A1774" s="5"/>
    </row>
    <row r="1775" spans="1:1" x14ac:dyDescent="0.25">
      <c r="A1775" s="5"/>
    </row>
    <row r="1776" spans="1:1" x14ac:dyDescent="0.25">
      <c r="A1776" s="5"/>
    </row>
    <row r="1777" spans="1:1" x14ac:dyDescent="0.25">
      <c r="A1777" s="5"/>
    </row>
    <row r="1778" spans="1:1" x14ac:dyDescent="0.25">
      <c r="A1778" s="5"/>
    </row>
    <row r="1779" spans="1:1" x14ac:dyDescent="0.25">
      <c r="A1779" s="5"/>
    </row>
    <row r="1780" spans="1:1" x14ac:dyDescent="0.25">
      <c r="A1780" s="5"/>
    </row>
    <row r="1781" spans="1:1" x14ac:dyDescent="0.25">
      <c r="A1781" s="5"/>
    </row>
    <row r="1782" spans="1:1" x14ac:dyDescent="0.25">
      <c r="A1782" s="5"/>
    </row>
    <row r="1783" spans="1:1" x14ac:dyDescent="0.25">
      <c r="A1783" s="5"/>
    </row>
    <row r="1784" spans="1:1" x14ac:dyDescent="0.25">
      <c r="A1784" s="5"/>
    </row>
    <row r="1785" spans="1:1" x14ac:dyDescent="0.25">
      <c r="A1785" s="5"/>
    </row>
    <row r="1786" spans="1:1" x14ac:dyDescent="0.25">
      <c r="A1786" s="5"/>
    </row>
    <row r="1787" spans="1:1" x14ac:dyDescent="0.25">
      <c r="A1787" s="5"/>
    </row>
    <row r="1788" spans="1:1" x14ac:dyDescent="0.25">
      <c r="A1788" s="5"/>
    </row>
    <row r="1789" spans="1:1" x14ac:dyDescent="0.25">
      <c r="A1789" s="5"/>
    </row>
    <row r="1790" spans="1:1" x14ac:dyDescent="0.25">
      <c r="A1790" s="5"/>
    </row>
    <row r="1791" spans="1:1" x14ac:dyDescent="0.25">
      <c r="A1791" s="5"/>
    </row>
    <row r="1792" spans="1:1" x14ac:dyDescent="0.25">
      <c r="A1792" s="5"/>
    </row>
    <row r="1793" spans="1:1" x14ac:dyDescent="0.25">
      <c r="A1793" s="5"/>
    </row>
    <row r="1794" spans="1:1" x14ac:dyDescent="0.25">
      <c r="A1794" s="5"/>
    </row>
    <row r="1795" spans="1:1" x14ac:dyDescent="0.25">
      <c r="A1795" s="5"/>
    </row>
    <row r="1796" spans="1:1" x14ac:dyDescent="0.25">
      <c r="A1796" s="5"/>
    </row>
    <row r="1797" spans="1:1" x14ac:dyDescent="0.25">
      <c r="A1797" s="5"/>
    </row>
    <row r="1798" spans="1:1" x14ac:dyDescent="0.25">
      <c r="A1798" s="5"/>
    </row>
    <row r="1799" spans="1:1" x14ac:dyDescent="0.25">
      <c r="A1799" s="5"/>
    </row>
    <row r="1800" spans="1:1" x14ac:dyDescent="0.25">
      <c r="A1800" s="5"/>
    </row>
    <row r="1801" spans="1:1" x14ac:dyDescent="0.25">
      <c r="A1801" s="5"/>
    </row>
    <row r="1802" spans="1:1" x14ac:dyDescent="0.25">
      <c r="A1802" s="5"/>
    </row>
    <row r="1803" spans="1:1" x14ac:dyDescent="0.25">
      <c r="A1803" s="5"/>
    </row>
    <row r="1804" spans="1:1" x14ac:dyDescent="0.25">
      <c r="A1804" s="5"/>
    </row>
    <row r="1805" spans="1:1" x14ac:dyDescent="0.25">
      <c r="A1805" s="5"/>
    </row>
    <row r="1806" spans="1:1" x14ac:dyDescent="0.25">
      <c r="A1806" s="5"/>
    </row>
    <row r="1807" spans="1:1" x14ac:dyDescent="0.25">
      <c r="A1807" s="5"/>
    </row>
    <row r="1808" spans="1:1" x14ac:dyDescent="0.25">
      <c r="A1808" s="5"/>
    </row>
    <row r="1809" spans="1:1" x14ac:dyDescent="0.25">
      <c r="A1809" s="5"/>
    </row>
    <row r="1810" spans="1:1" x14ac:dyDescent="0.25">
      <c r="A1810" s="5"/>
    </row>
    <row r="1811" spans="1:1" x14ac:dyDescent="0.25">
      <c r="A1811" s="5"/>
    </row>
    <row r="1812" spans="1:1" x14ac:dyDescent="0.25">
      <c r="A1812" s="5"/>
    </row>
    <row r="1813" spans="1:1" x14ac:dyDescent="0.25">
      <c r="A1813" s="5"/>
    </row>
    <row r="1814" spans="1:1" x14ac:dyDescent="0.25">
      <c r="A1814" s="5"/>
    </row>
    <row r="1815" spans="1:1" x14ac:dyDescent="0.25">
      <c r="A1815" s="5"/>
    </row>
    <row r="1816" spans="1:1" x14ac:dyDescent="0.25">
      <c r="A1816" s="5"/>
    </row>
    <row r="1817" spans="1:1" x14ac:dyDescent="0.25">
      <c r="A1817" s="5"/>
    </row>
    <row r="1818" spans="1:1" x14ac:dyDescent="0.25">
      <c r="A1818" s="5"/>
    </row>
    <row r="1819" spans="1:1" x14ac:dyDescent="0.25">
      <c r="A1819" s="5"/>
    </row>
    <row r="1820" spans="1:1" x14ac:dyDescent="0.25">
      <c r="A1820" s="5"/>
    </row>
    <row r="1821" spans="1:1" x14ac:dyDescent="0.25">
      <c r="A1821" s="5"/>
    </row>
    <row r="1822" spans="1:1" x14ac:dyDescent="0.25">
      <c r="A1822" s="5"/>
    </row>
    <row r="1823" spans="1:1" x14ac:dyDescent="0.25">
      <c r="A1823" s="5"/>
    </row>
    <row r="1824" spans="1:1" x14ac:dyDescent="0.25">
      <c r="A1824" s="5"/>
    </row>
    <row r="1825" spans="1:1" x14ac:dyDescent="0.25">
      <c r="A1825" s="5"/>
    </row>
    <row r="1826" spans="1:1" x14ac:dyDescent="0.25">
      <c r="A1826" s="5"/>
    </row>
    <row r="1827" spans="1:1" x14ac:dyDescent="0.25">
      <c r="A1827" s="5"/>
    </row>
    <row r="1828" spans="1:1" x14ac:dyDescent="0.25">
      <c r="A1828" s="5"/>
    </row>
    <row r="1829" spans="1:1" x14ac:dyDescent="0.25">
      <c r="A1829" s="5"/>
    </row>
    <row r="1830" spans="1:1" x14ac:dyDescent="0.25">
      <c r="A1830" s="5"/>
    </row>
    <row r="1831" spans="1:1" x14ac:dyDescent="0.25">
      <c r="A1831" s="5"/>
    </row>
    <row r="1832" spans="1:1" x14ac:dyDescent="0.25">
      <c r="A1832" s="5"/>
    </row>
    <row r="1833" spans="1:1" x14ac:dyDescent="0.25">
      <c r="A1833" s="5"/>
    </row>
    <row r="1834" spans="1:1" x14ac:dyDescent="0.25">
      <c r="A1834" s="5"/>
    </row>
    <row r="1835" spans="1:1" x14ac:dyDescent="0.25">
      <c r="A1835" s="5"/>
    </row>
    <row r="1836" spans="1:1" x14ac:dyDescent="0.25">
      <c r="A1836" s="5"/>
    </row>
    <row r="1837" spans="1:1" x14ac:dyDescent="0.25">
      <c r="A1837" s="5"/>
    </row>
    <row r="1838" spans="1:1" x14ac:dyDescent="0.25">
      <c r="A1838" s="5"/>
    </row>
    <row r="1839" spans="1:1" x14ac:dyDescent="0.25">
      <c r="A1839" s="5"/>
    </row>
    <row r="1840" spans="1:1" x14ac:dyDescent="0.25">
      <c r="A1840" s="5"/>
    </row>
    <row r="1841" spans="1:1" x14ac:dyDescent="0.25">
      <c r="A1841" s="5"/>
    </row>
    <row r="1842" spans="1:1" x14ac:dyDescent="0.25">
      <c r="A1842" s="5"/>
    </row>
    <row r="1843" spans="1:1" x14ac:dyDescent="0.25">
      <c r="A1843" s="5"/>
    </row>
    <row r="1844" spans="1:1" x14ac:dyDescent="0.25">
      <c r="A1844" s="5"/>
    </row>
    <row r="1845" spans="1:1" x14ac:dyDescent="0.25">
      <c r="A1845" s="5"/>
    </row>
    <row r="1846" spans="1:1" x14ac:dyDescent="0.25">
      <c r="A1846" s="5"/>
    </row>
    <row r="1847" spans="1:1" x14ac:dyDescent="0.25">
      <c r="A1847" s="5"/>
    </row>
    <row r="1848" spans="1:1" x14ac:dyDescent="0.25">
      <c r="A1848" s="5"/>
    </row>
    <row r="1849" spans="1:1" x14ac:dyDescent="0.25">
      <c r="A1849" s="5"/>
    </row>
    <row r="1850" spans="1:1" x14ac:dyDescent="0.25">
      <c r="A1850" s="5"/>
    </row>
    <row r="1851" spans="1:1" x14ac:dyDescent="0.25">
      <c r="A1851" s="5"/>
    </row>
    <row r="1852" spans="1:1" x14ac:dyDescent="0.25">
      <c r="A1852" s="5"/>
    </row>
    <row r="1853" spans="1:1" x14ac:dyDescent="0.25">
      <c r="A1853" s="5"/>
    </row>
    <row r="1854" spans="1:1" x14ac:dyDescent="0.25">
      <c r="A1854" s="5"/>
    </row>
    <row r="1855" spans="1:1" x14ac:dyDescent="0.25">
      <c r="A1855" s="5"/>
    </row>
    <row r="1856" spans="1:1" x14ac:dyDescent="0.25">
      <c r="A1856" s="5"/>
    </row>
    <row r="1857" spans="1:1" x14ac:dyDescent="0.25">
      <c r="A1857" s="5"/>
    </row>
    <row r="1858" spans="1:1" x14ac:dyDescent="0.25">
      <c r="A1858" s="5"/>
    </row>
    <row r="1859" spans="1:1" x14ac:dyDescent="0.25">
      <c r="A1859" s="5"/>
    </row>
    <row r="1860" spans="1:1" x14ac:dyDescent="0.25">
      <c r="A1860" s="5"/>
    </row>
    <row r="1861" spans="1:1" x14ac:dyDescent="0.25">
      <c r="A1861" s="5"/>
    </row>
    <row r="1862" spans="1:1" x14ac:dyDescent="0.25">
      <c r="A1862" s="5"/>
    </row>
    <row r="1863" spans="1:1" x14ac:dyDescent="0.25">
      <c r="A1863" s="5"/>
    </row>
    <row r="1864" spans="1:1" x14ac:dyDescent="0.25">
      <c r="A1864" s="5"/>
    </row>
    <row r="1865" spans="1:1" x14ac:dyDescent="0.25">
      <c r="A1865" s="5"/>
    </row>
    <row r="1866" spans="1:1" x14ac:dyDescent="0.25">
      <c r="A1866" s="5"/>
    </row>
    <row r="1867" spans="1:1" x14ac:dyDescent="0.25">
      <c r="A1867" s="5"/>
    </row>
    <row r="1868" spans="1:1" x14ac:dyDescent="0.25">
      <c r="A1868" s="5"/>
    </row>
    <row r="1869" spans="1:1" x14ac:dyDescent="0.25">
      <c r="A1869" s="5"/>
    </row>
    <row r="1870" spans="1:1" x14ac:dyDescent="0.25">
      <c r="A1870" s="5"/>
    </row>
    <row r="1871" spans="1:1" x14ac:dyDescent="0.25">
      <c r="A1871" s="5"/>
    </row>
    <row r="1872" spans="1:1" x14ac:dyDescent="0.25">
      <c r="A1872" s="5"/>
    </row>
    <row r="1873" spans="1:1" x14ac:dyDescent="0.25">
      <c r="A1873" s="5"/>
    </row>
    <row r="1874" spans="1:1" x14ac:dyDescent="0.25">
      <c r="A1874" s="5"/>
    </row>
    <row r="1875" spans="1:1" x14ac:dyDescent="0.25">
      <c r="A1875" s="5"/>
    </row>
    <row r="1876" spans="1:1" x14ac:dyDescent="0.25">
      <c r="A1876" s="5"/>
    </row>
    <row r="1877" spans="1:1" x14ac:dyDescent="0.25">
      <c r="A1877" s="5"/>
    </row>
    <row r="1878" spans="1:1" x14ac:dyDescent="0.25">
      <c r="A1878" s="5"/>
    </row>
    <row r="1879" spans="1:1" x14ac:dyDescent="0.25">
      <c r="A1879" s="5"/>
    </row>
    <row r="1880" spans="1:1" x14ac:dyDescent="0.25">
      <c r="A1880" s="5"/>
    </row>
    <row r="1881" spans="1:1" x14ac:dyDescent="0.25">
      <c r="A1881" s="5"/>
    </row>
    <row r="1882" spans="1:1" x14ac:dyDescent="0.25">
      <c r="A1882" s="5"/>
    </row>
    <row r="1883" spans="1:1" x14ac:dyDescent="0.25">
      <c r="A1883" s="5"/>
    </row>
    <row r="1884" spans="1:1" x14ac:dyDescent="0.25">
      <c r="A1884" s="5"/>
    </row>
    <row r="1885" spans="1:1" x14ac:dyDescent="0.25">
      <c r="A1885" s="5"/>
    </row>
    <row r="1886" spans="1:1" x14ac:dyDescent="0.25">
      <c r="A1886" s="5"/>
    </row>
    <row r="1887" spans="1:1" x14ac:dyDescent="0.25">
      <c r="A1887" s="5"/>
    </row>
    <row r="1888" spans="1:1" x14ac:dyDescent="0.25">
      <c r="A1888" s="5"/>
    </row>
    <row r="1889" spans="1:1" x14ac:dyDescent="0.25">
      <c r="A1889" s="5"/>
    </row>
    <row r="1890" spans="1:1" x14ac:dyDescent="0.25">
      <c r="A1890" s="5"/>
    </row>
    <row r="1891" spans="1:1" x14ac:dyDescent="0.25">
      <c r="A1891" s="5"/>
    </row>
    <row r="1892" spans="1:1" x14ac:dyDescent="0.25">
      <c r="A1892" s="5"/>
    </row>
    <row r="1893" spans="1:1" x14ac:dyDescent="0.25">
      <c r="A1893" s="5"/>
    </row>
    <row r="1894" spans="1:1" x14ac:dyDescent="0.25">
      <c r="A1894" s="5"/>
    </row>
    <row r="1895" spans="1:1" x14ac:dyDescent="0.25">
      <c r="A1895" s="5"/>
    </row>
    <row r="1896" spans="1:1" x14ac:dyDescent="0.25">
      <c r="A1896" s="5"/>
    </row>
    <row r="1897" spans="1:1" x14ac:dyDescent="0.25">
      <c r="A1897" s="5"/>
    </row>
    <row r="1898" spans="1:1" x14ac:dyDescent="0.25">
      <c r="A1898" s="5"/>
    </row>
    <row r="1899" spans="1:1" x14ac:dyDescent="0.25">
      <c r="A1899" s="5"/>
    </row>
    <row r="1900" spans="1:1" x14ac:dyDescent="0.25">
      <c r="A1900" s="5"/>
    </row>
    <row r="1901" spans="1:1" x14ac:dyDescent="0.25">
      <c r="A1901" s="5"/>
    </row>
    <row r="1902" spans="1:1" x14ac:dyDescent="0.25">
      <c r="A1902" s="5"/>
    </row>
    <row r="1903" spans="1:1" x14ac:dyDescent="0.25">
      <c r="A1903" s="5"/>
    </row>
    <row r="1904" spans="1:1" x14ac:dyDescent="0.25">
      <c r="A1904" s="5"/>
    </row>
    <row r="1905" spans="1:1" x14ac:dyDescent="0.25">
      <c r="A1905" s="5"/>
    </row>
    <row r="1906" spans="1:1" x14ac:dyDescent="0.25">
      <c r="A1906" s="5"/>
    </row>
    <row r="1907" spans="1:1" x14ac:dyDescent="0.25">
      <c r="A1907" s="5"/>
    </row>
    <row r="1908" spans="1:1" x14ac:dyDescent="0.25">
      <c r="A1908" s="5"/>
    </row>
    <row r="1909" spans="1:1" x14ac:dyDescent="0.25">
      <c r="A1909" s="5"/>
    </row>
    <row r="1910" spans="1:1" x14ac:dyDescent="0.25">
      <c r="A1910" s="5"/>
    </row>
    <row r="1911" spans="1:1" x14ac:dyDescent="0.25">
      <c r="A1911" s="5"/>
    </row>
    <row r="1912" spans="1:1" x14ac:dyDescent="0.25">
      <c r="A1912" s="5"/>
    </row>
    <row r="1913" spans="1:1" x14ac:dyDescent="0.25">
      <c r="A1913" s="5"/>
    </row>
    <row r="1914" spans="1:1" x14ac:dyDescent="0.25">
      <c r="A1914" s="5"/>
    </row>
    <row r="1915" spans="1:1" x14ac:dyDescent="0.25">
      <c r="A1915" s="5"/>
    </row>
    <row r="1916" spans="1:1" x14ac:dyDescent="0.25">
      <c r="A1916" s="5"/>
    </row>
    <row r="1917" spans="1:1" x14ac:dyDescent="0.25">
      <c r="A1917" s="5"/>
    </row>
    <row r="1918" spans="1:1" x14ac:dyDescent="0.25">
      <c r="A1918" s="5"/>
    </row>
    <row r="1919" spans="1:1" x14ac:dyDescent="0.25">
      <c r="A1919" s="5"/>
    </row>
    <row r="1920" spans="1:1" x14ac:dyDescent="0.25">
      <c r="A1920" s="5"/>
    </row>
    <row r="1921" spans="1:1" x14ac:dyDescent="0.25">
      <c r="A1921" s="5"/>
    </row>
    <row r="1922" spans="1:1" x14ac:dyDescent="0.25">
      <c r="A1922" s="5"/>
    </row>
    <row r="1923" spans="1:1" x14ac:dyDescent="0.25">
      <c r="A1923" s="5"/>
    </row>
    <row r="1924" spans="1:1" x14ac:dyDescent="0.25">
      <c r="A1924" s="5"/>
    </row>
    <row r="1925" spans="1:1" x14ac:dyDescent="0.25">
      <c r="A1925" s="5"/>
    </row>
    <row r="1926" spans="1:1" x14ac:dyDescent="0.25">
      <c r="A1926" s="5"/>
    </row>
    <row r="1927" spans="1:1" x14ac:dyDescent="0.25">
      <c r="A1927" s="5"/>
    </row>
    <row r="1928" spans="1:1" x14ac:dyDescent="0.25">
      <c r="A1928" s="5"/>
    </row>
    <row r="1929" spans="1:1" x14ac:dyDescent="0.25">
      <c r="A1929" s="5"/>
    </row>
    <row r="1930" spans="1:1" x14ac:dyDescent="0.25">
      <c r="A1930" s="5"/>
    </row>
    <row r="1931" spans="1:1" x14ac:dyDescent="0.25">
      <c r="A1931" s="5"/>
    </row>
    <row r="1932" spans="1:1" x14ac:dyDescent="0.25">
      <c r="A1932" s="5"/>
    </row>
    <row r="1933" spans="1:1" x14ac:dyDescent="0.25">
      <c r="A1933" s="5"/>
    </row>
    <row r="1934" spans="1:1" x14ac:dyDescent="0.25">
      <c r="A1934" s="5"/>
    </row>
    <row r="1935" spans="1:1" x14ac:dyDescent="0.25">
      <c r="A1935" s="5"/>
    </row>
    <row r="1936" spans="1:1" x14ac:dyDescent="0.25">
      <c r="A1936" s="5"/>
    </row>
    <row r="1937" spans="1:1" x14ac:dyDescent="0.25">
      <c r="A1937" s="5"/>
    </row>
    <row r="1938" spans="1:1" x14ac:dyDescent="0.25">
      <c r="A1938" s="5"/>
    </row>
    <row r="1939" spans="1:1" x14ac:dyDescent="0.25">
      <c r="A1939" s="5"/>
    </row>
    <row r="1940" spans="1:1" x14ac:dyDescent="0.25">
      <c r="A1940" s="5"/>
    </row>
    <row r="1941" spans="1:1" x14ac:dyDescent="0.25">
      <c r="A1941" s="5"/>
    </row>
    <row r="1942" spans="1:1" x14ac:dyDescent="0.25">
      <c r="A1942" s="5"/>
    </row>
    <row r="1943" spans="1:1" x14ac:dyDescent="0.25">
      <c r="A1943" s="5"/>
    </row>
    <row r="1944" spans="1:1" x14ac:dyDescent="0.25">
      <c r="A1944" s="5"/>
    </row>
    <row r="1945" spans="1:1" x14ac:dyDescent="0.25">
      <c r="A1945" s="5"/>
    </row>
    <row r="1946" spans="1:1" x14ac:dyDescent="0.25">
      <c r="A1946" s="5"/>
    </row>
    <row r="1947" spans="1:1" x14ac:dyDescent="0.25">
      <c r="A1947" s="5"/>
    </row>
    <row r="1948" spans="1:1" x14ac:dyDescent="0.25">
      <c r="A1948" s="5"/>
    </row>
    <row r="1949" spans="1:1" x14ac:dyDescent="0.25">
      <c r="A1949" s="5"/>
    </row>
    <row r="1950" spans="1:1" x14ac:dyDescent="0.25">
      <c r="A1950" s="5"/>
    </row>
    <row r="1951" spans="1:1" x14ac:dyDescent="0.25">
      <c r="A1951" s="5"/>
    </row>
    <row r="1952" spans="1:1" x14ac:dyDescent="0.25">
      <c r="A1952" s="5"/>
    </row>
    <row r="1953" spans="1:1" x14ac:dyDescent="0.25">
      <c r="A1953" s="5"/>
    </row>
    <row r="1954" spans="1:1" x14ac:dyDescent="0.25">
      <c r="A1954" s="5"/>
    </row>
    <row r="1955" spans="1:1" x14ac:dyDescent="0.25">
      <c r="A1955" s="5"/>
    </row>
    <row r="1956" spans="1:1" x14ac:dyDescent="0.25">
      <c r="A1956" s="5"/>
    </row>
    <row r="1957" spans="1:1" x14ac:dyDescent="0.25">
      <c r="A1957" s="5"/>
    </row>
    <row r="1958" spans="1:1" x14ac:dyDescent="0.25">
      <c r="A1958" s="5"/>
    </row>
    <row r="1959" spans="1:1" x14ac:dyDescent="0.25">
      <c r="A1959" s="5"/>
    </row>
    <row r="1960" spans="1:1" x14ac:dyDescent="0.25">
      <c r="A1960" s="5"/>
    </row>
    <row r="1961" spans="1:1" x14ac:dyDescent="0.25">
      <c r="A1961" s="5"/>
    </row>
    <row r="1962" spans="1:1" x14ac:dyDescent="0.25">
      <c r="A1962" s="5"/>
    </row>
    <row r="1963" spans="1:1" x14ac:dyDescent="0.25">
      <c r="A1963" s="5"/>
    </row>
    <row r="1964" spans="1:1" x14ac:dyDescent="0.25">
      <c r="A1964" s="5"/>
    </row>
    <row r="1965" spans="1:1" x14ac:dyDescent="0.25">
      <c r="A1965" s="5"/>
    </row>
    <row r="1966" spans="1:1" x14ac:dyDescent="0.25">
      <c r="A1966" s="5"/>
    </row>
    <row r="1967" spans="1:1" x14ac:dyDescent="0.25">
      <c r="A1967" s="5"/>
    </row>
    <row r="1968" spans="1:1" x14ac:dyDescent="0.25">
      <c r="A1968" s="5"/>
    </row>
    <row r="1969" spans="1:1" x14ac:dyDescent="0.25">
      <c r="A1969" s="5"/>
    </row>
    <row r="1970" spans="1:1" x14ac:dyDescent="0.25">
      <c r="A1970" s="5"/>
    </row>
    <row r="1971" spans="1:1" x14ac:dyDescent="0.25">
      <c r="A1971" s="5"/>
    </row>
    <row r="1972" spans="1:1" x14ac:dyDescent="0.25">
      <c r="A1972" s="5"/>
    </row>
    <row r="1973" spans="1:1" x14ac:dyDescent="0.25">
      <c r="A1973" s="5"/>
    </row>
    <row r="1974" spans="1:1" x14ac:dyDescent="0.25">
      <c r="A1974" s="5"/>
    </row>
    <row r="1975" spans="1:1" x14ac:dyDescent="0.25">
      <c r="A1975" s="5"/>
    </row>
    <row r="1976" spans="1:1" x14ac:dyDescent="0.25">
      <c r="A1976" s="5"/>
    </row>
    <row r="1977" spans="1:1" x14ac:dyDescent="0.25">
      <c r="A1977" s="5"/>
    </row>
    <row r="1978" spans="1:1" x14ac:dyDescent="0.25">
      <c r="A1978" s="5"/>
    </row>
    <row r="1979" spans="1:1" x14ac:dyDescent="0.25">
      <c r="A1979" s="5"/>
    </row>
    <row r="1980" spans="1:1" x14ac:dyDescent="0.25">
      <c r="A1980" s="5"/>
    </row>
    <row r="1981" spans="1:1" x14ac:dyDescent="0.25">
      <c r="A1981" s="5"/>
    </row>
    <row r="1982" spans="1:1" x14ac:dyDescent="0.25">
      <c r="A1982" s="5"/>
    </row>
    <row r="1983" spans="1:1" x14ac:dyDescent="0.25">
      <c r="A1983" s="5"/>
    </row>
    <row r="1984" spans="1:1" x14ac:dyDescent="0.25">
      <c r="A1984" s="5"/>
    </row>
    <row r="1985" spans="1:1" x14ac:dyDescent="0.25">
      <c r="A1985" s="5"/>
    </row>
    <row r="1986" spans="1:1" x14ac:dyDescent="0.25">
      <c r="A1986" s="5"/>
    </row>
    <row r="1987" spans="1:1" x14ac:dyDescent="0.25">
      <c r="A1987" s="5"/>
    </row>
    <row r="1988" spans="1:1" x14ac:dyDescent="0.25">
      <c r="A1988" s="5"/>
    </row>
    <row r="1989" spans="1:1" x14ac:dyDescent="0.25">
      <c r="A1989" s="5"/>
    </row>
    <row r="1990" spans="1:1" x14ac:dyDescent="0.25">
      <c r="A1990" s="5"/>
    </row>
    <row r="1991" spans="1:1" x14ac:dyDescent="0.25">
      <c r="A1991" s="5"/>
    </row>
    <row r="1992" spans="1:1" x14ac:dyDescent="0.25">
      <c r="A1992" s="5"/>
    </row>
    <row r="1993" spans="1:1" x14ac:dyDescent="0.25">
      <c r="A1993" s="5"/>
    </row>
    <row r="1994" spans="1:1" x14ac:dyDescent="0.25">
      <c r="A1994" s="5"/>
    </row>
    <row r="1995" spans="1:1" x14ac:dyDescent="0.25">
      <c r="A1995" s="5"/>
    </row>
    <row r="1996" spans="1:1" x14ac:dyDescent="0.25">
      <c r="A1996" s="5"/>
    </row>
    <row r="1997" spans="1:1" x14ac:dyDescent="0.25">
      <c r="A1997" s="5"/>
    </row>
    <row r="1998" spans="1:1" x14ac:dyDescent="0.25">
      <c r="A1998" s="5"/>
    </row>
    <row r="1999" spans="1:1" x14ac:dyDescent="0.25">
      <c r="A1999" s="5"/>
    </row>
    <row r="2000" spans="1:1" x14ac:dyDescent="0.25">
      <c r="A2000" s="5"/>
    </row>
    <row r="2001" spans="1:1" x14ac:dyDescent="0.25">
      <c r="A2001" s="5"/>
    </row>
    <row r="2002" spans="1:1" x14ac:dyDescent="0.25">
      <c r="A2002" s="5"/>
    </row>
    <row r="2003" spans="1:1" x14ac:dyDescent="0.25">
      <c r="A2003" s="5"/>
    </row>
    <row r="2004" spans="1:1" x14ac:dyDescent="0.25">
      <c r="A2004" s="5"/>
    </row>
    <row r="2005" spans="1:1" x14ac:dyDescent="0.25">
      <c r="A2005" s="5"/>
    </row>
    <row r="2006" spans="1:1" x14ac:dyDescent="0.25">
      <c r="A2006" s="5"/>
    </row>
    <row r="2007" spans="1:1" x14ac:dyDescent="0.25">
      <c r="A2007" s="5"/>
    </row>
    <row r="2008" spans="1:1" x14ac:dyDescent="0.25">
      <c r="A2008" s="5"/>
    </row>
    <row r="2009" spans="1:1" x14ac:dyDescent="0.25">
      <c r="A2009" s="5"/>
    </row>
    <row r="2010" spans="1:1" x14ac:dyDescent="0.25">
      <c r="A2010" s="5"/>
    </row>
    <row r="2011" spans="1:1" x14ac:dyDescent="0.25">
      <c r="A2011" s="5"/>
    </row>
    <row r="2012" spans="1:1" x14ac:dyDescent="0.25">
      <c r="A2012" s="5"/>
    </row>
    <row r="2013" spans="1:1" x14ac:dyDescent="0.25">
      <c r="A2013" s="5"/>
    </row>
    <row r="2014" spans="1:1" x14ac:dyDescent="0.25">
      <c r="A2014" s="5"/>
    </row>
    <row r="2015" spans="1:1" x14ac:dyDescent="0.25">
      <c r="A2015" s="5"/>
    </row>
    <row r="2016" spans="1:1" x14ac:dyDescent="0.25">
      <c r="A2016" s="5"/>
    </row>
    <row r="2017" spans="1:1" x14ac:dyDescent="0.25">
      <c r="A2017" s="5"/>
    </row>
    <row r="2018" spans="1:1" x14ac:dyDescent="0.25">
      <c r="A2018" s="5"/>
    </row>
    <row r="2019" spans="1:1" x14ac:dyDescent="0.25">
      <c r="A2019" s="5"/>
    </row>
    <row r="2020" spans="1:1" x14ac:dyDescent="0.25">
      <c r="A2020" s="5"/>
    </row>
    <row r="2021" spans="1:1" x14ac:dyDescent="0.25">
      <c r="A2021" s="5"/>
    </row>
    <row r="2022" spans="1:1" x14ac:dyDescent="0.25">
      <c r="A2022" s="5"/>
    </row>
    <row r="2023" spans="1:1" x14ac:dyDescent="0.25">
      <c r="A2023" s="5"/>
    </row>
    <row r="2024" spans="1:1" x14ac:dyDescent="0.25">
      <c r="A2024" s="5"/>
    </row>
    <row r="2025" spans="1:1" x14ac:dyDescent="0.25">
      <c r="A2025" s="5"/>
    </row>
    <row r="2026" spans="1:1" x14ac:dyDescent="0.25">
      <c r="A2026" s="5"/>
    </row>
    <row r="2027" spans="1:1" x14ac:dyDescent="0.25">
      <c r="A2027" s="5"/>
    </row>
    <row r="2028" spans="1:1" x14ac:dyDescent="0.25">
      <c r="A2028" s="5"/>
    </row>
    <row r="2029" spans="1:1" x14ac:dyDescent="0.25">
      <c r="A2029" s="5"/>
    </row>
    <row r="2030" spans="1:1" x14ac:dyDescent="0.25">
      <c r="A2030" s="5"/>
    </row>
    <row r="2031" spans="1:1" x14ac:dyDescent="0.25">
      <c r="A2031" s="5"/>
    </row>
    <row r="2032" spans="1:1" x14ac:dyDescent="0.25">
      <c r="A2032" s="5"/>
    </row>
    <row r="2033" spans="1:1" x14ac:dyDescent="0.25">
      <c r="A2033" s="5"/>
    </row>
    <row r="2034" spans="1:1" x14ac:dyDescent="0.25">
      <c r="A2034" s="5"/>
    </row>
    <row r="2035" spans="1:1" x14ac:dyDescent="0.25">
      <c r="A2035" s="5"/>
    </row>
    <row r="2036" spans="1:1" x14ac:dyDescent="0.25">
      <c r="A2036" s="5"/>
    </row>
    <row r="2037" spans="1:1" x14ac:dyDescent="0.25">
      <c r="A2037" s="5"/>
    </row>
    <row r="2038" spans="1:1" x14ac:dyDescent="0.25">
      <c r="A2038" s="5"/>
    </row>
    <row r="2039" spans="1:1" x14ac:dyDescent="0.25">
      <c r="A2039" s="5"/>
    </row>
    <row r="2040" spans="1:1" x14ac:dyDescent="0.25">
      <c r="A2040" s="5"/>
    </row>
    <row r="2041" spans="1:1" x14ac:dyDescent="0.25">
      <c r="A2041" s="5"/>
    </row>
    <row r="2042" spans="1:1" x14ac:dyDescent="0.25">
      <c r="A2042" s="5"/>
    </row>
    <row r="2043" spans="1:1" x14ac:dyDescent="0.25">
      <c r="A2043" s="5"/>
    </row>
    <row r="2044" spans="1:1" x14ac:dyDescent="0.25">
      <c r="A2044" s="5"/>
    </row>
    <row r="2045" spans="1:1" x14ac:dyDescent="0.25">
      <c r="A2045" s="5"/>
    </row>
    <row r="2046" spans="1:1" x14ac:dyDescent="0.25">
      <c r="A2046" s="5"/>
    </row>
    <row r="2047" spans="1:1" x14ac:dyDescent="0.25">
      <c r="A2047" s="5"/>
    </row>
    <row r="2048" spans="1:1" x14ac:dyDescent="0.25">
      <c r="A2048" s="5"/>
    </row>
    <row r="2049" spans="1:1" x14ac:dyDescent="0.25">
      <c r="A2049" s="5"/>
    </row>
    <row r="2050" spans="1:1" x14ac:dyDescent="0.25">
      <c r="A2050" s="5"/>
    </row>
    <row r="2051" spans="1:1" x14ac:dyDescent="0.25">
      <c r="A2051" s="5"/>
    </row>
    <row r="2052" spans="1:1" x14ac:dyDescent="0.25">
      <c r="A2052" s="5"/>
    </row>
    <row r="2053" spans="1:1" x14ac:dyDescent="0.25">
      <c r="A2053" s="5"/>
    </row>
    <row r="2054" spans="1:1" x14ac:dyDescent="0.25">
      <c r="A2054" s="5"/>
    </row>
    <row r="2055" spans="1:1" x14ac:dyDescent="0.25">
      <c r="A2055" s="5"/>
    </row>
    <row r="2056" spans="1:1" x14ac:dyDescent="0.25">
      <c r="A2056" s="5"/>
    </row>
    <row r="2057" spans="1:1" x14ac:dyDescent="0.25">
      <c r="A2057" s="5"/>
    </row>
    <row r="2058" spans="1:1" x14ac:dyDescent="0.25">
      <c r="A2058" s="5"/>
    </row>
    <row r="2059" spans="1:1" x14ac:dyDescent="0.25">
      <c r="A2059" s="5"/>
    </row>
    <row r="2060" spans="1:1" x14ac:dyDescent="0.25">
      <c r="A2060" s="5"/>
    </row>
    <row r="2061" spans="1:1" x14ac:dyDescent="0.25">
      <c r="A2061" s="5"/>
    </row>
    <row r="2062" spans="1:1" x14ac:dyDescent="0.25">
      <c r="A2062" s="5"/>
    </row>
    <row r="2063" spans="1:1" x14ac:dyDescent="0.25">
      <c r="A2063" s="5"/>
    </row>
    <row r="2064" spans="1:1" x14ac:dyDescent="0.25">
      <c r="A2064" s="5"/>
    </row>
    <row r="2065" spans="1:1" x14ac:dyDescent="0.25">
      <c r="A2065" s="5"/>
    </row>
    <row r="2066" spans="1:1" x14ac:dyDescent="0.25">
      <c r="A2066" s="5"/>
    </row>
    <row r="2067" spans="1:1" x14ac:dyDescent="0.25">
      <c r="A2067" s="5"/>
    </row>
    <row r="2068" spans="1:1" x14ac:dyDescent="0.25">
      <c r="A2068" s="5"/>
    </row>
    <row r="2069" spans="1:1" x14ac:dyDescent="0.25">
      <c r="A2069" s="5"/>
    </row>
    <row r="2070" spans="1:1" x14ac:dyDescent="0.25">
      <c r="A2070" s="5"/>
    </row>
    <row r="2071" spans="1:1" x14ac:dyDescent="0.25">
      <c r="A2071" s="5"/>
    </row>
    <row r="2072" spans="1:1" x14ac:dyDescent="0.25">
      <c r="A2072" s="5"/>
    </row>
    <row r="2073" spans="1:1" x14ac:dyDescent="0.25">
      <c r="A2073" s="5"/>
    </row>
    <row r="2074" spans="1:1" x14ac:dyDescent="0.25">
      <c r="A2074" s="5"/>
    </row>
    <row r="2075" spans="1:1" x14ac:dyDescent="0.25">
      <c r="A2075" s="5"/>
    </row>
    <row r="2076" spans="1:1" x14ac:dyDescent="0.25">
      <c r="A2076" s="5"/>
    </row>
    <row r="2077" spans="1:1" x14ac:dyDescent="0.25">
      <c r="A2077" s="5"/>
    </row>
    <row r="2078" spans="1:1" x14ac:dyDescent="0.25">
      <c r="A2078" s="5"/>
    </row>
    <row r="2079" spans="1:1" x14ac:dyDescent="0.25">
      <c r="A2079" s="5"/>
    </row>
    <row r="2080" spans="1:1" x14ac:dyDescent="0.25">
      <c r="A2080" s="5"/>
    </row>
    <row r="2081" spans="1:1" x14ac:dyDescent="0.25">
      <c r="A2081" s="5"/>
    </row>
    <row r="2082" spans="1:1" x14ac:dyDescent="0.25">
      <c r="A2082" s="5"/>
    </row>
    <row r="2083" spans="1:1" x14ac:dyDescent="0.25">
      <c r="A2083" s="5"/>
    </row>
    <row r="2084" spans="1:1" x14ac:dyDescent="0.25">
      <c r="A2084" s="5"/>
    </row>
    <row r="2085" spans="1:1" x14ac:dyDescent="0.25">
      <c r="A2085" s="5"/>
    </row>
    <row r="2086" spans="1:1" x14ac:dyDescent="0.25">
      <c r="A2086" s="5"/>
    </row>
    <row r="2087" spans="1:1" x14ac:dyDescent="0.25">
      <c r="A2087" s="5"/>
    </row>
    <row r="2088" spans="1:1" x14ac:dyDescent="0.25">
      <c r="A2088" s="5"/>
    </row>
    <row r="2089" spans="1:1" x14ac:dyDescent="0.25">
      <c r="A2089" s="5"/>
    </row>
    <row r="2090" spans="1:1" x14ac:dyDescent="0.25">
      <c r="A2090" s="5"/>
    </row>
    <row r="2091" spans="1:1" x14ac:dyDescent="0.25">
      <c r="A2091" s="5"/>
    </row>
    <row r="2092" spans="1:1" x14ac:dyDescent="0.25">
      <c r="A2092" s="5"/>
    </row>
    <row r="2093" spans="1:1" x14ac:dyDescent="0.25">
      <c r="A2093" s="5"/>
    </row>
    <row r="2094" spans="1:1" x14ac:dyDescent="0.25">
      <c r="A2094" s="5"/>
    </row>
    <row r="2095" spans="1:1" x14ac:dyDescent="0.25">
      <c r="A2095" s="5"/>
    </row>
    <row r="2096" spans="1:1" x14ac:dyDescent="0.25">
      <c r="A2096" s="5"/>
    </row>
    <row r="2097" spans="1:1" x14ac:dyDescent="0.25">
      <c r="A2097" s="5"/>
    </row>
    <row r="2098" spans="1:1" x14ac:dyDescent="0.25">
      <c r="A2098" s="5"/>
    </row>
    <row r="2099" spans="1:1" x14ac:dyDescent="0.25">
      <c r="A2099" s="5"/>
    </row>
    <row r="2100" spans="1:1" x14ac:dyDescent="0.25">
      <c r="A2100" s="5"/>
    </row>
    <row r="2101" spans="1:1" x14ac:dyDescent="0.25">
      <c r="A2101" s="5"/>
    </row>
    <row r="2102" spans="1:1" x14ac:dyDescent="0.25">
      <c r="A2102" s="5"/>
    </row>
    <row r="2103" spans="1:1" x14ac:dyDescent="0.25">
      <c r="A2103" s="5"/>
    </row>
    <row r="2104" spans="1:1" x14ac:dyDescent="0.25">
      <c r="A2104" s="5"/>
    </row>
    <row r="2105" spans="1:1" x14ac:dyDescent="0.25">
      <c r="A2105" s="5"/>
    </row>
    <row r="2106" spans="1:1" x14ac:dyDescent="0.25">
      <c r="A2106" s="5"/>
    </row>
    <row r="2107" spans="1:1" x14ac:dyDescent="0.25">
      <c r="A2107" s="5"/>
    </row>
    <row r="2108" spans="1:1" x14ac:dyDescent="0.25">
      <c r="A2108" s="5"/>
    </row>
    <row r="2109" spans="1:1" x14ac:dyDescent="0.25">
      <c r="A2109" s="5"/>
    </row>
    <row r="2110" spans="1:1" x14ac:dyDescent="0.25">
      <c r="A2110" s="5"/>
    </row>
    <row r="2111" spans="1:1" x14ac:dyDescent="0.25">
      <c r="A2111" s="5"/>
    </row>
    <row r="2112" spans="1:1" x14ac:dyDescent="0.25">
      <c r="A2112" s="5"/>
    </row>
    <row r="2113" spans="1:1" x14ac:dyDescent="0.25">
      <c r="A2113" s="5"/>
    </row>
    <row r="2114" spans="1:1" x14ac:dyDescent="0.25">
      <c r="A2114" s="5"/>
    </row>
    <row r="2115" spans="1:1" x14ac:dyDescent="0.25">
      <c r="A2115" s="5"/>
    </row>
    <row r="2116" spans="1:1" x14ac:dyDescent="0.25">
      <c r="A2116" s="5"/>
    </row>
    <row r="2117" spans="1:1" x14ac:dyDescent="0.25">
      <c r="A2117" s="5"/>
    </row>
    <row r="2118" spans="1:1" x14ac:dyDescent="0.25">
      <c r="A2118" s="5"/>
    </row>
    <row r="2119" spans="1:1" x14ac:dyDescent="0.25">
      <c r="A2119" s="5"/>
    </row>
    <row r="2120" spans="1:1" x14ac:dyDescent="0.25">
      <c r="A2120" s="5"/>
    </row>
    <row r="2121" spans="1:1" x14ac:dyDescent="0.25">
      <c r="A2121" s="5"/>
    </row>
    <row r="2122" spans="1:1" x14ac:dyDescent="0.25">
      <c r="A2122" s="5"/>
    </row>
    <row r="2123" spans="1:1" x14ac:dyDescent="0.25">
      <c r="A2123" s="5"/>
    </row>
    <row r="2124" spans="1:1" x14ac:dyDescent="0.25">
      <c r="A2124" s="5"/>
    </row>
    <row r="2125" spans="1:1" x14ac:dyDescent="0.25">
      <c r="A2125" s="5"/>
    </row>
    <row r="2126" spans="1:1" x14ac:dyDescent="0.25">
      <c r="A2126" s="5"/>
    </row>
    <row r="2127" spans="1:1" x14ac:dyDescent="0.25">
      <c r="A2127" s="5"/>
    </row>
    <row r="2128" spans="1:1" x14ac:dyDescent="0.25">
      <c r="A2128" s="5"/>
    </row>
    <row r="2129" spans="1:1" x14ac:dyDescent="0.25">
      <c r="A2129" s="5"/>
    </row>
    <row r="2130" spans="1:1" x14ac:dyDescent="0.25">
      <c r="A2130" s="5"/>
    </row>
    <row r="2131" spans="1:1" x14ac:dyDescent="0.25">
      <c r="A2131" s="5"/>
    </row>
    <row r="2132" spans="1:1" x14ac:dyDescent="0.25">
      <c r="A2132" s="5"/>
    </row>
    <row r="2133" spans="1:1" x14ac:dyDescent="0.25">
      <c r="A2133" s="5"/>
    </row>
    <row r="2134" spans="1:1" x14ac:dyDescent="0.25">
      <c r="A2134" s="5"/>
    </row>
    <row r="2135" spans="1:1" x14ac:dyDescent="0.25">
      <c r="A2135" s="5"/>
    </row>
    <row r="2136" spans="1:1" x14ac:dyDescent="0.25">
      <c r="A2136" s="5"/>
    </row>
    <row r="2137" spans="1:1" x14ac:dyDescent="0.25">
      <c r="A2137" s="5"/>
    </row>
    <row r="2138" spans="1:1" x14ac:dyDescent="0.25">
      <c r="A2138" s="5"/>
    </row>
    <row r="2139" spans="1:1" x14ac:dyDescent="0.25">
      <c r="A2139" s="5"/>
    </row>
    <row r="2140" spans="1:1" x14ac:dyDescent="0.25">
      <c r="A2140" s="5"/>
    </row>
    <row r="2141" spans="1:1" x14ac:dyDescent="0.25">
      <c r="A2141" s="5"/>
    </row>
    <row r="2142" spans="1:1" x14ac:dyDescent="0.25">
      <c r="A2142" s="5"/>
    </row>
    <row r="2143" spans="1:1" x14ac:dyDescent="0.25">
      <c r="A2143" s="5"/>
    </row>
    <row r="2144" spans="1:1" x14ac:dyDescent="0.25">
      <c r="A2144" s="5"/>
    </row>
    <row r="2145" spans="1:1" x14ac:dyDescent="0.25">
      <c r="A2145" s="5"/>
    </row>
    <row r="2146" spans="1:1" x14ac:dyDescent="0.25">
      <c r="A2146" s="5"/>
    </row>
    <row r="2147" spans="1:1" x14ac:dyDescent="0.25">
      <c r="A2147" s="5"/>
    </row>
    <row r="2148" spans="1:1" x14ac:dyDescent="0.25">
      <c r="A2148" s="5"/>
    </row>
    <row r="2149" spans="1:1" x14ac:dyDescent="0.25">
      <c r="A2149" s="5"/>
    </row>
    <row r="2150" spans="1:1" x14ac:dyDescent="0.25">
      <c r="A2150" s="5"/>
    </row>
    <row r="2151" spans="1:1" x14ac:dyDescent="0.25">
      <c r="A2151" s="5"/>
    </row>
    <row r="2152" spans="1:1" x14ac:dyDescent="0.25">
      <c r="A2152" s="5"/>
    </row>
    <row r="2153" spans="1:1" x14ac:dyDescent="0.25">
      <c r="A2153" s="5"/>
    </row>
    <row r="2154" spans="1:1" x14ac:dyDescent="0.25">
      <c r="A2154" s="5"/>
    </row>
    <row r="2155" spans="1:1" x14ac:dyDescent="0.25">
      <c r="A2155" s="5"/>
    </row>
    <row r="2156" spans="1:1" x14ac:dyDescent="0.25">
      <c r="A2156" s="5"/>
    </row>
    <row r="2157" spans="1:1" x14ac:dyDescent="0.25">
      <c r="A2157" s="5"/>
    </row>
    <row r="2158" spans="1:1" x14ac:dyDescent="0.25">
      <c r="A2158" s="5"/>
    </row>
    <row r="2159" spans="1:1" x14ac:dyDescent="0.25">
      <c r="A2159" s="5"/>
    </row>
    <row r="2160" spans="1:1" x14ac:dyDescent="0.25">
      <c r="A2160" s="5"/>
    </row>
    <row r="2161" spans="1:1" x14ac:dyDescent="0.25">
      <c r="A2161" s="5"/>
    </row>
    <row r="2162" spans="1:1" x14ac:dyDescent="0.25">
      <c r="A2162" s="5"/>
    </row>
    <row r="2163" spans="1:1" x14ac:dyDescent="0.25">
      <c r="A2163" s="5"/>
    </row>
    <row r="2164" spans="1:1" x14ac:dyDescent="0.25">
      <c r="A2164" s="5"/>
    </row>
    <row r="2165" spans="1:1" x14ac:dyDescent="0.25">
      <c r="A2165" s="5"/>
    </row>
    <row r="2166" spans="1:1" x14ac:dyDescent="0.25">
      <c r="A2166" s="5"/>
    </row>
    <row r="2167" spans="1:1" x14ac:dyDescent="0.25">
      <c r="A2167" s="5"/>
    </row>
    <row r="2168" spans="1:1" x14ac:dyDescent="0.25">
      <c r="A2168" s="5"/>
    </row>
    <row r="2169" spans="1:1" x14ac:dyDescent="0.25">
      <c r="A2169" s="5"/>
    </row>
    <row r="2170" spans="1:1" x14ac:dyDescent="0.25">
      <c r="A2170" s="5"/>
    </row>
    <row r="2171" spans="1:1" x14ac:dyDescent="0.25">
      <c r="A2171" s="5"/>
    </row>
    <row r="2172" spans="1:1" x14ac:dyDescent="0.25">
      <c r="A2172" s="5"/>
    </row>
    <row r="2173" spans="1:1" x14ac:dyDescent="0.25">
      <c r="A2173" s="5"/>
    </row>
    <row r="2174" spans="1:1" x14ac:dyDescent="0.25">
      <c r="A2174" s="5"/>
    </row>
    <row r="2175" spans="1:1" x14ac:dyDescent="0.25">
      <c r="A2175" s="5"/>
    </row>
    <row r="2176" spans="1:1" x14ac:dyDescent="0.25">
      <c r="A2176" s="5"/>
    </row>
    <row r="2177" spans="1:1" x14ac:dyDescent="0.25">
      <c r="A2177" s="5"/>
    </row>
    <row r="2178" spans="1:1" x14ac:dyDescent="0.25">
      <c r="A2178" s="5"/>
    </row>
    <row r="2179" spans="1:1" x14ac:dyDescent="0.25">
      <c r="A2179" s="5"/>
    </row>
    <row r="2180" spans="1:1" x14ac:dyDescent="0.25">
      <c r="A2180" s="5"/>
    </row>
    <row r="2181" spans="1:1" x14ac:dyDescent="0.25">
      <c r="A2181" s="5"/>
    </row>
    <row r="2182" spans="1:1" x14ac:dyDescent="0.25">
      <c r="A2182" s="5"/>
    </row>
    <row r="2183" spans="1:1" x14ac:dyDescent="0.25">
      <c r="A2183" s="5"/>
    </row>
    <row r="2184" spans="1:1" x14ac:dyDescent="0.25">
      <c r="A2184" s="5"/>
    </row>
    <row r="2185" spans="1:1" x14ac:dyDescent="0.25">
      <c r="A2185" s="5"/>
    </row>
    <row r="2186" spans="1:1" x14ac:dyDescent="0.25">
      <c r="A2186" s="5"/>
    </row>
    <row r="2187" spans="1:1" x14ac:dyDescent="0.25">
      <c r="A2187" s="5"/>
    </row>
    <row r="2188" spans="1:1" x14ac:dyDescent="0.25">
      <c r="A2188" s="5"/>
    </row>
    <row r="2189" spans="1:1" x14ac:dyDescent="0.25">
      <c r="A2189" s="5"/>
    </row>
    <row r="2190" spans="1:1" x14ac:dyDescent="0.25">
      <c r="A2190" s="5"/>
    </row>
    <row r="2191" spans="1:1" x14ac:dyDescent="0.25">
      <c r="A2191" s="5"/>
    </row>
    <row r="2192" spans="1:1" x14ac:dyDescent="0.25">
      <c r="A2192" s="5"/>
    </row>
    <row r="2193" spans="1:1" x14ac:dyDescent="0.25">
      <c r="A2193" s="5"/>
    </row>
    <row r="2194" spans="1:1" x14ac:dyDescent="0.25">
      <c r="A2194" s="5"/>
    </row>
    <row r="2195" spans="1:1" x14ac:dyDescent="0.25">
      <c r="A2195" s="5"/>
    </row>
    <row r="2196" spans="1:1" x14ac:dyDescent="0.25">
      <c r="A2196" s="5"/>
    </row>
    <row r="2197" spans="1:1" x14ac:dyDescent="0.25">
      <c r="A2197" s="5"/>
    </row>
    <row r="2198" spans="1:1" x14ac:dyDescent="0.25">
      <c r="A2198" s="5"/>
    </row>
    <row r="2199" spans="1:1" x14ac:dyDescent="0.25">
      <c r="A2199" s="5"/>
    </row>
    <row r="2200" spans="1:1" x14ac:dyDescent="0.25">
      <c r="A2200" s="5"/>
    </row>
    <row r="2201" spans="1:1" x14ac:dyDescent="0.25">
      <c r="A2201" s="5"/>
    </row>
    <row r="2202" spans="1:1" x14ac:dyDescent="0.25">
      <c r="A2202" s="5"/>
    </row>
    <row r="2203" spans="1:1" x14ac:dyDescent="0.25">
      <c r="A2203" s="5"/>
    </row>
    <row r="2204" spans="1:1" x14ac:dyDescent="0.25">
      <c r="A2204" s="5"/>
    </row>
    <row r="2205" spans="1:1" x14ac:dyDescent="0.25">
      <c r="A2205" s="5"/>
    </row>
    <row r="2206" spans="1:1" x14ac:dyDescent="0.25">
      <c r="A2206" s="5"/>
    </row>
    <row r="2207" spans="1:1" x14ac:dyDescent="0.25">
      <c r="A2207" s="5"/>
    </row>
    <row r="2208" spans="1:1" x14ac:dyDescent="0.25">
      <c r="A2208" s="5"/>
    </row>
    <row r="2209" spans="1:1" x14ac:dyDescent="0.25">
      <c r="A2209" s="5"/>
    </row>
    <row r="2210" spans="1:1" x14ac:dyDescent="0.25">
      <c r="A2210" s="5"/>
    </row>
    <row r="2211" spans="1:1" x14ac:dyDescent="0.25">
      <c r="A2211" s="5"/>
    </row>
    <row r="2212" spans="1:1" x14ac:dyDescent="0.25">
      <c r="A2212" s="5"/>
    </row>
    <row r="2213" spans="1:1" x14ac:dyDescent="0.25">
      <c r="A2213" s="5"/>
    </row>
    <row r="2214" spans="1:1" x14ac:dyDescent="0.25">
      <c r="A2214" s="5"/>
    </row>
    <row r="2215" spans="1:1" x14ac:dyDescent="0.25">
      <c r="A2215" s="5"/>
    </row>
    <row r="2216" spans="1:1" x14ac:dyDescent="0.25">
      <c r="A2216" s="5"/>
    </row>
    <row r="2217" spans="1:1" x14ac:dyDescent="0.25">
      <c r="A2217" s="5"/>
    </row>
    <row r="2218" spans="1:1" x14ac:dyDescent="0.25">
      <c r="A2218" s="5"/>
    </row>
    <row r="2219" spans="1:1" x14ac:dyDescent="0.25">
      <c r="A2219" s="5"/>
    </row>
    <row r="2220" spans="1:1" x14ac:dyDescent="0.25">
      <c r="A2220" s="5"/>
    </row>
    <row r="2221" spans="1:1" x14ac:dyDescent="0.25">
      <c r="A2221" s="5"/>
    </row>
    <row r="2222" spans="1:1" x14ac:dyDescent="0.25">
      <c r="A2222" s="5"/>
    </row>
    <row r="2223" spans="1:1" x14ac:dyDescent="0.25">
      <c r="A2223" s="5"/>
    </row>
    <row r="2224" spans="1:1" x14ac:dyDescent="0.25">
      <c r="A2224" s="5"/>
    </row>
    <row r="2225" spans="1:1" x14ac:dyDescent="0.25">
      <c r="A2225" s="5"/>
    </row>
    <row r="2226" spans="1:1" x14ac:dyDescent="0.25">
      <c r="A2226" s="5"/>
    </row>
    <row r="2227" spans="1:1" x14ac:dyDescent="0.25">
      <c r="A2227" s="5"/>
    </row>
    <row r="2228" spans="1:1" x14ac:dyDescent="0.25">
      <c r="A2228" s="5"/>
    </row>
    <row r="2229" spans="1:1" x14ac:dyDescent="0.25">
      <c r="A2229" s="5"/>
    </row>
    <row r="2230" spans="1:1" x14ac:dyDescent="0.25">
      <c r="A2230" s="5"/>
    </row>
    <row r="2231" spans="1:1" x14ac:dyDescent="0.25">
      <c r="A2231" s="5"/>
    </row>
    <row r="2232" spans="1:1" x14ac:dyDescent="0.25">
      <c r="A2232" s="5"/>
    </row>
    <row r="2233" spans="1:1" x14ac:dyDescent="0.25">
      <c r="A2233" s="5"/>
    </row>
    <row r="2234" spans="1:1" x14ac:dyDescent="0.25">
      <c r="A2234" s="5"/>
    </row>
    <row r="2235" spans="1:1" x14ac:dyDescent="0.25">
      <c r="A2235" s="5"/>
    </row>
    <row r="2236" spans="1:1" x14ac:dyDescent="0.25">
      <c r="A2236" s="5"/>
    </row>
    <row r="2237" spans="1:1" x14ac:dyDescent="0.25">
      <c r="A2237" s="5"/>
    </row>
    <row r="2238" spans="1:1" x14ac:dyDescent="0.25">
      <c r="A2238" s="5"/>
    </row>
    <row r="2239" spans="1:1" x14ac:dyDescent="0.25">
      <c r="A2239" s="5"/>
    </row>
    <row r="2240" spans="1:1" x14ac:dyDescent="0.25">
      <c r="A2240" s="5"/>
    </row>
    <row r="2241" spans="1:1" x14ac:dyDescent="0.25">
      <c r="A2241" s="5"/>
    </row>
    <row r="2242" spans="1:1" x14ac:dyDescent="0.25">
      <c r="A2242" s="5"/>
    </row>
    <row r="2243" spans="1:1" x14ac:dyDescent="0.25">
      <c r="A2243" s="5"/>
    </row>
    <row r="2244" spans="1:1" x14ac:dyDescent="0.25">
      <c r="A2244" s="5"/>
    </row>
    <row r="2245" spans="1:1" x14ac:dyDescent="0.25">
      <c r="A2245" s="5"/>
    </row>
    <row r="2246" spans="1:1" x14ac:dyDescent="0.25">
      <c r="A2246" s="5"/>
    </row>
    <row r="2247" spans="1:1" x14ac:dyDescent="0.25">
      <c r="A2247" s="5"/>
    </row>
    <row r="2248" spans="1:1" x14ac:dyDescent="0.25">
      <c r="A2248" s="5"/>
    </row>
    <row r="2249" spans="1:1" x14ac:dyDescent="0.25">
      <c r="A2249" s="5"/>
    </row>
    <row r="2250" spans="1:1" x14ac:dyDescent="0.25">
      <c r="A2250" s="5"/>
    </row>
    <row r="2251" spans="1:1" x14ac:dyDescent="0.25">
      <c r="A2251" s="5"/>
    </row>
    <row r="2252" spans="1:1" x14ac:dyDescent="0.25">
      <c r="A2252" s="5"/>
    </row>
    <row r="2253" spans="1:1" x14ac:dyDescent="0.25">
      <c r="A2253" s="5"/>
    </row>
    <row r="2254" spans="1:1" x14ac:dyDescent="0.25">
      <c r="A2254" s="5"/>
    </row>
    <row r="2255" spans="1:1" x14ac:dyDescent="0.25">
      <c r="A2255" s="5"/>
    </row>
    <row r="2256" spans="1:1" x14ac:dyDescent="0.25">
      <c r="A2256" s="5"/>
    </row>
    <row r="2257" spans="1:1" x14ac:dyDescent="0.25">
      <c r="A2257" s="5"/>
    </row>
    <row r="2258" spans="1:1" x14ac:dyDescent="0.25">
      <c r="A2258" s="5"/>
    </row>
    <row r="2259" spans="1:1" x14ac:dyDescent="0.25">
      <c r="A2259" s="5"/>
    </row>
    <row r="2260" spans="1:1" x14ac:dyDescent="0.25">
      <c r="A2260" s="5"/>
    </row>
    <row r="2261" spans="1:1" x14ac:dyDescent="0.25">
      <c r="A2261" s="5"/>
    </row>
    <row r="2262" spans="1:1" x14ac:dyDescent="0.25">
      <c r="A2262" s="5"/>
    </row>
    <row r="2263" spans="1:1" x14ac:dyDescent="0.25">
      <c r="A2263" s="5"/>
    </row>
    <row r="2264" spans="1:1" x14ac:dyDescent="0.25">
      <c r="A2264" s="5"/>
    </row>
    <row r="2265" spans="1:1" x14ac:dyDescent="0.25">
      <c r="A2265" s="5"/>
    </row>
    <row r="2266" spans="1:1" x14ac:dyDescent="0.25">
      <c r="A2266" s="5"/>
    </row>
    <row r="2267" spans="1:1" x14ac:dyDescent="0.25">
      <c r="A2267" s="5"/>
    </row>
    <row r="2268" spans="1:1" x14ac:dyDescent="0.25">
      <c r="A2268" s="5"/>
    </row>
    <row r="2269" spans="1:1" x14ac:dyDescent="0.25">
      <c r="A2269" s="5"/>
    </row>
    <row r="2270" spans="1:1" x14ac:dyDescent="0.25">
      <c r="A2270" s="5"/>
    </row>
    <row r="2271" spans="1:1" x14ac:dyDescent="0.25">
      <c r="A2271" s="5"/>
    </row>
    <row r="2272" spans="1:1" x14ac:dyDescent="0.25">
      <c r="A2272" s="5"/>
    </row>
    <row r="2273" spans="1:1" x14ac:dyDescent="0.25">
      <c r="A2273" s="5"/>
    </row>
    <row r="2274" spans="1:1" x14ac:dyDescent="0.25">
      <c r="A2274" s="5"/>
    </row>
    <row r="2275" spans="1:1" x14ac:dyDescent="0.25">
      <c r="A2275" s="5"/>
    </row>
    <row r="2276" spans="1:1" x14ac:dyDescent="0.25">
      <c r="A2276" s="5"/>
    </row>
    <row r="2277" spans="1:1" x14ac:dyDescent="0.25">
      <c r="A2277" s="5"/>
    </row>
    <row r="2278" spans="1:1" x14ac:dyDescent="0.25">
      <c r="A2278" s="5"/>
    </row>
    <row r="2279" spans="1:1" x14ac:dyDescent="0.25">
      <c r="A2279" s="5"/>
    </row>
    <row r="2280" spans="1:1" x14ac:dyDescent="0.25">
      <c r="A2280" s="5"/>
    </row>
    <row r="2281" spans="1:1" x14ac:dyDescent="0.25">
      <c r="A2281" s="5"/>
    </row>
    <row r="2282" spans="1:1" x14ac:dyDescent="0.25">
      <c r="A2282" s="5"/>
    </row>
    <row r="2283" spans="1:1" x14ac:dyDescent="0.25">
      <c r="A2283" s="5"/>
    </row>
    <row r="2284" spans="1:1" x14ac:dyDescent="0.25">
      <c r="A2284" s="5"/>
    </row>
    <row r="2285" spans="1:1" x14ac:dyDescent="0.25">
      <c r="A2285" s="5"/>
    </row>
    <row r="2286" spans="1:1" x14ac:dyDescent="0.25">
      <c r="A2286" s="5"/>
    </row>
    <row r="2287" spans="1:1" x14ac:dyDescent="0.25">
      <c r="A2287" s="5"/>
    </row>
    <row r="2288" spans="1:1" x14ac:dyDescent="0.25">
      <c r="A2288" s="5"/>
    </row>
    <row r="2289" spans="1:1" x14ac:dyDescent="0.25">
      <c r="A2289" s="5"/>
    </row>
    <row r="2290" spans="1:1" x14ac:dyDescent="0.25">
      <c r="A2290" s="5"/>
    </row>
    <row r="2291" spans="1:1" x14ac:dyDescent="0.25">
      <c r="A2291" s="5"/>
    </row>
    <row r="2292" spans="1:1" x14ac:dyDescent="0.25">
      <c r="A2292" s="5"/>
    </row>
    <row r="2293" spans="1:1" x14ac:dyDescent="0.25">
      <c r="A2293" s="5"/>
    </row>
    <row r="2294" spans="1:1" x14ac:dyDescent="0.25">
      <c r="A2294" s="5"/>
    </row>
    <row r="2295" spans="1:1" x14ac:dyDescent="0.25">
      <c r="A2295" s="5"/>
    </row>
    <row r="2296" spans="1:1" x14ac:dyDescent="0.25">
      <c r="A2296" s="5"/>
    </row>
    <row r="2297" spans="1:1" x14ac:dyDescent="0.25">
      <c r="A2297" s="5"/>
    </row>
    <row r="2298" spans="1:1" x14ac:dyDescent="0.25">
      <c r="A2298" s="5"/>
    </row>
    <row r="2299" spans="1:1" x14ac:dyDescent="0.25">
      <c r="A2299" s="5"/>
    </row>
    <row r="2300" spans="1:1" x14ac:dyDescent="0.25">
      <c r="A2300" s="5"/>
    </row>
    <row r="2301" spans="1:1" x14ac:dyDescent="0.25">
      <c r="A2301" s="5"/>
    </row>
    <row r="2302" spans="1:1" x14ac:dyDescent="0.25">
      <c r="A2302" s="5"/>
    </row>
    <row r="2303" spans="1:1" x14ac:dyDescent="0.25">
      <c r="A2303" s="5"/>
    </row>
    <row r="2304" spans="1:1" x14ac:dyDescent="0.25">
      <c r="A2304" s="5"/>
    </row>
    <row r="2305" spans="1:1" x14ac:dyDescent="0.25">
      <c r="A2305" s="5"/>
    </row>
    <row r="2306" spans="1:1" x14ac:dyDescent="0.25">
      <c r="A2306" s="5"/>
    </row>
    <row r="2307" spans="1:1" x14ac:dyDescent="0.25">
      <c r="A2307" s="5"/>
    </row>
    <row r="2308" spans="1:1" x14ac:dyDescent="0.25">
      <c r="A2308" s="5"/>
    </row>
    <row r="2309" spans="1:1" x14ac:dyDescent="0.25">
      <c r="A2309" s="5"/>
    </row>
    <row r="2310" spans="1:1" x14ac:dyDescent="0.25">
      <c r="A2310" s="5"/>
    </row>
    <row r="2311" spans="1:1" x14ac:dyDescent="0.25">
      <c r="A2311" s="5"/>
    </row>
    <row r="2312" spans="1:1" x14ac:dyDescent="0.25">
      <c r="A2312" s="5"/>
    </row>
    <row r="2313" spans="1:1" x14ac:dyDescent="0.25">
      <c r="A2313" s="5"/>
    </row>
    <row r="2314" spans="1:1" x14ac:dyDescent="0.25">
      <c r="A2314" s="5"/>
    </row>
    <row r="2315" spans="1:1" x14ac:dyDescent="0.25">
      <c r="A2315" s="5"/>
    </row>
    <row r="2316" spans="1:1" x14ac:dyDescent="0.25">
      <c r="A2316" s="5"/>
    </row>
    <row r="2317" spans="1:1" x14ac:dyDescent="0.25">
      <c r="A2317" s="5"/>
    </row>
    <row r="2318" spans="1:1" x14ac:dyDescent="0.25">
      <c r="A2318" s="5"/>
    </row>
    <row r="2319" spans="1:1" x14ac:dyDescent="0.25">
      <c r="A2319" s="5"/>
    </row>
    <row r="2320" spans="1:1" x14ac:dyDescent="0.25">
      <c r="A2320" s="5"/>
    </row>
    <row r="2321" spans="1:1" x14ac:dyDescent="0.25">
      <c r="A2321" s="5"/>
    </row>
    <row r="2322" spans="1:1" x14ac:dyDescent="0.25">
      <c r="A2322" s="5"/>
    </row>
    <row r="2323" spans="1:1" x14ac:dyDescent="0.25">
      <c r="A2323" s="5"/>
    </row>
    <row r="2324" spans="1:1" x14ac:dyDescent="0.25">
      <c r="A2324" s="5"/>
    </row>
    <row r="2325" spans="1:1" x14ac:dyDescent="0.25">
      <c r="A2325" s="5"/>
    </row>
    <row r="2326" spans="1:1" x14ac:dyDescent="0.25">
      <c r="A2326" s="5"/>
    </row>
    <row r="2327" spans="1:1" x14ac:dyDescent="0.25">
      <c r="A2327" s="5"/>
    </row>
    <row r="2328" spans="1:1" x14ac:dyDescent="0.25">
      <c r="A2328" s="5"/>
    </row>
    <row r="2329" spans="1:1" x14ac:dyDescent="0.25">
      <c r="A2329" s="5"/>
    </row>
    <row r="2330" spans="1:1" x14ac:dyDescent="0.25">
      <c r="A2330" s="5"/>
    </row>
    <row r="2331" spans="1:1" x14ac:dyDescent="0.25">
      <c r="A2331" s="5"/>
    </row>
    <row r="2332" spans="1:1" x14ac:dyDescent="0.25">
      <c r="A2332" s="5"/>
    </row>
    <row r="2333" spans="1:1" x14ac:dyDescent="0.25">
      <c r="A2333" s="5"/>
    </row>
    <row r="2334" spans="1:1" x14ac:dyDescent="0.25">
      <c r="A2334" s="5"/>
    </row>
    <row r="2335" spans="1:1" x14ac:dyDescent="0.25">
      <c r="A2335" s="5"/>
    </row>
    <row r="2336" spans="1:1" x14ac:dyDescent="0.25">
      <c r="A2336" s="5"/>
    </row>
    <row r="2337" spans="1:1" x14ac:dyDescent="0.25">
      <c r="A2337" s="5"/>
    </row>
    <row r="2338" spans="1:1" x14ac:dyDescent="0.25">
      <c r="A2338" s="5"/>
    </row>
    <row r="2339" spans="1:1" x14ac:dyDescent="0.25">
      <c r="A2339" s="5"/>
    </row>
    <row r="2340" spans="1:1" x14ac:dyDescent="0.25">
      <c r="A2340" s="5"/>
    </row>
    <row r="2341" spans="1:1" x14ac:dyDescent="0.25">
      <c r="A2341" s="5"/>
    </row>
    <row r="2342" spans="1:1" x14ac:dyDescent="0.25">
      <c r="A2342" s="5"/>
    </row>
    <row r="2343" spans="1:1" x14ac:dyDescent="0.25">
      <c r="A2343" s="5"/>
    </row>
    <row r="2344" spans="1:1" x14ac:dyDescent="0.25">
      <c r="A2344" s="5"/>
    </row>
    <row r="2345" spans="1:1" x14ac:dyDescent="0.25">
      <c r="A2345" s="5"/>
    </row>
    <row r="2346" spans="1:1" x14ac:dyDescent="0.25">
      <c r="A2346" s="5"/>
    </row>
    <row r="2347" spans="1:1" x14ac:dyDescent="0.25">
      <c r="A2347" s="5"/>
    </row>
    <row r="2348" spans="1:1" x14ac:dyDescent="0.25">
      <c r="A2348" s="5"/>
    </row>
    <row r="2349" spans="1:1" x14ac:dyDescent="0.25">
      <c r="A2349" s="5"/>
    </row>
    <row r="2350" spans="1:1" x14ac:dyDescent="0.25">
      <c r="A2350" s="5"/>
    </row>
    <row r="2351" spans="1:1" x14ac:dyDescent="0.25">
      <c r="A2351" s="5"/>
    </row>
    <row r="2352" spans="1:1" x14ac:dyDescent="0.25">
      <c r="A2352" s="5"/>
    </row>
    <row r="2353" spans="1:1" x14ac:dyDescent="0.25">
      <c r="A2353" s="5"/>
    </row>
    <row r="2354" spans="1:1" x14ac:dyDescent="0.25">
      <c r="A2354" s="5"/>
    </row>
    <row r="2355" spans="1:1" x14ac:dyDescent="0.25">
      <c r="A2355" s="5"/>
    </row>
    <row r="2356" spans="1:1" x14ac:dyDescent="0.25">
      <c r="A2356" s="5"/>
    </row>
    <row r="2357" spans="1:1" x14ac:dyDescent="0.25">
      <c r="A2357" s="5"/>
    </row>
    <row r="2358" spans="1:1" x14ac:dyDescent="0.25">
      <c r="A2358" s="5"/>
    </row>
    <row r="2359" spans="1:1" x14ac:dyDescent="0.25">
      <c r="A2359" s="5"/>
    </row>
    <row r="2360" spans="1:1" x14ac:dyDescent="0.25">
      <c r="A2360" s="5"/>
    </row>
    <row r="2361" spans="1:1" x14ac:dyDescent="0.25">
      <c r="A2361" s="5"/>
    </row>
    <row r="2362" spans="1:1" x14ac:dyDescent="0.25">
      <c r="A2362" s="5"/>
    </row>
    <row r="2363" spans="1:1" x14ac:dyDescent="0.25">
      <c r="A2363" s="5"/>
    </row>
    <row r="2364" spans="1:1" x14ac:dyDescent="0.25">
      <c r="A2364" s="5"/>
    </row>
    <row r="2365" spans="1:1" x14ac:dyDescent="0.25">
      <c r="A2365" s="5"/>
    </row>
    <row r="2366" spans="1:1" x14ac:dyDescent="0.25">
      <c r="A2366" s="5"/>
    </row>
    <row r="2367" spans="1:1" x14ac:dyDescent="0.25">
      <c r="A2367" s="5"/>
    </row>
    <row r="2368" spans="1:1" x14ac:dyDescent="0.25">
      <c r="A2368" s="5"/>
    </row>
    <row r="2369" spans="1:1" x14ac:dyDescent="0.25">
      <c r="A2369" s="5"/>
    </row>
    <row r="2370" spans="1:1" x14ac:dyDescent="0.25">
      <c r="A2370" s="5"/>
    </row>
    <row r="2371" spans="1:1" x14ac:dyDescent="0.25">
      <c r="A2371" s="5"/>
    </row>
    <row r="2372" spans="1:1" x14ac:dyDescent="0.25">
      <c r="A2372" s="5"/>
    </row>
    <row r="2373" spans="1:1" x14ac:dyDescent="0.25">
      <c r="A2373" s="5"/>
    </row>
    <row r="2374" spans="1:1" x14ac:dyDescent="0.25">
      <c r="A2374" s="5"/>
    </row>
    <row r="2375" spans="1:1" x14ac:dyDescent="0.25">
      <c r="A2375" s="5"/>
    </row>
    <row r="2376" spans="1:1" x14ac:dyDescent="0.25">
      <c r="A2376" s="5"/>
    </row>
    <row r="2377" spans="1:1" x14ac:dyDescent="0.25">
      <c r="A2377" s="5"/>
    </row>
    <row r="2378" spans="1:1" x14ac:dyDescent="0.25">
      <c r="A2378" s="5"/>
    </row>
    <row r="2379" spans="1:1" x14ac:dyDescent="0.25">
      <c r="A2379" s="5"/>
    </row>
    <row r="2380" spans="1:1" x14ac:dyDescent="0.25">
      <c r="A2380" s="5"/>
    </row>
    <row r="2381" spans="1:1" x14ac:dyDescent="0.25">
      <c r="A2381" s="5"/>
    </row>
    <row r="2382" spans="1:1" x14ac:dyDescent="0.25">
      <c r="A2382" s="5"/>
    </row>
    <row r="2383" spans="1:1" x14ac:dyDescent="0.25">
      <c r="A2383" s="5"/>
    </row>
    <row r="2384" spans="1:1" x14ac:dyDescent="0.25">
      <c r="A2384" s="5"/>
    </row>
    <row r="2385" spans="1:1" x14ac:dyDescent="0.25">
      <c r="A2385" s="5"/>
    </row>
    <row r="2386" spans="1:1" x14ac:dyDescent="0.25">
      <c r="A2386" s="5"/>
    </row>
    <row r="2387" spans="1:1" x14ac:dyDescent="0.25">
      <c r="A2387" s="5"/>
    </row>
    <row r="2388" spans="1:1" x14ac:dyDescent="0.25">
      <c r="A2388" s="5"/>
    </row>
    <row r="2389" spans="1:1" x14ac:dyDescent="0.25">
      <c r="A2389" s="5"/>
    </row>
    <row r="2390" spans="1:1" x14ac:dyDescent="0.25">
      <c r="A2390" s="5"/>
    </row>
    <row r="2391" spans="1:1" x14ac:dyDescent="0.25">
      <c r="A2391" s="5"/>
    </row>
    <row r="2392" spans="1:1" x14ac:dyDescent="0.25">
      <c r="A2392" s="5"/>
    </row>
    <row r="2393" spans="1:1" x14ac:dyDescent="0.25">
      <c r="A2393" s="5"/>
    </row>
    <row r="2394" spans="1:1" x14ac:dyDescent="0.25">
      <c r="A2394" s="5"/>
    </row>
    <row r="2395" spans="1:1" x14ac:dyDescent="0.25">
      <c r="A2395" s="5"/>
    </row>
    <row r="2396" spans="1:1" x14ac:dyDescent="0.25">
      <c r="A2396" s="5"/>
    </row>
    <row r="2397" spans="1:1" x14ac:dyDescent="0.25">
      <c r="A2397" s="5"/>
    </row>
    <row r="2398" spans="1:1" x14ac:dyDescent="0.25">
      <c r="A2398" s="5"/>
    </row>
    <row r="2399" spans="1:1" x14ac:dyDescent="0.25">
      <c r="A2399" s="5"/>
    </row>
    <row r="2400" spans="1:1" x14ac:dyDescent="0.25">
      <c r="A2400" s="5"/>
    </row>
    <row r="2401" spans="1:1" x14ac:dyDescent="0.25">
      <c r="A2401" s="5"/>
    </row>
    <row r="2402" spans="1:1" x14ac:dyDescent="0.25">
      <c r="A2402" s="5"/>
    </row>
    <row r="2403" spans="1:1" x14ac:dyDescent="0.25">
      <c r="A2403" s="5"/>
    </row>
    <row r="2404" spans="1:1" x14ac:dyDescent="0.25">
      <c r="A2404" s="5"/>
    </row>
    <row r="2405" spans="1:1" x14ac:dyDescent="0.25">
      <c r="A2405" s="5"/>
    </row>
    <row r="2406" spans="1:1" x14ac:dyDescent="0.25">
      <c r="A2406" s="5"/>
    </row>
    <row r="2407" spans="1:1" x14ac:dyDescent="0.25">
      <c r="A2407" s="5"/>
    </row>
    <row r="2408" spans="1:1" x14ac:dyDescent="0.25">
      <c r="A2408" s="5"/>
    </row>
    <row r="2409" spans="1:1" x14ac:dyDescent="0.25">
      <c r="A2409" s="5"/>
    </row>
    <row r="2410" spans="1:1" x14ac:dyDescent="0.25">
      <c r="A2410" s="5"/>
    </row>
    <row r="2411" spans="1:1" x14ac:dyDescent="0.25">
      <c r="A2411" s="5"/>
    </row>
    <row r="2412" spans="1:1" x14ac:dyDescent="0.25">
      <c r="A2412" s="5"/>
    </row>
    <row r="2413" spans="1:1" x14ac:dyDescent="0.25">
      <c r="A2413" s="5"/>
    </row>
    <row r="2414" spans="1:1" x14ac:dyDescent="0.25">
      <c r="A2414" s="5"/>
    </row>
    <row r="2415" spans="1:1" x14ac:dyDescent="0.25">
      <c r="A2415" s="5"/>
    </row>
    <row r="2416" spans="1:1" x14ac:dyDescent="0.25">
      <c r="A2416" s="5"/>
    </row>
    <row r="2417" spans="1:1" x14ac:dyDescent="0.25">
      <c r="A2417" s="5"/>
    </row>
    <row r="2418" spans="1:1" x14ac:dyDescent="0.25">
      <c r="A2418" s="5"/>
    </row>
    <row r="2419" spans="1:1" x14ac:dyDescent="0.25">
      <c r="A2419" s="5"/>
    </row>
    <row r="2420" spans="1:1" x14ac:dyDescent="0.25">
      <c r="A2420" s="5"/>
    </row>
    <row r="2421" spans="1:1" x14ac:dyDescent="0.25">
      <c r="A2421" s="5"/>
    </row>
    <row r="2422" spans="1:1" x14ac:dyDescent="0.25">
      <c r="A2422" s="5"/>
    </row>
    <row r="2423" spans="1:1" x14ac:dyDescent="0.25">
      <c r="A2423" s="5"/>
    </row>
    <row r="2424" spans="1:1" x14ac:dyDescent="0.25">
      <c r="A2424" s="5"/>
    </row>
    <row r="2425" spans="1:1" x14ac:dyDescent="0.25">
      <c r="A2425" s="5"/>
    </row>
    <row r="2426" spans="1:1" x14ac:dyDescent="0.25">
      <c r="A2426" s="5"/>
    </row>
    <row r="2427" spans="1:1" x14ac:dyDescent="0.25">
      <c r="A2427" s="5"/>
    </row>
    <row r="2428" spans="1:1" x14ac:dyDescent="0.25">
      <c r="A2428" s="5"/>
    </row>
    <row r="2429" spans="1:1" x14ac:dyDescent="0.25">
      <c r="A2429" s="5"/>
    </row>
    <row r="2430" spans="1:1" x14ac:dyDescent="0.25">
      <c r="A2430" s="5"/>
    </row>
    <row r="2431" spans="1:1" x14ac:dyDescent="0.25">
      <c r="A2431" s="5"/>
    </row>
    <row r="2432" spans="1:1" x14ac:dyDescent="0.25">
      <c r="A2432" s="5"/>
    </row>
    <row r="2433" spans="1:1" x14ac:dyDescent="0.25">
      <c r="A2433" s="5"/>
    </row>
    <row r="2434" spans="1:1" x14ac:dyDescent="0.25">
      <c r="A2434" s="5"/>
    </row>
    <row r="2435" spans="1:1" x14ac:dyDescent="0.25">
      <c r="A2435" s="5"/>
    </row>
    <row r="2436" spans="1:1" x14ac:dyDescent="0.25">
      <c r="A2436" s="5"/>
    </row>
    <row r="2437" spans="1:1" x14ac:dyDescent="0.25">
      <c r="A2437" s="5"/>
    </row>
    <row r="2438" spans="1:1" x14ac:dyDescent="0.25">
      <c r="A2438" s="5"/>
    </row>
    <row r="2439" spans="1:1" x14ac:dyDescent="0.25">
      <c r="A2439" s="5"/>
    </row>
    <row r="2440" spans="1:1" x14ac:dyDescent="0.25">
      <c r="A2440" s="5"/>
    </row>
    <row r="2441" spans="1:1" x14ac:dyDescent="0.25">
      <c r="A2441" s="5"/>
    </row>
    <row r="2442" spans="1:1" x14ac:dyDescent="0.25">
      <c r="A2442" s="5"/>
    </row>
    <row r="2443" spans="1:1" x14ac:dyDescent="0.25">
      <c r="A2443" s="5"/>
    </row>
    <row r="2444" spans="1:1" x14ac:dyDescent="0.25">
      <c r="A2444" s="5"/>
    </row>
    <row r="2445" spans="1:1" x14ac:dyDescent="0.25">
      <c r="A2445" s="5"/>
    </row>
    <row r="2446" spans="1:1" x14ac:dyDescent="0.25">
      <c r="A2446" s="5"/>
    </row>
    <row r="2447" spans="1:1" x14ac:dyDescent="0.25">
      <c r="A2447" s="5"/>
    </row>
    <row r="2448" spans="1:1" x14ac:dyDescent="0.25">
      <c r="A2448" s="5"/>
    </row>
    <row r="2449" spans="1:1" x14ac:dyDescent="0.25">
      <c r="A2449" s="5"/>
    </row>
    <row r="2450" spans="1:1" x14ac:dyDescent="0.25">
      <c r="A2450" s="5"/>
    </row>
    <row r="2451" spans="1:1" x14ac:dyDescent="0.25">
      <c r="A2451" s="5"/>
    </row>
    <row r="2452" spans="1:1" x14ac:dyDescent="0.25">
      <c r="A2452" s="5"/>
    </row>
    <row r="2453" spans="1:1" x14ac:dyDescent="0.25">
      <c r="A2453" s="5"/>
    </row>
    <row r="2454" spans="1:1" x14ac:dyDescent="0.25">
      <c r="A2454" s="5"/>
    </row>
    <row r="2455" spans="1:1" x14ac:dyDescent="0.25">
      <c r="A2455" s="5"/>
    </row>
    <row r="2456" spans="1:1" x14ac:dyDescent="0.25">
      <c r="A2456" s="5"/>
    </row>
    <row r="2457" spans="1:1" x14ac:dyDescent="0.25">
      <c r="A2457" s="5"/>
    </row>
    <row r="2458" spans="1:1" x14ac:dyDescent="0.25">
      <c r="A2458" s="5"/>
    </row>
    <row r="2459" spans="1:1" x14ac:dyDescent="0.25">
      <c r="A2459" s="5"/>
    </row>
    <row r="2460" spans="1:1" x14ac:dyDescent="0.25">
      <c r="A2460" s="5"/>
    </row>
    <row r="2461" spans="1:1" x14ac:dyDescent="0.25">
      <c r="A2461" s="5"/>
    </row>
    <row r="2462" spans="1:1" x14ac:dyDescent="0.25">
      <c r="A2462" s="5"/>
    </row>
    <row r="2463" spans="1:1" x14ac:dyDescent="0.25">
      <c r="A2463" s="5"/>
    </row>
    <row r="2464" spans="1:1" x14ac:dyDescent="0.25">
      <c r="A2464" s="5"/>
    </row>
    <row r="2465" spans="1:1" x14ac:dyDescent="0.25">
      <c r="A2465" s="5"/>
    </row>
    <row r="2466" spans="1:1" x14ac:dyDescent="0.25">
      <c r="A2466" s="5"/>
    </row>
    <row r="2467" spans="1:1" x14ac:dyDescent="0.25">
      <c r="A2467" s="5"/>
    </row>
    <row r="2468" spans="1:1" x14ac:dyDescent="0.25">
      <c r="A2468" s="5"/>
    </row>
    <row r="2469" spans="1:1" x14ac:dyDescent="0.25">
      <c r="A2469" s="5"/>
    </row>
    <row r="2470" spans="1:1" x14ac:dyDescent="0.25">
      <c r="A2470" s="5"/>
    </row>
    <row r="2471" spans="1:1" x14ac:dyDescent="0.25">
      <c r="A2471" s="5"/>
    </row>
    <row r="2472" spans="1:1" x14ac:dyDescent="0.25">
      <c r="A2472" s="5"/>
    </row>
    <row r="2473" spans="1:1" x14ac:dyDescent="0.25">
      <c r="A2473" s="5"/>
    </row>
    <row r="2474" spans="1:1" x14ac:dyDescent="0.25">
      <c r="A2474" s="5"/>
    </row>
    <row r="2475" spans="1:1" x14ac:dyDescent="0.25">
      <c r="A2475" s="5"/>
    </row>
    <row r="2476" spans="1:1" x14ac:dyDescent="0.25">
      <c r="A2476" s="5"/>
    </row>
    <row r="2477" spans="1:1" x14ac:dyDescent="0.25">
      <c r="A2477" s="5"/>
    </row>
    <row r="2478" spans="1:1" x14ac:dyDescent="0.25">
      <c r="A2478" s="5"/>
    </row>
    <row r="2479" spans="1:1" x14ac:dyDescent="0.25">
      <c r="A2479" s="5"/>
    </row>
    <row r="2480" spans="1:1" x14ac:dyDescent="0.25">
      <c r="A2480" s="5"/>
    </row>
    <row r="2481" spans="1:1" x14ac:dyDescent="0.25">
      <c r="A2481" s="5"/>
    </row>
    <row r="2482" spans="1:1" x14ac:dyDescent="0.25">
      <c r="A2482" s="5"/>
    </row>
    <row r="2483" spans="1:1" x14ac:dyDescent="0.25">
      <c r="A2483" s="5"/>
    </row>
    <row r="2484" spans="1:1" x14ac:dyDescent="0.25">
      <c r="A2484" s="5"/>
    </row>
    <row r="2485" spans="1:1" x14ac:dyDescent="0.25">
      <c r="A2485" s="5"/>
    </row>
    <row r="2486" spans="1:1" x14ac:dyDescent="0.25">
      <c r="A2486" s="5"/>
    </row>
    <row r="2487" spans="1:1" x14ac:dyDescent="0.25">
      <c r="A2487" s="5"/>
    </row>
    <row r="2488" spans="1:1" x14ac:dyDescent="0.25">
      <c r="A2488" s="5"/>
    </row>
    <row r="2489" spans="1:1" x14ac:dyDescent="0.25">
      <c r="A2489" s="5"/>
    </row>
    <row r="2490" spans="1:1" x14ac:dyDescent="0.25">
      <c r="A2490" s="5"/>
    </row>
    <row r="2491" spans="1:1" x14ac:dyDescent="0.25">
      <c r="A2491" s="5"/>
    </row>
    <row r="2492" spans="1:1" x14ac:dyDescent="0.25">
      <c r="A2492" s="5"/>
    </row>
    <row r="2493" spans="1:1" x14ac:dyDescent="0.25">
      <c r="A2493" s="5"/>
    </row>
    <row r="2494" spans="1:1" x14ac:dyDescent="0.25">
      <c r="A2494" s="5"/>
    </row>
    <row r="2495" spans="1:1" x14ac:dyDescent="0.25">
      <c r="A2495" s="5"/>
    </row>
    <row r="2496" spans="1:1" x14ac:dyDescent="0.25">
      <c r="A2496" s="5"/>
    </row>
    <row r="2497" spans="1:1" x14ac:dyDescent="0.25">
      <c r="A2497" s="5"/>
    </row>
    <row r="2498" spans="1:1" x14ac:dyDescent="0.25">
      <c r="A2498" s="5"/>
    </row>
    <row r="2499" spans="1:1" x14ac:dyDescent="0.25">
      <c r="A2499" s="5"/>
    </row>
    <row r="2500" spans="1:1" x14ac:dyDescent="0.25">
      <c r="A2500" s="5"/>
    </row>
    <row r="2501" spans="1:1" x14ac:dyDescent="0.25">
      <c r="A2501" s="5"/>
    </row>
    <row r="2502" spans="1:1" x14ac:dyDescent="0.25">
      <c r="A2502" s="5"/>
    </row>
    <row r="2503" spans="1:1" x14ac:dyDescent="0.25">
      <c r="A2503" s="5"/>
    </row>
    <row r="2504" spans="1:1" x14ac:dyDescent="0.25">
      <c r="A2504" s="5"/>
    </row>
    <row r="2505" spans="1:1" x14ac:dyDescent="0.25">
      <c r="A2505" s="5"/>
    </row>
    <row r="2506" spans="1:1" x14ac:dyDescent="0.25">
      <c r="A2506" s="5"/>
    </row>
    <row r="2507" spans="1:1" x14ac:dyDescent="0.25">
      <c r="A2507" s="5"/>
    </row>
    <row r="2508" spans="1:1" x14ac:dyDescent="0.25">
      <c r="A2508" s="5"/>
    </row>
    <row r="2509" spans="1:1" x14ac:dyDescent="0.25">
      <c r="A2509" s="5"/>
    </row>
    <row r="2510" spans="1:1" x14ac:dyDescent="0.25">
      <c r="A2510" s="5"/>
    </row>
    <row r="2511" spans="1:1" x14ac:dyDescent="0.25">
      <c r="A2511" s="5"/>
    </row>
    <row r="2512" spans="1:1" x14ac:dyDescent="0.25">
      <c r="A2512" s="5"/>
    </row>
    <row r="2513" spans="1:1" x14ac:dyDescent="0.25">
      <c r="A2513" s="5"/>
    </row>
    <row r="2514" spans="1:1" x14ac:dyDescent="0.25">
      <c r="A2514" s="5"/>
    </row>
    <row r="2515" spans="1:1" x14ac:dyDescent="0.25">
      <c r="A2515" s="5"/>
    </row>
    <row r="2516" spans="1:1" x14ac:dyDescent="0.25">
      <c r="A2516" s="5"/>
    </row>
    <row r="2517" spans="1:1" x14ac:dyDescent="0.25">
      <c r="A2517" s="5"/>
    </row>
    <row r="2518" spans="1:1" x14ac:dyDescent="0.25">
      <c r="A2518" s="5"/>
    </row>
    <row r="2519" spans="1:1" x14ac:dyDescent="0.25">
      <c r="A2519" s="5"/>
    </row>
    <row r="2520" spans="1:1" x14ac:dyDescent="0.25">
      <c r="A2520" s="5"/>
    </row>
    <row r="2521" spans="1:1" x14ac:dyDescent="0.25">
      <c r="A2521" s="5"/>
    </row>
    <row r="2522" spans="1:1" x14ac:dyDescent="0.25">
      <c r="A2522" s="5"/>
    </row>
    <row r="2523" spans="1:1" x14ac:dyDescent="0.25">
      <c r="A2523" s="5"/>
    </row>
    <row r="2524" spans="1:1" x14ac:dyDescent="0.25">
      <c r="A2524" s="5"/>
    </row>
    <row r="2525" spans="1:1" x14ac:dyDescent="0.25">
      <c r="A2525" s="5"/>
    </row>
    <row r="2526" spans="1:1" x14ac:dyDescent="0.25">
      <c r="A2526" s="5"/>
    </row>
    <row r="2527" spans="1:1" x14ac:dyDescent="0.25">
      <c r="A2527" s="5"/>
    </row>
    <row r="2528" spans="1:1" x14ac:dyDescent="0.25">
      <c r="A2528" s="5"/>
    </row>
    <row r="2529" spans="1:1" x14ac:dyDescent="0.25">
      <c r="A2529" s="5"/>
    </row>
    <row r="2530" spans="1:1" x14ac:dyDescent="0.25">
      <c r="A2530" s="5"/>
    </row>
    <row r="2531" spans="1:1" x14ac:dyDescent="0.25">
      <c r="A2531" s="5"/>
    </row>
    <row r="2532" spans="1:1" x14ac:dyDescent="0.25">
      <c r="A2532" s="5"/>
    </row>
    <row r="2533" spans="1:1" x14ac:dyDescent="0.25">
      <c r="A2533" s="5"/>
    </row>
    <row r="2534" spans="1:1" x14ac:dyDescent="0.25">
      <c r="A2534" s="5"/>
    </row>
    <row r="2535" spans="1:1" x14ac:dyDescent="0.25">
      <c r="A2535" s="5"/>
    </row>
    <row r="2536" spans="1:1" x14ac:dyDescent="0.25">
      <c r="A2536" s="5"/>
    </row>
    <row r="2537" spans="1:1" x14ac:dyDescent="0.25">
      <c r="A2537" s="5"/>
    </row>
    <row r="2538" spans="1:1" x14ac:dyDescent="0.25">
      <c r="A2538" s="5"/>
    </row>
    <row r="2539" spans="1:1" x14ac:dyDescent="0.25">
      <c r="A2539" s="5"/>
    </row>
    <row r="2540" spans="1:1" x14ac:dyDescent="0.25">
      <c r="A2540" s="5"/>
    </row>
    <row r="2541" spans="1:1" x14ac:dyDescent="0.25">
      <c r="A2541" s="5"/>
    </row>
    <row r="2542" spans="1:1" x14ac:dyDescent="0.25">
      <c r="A2542" s="5"/>
    </row>
    <row r="2543" spans="1:1" x14ac:dyDescent="0.25">
      <c r="A2543" s="5"/>
    </row>
    <row r="2544" spans="1:1" x14ac:dyDescent="0.25">
      <c r="A2544" s="5"/>
    </row>
    <row r="2545" spans="1:1" x14ac:dyDescent="0.25">
      <c r="A2545" s="5"/>
    </row>
    <row r="2546" spans="1:1" x14ac:dyDescent="0.25">
      <c r="A2546" s="5"/>
    </row>
    <row r="2547" spans="1:1" x14ac:dyDescent="0.25">
      <c r="A2547" s="5"/>
    </row>
    <row r="2548" spans="1:1" x14ac:dyDescent="0.25">
      <c r="A2548" s="5"/>
    </row>
    <row r="2549" spans="1:1" x14ac:dyDescent="0.25">
      <c r="A2549" s="5"/>
    </row>
    <row r="2550" spans="1:1" x14ac:dyDescent="0.25">
      <c r="A2550" s="5"/>
    </row>
    <row r="2551" spans="1:1" x14ac:dyDescent="0.25">
      <c r="A2551" s="5"/>
    </row>
    <row r="2552" spans="1:1" x14ac:dyDescent="0.25">
      <c r="A2552" s="5"/>
    </row>
    <row r="2553" spans="1:1" x14ac:dyDescent="0.25">
      <c r="A2553" s="5"/>
    </row>
    <row r="2554" spans="1:1" x14ac:dyDescent="0.25">
      <c r="A2554" s="5"/>
    </row>
    <row r="2555" spans="1:1" x14ac:dyDescent="0.25">
      <c r="A2555" s="5"/>
    </row>
    <row r="2556" spans="1:1" x14ac:dyDescent="0.25">
      <c r="A2556" s="5"/>
    </row>
    <row r="2557" spans="1:1" x14ac:dyDescent="0.25">
      <c r="A2557" s="5"/>
    </row>
    <row r="2558" spans="1:1" x14ac:dyDescent="0.25">
      <c r="A2558" s="5"/>
    </row>
    <row r="2559" spans="1:1" x14ac:dyDescent="0.25">
      <c r="A2559" s="5"/>
    </row>
    <row r="2560" spans="1:1" x14ac:dyDescent="0.25">
      <c r="A2560" s="5"/>
    </row>
    <row r="2561" spans="1:1" x14ac:dyDescent="0.25">
      <c r="A2561" s="5"/>
    </row>
    <row r="2562" spans="1:1" x14ac:dyDescent="0.25">
      <c r="A2562" s="5"/>
    </row>
    <row r="2563" spans="1:1" x14ac:dyDescent="0.25">
      <c r="A2563" s="5"/>
    </row>
    <row r="2564" spans="1:1" x14ac:dyDescent="0.25">
      <c r="A2564" s="5"/>
    </row>
    <row r="2565" spans="1:1" x14ac:dyDescent="0.25">
      <c r="A2565" s="5"/>
    </row>
    <row r="2566" spans="1:1" x14ac:dyDescent="0.25">
      <c r="A2566" s="5"/>
    </row>
    <row r="2567" spans="1:1" x14ac:dyDescent="0.25">
      <c r="A2567" s="5"/>
    </row>
    <row r="2568" spans="1:1" x14ac:dyDescent="0.25">
      <c r="A2568" s="5"/>
    </row>
    <row r="2569" spans="1:1" x14ac:dyDescent="0.25">
      <c r="A2569" s="5"/>
    </row>
    <row r="2570" spans="1:1" x14ac:dyDescent="0.25">
      <c r="A2570" s="5"/>
    </row>
    <row r="2571" spans="1:1" x14ac:dyDescent="0.25">
      <c r="A2571" s="5"/>
    </row>
    <row r="2572" spans="1:1" x14ac:dyDescent="0.25">
      <c r="A2572" s="5"/>
    </row>
    <row r="2573" spans="1:1" x14ac:dyDescent="0.25">
      <c r="A2573" s="5"/>
    </row>
    <row r="2574" spans="1:1" x14ac:dyDescent="0.25">
      <c r="A2574" s="5"/>
    </row>
    <row r="2575" spans="1:1" x14ac:dyDescent="0.25">
      <c r="A2575" s="5"/>
    </row>
    <row r="2576" spans="1:1" x14ac:dyDescent="0.25">
      <c r="A2576" s="5"/>
    </row>
    <row r="2577" spans="1:1" x14ac:dyDescent="0.25">
      <c r="A2577" s="5"/>
    </row>
    <row r="2578" spans="1:1" x14ac:dyDescent="0.25">
      <c r="A2578" s="5"/>
    </row>
    <row r="2579" spans="1:1" x14ac:dyDescent="0.25">
      <c r="A2579" s="5"/>
    </row>
    <row r="2580" spans="1:1" x14ac:dyDescent="0.25">
      <c r="A2580" s="5"/>
    </row>
    <row r="2581" spans="1:1" x14ac:dyDescent="0.25">
      <c r="A2581" s="5"/>
    </row>
    <row r="2582" spans="1:1" x14ac:dyDescent="0.25">
      <c r="A2582" s="5"/>
    </row>
    <row r="2583" spans="1:1" x14ac:dyDescent="0.25">
      <c r="A2583" s="5"/>
    </row>
    <row r="2584" spans="1:1" x14ac:dyDescent="0.25">
      <c r="A2584" s="5"/>
    </row>
    <row r="2585" spans="1:1" x14ac:dyDescent="0.25">
      <c r="A2585" s="5"/>
    </row>
    <row r="2586" spans="1:1" x14ac:dyDescent="0.25">
      <c r="A2586" s="5"/>
    </row>
    <row r="2587" spans="1:1" x14ac:dyDescent="0.25">
      <c r="A2587" s="5"/>
    </row>
    <row r="2588" spans="1:1" x14ac:dyDescent="0.25">
      <c r="A2588" s="5"/>
    </row>
    <row r="2589" spans="1:1" x14ac:dyDescent="0.25">
      <c r="A2589" s="5"/>
    </row>
    <row r="2590" spans="1:1" x14ac:dyDescent="0.25">
      <c r="A2590" s="5"/>
    </row>
    <row r="2591" spans="1:1" x14ac:dyDescent="0.25">
      <c r="A2591" s="5"/>
    </row>
    <row r="2592" spans="1:1" x14ac:dyDescent="0.25">
      <c r="A2592" s="5"/>
    </row>
    <row r="2593" spans="1:1" x14ac:dyDescent="0.25">
      <c r="A2593" s="5"/>
    </row>
    <row r="2594" spans="1:1" x14ac:dyDescent="0.25">
      <c r="A2594" s="5"/>
    </row>
    <row r="2595" spans="1:1" x14ac:dyDescent="0.25">
      <c r="A2595" s="5"/>
    </row>
    <row r="2596" spans="1:1" x14ac:dyDescent="0.25">
      <c r="A2596" s="5"/>
    </row>
    <row r="2597" spans="1:1" x14ac:dyDescent="0.25">
      <c r="A2597" s="5"/>
    </row>
    <row r="2598" spans="1:1" x14ac:dyDescent="0.25">
      <c r="A2598" s="5"/>
    </row>
    <row r="2599" spans="1:1" x14ac:dyDescent="0.25">
      <c r="A2599" s="5"/>
    </row>
    <row r="2600" spans="1:1" x14ac:dyDescent="0.25">
      <c r="A2600" s="5"/>
    </row>
    <row r="2601" spans="1:1" x14ac:dyDescent="0.25">
      <c r="A2601" s="5"/>
    </row>
    <row r="2602" spans="1:1" x14ac:dyDescent="0.25">
      <c r="A2602" s="5"/>
    </row>
    <row r="2603" spans="1:1" x14ac:dyDescent="0.25">
      <c r="A2603" s="5"/>
    </row>
    <row r="2604" spans="1:1" x14ac:dyDescent="0.25">
      <c r="A2604" s="5"/>
    </row>
    <row r="2605" spans="1:1" x14ac:dyDescent="0.25">
      <c r="A2605" s="5"/>
    </row>
    <row r="2606" spans="1:1" x14ac:dyDescent="0.25">
      <c r="A2606" s="5"/>
    </row>
    <row r="2607" spans="1:1" x14ac:dyDescent="0.25">
      <c r="A2607" s="5"/>
    </row>
    <row r="2608" spans="1:1" x14ac:dyDescent="0.25">
      <c r="A2608" s="5"/>
    </row>
    <row r="2609" spans="1:1" x14ac:dyDescent="0.25">
      <c r="A2609" s="5"/>
    </row>
    <row r="2610" spans="1:1" x14ac:dyDescent="0.25">
      <c r="A2610" s="5"/>
    </row>
    <row r="2611" spans="1:1" x14ac:dyDescent="0.25">
      <c r="A2611" s="5"/>
    </row>
    <row r="2612" spans="1:1" x14ac:dyDescent="0.25">
      <c r="A2612" s="5"/>
    </row>
    <row r="2613" spans="1:1" x14ac:dyDescent="0.25">
      <c r="A2613" s="5"/>
    </row>
    <row r="2614" spans="1:1" x14ac:dyDescent="0.25">
      <c r="A2614" s="5"/>
    </row>
    <row r="2615" spans="1:1" x14ac:dyDescent="0.25">
      <c r="A2615" s="5"/>
    </row>
    <row r="2616" spans="1:1" x14ac:dyDescent="0.25">
      <c r="A2616" s="5"/>
    </row>
    <row r="2617" spans="1:1" x14ac:dyDescent="0.25">
      <c r="A2617" s="5"/>
    </row>
    <row r="2618" spans="1:1" x14ac:dyDescent="0.25">
      <c r="A2618" s="5"/>
    </row>
    <row r="2619" spans="1:1" x14ac:dyDescent="0.25">
      <c r="A2619" s="5"/>
    </row>
    <row r="2620" spans="1:1" x14ac:dyDescent="0.25">
      <c r="A2620" s="5"/>
    </row>
    <row r="2621" spans="1:1" x14ac:dyDescent="0.25">
      <c r="A2621" s="5"/>
    </row>
    <row r="2622" spans="1:1" x14ac:dyDescent="0.25">
      <c r="A2622" s="5"/>
    </row>
    <row r="2623" spans="1:1" x14ac:dyDescent="0.25">
      <c r="A2623" s="5"/>
    </row>
    <row r="2624" spans="1:1" x14ac:dyDescent="0.25">
      <c r="A2624" s="5"/>
    </row>
    <row r="2625" spans="1:1" x14ac:dyDescent="0.25">
      <c r="A2625" s="5"/>
    </row>
    <row r="2626" spans="1:1" x14ac:dyDescent="0.25">
      <c r="A2626" s="5"/>
    </row>
    <row r="2627" spans="1:1" x14ac:dyDescent="0.25">
      <c r="A2627" s="5"/>
    </row>
    <row r="2628" spans="1:1" x14ac:dyDescent="0.25">
      <c r="A2628" s="5"/>
    </row>
    <row r="2629" spans="1:1" x14ac:dyDescent="0.25">
      <c r="A2629" s="5"/>
    </row>
    <row r="2630" spans="1:1" x14ac:dyDescent="0.25">
      <c r="A2630" s="5"/>
    </row>
    <row r="2631" spans="1:1" x14ac:dyDescent="0.25">
      <c r="A2631" s="5"/>
    </row>
    <row r="2632" spans="1:1" x14ac:dyDescent="0.25">
      <c r="A2632" s="5"/>
    </row>
    <row r="2633" spans="1:1" x14ac:dyDescent="0.25">
      <c r="A2633" s="5"/>
    </row>
    <row r="2634" spans="1:1" x14ac:dyDescent="0.25">
      <c r="A2634" s="5"/>
    </row>
    <row r="2635" spans="1:1" x14ac:dyDescent="0.25">
      <c r="A2635" s="5"/>
    </row>
    <row r="2636" spans="1:1" x14ac:dyDescent="0.25">
      <c r="A2636" s="5"/>
    </row>
    <row r="2637" spans="1:1" x14ac:dyDescent="0.25">
      <c r="A2637" s="5"/>
    </row>
    <row r="2638" spans="1:1" x14ac:dyDescent="0.25">
      <c r="A2638" s="5"/>
    </row>
    <row r="2639" spans="1:1" x14ac:dyDescent="0.25">
      <c r="A2639" s="5"/>
    </row>
    <row r="2640" spans="1:1" x14ac:dyDescent="0.25">
      <c r="A2640" s="5"/>
    </row>
    <row r="2641" spans="1:1" x14ac:dyDescent="0.25">
      <c r="A2641" s="5"/>
    </row>
    <row r="2642" spans="1:1" x14ac:dyDescent="0.25">
      <c r="A2642" s="5"/>
    </row>
    <row r="2643" spans="1:1" x14ac:dyDescent="0.25">
      <c r="A2643" s="5"/>
    </row>
    <row r="2644" spans="1:1" x14ac:dyDescent="0.25">
      <c r="A2644" s="5"/>
    </row>
    <row r="2645" spans="1:1" x14ac:dyDescent="0.25">
      <c r="A2645" s="5"/>
    </row>
    <row r="2646" spans="1:1" x14ac:dyDescent="0.25">
      <c r="A2646" s="5"/>
    </row>
    <row r="2647" spans="1:1" x14ac:dyDescent="0.25">
      <c r="A2647" s="5"/>
    </row>
    <row r="2648" spans="1:1" x14ac:dyDescent="0.25">
      <c r="A2648" s="5"/>
    </row>
    <row r="2649" spans="1:1" x14ac:dyDescent="0.25">
      <c r="A2649" s="5"/>
    </row>
    <row r="2650" spans="1:1" x14ac:dyDescent="0.25">
      <c r="A2650" s="5"/>
    </row>
    <row r="2651" spans="1:1" x14ac:dyDescent="0.25">
      <c r="A2651" s="5"/>
    </row>
    <row r="2652" spans="1:1" x14ac:dyDescent="0.25">
      <c r="A2652" s="5"/>
    </row>
    <row r="2653" spans="1:1" x14ac:dyDescent="0.25">
      <c r="A2653" s="5"/>
    </row>
    <row r="2654" spans="1:1" x14ac:dyDescent="0.25">
      <c r="A2654" s="5"/>
    </row>
    <row r="2655" spans="1:1" x14ac:dyDescent="0.25">
      <c r="A2655" s="5"/>
    </row>
    <row r="2656" spans="1:1" x14ac:dyDescent="0.25">
      <c r="A2656" s="5"/>
    </row>
    <row r="2657" spans="1:1" x14ac:dyDescent="0.25">
      <c r="A2657" s="5"/>
    </row>
    <row r="2658" spans="1:1" x14ac:dyDescent="0.25">
      <c r="A2658" s="5"/>
    </row>
    <row r="2659" spans="1:1" x14ac:dyDescent="0.25">
      <c r="A2659" s="5"/>
    </row>
    <row r="2660" spans="1:1" x14ac:dyDescent="0.25">
      <c r="A2660" s="5"/>
    </row>
    <row r="2661" spans="1:1" x14ac:dyDescent="0.25">
      <c r="A2661" s="5"/>
    </row>
    <row r="2662" spans="1:1" x14ac:dyDescent="0.25">
      <c r="A2662" s="5"/>
    </row>
    <row r="2663" spans="1:1" x14ac:dyDescent="0.25">
      <c r="A2663" s="5"/>
    </row>
    <row r="2664" spans="1:1" x14ac:dyDescent="0.25">
      <c r="A2664" s="5"/>
    </row>
    <row r="2665" spans="1:1" x14ac:dyDescent="0.25">
      <c r="A2665" s="5"/>
    </row>
    <row r="2666" spans="1:1" x14ac:dyDescent="0.25">
      <c r="A2666" s="5"/>
    </row>
    <row r="2667" spans="1:1" x14ac:dyDescent="0.25">
      <c r="A2667" s="5"/>
    </row>
    <row r="2668" spans="1:1" x14ac:dyDescent="0.25">
      <c r="A2668" s="5"/>
    </row>
    <row r="2669" spans="1:1" x14ac:dyDescent="0.25">
      <c r="A2669" s="5"/>
    </row>
    <row r="2670" spans="1:1" x14ac:dyDescent="0.25">
      <c r="A2670" s="5"/>
    </row>
    <row r="2671" spans="1:1" x14ac:dyDescent="0.25">
      <c r="A2671" s="5"/>
    </row>
    <row r="2672" spans="1:1" x14ac:dyDescent="0.25">
      <c r="A2672" s="5"/>
    </row>
    <row r="2673" spans="1:1" x14ac:dyDescent="0.25">
      <c r="A2673" s="5"/>
    </row>
    <row r="2674" spans="1:1" x14ac:dyDescent="0.25">
      <c r="A2674" s="5"/>
    </row>
    <row r="2675" spans="1:1" x14ac:dyDescent="0.25">
      <c r="A2675" s="5"/>
    </row>
    <row r="2676" spans="1:1" x14ac:dyDescent="0.25">
      <c r="A2676" s="5"/>
    </row>
    <row r="2677" spans="1:1" x14ac:dyDescent="0.25">
      <c r="A2677" s="5"/>
    </row>
    <row r="2678" spans="1:1" x14ac:dyDescent="0.25">
      <c r="A2678" s="5"/>
    </row>
    <row r="2679" spans="1:1" x14ac:dyDescent="0.25">
      <c r="A2679" s="5"/>
    </row>
    <row r="2680" spans="1:1" x14ac:dyDescent="0.25">
      <c r="A2680" s="5"/>
    </row>
    <row r="2681" spans="1:1" x14ac:dyDescent="0.25">
      <c r="A2681" s="5"/>
    </row>
    <row r="2682" spans="1:1" x14ac:dyDescent="0.25">
      <c r="A2682" s="5"/>
    </row>
    <row r="2683" spans="1:1" x14ac:dyDescent="0.25">
      <c r="A2683" s="5"/>
    </row>
    <row r="2684" spans="1:1" x14ac:dyDescent="0.25">
      <c r="A2684" s="5"/>
    </row>
    <row r="2685" spans="1:1" x14ac:dyDescent="0.25">
      <c r="A2685" s="5"/>
    </row>
    <row r="2686" spans="1:1" x14ac:dyDescent="0.25">
      <c r="A2686" s="5"/>
    </row>
    <row r="2687" spans="1:1" x14ac:dyDescent="0.25">
      <c r="A2687" s="5"/>
    </row>
    <row r="2688" spans="1:1" x14ac:dyDescent="0.25">
      <c r="A2688" s="5"/>
    </row>
    <row r="2689" spans="1:1" x14ac:dyDescent="0.25">
      <c r="A2689" s="5"/>
    </row>
    <row r="2690" spans="1:1" x14ac:dyDescent="0.25">
      <c r="A2690" s="5"/>
    </row>
    <row r="2691" spans="1:1" x14ac:dyDescent="0.25">
      <c r="A2691" s="5"/>
    </row>
    <row r="2692" spans="1:1" x14ac:dyDescent="0.25">
      <c r="A2692" s="5"/>
    </row>
    <row r="2693" spans="1:1" x14ac:dyDescent="0.25">
      <c r="A2693" s="5"/>
    </row>
    <row r="2694" spans="1:1" x14ac:dyDescent="0.25">
      <c r="A2694" s="5"/>
    </row>
    <row r="2695" spans="1:1" x14ac:dyDescent="0.25">
      <c r="A2695" s="5"/>
    </row>
    <row r="2696" spans="1:1" x14ac:dyDescent="0.25">
      <c r="A2696" s="5"/>
    </row>
    <row r="2697" spans="1:1" x14ac:dyDescent="0.25">
      <c r="A2697" s="5"/>
    </row>
    <row r="2698" spans="1:1" x14ac:dyDescent="0.25">
      <c r="A2698" s="5"/>
    </row>
    <row r="2699" spans="1:1" x14ac:dyDescent="0.25">
      <c r="A2699" s="5"/>
    </row>
    <row r="2700" spans="1:1" x14ac:dyDescent="0.25">
      <c r="A2700" s="5"/>
    </row>
    <row r="2701" spans="1:1" x14ac:dyDescent="0.25">
      <c r="A2701" s="5"/>
    </row>
    <row r="2702" spans="1:1" x14ac:dyDescent="0.25">
      <c r="A2702" s="5"/>
    </row>
    <row r="2703" spans="1:1" x14ac:dyDescent="0.25">
      <c r="A2703" s="5"/>
    </row>
    <row r="2704" spans="1:1" x14ac:dyDescent="0.25">
      <c r="A2704" s="5"/>
    </row>
    <row r="2705" spans="1:1" x14ac:dyDescent="0.25">
      <c r="A2705" s="5"/>
    </row>
    <row r="2706" spans="1:1" x14ac:dyDescent="0.25">
      <c r="A2706" s="5"/>
    </row>
    <row r="2707" spans="1:1" x14ac:dyDescent="0.25">
      <c r="A2707" s="5"/>
    </row>
    <row r="2708" spans="1:1" x14ac:dyDescent="0.25">
      <c r="A2708" s="5"/>
    </row>
    <row r="2709" spans="1:1" x14ac:dyDescent="0.25">
      <c r="A2709" s="5"/>
    </row>
    <row r="2710" spans="1:1" x14ac:dyDescent="0.25">
      <c r="A2710" s="5"/>
    </row>
    <row r="2711" spans="1:1" x14ac:dyDescent="0.25">
      <c r="A2711" s="5"/>
    </row>
    <row r="2712" spans="1:1" x14ac:dyDescent="0.25">
      <c r="A2712" s="5"/>
    </row>
    <row r="2713" spans="1:1" x14ac:dyDescent="0.25">
      <c r="A2713" s="5"/>
    </row>
    <row r="2714" spans="1:1" x14ac:dyDescent="0.25">
      <c r="A2714" s="5"/>
    </row>
    <row r="2715" spans="1:1" x14ac:dyDescent="0.25">
      <c r="A2715" s="5"/>
    </row>
    <row r="2716" spans="1:1" x14ac:dyDescent="0.25">
      <c r="A2716" s="5"/>
    </row>
    <row r="2717" spans="1:1" x14ac:dyDescent="0.25">
      <c r="A2717" s="5"/>
    </row>
    <row r="2718" spans="1:1" x14ac:dyDescent="0.25">
      <c r="A2718" s="5"/>
    </row>
    <row r="2719" spans="1:1" x14ac:dyDescent="0.25">
      <c r="A2719" s="5"/>
    </row>
    <row r="2720" spans="1:1" x14ac:dyDescent="0.25">
      <c r="A2720" s="5"/>
    </row>
    <row r="2721" spans="1:1" x14ac:dyDescent="0.25">
      <c r="A2721" s="5"/>
    </row>
    <row r="2722" spans="1:1" x14ac:dyDescent="0.25">
      <c r="A2722" s="5"/>
    </row>
    <row r="2723" spans="1:1" x14ac:dyDescent="0.25">
      <c r="A2723" s="5"/>
    </row>
    <row r="2724" spans="1:1" x14ac:dyDescent="0.25">
      <c r="A2724" s="5"/>
    </row>
    <row r="2725" spans="1:1" x14ac:dyDescent="0.25">
      <c r="A2725" s="5"/>
    </row>
    <row r="2726" spans="1:1" x14ac:dyDescent="0.25">
      <c r="A2726" s="5"/>
    </row>
    <row r="2727" spans="1:1" x14ac:dyDescent="0.25">
      <c r="A2727" s="5"/>
    </row>
    <row r="2728" spans="1:1" x14ac:dyDescent="0.25">
      <c r="A2728" s="5"/>
    </row>
    <row r="2729" spans="1:1" x14ac:dyDescent="0.25">
      <c r="A2729" s="5"/>
    </row>
    <row r="2730" spans="1:1" x14ac:dyDescent="0.25">
      <c r="A2730" s="5"/>
    </row>
    <row r="2731" spans="1:1" x14ac:dyDescent="0.25">
      <c r="A2731" s="5"/>
    </row>
    <row r="2732" spans="1:1" x14ac:dyDescent="0.25">
      <c r="A2732" s="5"/>
    </row>
    <row r="2733" spans="1:1" x14ac:dyDescent="0.25">
      <c r="A2733" s="5"/>
    </row>
    <row r="2734" spans="1:1" x14ac:dyDescent="0.25">
      <c r="A2734" s="5"/>
    </row>
    <row r="2735" spans="1:1" x14ac:dyDescent="0.25">
      <c r="A2735" s="5"/>
    </row>
    <row r="2736" spans="1:1" x14ac:dyDescent="0.25">
      <c r="A2736" s="5"/>
    </row>
    <row r="2737" spans="1:1" x14ac:dyDescent="0.25">
      <c r="A2737" s="5"/>
    </row>
    <row r="2738" spans="1:1" x14ac:dyDescent="0.25">
      <c r="A2738" s="5"/>
    </row>
    <row r="2739" spans="1:1" x14ac:dyDescent="0.25">
      <c r="A2739" s="5"/>
    </row>
    <row r="2740" spans="1:1" x14ac:dyDescent="0.25">
      <c r="A2740" s="5"/>
    </row>
    <row r="2741" spans="1:1" x14ac:dyDescent="0.25">
      <c r="A2741" s="5"/>
    </row>
    <row r="2742" spans="1:1" x14ac:dyDescent="0.25">
      <c r="A2742" s="5"/>
    </row>
    <row r="2743" spans="1:1" x14ac:dyDescent="0.25">
      <c r="A2743" s="5"/>
    </row>
    <row r="2744" spans="1:1" x14ac:dyDescent="0.25">
      <c r="A2744" s="5"/>
    </row>
    <row r="2745" spans="1:1" x14ac:dyDescent="0.25">
      <c r="A2745" s="5"/>
    </row>
    <row r="2746" spans="1:1" x14ac:dyDescent="0.25">
      <c r="A2746" s="5"/>
    </row>
    <row r="2747" spans="1:1" x14ac:dyDescent="0.25">
      <c r="A2747" s="5"/>
    </row>
    <row r="2748" spans="1:1" x14ac:dyDescent="0.25">
      <c r="A2748" s="5"/>
    </row>
    <row r="2749" spans="1:1" x14ac:dyDescent="0.25">
      <c r="A2749" s="5"/>
    </row>
    <row r="2750" spans="1:1" x14ac:dyDescent="0.25">
      <c r="A2750" s="5"/>
    </row>
    <row r="2751" spans="1:1" x14ac:dyDescent="0.25">
      <c r="A2751" s="5"/>
    </row>
    <row r="2752" spans="1:1" x14ac:dyDescent="0.25">
      <c r="A2752" s="5"/>
    </row>
    <row r="2753" spans="1:1" x14ac:dyDescent="0.25">
      <c r="A2753" s="5"/>
    </row>
    <row r="2754" spans="1:1" x14ac:dyDescent="0.25">
      <c r="A2754" s="5"/>
    </row>
    <row r="2755" spans="1:1" x14ac:dyDescent="0.25">
      <c r="A2755" s="5"/>
    </row>
    <row r="2756" spans="1:1" x14ac:dyDescent="0.25">
      <c r="A2756" s="5"/>
    </row>
    <row r="2757" spans="1:1" x14ac:dyDescent="0.25">
      <c r="A2757" s="5"/>
    </row>
    <row r="2758" spans="1:1" x14ac:dyDescent="0.25">
      <c r="A2758" s="5"/>
    </row>
    <row r="2759" spans="1:1" x14ac:dyDescent="0.25">
      <c r="A2759" s="5"/>
    </row>
    <row r="2760" spans="1:1" x14ac:dyDescent="0.25">
      <c r="A2760" s="5"/>
    </row>
    <row r="2761" spans="1:1" x14ac:dyDescent="0.25">
      <c r="A2761" s="5"/>
    </row>
    <row r="2762" spans="1:1" x14ac:dyDescent="0.25">
      <c r="A2762" s="5"/>
    </row>
    <row r="2763" spans="1:1" x14ac:dyDescent="0.25">
      <c r="A2763" s="5"/>
    </row>
    <row r="2764" spans="1:1" x14ac:dyDescent="0.25">
      <c r="A2764" s="5"/>
    </row>
    <row r="2765" spans="1:1" x14ac:dyDescent="0.25">
      <c r="A2765" s="5"/>
    </row>
    <row r="2766" spans="1:1" x14ac:dyDescent="0.25">
      <c r="A2766" s="5"/>
    </row>
    <row r="2767" spans="1:1" x14ac:dyDescent="0.25">
      <c r="A2767" s="5"/>
    </row>
    <row r="2768" spans="1:1" x14ac:dyDescent="0.25">
      <c r="A2768" s="5"/>
    </row>
    <row r="2769" spans="1:1" x14ac:dyDescent="0.25">
      <c r="A2769" s="5"/>
    </row>
    <row r="2770" spans="1:1" x14ac:dyDescent="0.25">
      <c r="A2770" s="5"/>
    </row>
    <row r="2771" spans="1:1" x14ac:dyDescent="0.25">
      <c r="A2771" s="5"/>
    </row>
    <row r="2772" spans="1:1" x14ac:dyDescent="0.25">
      <c r="A2772" s="5"/>
    </row>
    <row r="2773" spans="1:1" x14ac:dyDescent="0.25">
      <c r="A2773" s="5"/>
    </row>
    <row r="2774" spans="1:1" x14ac:dyDescent="0.25">
      <c r="A2774" s="5"/>
    </row>
    <row r="2775" spans="1:1" x14ac:dyDescent="0.25">
      <c r="A2775" s="5"/>
    </row>
    <row r="2776" spans="1:1" x14ac:dyDescent="0.25">
      <c r="A2776" s="5"/>
    </row>
    <row r="2777" spans="1:1" x14ac:dyDescent="0.25">
      <c r="A2777" s="5"/>
    </row>
    <row r="2778" spans="1:1" x14ac:dyDescent="0.25">
      <c r="A2778" s="5"/>
    </row>
    <row r="2779" spans="1:1" x14ac:dyDescent="0.25">
      <c r="A2779" s="5"/>
    </row>
    <row r="2780" spans="1:1" x14ac:dyDescent="0.25">
      <c r="A2780" s="5"/>
    </row>
    <row r="2781" spans="1:1" x14ac:dyDescent="0.25">
      <c r="A2781" s="5"/>
    </row>
    <row r="2782" spans="1:1" x14ac:dyDescent="0.25">
      <c r="A2782" s="5"/>
    </row>
    <row r="2783" spans="1:1" x14ac:dyDescent="0.25">
      <c r="A2783" s="5"/>
    </row>
    <row r="2784" spans="1:1" x14ac:dyDescent="0.25">
      <c r="A2784" s="5"/>
    </row>
    <row r="2785" spans="1:1" x14ac:dyDescent="0.25">
      <c r="A2785" s="5"/>
    </row>
    <row r="2786" spans="1:1" x14ac:dyDescent="0.25">
      <c r="A2786" s="5"/>
    </row>
    <row r="2787" spans="1:1" x14ac:dyDescent="0.25">
      <c r="A2787" s="5"/>
    </row>
    <row r="2788" spans="1:1" x14ac:dyDescent="0.25">
      <c r="A2788" s="5"/>
    </row>
    <row r="2789" spans="1:1" x14ac:dyDescent="0.25">
      <c r="A2789" s="5"/>
    </row>
    <row r="2790" spans="1:1" x14ac:dyDescent="0.25">
      <c r="A2790" s="5"/>
    </row>
    <row r="2791" spans="1:1" x14ac:dyDescent="0.25">
      <c r="A2791" s="5"/>
    </row>
    <row r="2792" spans="1:1" x14ac:dyDescent="0.25">
      <c r="A2792" s="5"/>
    </row>
    <row r="2793" spans="1:1" x14ac:dyDescent="0.25">
      <c r="A2793" s="5"/>
    </row>
    <row r="2794" spans="1:1" x14ac:dyDescent="0.25">
      <c r="A2794" s="5"/>
    </row>
    <row r="2795" spans="1:1" x14ac:dyDescent="0.25">
      <c r="A2795" s="5"/>
    </row>
    <row r="2796" spans="1:1" x14ac:dyDescent="0.25">
      <c r="A2796" s="5"/>
    </row>
    <row r="2797" spans="1:1" x14ac:dyDescent="0.25">
      <c r="A2797" s="5"/>
    </row>
    <row r="2798" spans="1:1" x14ac:dyDescent="0.25">
      <c r="A2798" s="5"/>
    </row>
    <row r="2799" spans="1:1" x14ac:dyDescent="0.25">
      <c r="A2799" s="5"/>
    </row>
    <row r="2800" spans="1:1" x14ac:dyDescent="0.25">
      <c r="A2800" s="5"/>
    </row>
    <row r="2801" spans="1:1" x14ac:dyDescent="0.25">
      <c r="A2801" s="5"/>
    </row>
    <row r="2802" spans="1:1" x14ac:dyDescent="0.25">
      <c r="A2802" s="5"/>
    </row>
    <row r="2803" spans="1:1" x14ac:dyDescent="0.25">
      <c r="A2803" s="5"/>
    </row>
    <row r="2804" spans="1:1" x14ac:dyDescent="0.25">
      <c r="A2804" s="5"/>
    </row>
    <row r="2805" spans="1:1" x14ac:dyDescent="0.25">
      <c r="A2805" s="5"/>
    </row>
    <row r="2806" spans="1:1" x14ac:dyDescent="0.25">
      <c r="A2806" s="5"/>
    </row>
    <row r="2807" spans="1:1" x14ac:dyDescent="0.25">
      <c r="A2807" s="5"/>
    </row>
    <row r="2808" spans="1:1" x14ac:dyDescent="0.25">
      <c r="A2808" s="5"/>
    </row>
    <row r="2809" spans="1:1" x14ac:dyDescent="0.25">
      <c r="A2809" s="5"/>
    </row>
    <row r="2810" spans="1:1" x14ac:dyDescent="0.25">
      <c r="A2810" s="5"/>
    </row>
    <row r="2811" spans="1:1" x14ac:dyDescent="0.25">
      <c r="A2811" s="5"/>
    </row>
    <row r="2812" spans="1:1" x14ac:dyDescent="0.25">
      <c r="A2812" s="5"/>
    </row>
    <row r="2813" spans="1:1" x14ac:dyDescent="0.25">
      <c r="A2813" s="5"/>
    </row>
    <row r="2814" spans="1:1" x14ac:dyDescent="0.25">
      <c r="A2814" s="5"/>
    </row>
    <row r="2815" spans="1:1" x14ac:dyDescent="0.25">
      <c r="A2815" s="5"/>
    </row>
    <row r="2816" spans="1:1" x14ac:dyDescent="0.25">
      <c r="A2816" s="5"/>
    </row>
    <row r="2817" spans="1:1" x14ac:dyDescent="0.25">
      <c r="A2817" s="5"/>
    </row>
    <row r="2818" spans="1:1" x14ac:dyDescent="0.25">
      <c r="A2818" s="5"/>
    </row>
    <row r="2819" spans="1:1" x14ac:dyDescent="0.25">
      <c r="A2819" s="5"/>
    </row>
    <row r="2820" spans="1:1" x14ac:dyDescent="0.25">
      <c r="A2820" s="5"/>
    </row>
    <row r="2821" spans="1:1" x14ac:dyDescent="0.25">
      <c r="A2821" s="5"/>
    </row>
    <row r="2822" spans="1:1" x14ac:dyDescent="0.25">
      <c r="A2822" s="5"/>
    </row>
    <row r="2823" spans="1:1" x14ac:dyDescent="0.25">
      <c r="A2823" s="5"/>
    </row>
    <row r="2824" spans="1:1" x14ac:dyDescent="0.25">
      <c r="A2824" s="5"/>
    </row>
    <row r="2825" spans="1:1" x14ac:dyDescent="0.25">
      <c r="A2825" s="5"/>
    </row>
    <row r="2826" spans="1:1" x14ac:dyDescent="0.25">
      <c r="A2826" s="5"/>
    </row>
    <row r="2827" spans="1:1" x14ac:dyDescent="0.25">
      <c r="A2827" s="5"/>
    </row>
    <row r="2828" spans="1:1" x14ac:dyDescent="0.25">
      <c r="A2828" s="5"/>
    </row>
    <row r="2829" spans="1:1" x14ac:dyDescent="0.25">
      <c r="A2829" s="5"/>
    </row>
    <row r="2830" spans="1:1" x14ac:dyDescent="0.25">
      <c r="A2830" s="5"/>
    </row>
    <row r="2831" spans="1:1" x14ac:dyDescent="0.25">
      <c r="A2831" s="5"/>
    </row>
    <row r="2832" spans="1:1" x14ac:dyDescent="0.25">
      <c r="A2832" s="5"/>
    </row>
    <row r="2833" spans="1:1" x14ac:dyDescent="0.25">
      <c r="A2833" s="5"/>
    </row>
    <row r="2834" spans="1:1" x14ac:dyDescent="0.25">
      <c r="A2834" s="5"/>
    </row>
    <row r="2835" spans="1:1" x14ac:dyDescent="0.25">
      <c r="A2835" s="5"/>
    </row>
    <row r="2836" spans="1:1" x14ac:dyDescent="0.25">
      <c r="A2836" s="5"/>
    </row>
    <row r="2837" spans="1:1" x14ac:dyDescent="0.25">
      <c r="A2837" s="5"/>
    </row>
    <row r="2838" spans="1:1" x14ac:dyDescent="0.25">
      <c r="A2838" s="5"/>
    </row>
    <row r="2839" spans="1:1" x14ac:dyDescent="0.25">
      <c r="A2839" s="5"/>
    </row>
    <row r="2840" spans="1:1" x14ac:dyDescent="0.25">
      <c r="A2840" s="5"/>
    </row>
    <row r="2841" spans="1:1" x14ac:dyDescent="0.25">
      <c r="A2841" s="5"/>
    </row>
    <row r="2842" spans="1:1" x14ac:dyDescent="0.25">
      <c r="A2842" s="5"/>
    </row>
    <row r="2843" spans="1:1" x14ac:dyDescent="0.25">
      <c r="A2843" s="5"/>
    </row>
    <row r="2844" spans="1:1" x14ac:dyDescent="0.25">
      <c r="A2844" s="5"/>
    </row>
    <row r="2845" spans="1:1" x14ac:dyDescent="0.25">
      <c r="A2845" s="5"/>
    </row>
    <row r="2846" spans="1:1" x14ac:dyDescent="0.25">
      <c r="A2846" s="5"/>
    </row>
    <row r="2847" spans="1:1" x14ac:dyDescent="0.25">
      <c r="A2847" s="5"/>
    </row>
    <row r="2848" spans="1:1" x14ac:dyDescent="0.25">
      <c r="A2848" s="5"/>
    </row>
    <row r="2849" spans="1:1" x14ac:dyDescent="0.25">
      <c r="A2849" s="5"/>
    </row>
    <row r="2850" spans="1:1" x14ac:dyDescent="0.25">
      <c r="A2850" s="5"/>
    </row>
    <row r="2851" spans="1:1" x14ac:dyDescent="0.25">
      <c r="A2851" s="5"/>
    </row>
    <row r="2852" spans="1:1" x14ac:dyDescent="0.25">
      <c r="A2852" s="5"/>
    </row>
    <row r="2853" spans="1:1" x14ac:dyDescent="0.25">
      <c r="A2853" s="5"/>
    </row>
    <row r="2854" spans="1:1" x14ac:dyDescent="0.25">
      <c r="A2854" s="5"/>
    </row>
    <row r="2855" spans="1:1" x14ac:dyDescent="0.25">
      <c r="A2855" s="5"/>
    </row>
    <row r="2856" spans="1:1" x14ac:dyDescent="0.25">
      <c r="A2856" s="5"/>
    </row>
    <row r="2857" spans="1:1" x14ac:dyDescent="0.25">
      <c r="A2857" s="5"/>
    </row>
    <row r="2858" spans="1:1" x14ac:dyDescent="0.25">
      <c r="A2858" s="5"/>
    </row>
    <row r="2859" spans="1:1" x14ac:dyDescent="0.25">
      <c r="A2859" s="5"/>
    </row>
    <row r="2860" spans="1:1" x14ac:dyDescent="0.25">
      <c r="A2860" s="5"/>
    </row>
    <row r="2861" spans="1:1" x14ac:dyDescent="0.25">
      <c r="A2861" s="5"/>
    </row>
    <row r="2862" spans="1:1" x14ac:dyDescent="0.25">
      <c r="A2862" s="5"/>
    </row>
    <row r="2863" spans="1:1" x14ac:dyDescent="0.25">
      <c r="A2863" s="5"/>
    </row>
    <row r="2864" spans="1:1" x14ac:dyDescent="0.25">
      <c r="A2864" s="5"/>
    </row>
    <row r="2865" spans="1:1" x14ac:dyDescent="0.25">
      <c r="A2865" s="5"/>
    </row>
    <row r="2866" spans="1:1" x14ac:dyDescent="0.25">
      <c r="A2866" s="5"/>
    </row>
    <row r="2867" spans="1:1" x14ac:dyDescent="0.25">
      <c r="A2867" s="5"/>
    </row>
    <row r="2868" spans="1:1" x14ac:dyDescent="0.25">
      <c r="A2868" s="5"/>
    </row>
    <row r="2869" spans="1:1" x14ac:dyDescent="0.25">
      <c r="A2869" s="5"/>
    </row>
    <row r="2870" spans="1:1" x14ac:dyDescent="0.25">
      <c r="A2870" s="5"/>
    </row>
    <row r="2871" spans="1:1" x14ac:dyDescent="0.25">
      <c r="A2871" s="5"/>
    </row>
    <row r="2872" spans="1:1" x14ac:dyDescent="0.25">
      <c r="A2872" s="5"/>
    </row>
    <row r="2873" spans="1:1" x14ac:dyDescent="0.25">
      <c r="A2873" s="5"/>
    </row>
    <row r="2874" spans="1:1" x14ac:dyDescent="0.25">
      <c r="A2874" s="5"/>
    </row>
    <row r="2875" spans="1:1" x14ac:dyDescent="0.25">
      <c r="A2875" s="5"/>
    </row>
    <row r="2876" spans="1:1" x14ac:dyDescent="0.25">
      <c r="A2876" s="5"/>
    </row>
    <row r="2877" spans="1:1" x14ac:dyDescent="0.25">
      <c r="A2877" s="5"/>
    </row>
    <row r="2878" spans="1:1" x14ac:dyDescent="0.25">
      <c r="A2878" s="5"/>
    </row>
    <row r="2879" spans="1:1" x14ac:dyDescent="0.25">
      <c r="A2879" s="5"/>
    </row>
    <row r="2880" spans="1:1" x14ac:dyDescent="0.25">
      <c r="A2880" s="5"/>
    </row>
    <row r="2881" spans="1:1" x14ac:dyDescent="0.25">
      <c r="A2881" s="5"/>
    </row>
    <row r="2882" spans="1:1" x14ac:dyDescent="0.25">
      <c r="A2882" s="5"/>
    </row>
    <row r="2883" spans="1:1" x14ac:dyDescent="0.25">
      <c r="A2883" s="5"/>
    </row>
    <row r="2884" spans="1:1" x14ac:dyDescent="0.25">
      <c r="A2884" s="5"/>
    </row>
    <row r="2885" spans="1:1" x14ac:dyDescent="0.25">
      <c r="A2885" s="5"/>
    </row>
    <row r="2886" spans="1:1" x14ac:dyDescent="0.25">
      <c r="A2886" s="5"/>
    </row>
    <row r="2887" spans="1:1" x14ac:dyDescent="0.25">
      <c r="A2887" s="5"/>
    </row>
    <row r="2888" spans="1:1" x14ac:dyDescent="0.25">
      <c r="A2888" s="5"/>
    </row>
  </sheetData>
  <conditionalFormatting sqref="D1:D4 D202:D1048576 C200:D201 D197:D199">
    <cfRule type="cellIs" dxfId="286" priority="193" operator="lessThan">
      <formula>$A$2</formula>
    </cfRule>
  </conditionalFormatting>
  <conditionalFormatting sqref="C196">
    <cfRule type="cellIs" dxfId="285" priority="192" operator="equal">
      <formula>0</formula>
    </cfRule>
  </conditionalFormatting>
  <conditionalFormatting sqref="C195">
    <cfRule type="cellIs" dxfId="284" priority="191" operator="equal">
      <formula>0</formula>
    </cfRule>
  </conditionalFormatting>
  <conditionalFormatting sqref="C194">
    <cfRule type="cellIs" dxfId="283" priority="190" operator="equal">
      <formula>0</formula>
    </cfRule>
  </conditionalFormatting>
  <conditionalFormatting sqref="C193">
    <cfRule type="cellIs" dxfId="282" priority="189" operator="equal">
      <formula>0</formula>
    </cfRule>
  </conditionalFormatting>
  <conditionalFormatting sqref="C192">
    <cfRule type="cellIs" dxfId="281" priority="188" operator="equal">
      <formula>0</formula>
    </cfRule>
  </conditionalFormatting>
  <conditionalFormatting sqref="C191">
    <cfRule type="cellIs" dxfId="280" priority="187" operator="equal">
      <formula>0</formula>
    </cfRule>
  </conditionalFormatting>
  <conditionalFormatting sqref="C190">
    <cfRule type="cellIs" dxfId="279" priority="186" operator="equal">
      <formula>0</formula>
    </cfRule>
  </conditionalFormatting>
  <conditionalFormatting sqref="C189">
    <cfRule type="cellIs" dxfId="278" priority="185" operator="equal">
      <formula>0</formula>
    </cfRule>
  </conditionalFormatting>
  <conditionalFormatting sqref="C188">
    <cfRule type="cellIs" dxfId="277" priority="184" operator="equal">
      <formula>0</formula>
    </cfRule>
  </conditionalFormatting>
  <conditionalFormatting sqref="C187">
    <cfRule type="cellIs" dxfId="276" priority="183" operator="equal">
      <formula>0</formula>
    </cfRule>
  </conditionalFormatting>
  <conditionalFormatting sqref="C186">
    <cfRule type="cellIs" dxfId="275" priority="182" operator="equal">
      <formula>0</formula>
    </cfRule>
  </conditionalFormatting>
  <conditionalFormatting sqref="C185">
    <cfRule type="cellIs" dxfId="274" priority="181" operator="equal">
      <formula>0</formula>
    </cfRule>
  </conditionalFormatting>
  <conditionalFormatting sqref="C184">
    <cfRule type="cellIs" dxfId="273" priority="180" operator="equal">
      <formula>0</formula>
    </cfRule>
  </conditionalFormatting>
  <conditionalFormatting sqref="C183">
    <cfRule type="cellIs" dxfId="272" priority="179" operator="equal">
      <formula>0</formula>
    </cfRule>
  </conditionalFormatting>
  <conditionalFormatting sqref="C182">
    <cfRule type="cellIs" dxfId="271" priority="178" operator="equal">
      <formula>0</formula>
    </cfRule>
  </conditionalFormatting>
  <conditionalFormatting sqref="C181">
    <cfRule type="cellIs" dxfId="270" priority="177" operator="equal">
      <formula>0</formula>
    </cfRule>
  </conditionalFormatting>
  <conditionalFormatting sqref="C180">
    <cfRule type="cellIs" dxfId="269" priority="176" operator="equal">
      <formula>0</formula>
    </cfRule>
  </conditionalFormatting>
  <conditionalFormatting sqref="C179">
    <cfRule type="cellIs" dxfId="268" priority="175" operator="equal">
      <formula>0</formula>
    </cfRule>
  </conditionalFormatting>
  <conditionalFormatting sqref="C178">
    <cfRule type="cellIs" dxfId="267" priority="174" operator="equal">
      <formula>0</formula>
    </cfRule>
  </conditionalFormatting>
  <conditionalFormatting sqref="C177">
    <cfRule type="cellIs" dxfId="266" priority="173" operator="equal">
      <formula>0</formula>
    </cfRule>
  </conditionalFormatting>
  <conditionalFormatting sqref="C176">
    <cfRule type="cellIs" dxfId="265" priority="172" operator="equal">
      <formula>0</formula>
    </cfRule>
  </conditionalFormatting>
  <conditionalFormatting sqref="C175">
    <cfRule type="cellIs" dxfId="264" priority="171" operator="equal">
      <formula>0</formula>
    </cfRule>
  </conditionalFormatting>
  <conditionalFormatting sqref="C174">
    <cfRule type="cellIs" dxfId="263" priority="170" operator="equal">
      <formula>0</formula>
    </cfRule>
  </conditionalFormatting>
  <conditionalFormatting sqref="C173">
    <cfRule type="cellIs" dxfId="262" priority="169" operator="equal">
      <formula>0</formula>
    </cfRule>
  </conditionalFormatting>
  <conditionalFormatting sqref="C172">
    <cfRule type="cellIs" dxfId="261" priority="168" operator="equal">
      <formula>0</formula>
    </cfRule>
  </conditionalFormatting>
  <conditionalFormatting sqref="C171">
    <cfRule type="cellIs" dxfId="260" priority="167" operator="equal">
      <formula>0</formula>
    </cfRule>
  </conditionalFormatting>
  <conditionalFormatting sqref="C170">
    <cfRule type="cellIs" dxfId="259" priority="166" operator="equal">
      <formula>0</formula>
    </cfRule>
  </conditionalFormatting>
  <conditionalFormatting sqref="C169">
    <cfRule type="cellIs" dxfId="258" priority="165" operator="equal">
      <formula>0</formula>
    </cfRule>
  </conditionalFormatting>
  <conditionalFormatting sqref="C168">
    <cfRule type="cellIs" dxfId="257" priority="164" operator="equal">
      <formula>0</formula>
    </cfRule>
  </conditionalFormatting>
  <conditionalFormatting sqref="C167">
    <cfRule type="cellIs" dxfId="256" priority="163" operator="equal">
      <formula>0</formula>
    </cfRule>
  </conditionalFormatting>
  <conditionalFormatting sqref="C166">
    <cfRule type="cellIs" dxfId="255" priority="162" operator="equal">
      <formula>0</formula>
    </cfRule>
  </conditionalFormatting>
  <conditionalFormatting sqref="C165">
    <cfRule type="cellIs" dxfId="254" priority="161" operator="equal">
      <formula>0</formula>
    </cfRule>
  </conditionalFormatting>
  <conditionalFormatting sqref="C164">
    <cfRule type="cellIs" dxfId="253" priority="160" operator="equal">
      <formula>0</formula>
    </cfRule>
  </conditionalFormatting>
  <conditionalFormatting sqref="C163">
    <cfRule type="cellIs" dxfId="252" priority="159" operator="equal">
      <formula>0</formula>
    </cfRule>
  </conditionalFormatting>
  <conditionalFormatting sqref="C162">
    <cfRule type="cellIs" dxfId="251" priority="158" operator="equal">
      <formula>0</formula>
    </cfRule>
  </conditionalFormatting>
  <conditionalFormatting sqref="C161">
    <cfRule type="cellIs" dxfId="250" priority="157" operator="equal">
      <formula>0</formula>
    </cfRule>
  </conditionalFormatting>
  <conditionalFormatting sqref="C160">
    <cfRule type="cellIs" dxfId="249" priority="156" operator="equal">
      <formula>0</formula>
    </cfRule>
  </conditionalFormatting>
  <conditionalFormatting sqref="C159">
    <cfRule type="cellIs" dxfId="248" priority="155" operator="equal">
      <formula>0</formula>
    </cfRule>
  </conditionalFormatting>
  <conditionalFormatting sqref="C158">
    <cfRule type="cellIs" dxfId="247" priority="154" operator="equal">
      <formula>0</formula>
    </cfRule>
  </conditionalFormatting>
  <conditionalFormatting sqref="C157">
    <cfRule type="cellIs" dxfId="246" priority="153" operator="equal">
      <formula>0</formula>
    </cfRule>
  </conditionalFormatting>
  <conditionalFormatting sqref="C156">
    <cfRule type="cellIs" dxfId="245" priority="152" operator="equal">
      <formula>0</formula>
    </cfRule>
  </conditionalFormatting>
  <conditionalFormatting sqref="C155">
    <cfRule type="cellIs" dxfId="244" priority="151" operator="equal">
      <formula>0</formula>
    </cfRule>
  </conditionalFormatting>
  <conditionalFormatting sqref="C154">
    <cfRule type="cellIs" dxfId="243" priority="150" operator="equal">
      <formula>0</formula>
    </cfRule>
  </conditionalFormatting>
  <conditionalFormatting sqref="C153">
    <cfRule type="cellIs" dxfId="242" priority="149" operator="equal">
      <formula>0</formula>
    </cfRule>
  </conditionalFormatting>
  <conditionalFormatting sqref="C152">
    <cfRule type="cellIs" dxfId="241" priority="148" operator="equal">
      <formula>0</formula>
    </cfRule>
  </conditionalFormatting>
  <conditionalFormatting sqref="C151">
    <cfRule type="cellIs" dxfId="240" priority="147" operator="equal">
      <formula>0</formula>
    </cfRule>
  </conditionalFormatting>
  <conditionalFormatting sqref="C150">
    <cfRule type="cellIs" dxfId="239" priority="146" operator="equal">
      <formula>0</formula>
    </cfRule>
  </conditionalFormatting>
  <conditionalFormatting sqref="C149">
    <cfRule type="cellIs" dxfId="238" priority="145" operator="equal">
      <formula>0</formula>
    </cfRule>
  </conditionalFormatting>
  <conditionalFormatting sqref="C148">
    <cfRule type="cellIs" dxfId="237" priority="144" operator="equal">
      <formula>0</formula>
    </cfRule>
  </conditionalFormatting>
  <conditionalFormatting sqref="C147">
    <cfRule type="cellIs" dxfId="236" priority="143" operator="equal">
      <formula>0</formula>
    </cfRule>
  </conditionalFormatting>
  <conditionalFormatting sqref="C146">
    <cfRule type="cellIs" dxfId="235" priority="142" operator="equal">
      <formula>0</formula>
    </cfRule>
  </conditionalFormatting>
  <conditionalFormatting sqref="C145">
    <cfRule type="cellIs" dxfId="234" priority="141" operator="equal">
      <formula>0</formula>
    </cfRule>
  </conditionalFormatting>
  <conditionalFormatting sqref="C144">
    <cfRule type="cellIs" dxfId="233" priority="140" operator="equal">
      <formula>0</formula>
    </cfRule>
  </conditionalFormatting>
  <conditionalFormatting sqref="C143">
    <cfRule type="cellIs" dxfId="232" priority="139" operator="equal">
      <formula>0</formula>
    </cfRule>
  </conditionalFormatting>
  <conditionalFormatting sqref="C142">
    <cfRule type="cellIs" dxfId="231" priority="138" operator="equal">
      <formula>0</formula>
    </cfRule>
  </conditionalFormatting>
  <conditionalFormatting sqref="C141">
    <cfRule type="cellIs" dxfId="230" priority="137" operator="equal">
      <formula>0</formula>
    </cfRule>
  </conditionalFormatting>
  <conditionalFormatting sqref="C140">
    <cfRule type="cellIs" dxfId="229" priority="136" operator="equal">
      <formula>0</formula>
    </cfRule>
  </conditionalFormatting>
  <conditionalFormatting sqref="C139">
    <cfRule type="cellIs" dxfId="228" priority="135" operator="equal">
      <formula>0</formula>
    </cfRule>
  </conditionalFormatting>
  <conditionalFormatting sqref="C138">
    <cfRule type="cellIs" dxfId="227" priority="134" operator="equal">
      <formula>0</formula>
    </cfRule>
  </conditionalFormatting>
  <conditionalFormatting sqref="C137">
    <cfRule type="cellIs" dxfId="226" priority="133" operator="equal">
      <formula>0</formula>
    </cfRule>
  </conditionalFormatting>
  <conditionalFormatting sqref="C136">
    <cfRule type="cellIs" dxfId="225" priority="132" operator="equal">
      <formula>0</formula>
    </cfRule>
  </conditionalFormatting>
  <conditionalFormatting sqref="C135">
    <cfRule type="cellIs" dxfId="224" priority="131" operator="equal">
      <formula>0</formula>
    </cfRule>
  </conditionalFormatting>
  <conditionalFormatting sqref="C134">
    <cfRule type="cellIs" dxfId="223" priority="130" operator="equal">
      <formula>0</formula>
    </cfRule>
  </conditionalFormatting>
  <conditionalFormatting sqref="C133">
    <cfRule type="cellIs" dxfId="222" priority="129" operator="equal">
      <formula>0</formula>
    </cfRule>
  </conditionalFormatting>
  <conditionalFormatting sqref="C132">
    <cfRule type="cellIs" dxfId="221" priority="128" operator="equal">
      <formula>0</formula>
    </cfRule>
  </conditionalFormatting>
  <conditionalFormatting sqref="C131">
    <cfRule type="cellIs" dxfId="220" priority="127" operator="equal">
      <formula>0</formula>
    </cfRule>
  </conditionalFormatting>
  <conditionalFormatting sqref="C130">
    <cfRule type="cellIs" dxfId="219" priority="126" operator="equal">
      <formula>0</formula>
    </cfRule>
  </conditionalFormatting>
  <conditionalFormatting sqref="C129">
    <cfRule type="cellIs" dxfId="218" priority="125" operator="equal">
      <formula>0</formula>
    </cfRule>
  </conditionalFormatting>
  <conditionalFormatting sqref="C128">
    <cfRule type="cellIs" dxfId="217" priority="124" operator="equal">
      <formula>0</formula>
    </cfRule>
  </conditionalFormatting>
  <conditionalFormatting sqref="C127">
    <cfRule type="cellIs" dxfId="216" priority="123" operator="equal">
      <formula>0</formula>
    </cfRule>
  </conditionalFormatting>
  <conditionalFormatting sqref="C126">
    <cfRule type="cellIs" dxfId="215" priority="122" operator="equal">
      <formula>0</formula>
    </cfRule>
  </conditionalFormatting>
  <conditionalFormatting sqref="C125">
    <cfRule type="cellIs" dxfId="214" priority="121" operator="equal">
      <formula>0</formula>
    </cfRule>
  </conditionalFormatting>
  <conditionalFormatting sqref="C124">
    <cfRule type="cellIs" dxfId="213" priority="120" operator="equal">
      <formula>0</formula>
    </cfRule>
  </conditionalFormatting>
  <conditionalFormatting sqref="C123">
    <cfRule type="cellIs" dxfId="212" priority="119" operator="equal">
      <formula>0</formula>
    </cfRule>
  </conditionalFormatting>
  <conditionalFormatting sqref="C122">
    <cfRule type="cellIs" dxfId="211" priority="118" operator="equal">
      <formula>0</formula>
    </cfRule>
  </conditionalFormatting>
  <conditionalFormatting sqref="C121">
    <cfRule type="cellIs" dxfId="210" priority="117" operator="equal">
      <formula>0</formula>
    </cfRule>
  </conditionalFormatting>
  <conditionalFormatting sqref="C120">
    <cfRule type="cellIs" dxfId="209" priority="116" operator="equal">
      <formula>0</formula>
    </cfRule>
  </conditionalFormatting>
  <conditionalFormatting sqref="C119">
    <cfRule type="cellIs" dxfId="208" priority="115" operator="equal">
      <formula>0</formula>
    </cfRule>
  </conditionalFormatting>
  <conditionalFormatting sqref="C118">
    <cfRule type="cellIs" dxfId="207" priority="114" operator="equal">
      <formula>0</formula>
    </cfRule>
  </conditionalFormatting>
  <conditionalFormatting sqref="C117">
    <cfRule type="cellIs" dxfId="206" priority="113" operator="equal">
      <formula>0</formula>
    </cfRule>
  </conditionalFormatting>
  <conditionalFormatting sqref="C116">
    <cfRule type="cellIs" dxfId="205" priority="112" operator="equal">
      <formula>0</formula>
    </cfRule>
  </conditionalFormatting>
  <conditionalFormatting sqref="C115">
    <cfRule type="cellIs" dxfId="204" priority="111" operator="equal">
      <formula>0</formula>
    </cfRule>
  </conditionalFormatting>
  <conditionalFormatting sqref="C114">
    <cfRule type="cellIs" dxfId="203" priority="110" operator="equal">
      <formula>0</formula>
    </cfRule>
  </conditionalFormatting>
  <conditionalFormatting sqref="C113">
    <cfRule type="cellIs" dxfId="202" priority="109" operator="equal">
      <formula>0</formula>
    </cfRule>
  </conditionalFormatting>
  <conditionalFormatting sqref="C112">
    <cfRule type="cellIs" dxfId="201" priority="108" operator="equal">
      <formula>0</formula>
    </cfRule>
  </conditionalFormatting>
  <conditionalFormatting sqref="C111">
    <cfRule type="cellIs" dxfId="200" priority="107" operator="equal">
      <formula>0</formula>
    </cfRule>
  </conditionalFormatting>
  <conditionalFormatting sqref="C110">
    <cfRule type="cellIs" dxfId="199" priority="106" operator="equal">
      <formula>0</formula>
    </cfRule>
  </conditionalFormatting>
  <conditionalFormatting sqref="C109">
    <cfRule type="cellIs" dxfId="198" priority="105" operator="equal">
      <formula>0</formula>
    </cfRule>
  </conditionalFormatting>
  <conditionalFormatting sqref="C108">
    <cfRule type="cellIs" dxfId="197" priority="104" operator="equal">
      <formula>0</formula>
    </cfRule>
  </conditionalFormatting>
  <conditionalFormatting sqref="C107">
    <cfRule type="cellIs" dxfId="196" priority="103" operator="equal">
      <formula>0</formula>
    </cfRule>
  </conditionalFormatting>
  <conditionalFormatting sqref="C106">
    <cfRule type="cellIs" dxfId="195" priority="102" operator="equal">
      <formula>0</formula>
    </cfRule>
  </conditionalFormatting>
  <conditionalFormatting sqref="C105">
    <cfRule type="cellIs" dxfId="194" priority="101" operator="equal">
      <formula>0</formula>
    </cfRule>
  </conditionalFormatting>
  <conditionalFormatting sqref="C104">
    <cfRule type="cellIs" dxfId="193" priority="100" operator="equal">
      <formula>0</formula>
    </cfRule>
  </conditionalFormatting>
  <conditionalFormatting sqref="C103">
    <cfRule type="cellIs" dxfId="192" priority="99" operator="equal">
      <formula>0</formula>
    </cfRule>
  </conditionalFormatting>
  <conditionalFormatting sqref="C102">
    <cfRule type="cellIs" dxfId="191" priority="98" operator="equal">
      <formula>0</formula>
    </cfRule>
  </conditionalFormatting>
  <conditionalFormatting sqref="C101">
    <cfRule type="cellIs" dxfId="190" priority="97" operator="equal">
      <formula>0</formula>
    </cfRule>
  </conditionalFormatting>
  <conditionalFormatting sqref="C100">
    <cfRule type="cellIs" dxfId="189" priority="96" operator="equal">
      <formula>0</formula>
    </cfRule>
  </conditionalFormatting>
  <conditionalFormatting sqref="C99">
    <cfRule type="cellIs" dxfId="188" priority="95" operator="equal">
      <formula>0</formula>
    </cfRule>
  </conditionalFormatting>
  <conditionalFormatting sqref="C98">
    <cfRule type="cellIs" dxfId="187" priority="94" operator="equal">
      <formula>0</formula>
    </cfRule>
  </conditionalFormatting>
  <conditionalFormatting sqref="C97">
    <cfRule type="cellIs" dxfId="186" priority="93" operator="equal">
      <formula>0</formula>
    </cfRule>
  </conditionalFormatting>
  <conditionalFormatting sqref="C96">
    <cfRule type="cellIs" dxfId="185" priority="92" operator="equal">
      <formula>0</formula>
    </cfRule>
  </conditionalFormatting>
  <conditionalFormatting sqref="C95">
    <cfRule type="cellIs" dxfId="184" priority="91" operator="equal">
      <formula>0</formula>
    </cfRule>
  </conditionalFormatting>
  <conditionalFormatting sqref="C94">
    <cfRule type="cellIs" dxfId="183" priority="90" operator="equal">
      <formula>0</formula>
    </cfRule>
  </conditionalFormatting>
  <conditionalFormatting sqref="C93">
    <cfRule type="cellIs" dxfId="182" priority="89" operator="equal">
      <formula>0</formula>
    </cfRule>
  </conditionalFormatting>
  <conditionalFormatting sqref="C92">
    <cfRule type="cellIs" dxfId="181" priority="88" operator="equal">
      <formula>0</formula>
    </cfRule>
  </conditionalFormatting>
  <conditionalFormatting sqref="C91">
    <cfRule type="cellIs" dxfId="180" priority="87" operator="equal">
      <formula>0</formula>
    </cfRule>
  </conditionalFormatting>
  <conditionalFormatting sqref="C90">
    <cfRule type="cellIs" dxfId="179" priority="86" operator="equal">
      <formula>0</formula>
    </cfRule>
  </conditionalFormatting>
  <conditionalFormatting sqref="C89">
    <cfRule type="cellIs" dxfId="178" priority="85" operator="equal">
      <formula>0</formula>
    </cfRule>
  </conditionalFormatting>
  <conditionalFormatting sqref="C88">
    <cfRule type="cellIs" dxfId="177" priority="84" operator="equal">
      <formula>0</formula>
    </cfRule>
  </conditionalFormatting>
  <conditionalFormatting sqref="C87">
    <cfRule type="cellIs" dxfId="176" priority="83" operator="equal">
      <formula>0</formula>
    </cfRule>
  </conditionalFormatting>
  <conditionalFormatting sqref="C86">
    <cfRule type="cellIs" dxfId="175" priority="82" operator="equal">
      <formula>0</formula>
    </cfRule>
  </conditionalFormatting>
  <conditionalFormatting sqref="C85">
    <cfRule type="cellIs" dxfId="174" priority="81" operator="equal">
      <formula>0</formula>
    </cfRule>
  </conditionalFormatting>
  <conditionalFormatting sqref="C84">
    <cfRule type="cellIs" dxfId="173" priority="80" operator="equal">
      <formula>0</formula>
    </cfRule>
  </conditionalFormatting>
  <conditionalFormatting sqref="C83">
    <cfRule type="cellIs" dxfId="172" priority="79" operator="equal">
      <formula>0</formula>
    </cfRule>
  </conditionalFormatting>
  <conditionalFormatting sqref="C82">
    <cfRule type="cellIs" dxfId="171" priority="78" operator="equal">
      <formula>0</formula>
    </cfRule>
  </conditionalFormatting>
  <conditionalFormatting sqref="C81">
    <cfRule type="cellIs" dxfId="170" priority="77" operator="equal">
      <formula>0</formula>
    </cfRule>
  </conditionalFormatting>
  <conditionalFormatting sqref="C80">
    <cfRule type="cellIs" dxfId="169" priority="76" operator="equal">
      <formula>0</formula>
    </cfRule>
  </conditionalFormatting>
  <conditionalFormatting sqref="C79">
    <cfRule type="cellIs" dxfId="168" priority="75" operator="equal">
      <formula>0</formula>
    </cfRule>
  </conditionalFormatting>
  <conditionalFormatting sqref="C78">
    <cfRule type="cellIs" dxfId="167" priority="74" operator="equal">
      <formula>0</formula>
    </cfRule>
  </conditionalFormatting>
  <conditionalFormatting sqref="C77">
    <cfRule type="cellIs" dxfId="166" priority="73" operator="equal">
      <formula>0</formula>
    </cfRule>
  </conditionalFormatting>
  <conditionalFormatting sqref="C76">
    <cfRule type="cellIs" dxfId="165" priority="72" operator="equal">
      <formula>0</formula>
    </cfRule>
  </conditionalFormatting>
  <conditionalFormatting sqref="C75">
    <cfRule type="cellIs" dxfId="164" priority="71" operator="equal">
      <formula>0</formula>
    </cfRule>
  </conditionalFormatting>
  <conditionalFormatting sqref="C74">
    <cfRule type="cellIs" dxfId="163" priority="70" operator="equal">
      <formula>0</formula>
    </cfRule>
  </conditionalFormatting>
  <conditionalFormatting sqref="C73">
    <cfRule type="cellIs" dxfId="162" priority="69" operator="equal">
      <formula>0</formula>
    </cfRule>
  </conditionalFormatting>
  <conditionalFormatting sqref="C72">
    <cfRule type="cellIs" dxfId="161" priority="68" operator="equal">
      <formula>0</formula>
    </cfRule>
  </conditionalFormatting>
  <conditionalFormatting sqref="C71">
    <cfRule type="cellIs" dxfId="160" priority="67" operator="equal">
      <formula>0</formula>
    </cfRule>
  </conditionalFormatting>
  <conditionalFormatting sqref="C70">
    <cfRule type="cellIs" dxfId="159" priority="66" operator="equal">
      <formula>0</formula>
    </cfRule>
  </conditionalFormatting>
  <conditionalFormatting sqref="C69">
    <cfRule type="cellIs" dxfId="158" priority="65" operator="equal">
      <formula>0</formula>
    </cfRule>
  </conditionalFormatting>
  <conditionalFormatting sqref="C68">
    <cfRule type="cellIs" dxfId="157" priority="64" operator="equal">
      <formula>0</formula>
    </cfRule>
  </conditionalFormatting>
  <conditionalFormatting sqref="C67">
    <cfRule type="cellIs" dxfId="156" priority="63" operator="equal">
      <formula>0</formula>
    </cfRule>
  </conditionalFormatting>
  <conditionalFormatting sqref="C66">
    <cfRule type="cellIs" dxfId="155" priority="62" operator="equal">
      <formula>0</formula>
    </cfRule>
  </conditionalFormatting>
  <conditionalFormatting sqref="C65">
    <cfRule type="cellIs" dxfId="154" priority="61" operator="equal">
      <formula>0</formula>
    </cfRule>
  </conditionalFormatting>
  <conditionalFormatting sqref="C64">
    <cfRule type="cellIs" dxfId="153" priority="60" operator="equal">
      <formula>0</formula>
    </cfRule>
  </conditionalFormatting>
  <conditionalFormatting sqref="C63">
    <cfRule type="cellIs" dxfId="152" priority="59" operator="equal">
      <formula>0</formula>
    </cfRule>
  </conditionalFormatting>
  <conditionalFormatting sqref="C62">
    <cfRule type="cellIs" dxfId="151" priority="58" operator="equal">
      <formula>0</formula>
    </cfRule>
  </conditionalFormatting>
  <conditionalFormatting sqref="C61">
    <cfRule type="cellIs" dxfId="150" priority="57" operator="equal">
      <formula>0</formula>
    </cfRule>
  </conditionalFormatting>
  <conditionalFormatting sqref="C60">
    <cfRule type="cellIs" dxfId="149" priority="56" operator="equal">
      <formula>0</formula>
    </cfRule>
  </conditionalFormatting>
  <conditionalFormatting sqref="C59">
    <cfRule type="cellIs" dxfId="148" priority="55" operator="equal">
      <formula>0</formula>
    </cfRule>
  </conditionalFormatting>
  <conditionalFormatting sqref="C58">
    <cfRule type="cellIs" dxfId="147" priority="54" operator="equal">
      <formula>0</formula>
    </cfRule>
  </conditionalFormatting>
  <conditionalFormatting sqref="C57">
    <cfRule type="cellIs" dxfId="146" priority="53" operator="equal">
      <formula>0</formula>
    </cfRule>
  </conditionalFormatting>
  <conditionalFormatting sqref="C56">
    <cfRule type="cellIs" dxfId="145" priority="52" operator="equal">
      <formula>0</formula>
    </cfRule>
  </conditionalFormatting>
  <conditionalFormatting sqref="C55">
    <cfRule type="cellIs" dxfId="144" priority="51" operator="equal">
      <formula>0</formula>
    </cfRule>
  </conditionalFormatting>
  <conditionalFormatting sqref="C54">
    <cfRule type="cellIs" dxfId="143" priority="50" operator="equal">
      <formula>0</formula>
    </cfRule>
  </conditionalFormatting>
  <conditionalFormatting sqref="C53">
    <cfRule type="cellIs" dxfId="142" priority="49" operator="equal">
      <formula>0</formula>
    </cfRule>
  </conditionalFormatting>
  <conditionalFormatting sqref="C52">
    <cfRule type="cellIs" dxfId="141" priority="48" operator="equal">
      <formula>0</formula>
    </cfRule>
  </conditionalFormatting>
  <conditionalFormatting sqref="C51">
    <cfRule type="cellIs" dxfId="140" priority="47" operator="equal">
      <formula>0</formula>
    </cfRule>
  </conditionalFormatting>
  <conditionalFormatting sqref="C50">
    <cfRule type="cellIs" dxfId="139" priority="46" operator="equal">
      <formula>0</formula>
    </cfRule>
  </conditionalFormatting>
  <conditionalFormatting sqref="C49">
    <cfRule type="cellIs" dxfId="138" priority="45" operator="equal">
      <formula>0</formula>
    </cfRule>
  </conditionalFormatting>
  <conditionalFormatting sqref="C48">
    <cfRule type="cellIs" dxfId="137" priority="44" operator="equal">
      <formula>0</formula>
    </cfRule>
  </conditionalFormatting>
  <conditionalFormatting sqref="C47">
    <cfRule type="cellIs" dxfId="136" priority="43" operator="equal">
      <formula>0</formula>
    </cfRule>
  </conditionalFormatting>
  <conditionalFormatting sqref="C46">
    <cfRule type="cellIs" dxfId="135" priority="42" operator="equal">
      <formula>0</formula>
    </cfRule>
  </conditionalFormatting>
  <conditionalFormatting sqref="C45">
    <cfRule type="cellIs" dxfId="134" priority="41" operator="equal">
      <formula>0</formula>
    </cfRule>
  </conditionalFormatting>
  <conditionalFormatting sqref="C44">
    <cfRule type="cellIs" dxfId="133" priority="40" operator="equal">
      <formula>0</formula>
    </cfRule>
  </conditionalFormatting>
  <conditionalFormatting sqref="C43">
    <cfRule type="cellIs" dxfId="132" priority="39" operator="equal">
      <formula>0</formula>
    </cfRule>
  </conditionalFormatting>
  <conditionalFormatting sqref="C42">
    <cfRule type="cellIs" dxfId="131" priority="38" operator="equal">
      <formula>0</formula>
    </cfRule>
  </conditionalFormatting>
  <conditionalFormatting sqref="C41">
    <cfRule type="cellIs" dxfId="130" priority="37" operator="equal">
      <formula>0</formula>
    </cfRule>
  </conditionalFormatting>
  <conditionalFormatting sqref="C40">
    <cfRule type="cellIs" dxfId="129" priority="36" operator="equal">
      <formula>0</formula>
    </cfRule>
  </conditionalFormatting>
  <conditionalFormatting sqref="C39">
    <cfRule type="cellIs" dxfId="128" priority="35" operator="equal">
      <formula>0</formula>
    </cfRule>
  </conditionalFormatting>
  <conditionalFormatting sqref="C38">
    <cfRule type="cellIs" dxfId="127" priority="34" operator="equal">
      <formula>0</formula>
    </cfRule>
  </conditionalFormatting>
  <conditionalFormatting sqref="C37">
    <cfRule type="cellIs" dxfId="126" priority="33" operator="equal">
      <formula>0</formula>
    </cfRule>
  </conditionalFormatting>
  <conditionalFormatting sqref="C36">
    <cfRule type="cellIs" dxfId="125" priority="32" operator="equal">
      <formula>0</formula>
    </cfRule>
  </conditionalFormatting>
  <conditionalFormatting sqref="C35">
    <cfRule type="cellIs" dxfId="124" priority="31" operator="equal">
      <formula>0</formula>
    </cfRule>
  </conditionalFormatting>
  <conditionalFormatting sqref="C34">
    <cfRule type="cellIs" dxfId="123" priority="30" operator="equal">
      <formula>0</formula>
    </cfRule>
  </conditionalFormatting>
  <conditionalFormatting sqref="C33">
    <cfRule type="cellIs" dxfId="122" priority="29" operator="equal">
      <formula>0</formula>
    </cfRule>
  </conditionalFormatting>
  <conditionalFormatting sqref="C32">
    <cfRule type="cellIs" dxfId="121" priority="28" operator="equal">
      <formula>0</formula>
    </cfRule>
  </conditionalFormatting>
  <conditionalFormatting sqref="C31">
    <cfRule type="cellIs" dxfId="120" priority="27" operator="equal">
      <formula>0</formula>
    </cfRule>
  </conditionalFormatting>
  <conditionalFormatting sqref="C30">
    <cfRule type="cellIs" dxfId="119" priority="26" operator="equal">
      <formula>0</formula>
    </cfRule>
  </conditionalFormatting>
  <conditionalFormatting sqref="C29">
    <cfRule type="cellIs" dxfId="118" priority="25" operator="equal">
      <formula>0</formula>
    </cfRule>
  </conditionalFormatting>
  <conditionalFormatting sqref="C28">
    <cfRule type="cellIs" dxfId="117" priority="24" operator="equal">
      <formula>0</formula>
    </cfRule>
  </conditionalFormatting>
  <conditionalFormatting sqref="C27">
    <cfRule type="cellIs" dxfId="116" priority="23" operator="equal">
      <formula>0</formula>
    </cfRule>
  </conditionalFormatting>
  <conditionalFormatting sqref="C26">
    <cfRule type="cellIs" dxfId="115" priority="22" operator="equal">
      <formula>0</formula>
    </cfRule>
  </conditionalFormatting>
  <conditionalFormatting sqref="C25">
    <cfRule type="cellIs" dxfId="114" priority="21" operator="equal">
      <formula>0</formula>
    </cfRule>
  </conditionalFormatting>
  <conditionalFormatting sqref="C24">
    <cfRule type="cellIs" dxfId="113" priority="20" operator="equal">
      <formula>0</formula>
    </cfRule>
  </conditionalFormatting>
  <conditionalFormatting sqref="C23">
    <cfRule type="cellIs" dxfId="112" priority="19" operator="equal">
      <formula>0</formula>
    </cfRule>
  </conditionalFormatting>
  <conditionalFormatting sqref="C22">
    <cfRule type="cellIs" dxfId="111" priority="18" operator="equal">
      <formula>0</formula>
    </cfRule>
  </conditionalFormatting>
  <conditionalFormatting sqref="C21">
    <cfRule type="cellIs" dxfId="110" priority="17" operator="equal">
      <formula>0</formula>
    </cfRule>
  </conditionalFormatting>
  <conditionalFormatting sqref="C20">
    <cfRule type="cellIs" dxfId="109" priority="16" operator="equal">
      <formula>0</formula>
    </cfRule>
  </conditionalFormatting>
  <conditionalFormatting sqref="C19">
    <cfRule type="cellIs" dxfId="108" priority="15" operator="equal">
      <formula>0</formula>
    </cfRule>
  </conditionalFormatting>
  <conditionalFormatting sqref="C18">
    <cfRule type="cellIs" dxfId="107" priority="14" operator="equal">
      <formula>0</formula>
    </cfRule>
  </conditionalFormatting>
  <conditionalFormatting sqref="C17">
    <cfRule type="cellIs" dxfId="106" priority="13" operator="equal">
      <formula>0</formula>
    </cfRule>
  </conditionalFormatting>
  <conditionalFormatting sqref="C16">
    <cfRule type="cellIs" dxfId="105" priority="12" operator="equal">
      <formula>0</formula>
    </cfRule>
  </conditionalFormatting>
  <conditionalFormatting sqref="C15">
    <cfRule type="cellIs" dxfId="104" priority="11" operator="equal">
      <formula>0</formula>
    </cfRule>
  </conditionalFormatting>
  <conditionalFormatting sqref="C14">
    <cfRule type="cellIs" dxfId="103" priority="10" operator="equal">
      <formula>0</formula>
    </cfRule>
  </conditionalFormatting>
  <conditionalFormatting sqref="C13">
    <cfRule type="cellIs" dxfId="102" priority="9" operator="equal">
      <formula>0</formula>
    </cfRule>
  </conditionalFormatting>
  <conditionalFormatting sqref="C12">
    <cfRule type="cellIs" dxfId="101" priority="8" operator="equal">
      <formula>0</formula>
    </cfRule>
  </conditionalFormatting>
  <conditionalFormatting sqref="C11">
    <cfRule type="cellIs" dxfId="100" priority="7" operator="equal">
      <formula>0</formula>
    </cfRule>
  </conditionalFormatting>
  <conditionalFormatting sqref="C10">
    <cfRule type="cellIs" dxfId="99" priority="6" operator="equal">
      <formula>0</formula>
    </cfRule>
  </conditionalFormatting>
  <conditionalFormatting sqref="C9">
    <cfRule type="cellIs" dxfId="98" priority="5" operator="equal">
      <formula>0</formula>
    </cfRule>
  </conditionalFormatting>
  <conditionalFormatting sqref="C8">
    <cfRule type="cellIs" dxfId="97" priority="4" operator="equal">
      <formula>0</formula>
    </cfRule>
  </conditionalFormatting>
  <conditionalFormatting sqref="C7">
    <cfRule type="cellIs" dxfId="96" priority="3" operator="equal">
      <formula>0</formula>
    </cfRule>
  </conditionalFormatting>
  <conditionalFormatting sqref="C6">
    <cfRule type="cellIs" dxfId="95" priority="2" operator="equal">
      <formula>0</formula>
    </cfRule>
  </conditionalFormatting>
  <conditionalFormatting sqref="C5">
    <cfRule type="cellIs" dxfId="9" priority="1" operator="equal">
      <formula>0</formula>
    </cfRule>
  </conditionalFormatting>
  <pageMargins left="0.7" right="0.7" top="0.75" bottom="0.75" header="0.3" footer="0.3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00B0F0"/>
  </sheetPr>
  <dimension ref="A1:AZZ1865"/>
  <sheetViews>
    <sheetView topLeftCell="A1833" zoomScale="90" zoomScaleNormal="90" workbookViewId="0">
      <pane xSplit="4" topLeftCell="XEP1" activePane="topRight" state="frozen"/>
      <selection pane="topRight" activeCell="A1865" sqref="A1865"/>
    </sheetView>
  </sheetViews>
  <sheetFormatPr defaultRowHeight="15" x14ac:dyDescent="0.25"/>
  <cols>
    <col min="1" max="1" width="10.7109375" customWidth="1"/>
    <col min="2" max="5" width="10.7109375" style="10" hidden="1" customWidth="1"/>
    <col min="6" max="6" width="10.7109375" style="1" hidden="1" customWidth="1"/>
    <col min="7" max="1378" width="3" style="1" customWidth="1"/>
  </cols>
  <sheetData>
    <row r="1" spans="1:21" x14ac:dyDescent="0.25">
      <c r="S1" s="1" t="s">
        <v>7</v>
      </c>
      <c r="U1" s="1" t="s">
        <v>8</v>
      </c>
    </row>
    <row r="4" spans="1:21" x14ac:dyDescent="0.25">
      <c r="A4" s="7">
        <v>100960.34833214773</v>
      </c>
    </row>
    <row r="5" spans="1:21" x14ac:dyDescent="0.25">
      <c r="A5" s="7">
        <v>99960.740922918543</v>
      </c>
    </row>
    <row r="6" spans="1:21" x14ac:dyDescent="0.25">
      <c r="A6" s="7">
        <v>98971.030616751028</v>
      </c>
    </row>
    <row r="7" spans="1:21" x14ac:dyDescent="0.25">
      <c r="A7" s="7">
        <v>97991.119422525764</v>
      </c>
    </row>
    <row r="8" spans="1:21" x14ac:dyDescent="0.25">
      <c r="A8" s="7">
        <v>97020.910319332441</v>
      </c>
    </row>
    <row r="9" spans="1:21" x14ac:dyDescent="0.25">
      <c r="A9" s="7">
        <v>96060.307246863798</v>
      </c>
    </row>
    <row r="10" spans="1:21" x14ac:dyDescent="0.25">
      <c r="A10" s="7">
        <v>95109.215095904743</v>
      </c>
    </row>
    <row r="11" spans="1:21" x14ac:dyDescent="0.25">
      <c r="A11" s="7">
        <v>94167.539698915585</v>
      </c>
    </row>
    <row r="12" spans="1:21" x14ac:dyDescent="0.25">
      <c r="A12" s="7">
        <v>93235.187820708496</v>
      </c>
    </row>
    <row r="13" spans="1:21" x14ac:dyDescent="0.25">
      <c r="A13" s="7">
        <v>92312.067149216338</v>
      </c>
    </row>
    <row r="14" spans="1:21" x14ac:dyDescent="0.25">
      <c r="A14" s="7">
        <v>91398.086286352816</v>
      </c>
    </row>
    <row r="15" spans="1:21" x14ac:dyDescent="0.25">
      <c r="A15" s="7">
        <v>90493.154738963189</v>
      </c>
    </row>
    <row r="16" spans="1:21" x14ac:dyDescent="0.25">
      <c r="A16" s="7">
        <v>89597.182909864539</v>
      </c>
    </row>
    <row r="17" spans="1:7" x14ac:dyDescent="0.25">
      <c r="A17" s="7">
        <v>88710.082088974785</v>
      </c>
    </row>
    <row r="18" spans="1:7" x14ac:dyDescent="0.25">
      <c r="A18" s="7">
        <v>87831.764444529486</v>
      </c>
    </row>
    <row r="19" spans="1:7" x14ac:dyDescent="0.25">
      <c r="A19" s="7">
        <v>86962.143014385627</v>
      </c>
    </row>
    <row r="20" spans="1:7" x14ac:dyDescent="0.25">
      <c r="A20" s="7">
        <v>86101.131697411518</v>
      </c>
    </row>
    <row r="21" spans="1:7" x14ac:dyDescent="0.25">
      <c r="A21" s="7">
        <v>85248.645244961896</v>
      </c>
      <c r="G21" s="11"/>
    </row>
    <row r="22" spans="1:7" x14ac:dyDescent="0.25">
      <c r="A22" s="7">
        <v>84404.599252437518</v>
      </c>
    </row>
    <row r="23" spans="1:7" x14ac:dyDescent="0.25">
      <c r="A23" s="7">
        <v>83568.910150928234</v>
      </c>
    </row>
    <row r="24" spans="1:7" x14ac:dyDescent="0.25">
      <c r="A24" s="7">
        <v>82741.49519893885</v>
      </c>
    </row>
    <row r="25" spans="1:7" x14ac:dyDescent="0.25">
      <c r="A25" s="7">
        <v>81922.272474196885</v>
      </c>
    </row>
    <row r="26" spans="1:7" x14ac:dyDescent="0.25">
      <c r="A26" s="7">
        <v>81111.160865541475</v>
      </c>
    </row>
    <row r="27" spans="1:7" x14ac:dyDescent="0.25">
      <c r="A27" s="7">
        <v>80308.080064892551</v>
      </c>
    </row>
    <row r="28" spans="1:7" x14ac:dyDescent="0.25">
      <c r="A28" s="7">
        <v>79512.950559299556</v>
      </c>
    </row>
    <row r="29" spans="1:7" x14ac:dyDescent="0.25">
      <c r="A29" s="7">
        <v>78725.693623068873</v>
      </c>
    </row>
    <row r="30" spans="1:7" x14ac:dyDescent="0.25">
      <c r="A30" s="7">
        <v>77946.231309969182</v>
      </c>
    </row>
    <row r="31" spans="1:7" x14ac:dyDescent="0.25">
      <c r="A31" s="7">
        <v>77174.486445514034</v>
      </c>
    </row>
    <row r="32" spans="1:7" x14ac:dyDescent="0.25">
      <c r="A32" s="7">
        <v>76410.382619320822</v>
      </c>
    </row>
    <row r="33" spans="1:5" x14ac:dyDescent="0.25">
      <c r="A33" s="7">
        <v>75653.844177545368</v>
      </c>
      <c r="B33"/>
      <c r="C33"/>
      <c r="D33"/>
      <c r="E33" s="1"/>
    </row>
    <row r="34" spans="1:5" x14ac:dyDescent="0.25">
      <c r="A34" s="7">
        <v>74904.796215391456</v>
      </c>
      <c r="B34"/>
      <c r="C34"/>
      <c r="D34"/>
      <c r="E34" s="1"/>
    </row>
    <row r="35" spans="1:5" x14ac:dyDescent="0.25">
      <c r="A35" s="7">
        <v>74163.164569694505</v>
      </c>
      <c r="B35"/>
      <c r="C35"/>
      <c r="D35"/>
      <c r="E35" s="1"/>
    </row>
    <row r="36" spans="1:5" x14ac:dyDescent="0.25">
      <c r="A36" s="7">
        <v>73428.87581157872</v>
      </c>
      <c r="B36"/>
      <c r="C36"/>
      <c r="D36"/>
      <c r="E36" s="1"/>
    </row>
    <row r="37" spans="1:5" x14ac:dyDescent="0.25">
      <c r="A37" s="7">
        <v>72701.857239186851</v>
      </c>
      <c r="B37"/>
      <c r="C37"/>
      <c r="D37"/>
      <c r="E37" s="1"/>
    </row>
    <row r="38" spans="1:5" x14ac:dyDescent="0.25">
      <c r="A38" s="7">
        <v>71982.036870482028</v>
      </c>
      <c r="B38"/>
      <c r="C38"/>
      <c r="D38"/>
      <c r="E38" s="1"/>
    </row>
    <row r="39" spans="1:5" x14ac:dyDescent="0.25">
      <c r="A39" s="7">
        <v>71269.34343612082</v>
      </c>
      <c r="B39"/>
      <c r="C39"/>
      <c r="D39"/>
      <c r="E39" s="1"/>
    </row>
    <row r="40" spans="1:5" x14ac:dyDescent="0.25">
      <c r="A40" s="7">
        <v>70563.706372396846</v>
      </c>
      <c r="B40"/>
      <c r="C40"/>
      <c r="D40"/>
      <c r="E40" s="1"/>
    </row>
    <row r="41" spans="1:5" x14ac:dyDescent="0.25">
      <c r="A41" s="7">
        <v>69865.055814254301</v>
      </c>
      <c r="B41"/>
      <c r="C41"/>
      <c r="D41"/>
      <c r="E41" s="1"/>
    </row>
    <row r="42" spans="1:5" x14ac:dyDescent="0.25">
      <c r="A42" s="7">
        <v>69173.322588370589</v>
      </c>
      <c r="B42"/>
      <c r="C42"/>
      <c r="D42"/>
      <c r="E42" s="1"/>
    </row>
    <row r="43" spans="1:5" x14ac:dyDescent="0.25">
      <c r="A43" s="7">
        <v>68488.438206307517</v>
      </c>
      <c r="B43"/>
      <c r="C43"/>
      <c r="D43"/>
      <c r="E43" s="1"/>
    </row>
    <row r="44" spans="1:5" x14ac:dyDescent="0.25">
      <c r="A44" s="7">
        <v>67810.334857730209</v>
      </c>
      <c r="B44"/>
      <c r="C44"/>
      <c r="D44"/>
      <c r="E44" s="1"/>
    </row>
    <row r="45" spans="1:5" x14ac:dyDescent="0.25">
      <c r="A45" s="7">
        <v>67138.945403693273</v>
      </c>
      <c r="B45"/>
      <c r="C45"/>
      <c r="D45"/>
      <c r="E45" s="1"/>
    </row>
    <row r="46" spans="1:5" x14ac:dyDescent="0.25">
      <c r="A46" s="7">
        <v>66474.203369993338</v>
      </c>
      <c r="B46"/>
      <c r="C46"/>
      <c r="D46"/>
      <c r="E46" s="1"/>
    </row>
    <row r="47" spans="1:5" x14ac:dyDescent="0.25">
      <c r="A47" s="7">
        <v>65816.04294058746</v>
      </c>
      <c r="B47"/>
      <c r="C47"/>
      <c r="D47"/>
      <c r="E47" s="1"/>
    </row>
    <row r="48" spans="1:5" x14ac:dyDescent="0.25">
      <c r="A48" s="7">
        <v>65164.398951076699</v>
      </c>
      <c r="B48"/>
      <c r="C48"/>
      <c r="D48"/>
      <c r="E48" s="1"/>
    </row>
    <row r="49" spans="1:5" x14ac:dyDescent="0.25">
      <c r="A49" s="7">
        <v>64519.206882254155</v>
      </c>
      <c r="B49"/>
      <c r="C49"/>
      <c r="D49"/>
      <c r="E49" s="1"/>
    </row>
    <row r="50" spans="1:5" x14ac:dyDescent="0.25">
      <c r="A50" s="7">
        <v>63880.402853716987</v>
      </c>
      <c r="B50"/>
      <c r="C50"/>
      <c r="D50"/>
      <c r="E50" s="1"/>
    </row>
    <row r="51" spans="1:5" x14ac:dyDescent="0.25">
      <c r="A51" s="7">
        <v>63247.923617541572</v>
      </c>
      <c r="B51"/>
      <c r="C51"/>
      <c r="D51"/>
      <c r="E51" s="1"/>
    </row>
    <row r="52" spans="1:5" x14ac:dyDescent="0.25">
      <c r="A52" s="7">
        <v>62621.706552021358</v>
      </c>
      <c r="B52"/>
      <c r="C52"/>
      <c r="D52"/>
      <c r="E52" s="1"/>
    </row>
    <row r="53" spans="1:5" x14ac:dyDescent="0.25">
      <c r="A53" s="7">
        <v>62001.689655466689</v>
      </c>
      <c r="B53"/>
      <c r="C53"/>
      <c r="D53"/>
      <c r="E53" s="1"/>
    </row>
    <row r="54" spans="1:5" x14ac:dyDescent="0.25">
      <c r="A54" s="7">
        <v>61387.811540066032</v>
      </c>
      <c r="B54"/>
      <c r="C54"/>
      <c r="D54"/>
      <c r="E54" s="1"/>
    </row>
    <row r="55" spans="1:5" x14ac:dyDescent="0.25">
      <c r="A55" s="7">
        <v>60780.011425807948</v>
      </c>
      <c r="B55"/>
      <c r="C55"/>
      <c r="D55"/>
      <c r="E55" s="1"/>
    </row>
    <row r="56" spans="1:5" x14ac:dyDescent="0.25">
      <c r="A56" s="7">
        <v>60178.229134463312</v>
      </c>
      <c r="B56"/>
      <c r="C56"/>
      <c r="D56"/>
      <c r="E56" s="1"/>
    </row>
    <row r="57" spans="1:5" x14ac:dyDescent="0.25">
      <c r="A57" s="7">
        <v>59582.40508362704</v>
      </c>
      <c r="B57"/>
      <c r="C57"/>
      <c r="D57"/>
      <c r="E57" s="1"/>
    </row>
    <row r="58" spans="1:5" x14ac:dyDescent="0.25">
      <c r="A58" s="7">
        <v>58992.480280818854</v>
      </c>
      <c r="B58"/>
      <c r="C58"/>
      <c r="D58"/>
      <c r="E58" s="1"/>
    </row>
    <row r="59" spans="1:5" x14ac:dyDescent="0.25">
      <c r="A59" s="7">
        <v>58408.396317642429</v>
      </c>
      <c r="B59"/>
      <c r="C59"/>
      <c r="D59"/>
      <c r="E59" s="1"/>
    </row>
    <row r="60" spans="1:5" x14ac:dyDescent="0.25">
      <c r="A60" s="7">
        <v>57830.095364002402</v>
      </c>
      <c r="B60"/>
      <c r="C60"/>
      <c r="D60"/>
      <c r="E60" s="1"/>
    </row>
    <row r="61" spans="1:5" x14ac:dyDescent="0.25">
      <c r="A61" s="7">
        <v>57257.520162378612</v>
      </c>
      <c r="B61"/>
      <c r="C61"/>
      <c r="D61"/>
      <c r="E61" s="1"/>
    </row>
    <row r="62" spans="1:5" x14ac:dyDescent="0.25">
      <c r="A62" s="7">
        <v>56690.614022157039</v>
      </c>
      <c r="B62"/>
      <c r="C62"/>
      <c r="D62"/>
      <c r="E62" s="1"/>
    </row>
    <row r="63" spans="1:5" x14ac:dyDescent="0.25">
      <c r="A63" s="7">
        <v>56129.320814016872</v>
      </c>
      <c r="B63"/>
      <c r="C63"/>
      <c r="D63"/>
      <c r="E63" s="1"/>
    </row>
    <row r="64" spans="1:5" x14ac:dyDescent="0.25">
      <c r="A64" s="7">
        <v>55573.584964373142</v>
      </c>
      <c r="B64"/>
      <c r="C64"/>
      <c r="D64"/>
      <c r="E64" s="1"/>
    </row>
    <row r="65" spans="1:5" x14ac:dyDescent="0.25">
      <c r="A65" s="7">
        <v>55023.351449874397</v>
      </c>
      <c r="B65"/>
      <c r="C65"/>
      <c r="D65"/>
      <c r="E65" s="1"/>
    </row>
    <row r="66" spans="1:5" x14ac:dyDescent="0.25">
      <c r="A66" s="7">
        <v>54478.565791954847</v>
      </c>
      <c r="B66"/>
      <c r="C66"/>
      <c r="D66"/>
      <c r="E66" s="1"/>
    </row>
    <row r="67" spans="1:5" x14ac:dyDescent="0.25">
      <c r="A67" s="7">
        <v>53939.174051440445</v>
      </c>
      <c r="B67"/>
      <c r="C67"/>
      <c r="D67"/>
      <c r="E67" s="1"/>
    </row>
    <row r="68" spans="1:5" x14ac:dyDescent="0.25">
      <c r="A68" s="7">
        <v>53405.122823208359</v>
      </c>
      <c r="B68"/>
      <c r="C68"/>
      <c r="D68"/>
      <c r="E68" s="1"/>
    </row>
    <row r="69" spans="1:5" x14ac:dyDescent="0.25">
      <c r="A69" s="7">
        <v>52876.359230899368</v>
      </c>
      <c r="B69"/>
      <c r="C69"/>
      <c r="D69"/>
      <c r="E69" s="1"/>
    </row>
    <row r="70" spans="1:5" x14ac:dyDescent="0.25">
      <c r="A70" s="7">
        <v>52352.830921682544</v>
      </c>
      <c r="B70"/>
      <c r="C70"/>
      <c r="D70"/>
      <c r="E70" s="1"/>
    </row>
    <row r="71" spans="1:5" x14ac:dyDescent="0.25">
      <c r="A71" s="7">
        <v>51834.486061071824</v>
      </c>
      <c r="B71"/>
      <c r="C71"/>
      <c r="D71"/>
      <c r="E71" s="1"/>
    </row>
    <row r="72" spans="1:5" x14ac:dyDescent="0.25">
      <c r="A72" s="7">
        <v>51321.273327793882</v>
      </c>
      <c r="B72"/>
      <c r="C72"/>
      <c r="D72"/>
      <c r="E72" s="1"/>
    </row>
    <row r="73" spans="1:5" x14ac:dyDescent="0.25">
      <c r="A73" s="7">
        <v>50813.141908706813</v>
      </c>
      <c r="B73"/>
      <c r="C73"/>
      <c r="D73"/>
      <c r="E73" s="1"/>
    </row>
    <row r="74" spans="1:5" x14ac:dyDescent="0.25">
      <c r="A74" s="7">
        <v>50310.041493769124</v>
      </c>
      <c r="B74"/>
      <c r="C74"/>
      <c r="D74"/>
      <c r="E74" s="1"/>
    </row>
    <row r="75" spans="1:5" x14ac:dyDescent="0.25">
      <c r="A75" s="7">
        <v>49811.922271058538</v>
      </c>
      <c r="B75"/>
      <c r="C75"/>
      <c r="D75"/>
      <c r="E75" s="1"/>
    </row>
    <row r="76" spans="1:5" x14ac:dyDescent="0.25">
      <c r="A76" s="7">
        <v>49318.734921840136</v>
      </c>
      <c r="B76"/>
      <c r="C76"/>
      <c r="D76"/>
      <c r="E76" s="1"/>
    </row>
    <row r="77" spans="1:5" x14ac:dyDescent="0.25">
      <c r="A77" s="7">
        <v>48830.430615683304</v>
      </c>
      <c r="B77"/>
      <c r="C77"/>
      <c r="D77"/>
      <c r="E77" s="1"/>
    </row>
    <row r="78" spans="1:5" x14ac:dyDescent="0.25">
      <c r="A78" s="7">
        <v>48346.961005627032</v>
      </c>
      <c r="B78"/>
      <c r="C78"/>
      <c r="D78"/>
      <c r="E78" s="1"/>
    </row>
    <row r="79" spans="1:5" x14ac:dyDescent="0.25">
      <c r="A79" s="7">
        <v>47868.278223393099</v>
      </c>
      <c r="B79"/>
      <c r="C79"/>
      <c r="D79"/>
      <c r="E79" s="1"/>
    </row>
    <row r="80" spans="1:5" x14ac:dyDescent="0.25">
      <c r="A80" s="7">
        <v>47394.334874646629</v>
      </c>
      <c r="B80"/>
      <c r="C80"/>
      <c r="D80"/>
      <c r="E80" s="1"/>
    </row>
    <row r="81" spans="1:5" x14ac:dyDescent="0.25">
      <c r="A81" s="7">
        <v>46925.084034303596</v>
      </c>
      <c r="B81"/>
      <c r="C81"/>
      <c r="D81"/>
      <c r="E81" s="1"/>
    </row>
    <row r="82" spans="1:5" x14ac:dyDescent="0.25">
      <c r="A82" s="7">
        <v>46460.47924188475</v>
      </c>
      <c r="B82"/>
      <c r="C82"/>
      <c r="D82"/>
      <c r="E82" s="1"/>
    </row>
    <row r="83" spans="1:5" x14ac:dyDescent="0.25">
      <c r="A83" s="7">
        <v>46000.474496915595</v>
      </c>
      <c r="B83"/>
      <c r="C83"/>
      <c r="D83"/>
      <c r="E83" s="1"/>
    </row>
    <row r="84" spans="1:5" x14ac:dyDescent="0.25">
      <c r="A84" s="7">
        <v>45545.024254371878</v>
      </c>
      <c r="B84"/>
      <c r="C84"/>
      <c r="D84"/>
      <c r="E84" s="1"/>
    </row>
    <row r="85" spans="1:5" x14ac:dyDescent="0.25">
      <c r="A85" s="7">
        <v>45094.083420170173</v>
      </c>
      <c r="B85"/>
      <c r="C85"/>
      <c r="D85"/>
      <c r="E85" s="1"/>
    </row>
    <row r="86" spans="1:5" x14ac:dyDescent="0.25">
      <c r="A86" s="7">
        <v>44647.607346703138</v>
      </c>
      <c r="B86"/>
      <c r="C86"/>
      <c r="D86"/>
      <c r="E86" s="1"/>
    </row>
    <row r="87" spans="1:5" x14ac:dyDescent="0.25">
      <c r="A87" s="7">
        <v>44205.551828418946</v>
      </c>
      <c r="B87"/>
      <c r="C87"/>
      <c r="D87"/>
      <c r="E87" s="1"/>
    </row>
    <row r="88" spans="1:5" x14ac:dyDescent="0.25">
      <c r="A88" s="7">
        <v>43767.873097444499</v>
      </c>
      <c r="B88"/>
      <c r="C88"/>
      <c r="D88"/>
      <c r="E88" s="1"/>
    </row>
    <row r="89" spans="1:5" x14ac:dyDescent="0.25">
      <c r="A89" s="7">
        <v>43334.527819251976</v>
      </c>
      <c r="B89"/>
      <c r="C89"/>
      <c r="D89"/>
      <c r="E89" s="1"/>
    </row>
    <row r="90" spans="1:5" x14ac:dyDescent="0.25">
      <c r="A90" s="7">
        <v>42905.473088368293</v>
      </c>
      <c r="B90"/>
      <c r="C90"/>
      <c r="D90"/>
      <c r="E90" s="1"/>
    </row>
    <row r="91" spans="1:5" x14ac:dyDescent="0.25">
      <c r="A91" s="7">
        <v>42480.666424127019</v>
      </c>
      <c r="B91"/>
      <c r="C91"/>
      <c r="D91"/>
      <c r="E91" s="1"/>
    </row>
    <row r="92" spans="1:5" x14ac:dyDescent="0.25">
      <c r="A92" s="7">
        <v>42060.065766462394</v>
      </c>
      <c r="B92"/>
      <c r="C92"/>
      <c r="D92"/>
      <c r="E92" s="1"/>
    </row>
    <row r="93" spans="1:5" x14ac:dyDescent="0.25">
      <c r="A93" s="7">
        <v>41643.629471744942</v>
      </c>
      <c r="B93"/>
      <c r="C93"/>
      <c r="D93"/>
      <c r="E93" s="1"/>
    </row>
    <row r="94" spans="1:5" x14ac:dyDescent="0.25">
      <c r="A94" s="7">
        <v>41231.316308658359</v>
      </c>
      <c r="B94"/>
      <c r="C94"/>
      <c r="D94"/>
      <c r="E94" s="1"/>
    </row>
    <row r="95" spans="1:5" x14ac:dyDescent="0.25">
      <c r="A95" s="7">
        <v>40823.085454117187</v>
      </c>
      <c r="B95"/>
      <c r="C95"/>
      <c r="D95"/>
      <c r="E95" s="1"/>
    </row>
    <row r="96" spans="1:5" x14ac:dyDescent="0.25">
      <c r="A96" s="7">
        <v>40418.896489224935</v>
      </c>
      <c r="B96"/>
      <c r="C96"/>
      <c r="D96"/>
      <c r="E96" s="1"/>
    </row>
    <row r="97" spans="1:5" x14ac:dyDescent="0.25">
      <c r="A97" s="7">
        <v>40018.709395272213</v>
      </c>
      <c r="E97" s="1"/>
    </row>
    <row r="98" spans="1:5" x14ac:dyDescent="0.25">
      <c r="A98" s="7">
        <v>39622.484549774468</v>
      </c>
      <c r="E98" s="1"/>
    </row>
    <row r="99" spans="1:5" x14ac:dyDescent="0.25">
      <c r="A99" s="7">
        <v>39230.182722548976</v>
      </c>
      <c r="E99" s="1"/>
    </row>
    <row r="100" spans="1:5" x14ac:dyDescent="0.25">
      <c r="A100" s="7">
        <v>38841.765071830669</v>
      </c>
      <c r="E100" s="1"/>
    </row>
    <row r="101" spans="1:5" x14ac:dyDescent="0.25">
      <c r="A101" s="7">
        <v>38457.193140426403</v>
      </c>
      <c r="E101" s="1"/>
    </row>
    <row r="102" spans="1:5" x14ac:dyDescent="0.25">
      <c r="A102" s="7">
        <v>38076.428851907331</v>
      </c>
      <c r="E102" s="1"/>
    </row>
    <row r="103" spans="1:5" x14ac:dyDescent="0.25">
      <c r="A103" s="7">
        <v>37699.434506838938</v>
      </c>
      <c r="E103" s="1"/>
    </row>
    <row r="104" spans="1:5" x14ac:dyDescent="0.25">
      <c r="A104" s="7">
        <v>37326.172779048451</v>
      </c>
      <c r="E104" s="1"/>
    </row>
    <row r="105" spans="1:5" x14ac:dyDescent="0.25">
      <c r="A105" s="7">
        <v>36956.606711929162</v>
      </c>
      <c r="E105" s="1"/>
    </row>
    <row r="106" spans="1:5" x14ac:dyDescent="0.25">
      <c r="A106" s="7">
        <v>36590.699714781345</v>
      </c>
      <c r="E106" s="1"/>
    </row>
    <row r="107" spans="1:5" x14ac:dyDescent="0.25">
      <c r="A107" s="7">
        <v>36228.415559189452</v>
      </c>
      <c r="E107" s="1"/>
    </row>
    <row r="108" spans="1:5" x14ac:dyDescent="0.25">
      <c r="A108" s="7">
        <v>35869.718375435099</v>
      </c>
      <c r="E108" s="1"/>
    </row>
    <row r="109" spans="1:5" x14ac:dyDescent="0.25">
      <c r="A109" s="7">
        <v>35514.572648945643</v>
      </c>
      <c r="E109" s="1"/>
    </row>
    <row r="110" spans="1:5" x14ac:dyDescent="0.25">
      <c r="A110" s="7">
        <v>35162.943216777865</v>
      </c>
      <c r="E110" s="1"/>
    </row>
    <row r="111" spans="1:5" x14ac:dyDescent="0.25">
      <c r="A111" s="7">
        <v>34814.795264136497</v>
      </c>
      <c r="C111" s="10" t="str">
        <f>ADDRESS(C121-1,1,1,1)</f>
        <v>$A$1161</v>
      </c>
      <c r="D111" s="10" t="str">
        <f>ADDRESS(C121-1,D121,1,1)</f>
        <v>$E$1161</v>
      </c>
      <c r="E111" s="1"/>
    </row>
    <row r="112" spans="1:5" x14ac:dyDescent="0.25">
      <c r="A112" s="7">
        <v>34470.094320927223</v>
      </c>
      <c r="C112" s="10" t="str">
        <f>ADDRESS(C121,1,1,1)</f>
        <v>$A$1162</v>
      </c>
      <c r="D112" s="10" t="str">
        <f>ADDRESS(C121,D121-1,1,1)</f>
        <v>$D$1162</v>
      </c>
      <c r="E112" s="1"/>
    </row>
    <row r="113" spans="1:5" x14ac:dyDescent="0.25">
      <c r="A113" s="7">
        <v>34128.806258343786</v>
      </c>
      <c r="C113" s="10" t="str">
        <f>ADDRESS(C121+1,1,1,1)</f>
        <v>$A$1163</v>
      </c>
      <c r="D113" s="10" t="str">
        <f>ADDRESS(C121-1,D121+1,1,1)</f>
        <v>$F$1161</v>
      </c>
    </row>
    <row r="114" spans="1:5" x14ac:dyDescent="0.25">
      <c r="A114" s="7">
        <v>33790.8972854889</v>
      </c>
      <c r="C114" s="10" t="str">
        <f>ADDRESS(C121,D121,1,1)</f>
        <v>$E$1162</v>
      </c>
      <c r="D114" s="10" t="str">
        <f>ADDRESS(C121+1,D121+1,1,1)</f>
        <v>$F$1163</v>
      </c>
    </row>
    <row r="115" spans="1:5" x14ac:dyDescent="0.25">
      <c r="A115" s="7">
        <v>33456.333946028615</v>
      </c>
      <c r="C115" s="10" t="str">
        <f>ADDRESS(C121+1,D121,1,1)</f>
        <v>$E$1163</v>
      </c>
    </row>
    <row r="116" spans="1:5" x14ac:dyDescent="0.25">
      <c r="A116" s="7">
        <v>33125.083114879817</v>
      </c>
      <c r="C116" s="10">
        <f>C117-1</f>
        <v>1161</v>
      </c>
    </row>
    <row r="117" spans="1:5" x14ac:dyDescent="0.25">
      <c r="A117" s="7">
        <v>32797.111994930514</v>
      </c>
      <c r="C117" s="10">
        <f>C121</f>
        <v>1162</v>
      </c>
      <c r="D117" s="10">
        <f>D121</f>
        <v>5</v>
      </c>
    </row>
    <row r="118" spans="1:5" x14ac:dyDescent="0.25">
      <c r="A118" s="7">
        <v>32472.388113792589</v>
      </c>
      <c r="C118" s="10">
        <f>C117+1</f>
        <v>1163</v>
      </c>
      <c r="D118" s="10">
        <f>D117+1</f>
        <v>6</v>
      </c>
    </row>
    <row r="119" spans="1:5" x14ac:dyDescent="0.25">
      <c r="A119" s="7">
        <v>32150.879320586722</v>
      </c>
    </row>
    <row r="120" spans="1:5" x14ac:dyDescent="0.25">
      <c r="A120" s="7">
        <v>31832.553782759132</v>
      </c>
      <c r="C120" s="10" t="s">
        <v>9</v>
      </c>
    </row>
    <row r="121" spans="1:5" x14ac:dyDescent="0.25">
      <c r="A121" s="7">
        <v>31517.379982929833</v>
      </c>
      <c r="C121" s="12">
        <v>1162</v>
      </c>
      <c r="D121" s="13">
        <v>5</v>
      </c>
      <c r="E121" s="13"/>
    </row>
    <row r="122" spans="1:5" x14ac:dyDescent="0.25">
      <c r="A122" s="7">
        <v>31205.326715772113</v>
      </c>
      <c r="C122" s="10" t="str">
        <f>INDEX(1:1048576,C117,D117)</f>
        <v>X</v>
      </c>
    </row>
    <row r="123" spans="1:5" x14ac:dyDescent="0.25">
      <c r="A123" s="7">
        <v>30896.363084922883</v>
      </c>
      <c r="C123" s="10" t="str">
        <f>"R"&amp;C121</f>
        <v>R1162</v>
      </c>
      <c r="D123" s="10" t="str">
        <f>"C"&amp;D121</f>
        <v>C5</v>
      </c>
    </row>
    <row r="124" spans="1:5" x14ac:dyDescent="0.25">
      <c r="A124" s="7">
        <v>30590.458499923647</v>
      </c>
      <c r="C124" s="10">
        <f>SUM(C130:D130)</f>
        <v>0</v>
      </c>
      <c r="D124" s="10">
        <f>IF(C124=0,0,1)</f>
        <v>0</v>
      </c>
    </row>
    <row r="125" spans="1:5" x14ac:dyDescent="0.25">
      <c r="A125" s="7">
        <v>30287.58267319173</v>
      </c>
    </row>
    <row r="126" spans="1:5" x14ac:dyDescent="0.25">
      <c r="A126" s="7">
        <v>29987.705617021515</v>
      </c>
      <c r="C126" s="10" t="s">
        <v>10</v>
      </c>
    </row>
    <row r="127" spans="1:5" x14ac:dyDescent="0.25">
      <c r="A127" s="7">
        <v>29690.797640615361</v>
      </c>
      <c r="C127" s="7">
        <v>1</v>
      </c>
      <c r="D127" s="14"/>
    </row>
    <row r="128" spans="1:5" x14ac:dyDescent="0.25">
      <c r="A128" s="7">
        <v>29396.829347143921</v>
      </c>
    </row>
    <row r="129" spans="1:5" x14ac:dyDescent="0.25">
      <c r="A129" s="7">
        <v>29105.771630835567</v>
      </c>
      <c r="C129" s="10" t="s">
        <v>11</v>
      </c>
      <c r="D129" s="10" t="s">
        <v>12</v>
      </c>
      <c r="E129" s="1"/>
    </row>
    <row r="130" spans="1:5" x14ac:dyDescent="0.25">
      <c r="A130" s="7">
        <v>28817.59567409462</v>
      </c>
      <c r="C130"/>
      <c r="D130"/>
      <c r="E130" s="1"/>
    </row>
    <row r="131" spans="1:5" x14ac:dyDescent="0.25">
      <c r="A131" s="7">
        <v>28532.272944648139</v>
      </c>
      <c r="E131" s="1"/>
    </row>
    <row r="132" spans="1:5" x14ac:dyDescent="0.25">
      <c r="A132" s="7">
        <v>28249.775192720928</v>
      </c>
      <c r="C132" s="10" t="s">
        <v>13</v>
      </c>
      <c r="E132" s="1"/>
    </row>
    <row r="133" spans="1:5" x14ac:dyDescent="0.25">
      <c r="A133" s="7">
        <v>27970.074448238542</v>
      </c>
      <c r="C133" s="10" t="str">
        <f>C122</f>
        <v>X</v>
      </c>
      <c r="E133" s="1"/>
    </row>
    <row r="134" spans="1:5" x14ac:dyDescent="0.25">
      <c r="A134" s="7">
        <v>27693.143018057963</v>
      </c>
      <c r="E134" s="1"/>
    </row>
    <row r="135" spans="1:5" x14ac:dyDescent="0.25">
      <c r="A135" s="7">
        <v>27418.953483225705</v>
      </c>
      <c r="C135" s="10" t="s">
        <v>14</v>
      </c>
      <c r="E135" s="1"/>
    </row>
    <row r="136" spans="1:5" x14ac:dyDescent="0.25">
      <c r="A136" s="7">
        <v>27147.478696263075</v>
      </c>
      <c r="C136" s="10" t="str">
        <f>IF(C133=$S$1,IF(D130&lt;(C127*0.99009900990099),$S$1,IF(C130&gt;(C127*1.030301),$U$1,"")),"")</f>
        <v/>
      </c>
      <c r="D136" s="10" t="str">
        <f>IF(C133=$U$1,IF(C130&gt;(C127*1.01),$U$1,IF(D130&lt;(C127*0.970590147927644),$S$1,"")),"")</f>
        <v>O</v>
      </c>
      <c r="E136" s="1"/>
    </row>
    <row r="137" spans="1:5" x14ac:dyDescent="0.25">
      <c r="A137" s="7">
        <v>26878.691778478293</v>
      </c>
      <c r="E137" s="1"/>
    </row>
    <row r="138" spans="1:5" x14ac:dyDescent="0.25">
      <c r="A138" s="7">
        <v>26612.566117305239</v>
      </c>
      <c r="C138" s="10">
        <f>IF(AND(C136="",D136=""),0,IF(AND(C133="X",D136="X"),1,IF(AND(C133="O",C136="O"),2,(IF(AND(C133="X",D136="O"),3,4)))))</f>
        <v>3</v>
      </c>
      <c r="E138" s="1"/>
    </row>
    <row r="139" spans="1:5" x14ac:dyDescent="0.25">
      <c r="A139" s="7">
        <v>26349.075363668555</v>
      </c>
      <c r="E139" s="1"/>
    </row>
    <row r="140" spans="1:5" x14ac:dyDescent="0.25">
      <c r="A140" s="7">
        <v>26088.193429374805</v>
      </c>
      <c r="C140" s="10">
        <v>0</v>
      </c>
      <c r="E140" s="1"/>
    </row>
    <row r="141" spans="1:5" x14ac:dyDescent="0.25">
      <c r="A141" s="7">
        <v>25829.894484529512</v>
      </c>
      <c r="C141" s="10">
        <v>1</v>
      </c>
      <c r="E141" s="1"/>
    </row>
    <row r="142" spans="1:5" x14ac:dyDescent="0.25">
      <c r="A142" s="7">
        <v>25574.152954979716</v>
      </c>
      <c r="C142" s="10">
        <v>2</v>
      </c>
      <c r="E142" s="1"/>
    </row>
    <row r="143" spans="1:5" x14ac:dyDescent="0.25">
      <c r="A143" s="7">
        <v>25320.943519781897</v>
      </c>
      <c r="C143" s="10">
        <v>3</v>
      </c>
      <c r="E143" s="1"/>
    </row>
    <row r="144" spans="1:5" x14ac:dyDescent="0.25">
      <c r="A144" s="7">
        <v>25070.241108694947</v>
      </c>
      <c r="C144" s="10">
        <v>4</v>
      </c>
      <c r="E144" s="1"/>
    </row>
    <row r="145" spans="1:5" x14ac:dyDescent="0.25">
      <c r="A145" s="7">
        <v>24822.020899697967</v>
      </c>
      <c r="B145"/>
      <c r="C145"/>
      <c r="D145"/>
      <c r="E145" s="1"/>
    </row>
    <row r="146" spans="1:5" x14ac:dyDescent="0.25">
      <c r="A146" s="7">
        <v>24576.25831653264</v>
      </c>
      <c r="B146"/>
      <c r="C146"/>
      <c r="D146"/>
      <c r="E146" s="1"/>
    </row>
    <row r="147" spans="1:5" x14ac:dyDescent="0.25">
      <c r="A147" s="7">
        <v>24332.92902626994</v>
      </c>
      <c r="B147"/>
      <c r="C147"/>
      <c r="D147"/>
      <c r="E147" s="1"/>
    </row>
    <row r="148" spans="1:5" x14ac:dyDescent="0.25">
      <c r="A148" s="7">
        <v>24092.008936900929</v>
      </c>
      <c r="B148"/>
      <c r="C148"/>
      <c r="D148"/>
      <c r="E148" s="1"/>
    </row>
    <row r="149" spans="1:5" x14ac:dyDescent="0.25">
      <c r="A149" s="7">
        <v>23853.474194951414</v>
      </c>
      <c r="B149"/>
      <c r="C149"/>
      <c r="D149"/>
      <c r="E149" s="1"/>
    </row>
    <row r="150" spans="1:5" x14ac:dyDescent="0.25">
      <c r="A150" s="7">
        <v>23617.301183120213</v>
      </c>
      <c r="B150"/>
      <c r="C150"/>
      <c r="D150"/>
      <c r="E150" s="1"/>
    </row>
    <row r="151" spans="1:5" x14ac:dyDescent="0.25">
      <c r="A151" s="7">
        <v>23383.466517940804</v>
      </c>
      <c r="B151"/>
      <c r="C151"/>
      <c r="D151"/>
      <c r="E151" s="1"/>
    </row>
    <row r="152" spans="1:5" x14ac:dyDescent="0.25">
      <c r="A152" s="7">
        <v>23151.947047466143</v>
      </c>
      <c r="B152"/>
      <c r="C152"/>
      <c r="D152"/>
      <c r="E152" s="1"/>
    </row>
    <row r="153" spans="1:5" x14ac:dyDescent="0.25">
      <c r="A153" s="7">
        <v>22922.71984897638</v>
      </c>
      <c r="B153"/>
      <c r="C153"/>
      <c r="D153"/>
      <c r="E153" s="1"/>
    </row>
    <row r="154" spans="1:5" x14ac:dyDescent="0.25">
      <c r="A154" s="7">
        <v>22695.762226709285</v>
      </c>
      <c r="B154"/>
      <c r="C154"/>
      <c r="D154"/>
      <c r="E154" s="1"/>
    </row>
    <row r="155" spans="1:5" x14ac:dyDescent="0.25">
      <c r="A155" s="7">
        <v>22471.051709613152</v>
      </c>
      <c r="B155"/>
      <c r="C155"/>
      <c r="D155"/>
      <c r="E155" s="1"/>
    </row>
    <row r="156" spans="1:5" x14ac:dyDescent="0.25">
      <c r="A156" s="7">
        <v>22248.566049121931</v>
      </c>
      <c r="B156"/>
      <c r="C156"/>
      <c r="D156"/>
      <c r="E156" s="1"/>
    </row>
    <row r="157" spans="1:5" x14ac:dyDescent="0.25">
      <c r="A157" s="7">
        <v>22028.283216952408</v>
      </c>
      <c r="B157"/>
      <c r="C157"/>
      <c r="D157"/>
      <c r="E157" s="1"/>
    </row>
    <row r="158" spans="1:5" x14ac:dyDescent="0.25">
      <c r="A158" s="7">
        <v>21810.181402923175</v>
      </c>
      <c r="B158"/>
      <c r="C158"/>
      <c r="D158"/>
      <c r="E158" s="1"/>
    </row>
    <row r="159" spans="1:5" x14ac:dyDescent="0.25">
      <c r="A159" s="7">
        <v>21594.239012795224</v>
      </c>
      <c r="B159"/>
      <c r="C159"/>
      <c r="D159"/>
      <c r="E159" s="1"/>
    </row>
    <row r="160" spans="1:5" x14ac:dyDescent="0.25">
      <c r="A160" s="7">
        <v>21380.434666133886</v>
      </c>
      <c r="B160"/>
      <c r="C160"/>
      <c r="D160"/>
      <c r="E160" s="1"/>
    </row>
    <row r="161" spans="1:5" x14ac:dyDescent="0.25">
      <c r="A161" s="7">
        <v>21168.747194191965</v>
      </c>
      <c r="B161"/>
      <c r="C161"/>
      <c r="D161"/>
      <c r="E161" s="1"/>
    </row>
    <row r="162" spans="1:5" x14ac:dyDescent="0.25">
      <c r="A162" s="7">
        <v>20959.155637813827</v>
      </c>
      <c r="B162"/>
      <c r="C162"/>
      <c r="D162"/>
      <c r="E162" s="1"/>
    </row>
    <row r="163" spans="1:5" x14ac:dyDescent="0.25">
      <c r="A163" s="7">
        <v>20751.639245360224</v>
      </c>
      <c r="B163"/>
      <c r="C163"/>
      <c r="D163"/>
      <c r="E163" s="1"/>
    </row>
    <row r="164" spans="1:5" x14ac:dyDescent="0.25">
      <c r="A164" s="7">
        <v>20546.177470653685</v>
      </c>
      <c r="B164"/>
      <c r="C164"/>
      <c r="D164"/>
      <c r="E164" s="1"/>
    </row>
    <row r="165" spans="1:5" x14ac:dyDescent="0.25">
      <c r="A165" s="7">
        <v>20342.749970944242</v>
      </c>
      <c r="B165"/>
      <c r="C165"/>
      <c r="D165"/>
      <c r="E165" s="1"/>
    </row>
    <row r="166" spans="1:5" x14ac:dyDescent="0.25">
      <c r="A166" s="7">
        <v>20141.336604895288</v>
      </c>
      <c r="B166"/>
      <c r="C166"/>
      <c r="D166"/>
      <c r="E166" s="1"/>
    </row>
    <row r="167" spans="1:5" x14ac:dyDescent="0.25">
      <c r="A167" s="7">
        <v>19941.917430589394</v>
      </c>
      <c r="B167"/>
      <c r="C167"/>
      <c r="D167"/>
      <c r="E167" s="1"/>
    </row>
    <row r="168" spans="1:5" x14ac:dyDescent="0.25">
      <c r="A168" s="7">
        <v>19744.472703553856</v>
      </c>
      <c r="B168"/>
      <c r="C168"/>
      <c r="D168"/>
      <c r="E168" s="1"/>
    </row>
    <row r="169" spans="1:5" x14ac:dyDescent="0.25">
      <c r="A169" s="7">
        <v>19548.982874805799</v>
      </c>
      <c r="B169"/>
      <c r="C169"/>
      <c r="D169"/>
      <c r="E169" s="1"/>
    </row>
    <row r="170" spans="1:5" x14ac:dyDescent="0.25">
      <c r="A170" s="7">
        <v>19355.428588916631</v>
      </c>
      <c r="B170"/>
      <c r="C170"/>
      <c r="D170"/>
      <c r="E170" s="1"/>
    </row>
    <row r="171" spans="1:5" x14ac:dyDescent="0.25">
      <c r="A171" s="7">
        <v>19163.790682095674</v>
      </c>
      <c r="B171"/>
      <c r="C171"/>
      <c r="D171"/>
      <c r="E171" s="1"/>
    </row>
    <row r="172" spans="1:5" x14ac:dyDescent="0.25">
      <c r="A172" s="7">
        <v>18974.050180292747</v>
      </c>
      <c r="B172"/>
      <c r="C172"/>
      <c r="D172"/>
      <c r="E172" s="1"/>
    </row>
    <row r="173" spans="1:5" x14ac:dyDescent="0.25">
      <c r="A173" s="7">
        <v>18786.18829731955</v>
      </c>
      <c r="B173"/>
      <c r="C173"/>
      <c r="D173"/>
      <c r="E173" s="1"/>
    </row>
    <row r="174" spans="1:5" x14ac:dyDescent="0.25">
      <c r="A174" s="7">
        <v>18600.186432989653</v>
      </c>
      <c r="B174"/>
      <c r="C174"/>
      <c r="D174"/>
      <c r="E174" s="1"/>
    </row>
    <row r="175" spans="1:5" x14ac:dyDescent="0.25">
      <c r="A175" s="7">
        <v>18416.026171276884</v>
      </c>
      <c r="B175"/>
      <c r="C175"/>
      <c r="D175"/>
      <c r="E175" s="1"/>
    </row>
    <row r="176" spans="1:5" x14ac:dyDescent="0.25">
      <c r="A176" s="7">
        <v>18233.689278491966</v>
      </c>
      <c r="B176"/>
      <c r="C176"/>
      <c r="D176"/>
      <c r="E176" s="1"/>
    </row>
    <row r="177" spans="1:5" x14ac:dyDescent="0.25">
      <c r="A177" s="7">
        <v>18053.157701477194</v>
      </c>
      <c r="B177"/>
      <c r="C177"/>
      <c r="D177"/>
      <c r="E177" s="1"/>
    </row>
    <row r="178" spans="1:5" x14ac:dyDescent="0.25">
      <c r="A178" s="7">
        <v>17874.413565819003</v>
      </c>
      <c r="B178"/>
      <c r="C178"/>
      <c r="D178"/>
      <c r="E178" s="1"/>
    </row>
    <row r="179" spans="1:5" x14ac:dyDescent="0.25">
      <c r="A179" s="7">
        <v>17697.439174078219</v>
      </c>
      <c r="B179"/>
      <c r="C179"/>
      <c r="D179"/>
      <c r="E179" s="1"/>
    </row>
    <row r="180" spans="1:5" x14ac:dyDescent="0.25">
      <c r="A180" s="7">
        <v>17522.217004037841</v>
      </c>
      <c r="B180"/>
      <c r="C180"/>
      <c r="D180"/>
      <c r="E180" s="1"/>
    </row>
    <row r="181" spans="1:5" x14ac:dyDescent="0.25">
      <c r="A181" s="7">
        <v>17348.729706968159</v>
      </c>
      <c r="B181"/>
      <c r="C181"/>
      <c r="D181"/>
      <c r="E181" s="1"/>
    </row>
    <row r="182" spans="1:5" x14ac:dyDescent="0.25">
      <c r="A182" s="7">
        <v>17176.960105909067</v>
      </c>
      <c r="B182"/>
      <c r="C182"/>
      <c r="D182"/>
      <c r="E182" s="1"/>
    </row>
    <row r="183" spans="1:5" x14ac:dyDescent="0.25">
      <c r="A183" s="7">
        <v>17006.891193969372</v>
      </c>
      <c r="B183"/>
      <c r="C183"/>
      <c r="D183"/>
      <c r="E183" s="1"/>
    </row>
    <row r="184" spans="1:5" x14ac:dyDescent="0.25">
      <c r="A184" s="7">
        <v>16838.506132642942</v>
      </c>
      <c r="B184"/>
      <c r="C184"/>
      <c r="D184"/>
      <c r="E184" s="1"/>
    </row>
    <row r="185" spans="1:5" x14ac:dyDescent="0.25">
      <c r="A185" s="7">
        <v>16671.788250141526</v>
      </c>
      <c r="B185"/>
      <c r="C185"/>
      <c r="D185"/>
      <c r="E185" s="1"/>
    </row>
    <row r="186" spans="1:5" x14ac:dyDescent="0.25">
      <c r="A186" s="7">
        <v>16506.721039744087</v>
      </c>
      <c r="B186"/>
      <c r="C186"/>
      <c r="D186"/>
      <c r="E186" s="1"/>
    </row>
    <row r="187" spans="1:5" x14ac:dyDescent="0.25">
      <c r="A187" s="7">
        <v>16343.288158162462</v>
      </c>
      <c r="B187"/>
      <c r="C187"/>
      <c r="D187"/>
      <c r="E187" s="1"/>
    </row>
    <row r="188" spans="1:5" x14ac:dyDescent="0.25">
      <c r="A188" s="7">
        <v>16181.473423923229</v>
      </c>
      <c r="B188"/>
      <c r="C188"/>
      <c r="D188"/>
      <c r="E188" s="1"/>
    </row>
    <row r="189" spans="1:5" x14ac:dyDescent="0.25">
      <c r="A189" s="7">
        <v>16021.260815765574</v>
      </c>
      <c r="B189"/>
      <c r="C189"/>
      <c r="D189"/>
      <c r="E189" s="1"/>
    </row>
    <row r="190" spans="1:5" x14ac:dyDescent="0.25">
      <c r="A190" s="7">
        <v>15862.634471055024</v>
      </c>
      <c r="B190"/>
      <c r="C190"/>
      <c r="D190"/>
      <c r="E190" s="1"/>
    </row>
    <row r="191" spans="1:5" x14ac:dyDescent="0.25">
      <c r="A191" s="7">
        <v>15705.578684212895</v>
      </c>
      <c r="B191"/>
      <c r="C191"/>
      <c r="D191"/>
      <c r="E191" s="1"/>
    </row>
    <row r="192" spans="1:5" x14ac:dyDescent="0.25">
      <c r="A192" s="7">
        <v>15550.077905161281</v>
      </c>
      <c r="B192"/>
      <c r="C192"/>
      <c r="D192"/>
      <c r="E192" s="1"/>
    </row>
    <row r="193" spans="1:5" x14ac:dyDescent="0.25">
      <c r="A193" s="7">
        <v>15396.116737783446</v>
      </c>
      <c r="B193"/>
      <c r="C193"/>
      <c r="D193"/>
      <c r="E193" s="1"/>
    </row>
    <row r="194" spans="1:5" x14ac:dyDescent="0.25">
      <c r="A194" s="7">
        <v>15243.679938399451</v>
      </c>
      <c r="B194"/>
      <c r="C194"/>
      <c r="D194"/>
      <c r="E194" s="1"/>
    </row>
    <row r="195" spans="1:5" x14ac:dyDescent="0.25">
      <c r="A195" s="7">
        <v>15092.752414256882</v>
      </c>
      <c r="B195"/>
      <c r="C195"/>
      <c r="D195"/>
      <c r="E195" s="1"/>
    </row>
    <row r="196" spans="1:5" x14ac:dyDescent="0.25">
      <c r="A196" s="7">
        <v>14943.319222036516</v>
      </c>
      <c r="B196"/>
      <c r="C196"/>
      <c r="D196"/>
      <c r="E196" s="1"/>
    </row>
    <row r="197" spans="1:5" x14ac:dyDescent="0.25">
      <c r="A197" s="7">
        <v>14795.365566372788</v>
      </c>
      <c r="B197"/>
      <c r="C197"/>
      <c r="D197"/>
      <c r="E197" s="1"/>
    </row>
    <row r="198" spans="1:5" x14ac:dyDescent="0.25">
      <c r="A198" s="7">
        <v>14648.876798388899</v>
      </c>
      <c r="B198"/>
      <c r="C198"/>
      <c r="D198"/>
      <c r="E198" s="1"/>
    </row>
    <row r="199" spans="1:5" x14ac:dyDescent="0.25">
      <c r="A199" s="7">
        <v>14503.838414246435</v>
      </c>
      <c r="B199"/>
      <c r="C199"/>
      <c r="D199"/>
      <c r="E199" s="1"/>
    </row>
    <row r="200" spans="1:5" x14ac:dyDescent="0.25">
      <c r="A200" s="7">
        <v>14360.236053709341</v>
      </c>
      <c r="B200"/>
      <c r="C200"/>
      <c r="D200"/>
      <c r="E200" s="1"/>
    </row>
    <row r="201" spans="1:5" x14ac:dyDescent="0.25">
      <c r="A201" s="7">
        <v>14218.05549872212</v>
      </c>
      <c r="B201"/>
      <c r="C201"/>
      <c r="D201"/>
      <c r="E201" s="1"/>
    </row>
    <row r="202" spans="1:5" x14ac:dyDescent="0.25">
      <c r="A202" s="7">
        <v>14077.282672002098</v>
      </c>
      <c r="B202"/>
      <c r="C202"/>
      <c r="D202"/>
      <c r="E202" s="1"/>
    </row>
    <row r="203" spans="1:5" x14ac:dyDescent="0.25">
      <c r="A203" s="7">
        <v>13937.903635645642</v>
      </c>
      <c r="B203"/>
      <c r="C203"/>
      <c r="D203"/>
      <c r="E203" s="1"/>
    </row>
    <row r="204" spans="1:5" x14ac:dyDescent="0.25">
      <c r="A204" s="7">
        <v>13799.904589748159</v>
      </c>
      <c r="B204"/>
      <c r="C204"/>
      <c r="D204"/>
      <c r="E204" s="1"/>
    </row>
    <row r="205" spans="1:5" x14ac:dyDescent="0.25">
      <c r="A205" s="7">
        <v>13663.271871037781</v>
      </c>
      <c r="B205"/>
      <c r="C205"/>
      <c r="D205"/>
      <c r="E205" s="1"/>
    </row>
    <row r="206" spans="1:5" x14ac:dyDescent="0.25">
      <c r="A206" s="7">
        <v>13527.991951522556</v>
      </c>
      <c r="B206"/>
      <c r="C206"/>
      <c r="D206"/>
      <c r="E206" s="1"/>
    </row>
    <row r="207" spans="1:5" x14ac:dyDescent="0.25">
      <c r="A207" s="7">
        <v>13394.051437151045</v>
      </c>
      <c r="B207"/>
      <c r="C207"/>
      <c r="D207"/>
      <c r="E207" s="1"/>
    </row>
    <row r="208" spans="1:5" x14ac:dyDescent="0.25">
      <c r="A208" s="7">
        <v>13261.437066486184</v>
      </c>
      <c r="B208"/>
      <c r="C208"/>
      <c r="D208"/>
      <c r="E208" s="1"/>
    </row>
    <row r="209" spans="1:5" x14ac:dyDescent="0.25">
      <c r="A209" s="7">
        <v>13130.135709392262</v>
      </c>
      <c r="B209"/>
      <c r="C209"/>
      <c r="D209"/>
      <c r="E209" s="1"/>
    </row>
    <row r="210" spans="1:5" x14ac:dyDescent="0.25">
      <c r="A210" s="7">
        <v>13000.134365734912</v>
      </c>
      <c r="B210"/>
      <c r="C210"/>
      <c r="D210"/>
      <c r="E210" s="1"/>
    </row>
    <row r="211" spans="1:5" x14ac:dyDescent="0.25">
      <c r="A211" s="7">
        <v>12871.420164093972</v>
      </c>
      <c r="B211"/>
      <c r="C211"/>
      <c r="D211"/>
      <c r="E211" s="1"/>
    </row>
    <row r="212" spans="1:5" x14ac:dyDescent="0.25">
      <c r="A212" s="7">
        <v>12743.98036048908</v>
      </c>
      <c r="B212"/>
      <c r="C212"/>
      <c r="D212"/>
      <c r="E212" s="1"/>
    </row>
    <row r="213" spans="1:5" x14ac:dyDescent="0.25">
      <c r="A213" s="7">
        <v>12617.802337117901</v>
      </c>
      <c r="B213"/>
      <c r="C213"/>
      <c r="D213"/>
      <c r="E213" s="1"/>
    </row>
    <row r="214" spans="1:5" x14ac:dyDescent="0.25">
      <c r="A214" s="7">
        <v>12492.873601106832</v>
      </c>
      <c r="B214"/>
      <c r="C214"/>
      <c r="D214"/>
      <c r="E214" s="1"/>
    </row>
    <row r="215" spans="1:5" x14ac:dyDescent="0.25">
      <c r="A215" s="7">
        <v>12369.181783274091</v>
      </c>
      <c r="B215"/>
      <c r="C215"/>
      <c r="D215"/>
      <c r="E215" s="1"/>
    </row>
    <row r="216" spans="1:5" x14ac:dyDescent="0.25">
      <c r="A216" s="7">
        <v>12246.714636905041</v>
      </c>
      <c r="B216"/>
      <c r="C216"/>
      <c r="D216"/>
      <c r="E216" s="1"/>
    </row>
    <row r="217" spans="1:5" x14ac:dyDescent="0.25">
      <c r="A217" s="7">
        <v>12125.460036539644</v>
      </c>
      <c r="B217"/>
      <c r="C217"/>
      <c r="D217"/>
      <c r="E217" s="1"/>
    </row>
    <row r="218" spans="1:5" x14ac:dyDescent="0.25">
      <c r="A218" s="7">
        <v>12005.405976771925</v>
      </c>
      <c r="B218"/>
      <c r="C218"/>
      <c r="D218"/>
      <c r="E218" s="1"/>
    </row>
    <row r="219" spans="1:5" x14ac:dyDescent="0.25">
      <c r="A219" s="7">
        <v>11886.540571061312</v>
      </c>
      <c r="B219"/>
      <c r="C219"/>
      <c r="D219"/>
      <c r="E219" s="1"/>
    </row>
    <row r="220" spans="1:5" x14ac:dyDescent="0.25">
      <c r="A220" s="7">
        <v>11768.852050555755</v>
      </c>
      <c r="B220"/>
      <c r="C220"/>
      <c r="D220"/>
      <c r="E220" s="1"/>
    </row>
    <row r="221" spans="1:5" x14ac:dyDescent="0.25">
      <c r="A221" s="7">
        <v>11652.328762926491</v>
      </c>
      <c r="B221"/>
      <c r="C221"/>
      <c r="D221"/>
      <c r="E221" s="1"/>
    </row>
    <row r="222" spans="1:5" x14ac:dyDescent="0.25">
      <c r="A222" s="7">
        <v>11536.959171214346</v>
      </c>
      <c r="B222"/>
      <c r="C222"/>
      <c r="D222"/>
      <c r="E222" s="1"/>
    </row>
    <row r="223" spans="1:5" x14ac:dyDescent="0.25">
      <c r="A223" s="7">
        <v>11422.731852687471</v>
      </c>
      <c r="B223"/>
      <c r="C223"/>
      <c r="D223"/>
      <c r="E223" s="1"/>
    </row>
    <row r="224" spans="1:5" x14ac:dyDescent="0.25">
      <c r="A224" s="7">
        <v>11309.635497710367</v>
      </c>
      <c r="B224"/>
      <c r="C224"/>
      <c r="D224"/>
      <c r="E224" s="1"/>
    </row>
    <row r="225" spans="1:5" x14ac:dyDescent="0.25">
      <c r="A225" s="7">
        <v>11197.658908624126</v>
      </c>
      <c r="B225"/>
      <c r="C225"/>
      <c r="D225"/>
      <c r="E225" s="1"/>
    </row>
    <row r="226" spans="1:5" x14ac:dyDescent="0.25">
      <c r="A226" s="7">
        <v>11086.790998637747</v>
      </c>
      <c r="B226"/>
      <c r="C226"/>
      <c r="D226"/>
      <c r="E226" s="1"/>
    </row>
    <row r="227" spans="1:5" x14ac:dyDescent="0.25">
      <c r="A227" s="7">
        <v>10977.020790730443</v>
      </c>
      <c r="B227"/>
      <c r="C227"/>
      <c r="D227"/>
      <c r="E227" s="1"/>
    </row>
    <row r="228" spans="1:5" x14ac:dyDescent="0.25">
      <c r="A228" s="7">
        <v>10868.337416564795</v>
      </c>
      <c r="B228"/>
      <c r="C228"/>
      <c r="D228"/>
      <c r="E228" s="1"/>
    </row>
    <row r="229" spans="1:5" x14ac:dyDescent="0.25">
      <c r="A229" s="7">
        <v>10760.730115410688</v>
      </c>
      <c r="B229"/>
      <c r="C229"/>
      <c r="D229"/>
      <c r="E229" s="1"/>
    </row>
    <row r="230" spans="1:5" x14ac:dyDescent="0.25">
      <c r="A230" s="7">
        <v>10654.188233079889</v>
      </c>
      <c r="B230"/>
      <c r="C230"/>
      <c r="D230"/>
      <c r="E230" s="1"/>
    </row>
    <row r="231" spans="1:5" x14ac:dyDescent="0.25">
      <c r="A231" s="7">
        <v>10548.701220871177</v>
      </c>
      <c r="B231"/>
      <c r="C231"/>
      <c r="D231"/>
      <c r="E231" s="1"/>
    </row>
    <row r="232" spans="1:5" x14ac:dyDescent="0.25">
      <c r="A232" s="7">
        <v>10444.258634525917</v>
      </c>
      <c r="B232"/>
      <c r="C232"/>
      <c r="D232"/>
      <c r="E232" s="1"/>
    </row>
    <row r="233" spans="1:5" x14ac:dyDescent="0.25">
      <c r="A233" s="7">
        <v>10340.850133193977</v>
      </c>
      <c r="B233"/>
      <c r="C233"/>
      <c r="D233"/>
      <c r="E233" s="1"/>
    </row>
    <row r="234" spans="1:5" x14ac:dyDescent="0.25">
      <c r="A234" s="7">
        <v>10238.465478409878</v>
      </c>
      <c r="B234"/>
      <c r="C234"/>
      <c r="D234"/>
      <c r="E234" s="1"/>
    </row>
    <row r="235" spans="1:5" x14ac:dyDescent="0.25">
      <c r="A235" s="7">
        <v>10137.094533079087</v>
      </c>
      <c r="B235"/>
      <c r="C235"/>
      <c r="D235"/>
      <c r="E235" s="1"/>
    </row>
    <row r="236" spans="1:5" x14ac:dyDescent="0.25">
      <c r="A236" s="7">
        <v>10036.727260474343</v>
      </c>
      <c r="B236"/>
      <c r="C236"/>
      <c r="D236"/>
      <c r="E236" s="1"/>
    </row>
    <row r="237" spans="1:5" x14ac:dyDescent="0.25">
      <c r="A237" s="7">
        <v>9937.3537232419239</v>
      </c>
      <c r="B237"/>
      <c r="C237"/>
      <c r="D237"/>
      <c r="E237" s="1"/>
    </row>
    <row r="238" spans="1:5" x14ac:dyDescent="0.25">
      <c r="A238" s="7">
        <v>9838.9640824177459</v>
      </c>
      <c r="B238"/>
      <c r="C238"/>
      <c r="D238"/>
      <c r="E238" s="1"/>
    </row>
    <row r="239" spans="1:5" x14ac:dyDescent="0.25">
      <c r="A239" s="7">
        <v>9741.5485964532145</v>
      </c>
      <c r="B239"/>
      <c r="C239"/>
      <c r="D239"/>
      <c r="E239" s="1"/>
    </row>
    <row r="240" spans="1:5" x14ac:dyDescent="0.25">
      <c r="A240" s="7">
        <v>9645.0976202507081</v>
      </c>
      <c r="B240"/>
      <c r="C240"/>
      <c r="D240"/>
      <c r="E240" s="1"/>
    </row>
    <row r="241" spans="1:5" x14ac:dyDescent="0.25">
      <c r="A241" s="7">
        <v>9549.6016042086212</v>
      </c>
      <c r="B241" s="14"/>
      <c r="C241" s="14"/>
      <c r="D241" s="14"/>
      <c r="E241" s="1"/>
    </row>
    <row r="242" spans="1:5" x14ac:dyDescent="0.25">
      <c r="A242" s="7">
        <v>9455.0510932758625</v>
      </c>
      <c r="B242" s="14"/>
      <c r="C242" s="14"/>
      <c r="D242" s="14"/>
      <c r="E242" s="1"/>
    </row>
    <row r="243" spans="1:5" x14ac:dyDescent="0.25">
      <c r="A243" s="7">
        <v>9361.4367260157051</v>
      </c>
      <c r="B243" s="14"/>
      <c r="C243" s="14"/>
      <c r="D243" s="14"/>
      <c r="E243" s="1"/>
    </row>
    <row r="244" spans="1:5" x14ac:dyDescent="0.25">
      <c r="A244" s="7">
        <v>9268.7492336789164</v>
      </c>
      <c r="B244" s="14"/>
      <c r="C244" s="14"/>
      <c r="D244" s="14"/>
      <c r="E244" s="1"/>
    </row>
    <row r="245" spans="1:5" x14ac:dyDescent="0.25">
      <c r="A245" s="7">
        <v>9176.9794392860549</v>
      </c>
      <c r="B245" s="14"/>
      <c r="C245" s="14"/>
      <c r="D245" s="14"/>
      <c r="E245" s="1"/>
    </row>
    <row r="246" spans="1:5" x14ac:dyDescent="0.25">
      <c r="A246" s="7">
        <v>9086.1182567188662</v>
      </c>
      <c r="B246" s="14"/>
      <c r="C246" s="14"/>
      <c r="D246" s="14"/>
      <c r="E246" s="1"/>
    </row>
    <row r="247" spans="1:5" x14ac:dyDescent="0.25">
      <c r="A247" s="7">
        <v>8996.1566898206602</v>
      </c>
      <c r="B247" s="14"/>
      <c r="C247" s="14"/>
      <c r="D247" s="14"/>
      <c r="E247" s="1"/>
    </row>
    <row r="248" spans="1:5" x14ac:dyDescent="0.25">
      <c r="A248" s="7">
        <v>8907.0858315056048</v>
      </c>
      <c r="B248" s="14"/>
      <c r="C248" s="14"/>
      <c r="D248" s="14"/>
      <c r="E248" s="1"/>
    </row>
    <row r="249" spans="1:5" x14ac:dyDescent="0.25">
      <c r="A249" s="7">
        <v>8818.8968628768362</v>
      </c>
      <c r="B249" s="14"/>
      <c r="C249" s="14"/>
      <c r="D249" s="14"/>
      <c r="E249" s="1"/>
    </row>
    <row r="250" spans="1:5" x14ac:dyDescent="0.25">
      <c r="A250" s="7">
        <v>8731.5810523533037</v>
      </c>
      <c r="B250" s="14"/>
      <c r="C250" s="14"/>
      <c r="D250" s="14"/>
      <c r="E250" s="1"/>
    </row>
    <row r="251" spans="1:5" x14ac:dyDescent="0.25">
      <c r="A251" s="7">
        <v>8645.1297548052517</v>
      </c>
      <c r="B251" s="14"/>
      <c r="C251" s="14"/>
      <c r="D251" s="14"/>
      <c r="E251" s="1"/>
    </row>
    <row r="252" spans="1:5" x14ac:dyDescent="0.25">
      <c r="A252" s="7">
        <v>8559.5344106982684</v>
      </c>
      <c r="B252" s="14"/>
      <c r="C252" s="14"/>
      <c r="D252" s="14"/>
      <c r="E252" s="1"/>
    </row>
    <row r="253" spans="1:5" x14ac:dyDescent="0.25">
      <c r="A253" s="7">
        <v>8474.78654524581</v>
      </c>
      <c r="B253" s="14"/>
      <c r="C253" s="14"/>
      <c r="D253" s="14"/>
      <c r="E253" s="1"/>
    </row>
    <row r="254" spans="1:5" x14ac:dyDescent="0.25">
      <c r="A254" s="7">
        <v>8390.8777675701094</v>
      </c>
      <c r="B254" s="14"/>
      <c r="C254" s="14"/>
      <c r="D254" s="14"/>
      <c r="E254" s="1"/>
    </row>
    <row r="255" spans="1:5" x14ac:dyDescent="0.25">
      <c r="A255" s="7">
        <v>8307.7997698713953</v>
      </c>
      <c r="C255" s="14"/>
      <c r="D255" s="14"/>
      <c r="E255" s="1"/>
    </row>
    <row r="256" spans="1:5" x14ac:dyDescent="0.25">
      <c r="A256" s="7">
        <v>8225.5443266053426</v>
      </c>
      <c r="C256" s="14"/>
      <c r="D256" s="14"/>
      <c r="E256" s="1"/>
    </row>
    <row r="257" spans="1:5" x14ac:dyDescent="0.25">
      <c r="A257" s="7">
        <v>8144.1032936686552</v>
      </c>
      <c r="C257" s="14"/>
      <c r="D257" s="14"/>
      <c r="E257" s="1"/>
    </row>
    <row r="258" spans="1:5" x14ac:dyDescent="0.25">
      <c r="A258" s="7">
        <v>8063.4686075927275</v>
      </c>
      <c r="C258" s="14"/>
      <c r="D258" s="14"/>
      <c r="E258" s="1"/>
    </row>
    <row r="259" spans="1:5" x14ac:dyDescent="0.25">
      <c r="A259" s="7">
        <v>7983.6322847452748</v>
      </c>
      <c r="C259" s="14"/>
      <c r="D259" s="14"/>
      <c r="E259" s="1"/>
    </row>
    <row r="260" spans="1:5" x14ac:dyDescent="0.25">
      <c r="A260" s="7">
        <v>7904.5864205398757</v>
      </c>
      <c r="C260" s="14"/>
      <c r="D260" s="14"/>
      <c r="E260" s="1"/>
    </row>
    <row r="261" spans="1:5" x14ac:dyDescent="0.25">
      <c r="A261" s="7">
        <v>7826.3231886533422</v>
      </c>
      <c r="C261" s="14"/>
      <c r="D261" s="14"/>
      <c r="E261" s="1"/>
    </row>
    <row r="262" spans="1:5" x14ac:dyDescent="0.25">
      <c r="A262" s="7">
        <v>7748.8348402508336</v>
      </c>
      <c r="C262" s="14"/>
      <c r="D262" s="14"/>
      <c r="E262" s="1"/>
    </row>
    <row r="263" spans="1:5" x14ac:dyDescent="0.25">
      <c r="A263" s="7">
        <v>7672.1137032186471</v>
      </c>
      <c r="C263" s="14"/>
      <c r="D263" s="14"/>
      <c r="E263" s="1"/>
    </row>
    <row r="264" spans="1:5" x14ac:dyDescent="0.25">
      <c r="A264" s="7">
        <v>7596.1521814046009</v>
      </c>
      <c r="E264" s="1"/>
    </row>
    <row r="265" spans="1:5" x14ac:dyDescent="0.25">
      <c r="A265" s="7">
        <v>7520.9427538659411</v>
      </c>
      <c r="E265" s="1"/>
    </row>
    <row r="266" spans="1:5" x14ac:dyDescent="0.25">
      <c r="A266" s="7">
        <v>7446.4779741246939</v>
      </c>
      <c r="E266" s="1"/>
    </row>
    <row r="267" spans="1:5" x14ac:dyDescent="0.25">
      <c r="A267" s="7">
        <v>7372.7504694303898</v>
      </c>
      <c r="E267" s="1"/>
    </row>
    <row r="268" spans="1:5" x14ac:dyDescent="0.25">
      <c r="A268" s="7">
        <v>7299.7529400300891</v>
      </c>
      <c r="E268" s="1"/>
    </row>
    <row r="269" spans="1:5" x14ac:dyDescent="0.25">
      <c r="A269" s="7">
        <v>7227.4781584456323</v>
      </c>
      <c r="E269" s="1"/>
    </row>
    <row r="270" spans="1:5" x14ac:dyDescent="0.25">
      <c r="A270" s="7">
        <v>7155.918968758052</v>
      </c>
      <c r="E270" s="1"/>
    </row>
    <row r="271" spans="1:5" x14ac:dyDescent="0.25">
      <c r="A271" s="7">
        <v>7085.0682858990613</v>
      </c>
      <c r="E271" s="1"/>
    </row>
    <row r="272" spans="1:5" x14ac:dyDescent="0.25">
      <c r="A272" s="7">
        <v>7014.919094949566</v>
      </c>
      <c r="E272" s="1"/>
    </row>
    <row r="273" spans="1:5" x14ac:dyDescent="0.25">
      <c r="A273" s="7">
        <v>6945.4644504451144</v>
      </c>
      <c r="B273"/>
      <c r="C273"/>
      <c r="D273"/>
      <c r="E273" s="1"/>
    </row>
    <row r="274" spans="1:5" x14ac:dyDescent="0.25">
      <c r="A274" s="7">
        <v>6876.6974756882319</v>
      </c>
      <c r="B274"/>
      <c r="C274"/>
      <c r="D274"/>
      <c r="E274" s="1"/>
    </row>
    <row r="275" spans="1:5" x14ac:dyDescent="0.25">
      <c r="A275" s="7">
        <v>6808.611362067556</v>
      </c>
      <c r="B275"/>
      <c r="C275"/>
      <c r="D275"/>
      <c r="E275" s="1"/>
    </row>
    <row r="276" spans="1:5" x14ac:dyDescent="0.25">
      <c r="A276" s="7">
        <v>6741.199368383719</v>
      </c>
      <c r="B276"/>
      <c r="C276"/>
      <c r="D276"/>
      <c r="E276" s="1"/>
    </row>
    <row r="277" spans="1:5" x14ac:dyDescent="0.25">
      <c r="A277" s="7">
        <v>6674.4548201818998</v>
      </c>
      <c r="B277"/>
      <c r="C277"/>
      <c r="D277"/>
      <c r="E277" s="1"/>
    </row>
    <row r="278" spans="1:5" x14ac:dyDescent="0.25">
      <c r="A278" s="7">
        <v>6608.3711090909901</v>
      </c>
      <c r="B278"/>
      <c r="C278"/>
      <c r="D278"/>
      <c r="E278" s="1"/>
    </row>
    <row r="279" spans="1:5" x14ac:dyDescent="0.25">
      <c r="A279" s="7">
        <v>6542.9416921692973</v>
      </c>
      <c r="B279"/>
      <c r="C279"/>
      <c r="D279"/>
      <c r="E279" s="1"/>
    </row>
    <row r="280" spans="1:5" x14ac:dyDescent="0.25">
      <c r="A280" s="7">
        <v>6478.1600912567301</v>
      </c>
      <c r="B280"/>
      <c r="C280"/>
      <c r="D280"/>
      <c r="E280" s="1"/>
    </row>
    <row r="281" spans="1:5" x14ac:dyDescent="0.25">
      <c r="A281" s="7">
        <v>6414.0198923333965</v>
      </c>
      <c r="B281"/>
      <c r="C281"/>
      <c r="D281"/>
      <c r="E281" s="1"/>
    </row>
    <row r="282" spans="1:5" x14ac:dyDescent="0.25">
      <c r="A282" s="7">
        <v>6350.514744884551</v>
      </c>
      <c r="B282"/>
      <c r="C282"/>
      <c r="D282"/>
      <c r="E282" s="1"/>
    </row>
    <row r="283" spans="1:5" x14ac:dyDescent="0.25">
      <c r="A283" s="7">
        <v>6287.6383612718328</v>
      </c>
      <c r="B283"/>
      <c r="C283"/>
      <c r="D283"/>
      <c r="E283" s="1"/>
    </row>
    <row r="284" spans="1:5" x14ac:dyDescent="0.25">
      <c r="A284" s="7">
        <v>6225.3845161107256</v>
      </c>
      <c r="B284"/>
      <c r="C284"/>
      <c r="D284"/>
      <c r="E284" s="1"/>
    </row>
    <row r="285" spans="1:5" x14ac:dyDescent="0.25">
      <c r="A285" s="7">
        <v>6163.7470456541841</v>
      </c>
      <c r="B285"/>
      <c r="C285"/>
      <c r="D285"/>
      <c r="E285" s="1"/>
    </row>
    <row r="286" spans="1:5" x14ac:dyDescent="0.25">
      <c r="A286" s="7">
        <v>6102.7198471823604</v>
      </c>
      <c r="B286"/>
      <c r="C286"/>
      <c r="D286"/>
      <c r="E286" s="1"/>
    </row>
    <row r="287" spans="1:5" x14ac:dyDescent="0.25">
      <c r="A287" s="7">
        <v>6042.296878398377</v>
      </c>
      <c r="B287"/>
      <c r="C287"/>
      <c r="D287"/>
      <c r="E287" s="1"/>
    </row>
    <row r="288" spans="1:5" x14ac:dyDescent="0.25">
      <c r="A288" s="7">
        <v>5982.4721568300765</v>
      </c>
      <c r="B288"/>
      <c r="C288"/>
      <c r="D288"/>
      <c r="E288" s="1"/>
    </row>
    <row r="289" spans="1:5" x14ac:dyDescent="0.25">
      <c r="A289" s="7">
        <v>5923.2397592376992</v>
      </c>
      <c r="B289"/>
      <c r="C289"/>
      <c r="D289"/>
      <c r="E289" s="1"/>
    </row>
    <row r="290" spans="1:5" x14ac:dyDescent="0.25">
      <c r="A290" s="7">
        <v>5864.5938210274253</v>
      </c>
      <c r="B290"/>
      <c r="C290"/>
      <c r="D290"/>
      <c r="E290" s="1"/>
    </row>
    <row r="291" spans="1:5" x14ac:dyDescent="0.25">
      <c r="A291" s="7">
        <v>5806.5285356707182</v>
      </c>
      <c r="B291"/>
      <c r="C291"/>
      <c r="D291"/>
      <c r="E291" s="1"/>
    </row>
    <row r="292" spans="1:5" x14ac:dyDescent="0.25">
      <c r="A292" s="7">
        <v>5749.0381541294237</v>
      </c>
      <c r="B292"/>
      <c r="C292"/>
      <c r="D292"/>
      <c r="E292" s="1"/>
    </row>
    <row r="293" spans="1:5" x14ac:dyDescent="0.25">
      <c r="A293" s="7">
        <v>5692.1169842865584</v>
      </c>
      <c r="B293"/>
      <c r="C293"/>
      <c r="D293"/>
      <c r="E293" s="1"/>
    </row>
    <row r="294" spans="1:5" x14ac:dyDescent="0.25">
      <c r="A294" s="7">
        <v>5635.759390382731</v>
      </c>
      <c r="B294"/>
      <c r="C294"/>
      <c r="D294"/>
      <c r="E294" s="1"/>
    </row>
    <row r="295" spans="1:5" x14ac:dyDescent="0.25">
      <c r="A295" s="7">
        <v>5579.9597924581494</v>
      </c>
      <c r="B295"/>
      <c r="C295"/>
      <c r="D295"/>
      <c r="E295" s="1"/>
    </row>
    <row r="296" spans="1:5" x14ac:dyDescent="0.25">
      <c r="A296" s="7">
        <v>5524.712665800148</v>
      </c>
      <c r="B296"/>
      <c r="C296"/>
      <c r="D296"/>
      <c r="E296" s="1"/>
    </row>
    <row r="297" spans="1:5" x14ac:dyDescent="0.25">
      <c r="A297" s="7">
        <v>5470.0125403961865</v>
      </c>
      <c r="B297"/>
      <c r="C297"/>
      <c r="D297"/>
      <c r="E297" s="1"/>
    </row>
    <row r="298" spans="1:5" x14ac:dyDescent="0.25">
      <c r="A298" s="7">
        <v>5415.8540003922635</v>
      </c>
      <c r="B298"/>
      <c r="C298"/>
      <c r="D298"/>
      <c r="E298" s="1"/>
    </row>
    <row r="299" spans="1:5" x14ac:dyDescent="0.25">
      <c r="A299" s="7">
        <v>5362.2316835566962</v>
      </c>
      <c r="B299"/>
      <c r="C299"/>
      <c r="D299"/>
      <c r="E299" s="1"/>
    </row>
    <row r="300" spans="1:5" x14ac:dyDescent="0.25">
      <c r="A300" s="7">
        <v>5309.1402807492041</v>
      </c>
      <c r="B300"/>
      <c r="C300"/>
      <c r="D300"/>
      <c r="E300" s="1"/>
    </row>
    <row r="301" spans="1:5" x14ac:dyDescent="0.25">
      <c r="A301" s="7">
        <v>5256.5745353952516</v>
      </c>
      <c r="B301"/>
      <c r="C301"/>
      <c r="D301"/>
      <c r="E301" s="1"/>
    </row>
    <row r="302" spans="1:5" x14ac:dyDescent="0.25">
      <c r="A302" s="7">
        <v>5204.5292429655956</v>
      </c>
      <c r="B302"/>
      <c r="C302"/>
      <c r="D302"/>
      <c r="E302" s="1"/>
    </row>
    <row r="303" spans="1:5" x14ac:dyDescent="0.25">
      <c r="A303" s="7">
        <v>5152.9992504609854</v>
      </c>
      <c r="B303"/>
      <c r="C303"/>
      <c r="D303"/>
      <c r="E303" s="1"/>
    </row>
    <row r="304" spans="1:5" x14ac:dyDescent="0.25">
      <c r="A304" s="7">
        <v>5101.9794559019656</v>
      </c>
      <c r="B304"/>
      <c r="C304"/>
      <c r="D304"/>
      <c r="E304" s="1"/>
    </row>
    <row r="305" spans="1:5" x14ac:dyDescent="0.25">
      <c r="A305" s="7">
        <v>5051.4648078237278</v>
      </c>
      <c r="B305"/>
      <c r="C305"/>
      <c r="D305"/>
      <c r="E305" s="1"/>
    </row>
    <row r="306" spans="1:5" x14ac:dyDescent="0.25">
      <c r="A306" s="7">
        <v>5001.4503047759681</v>
      </c>
      <c r="B306"/>
      <c r="C306"/>
      <c r="D306"/>
      <c r="E306" s="1"/>
    </row>
    <row r="307" spans="1:5" x14ac:dyDescent="0.25">
      <c r="A307" s="7">
        <v>4951.9309948276914</v>
      </c>
      <c r="B307"/>
      <c r="C307"/>
      <c r="D307"/>
      <c r="E307" s="1"/>
    </row>
    <row r="308" spans="1:5" x14ac:dyDescent="0.25">
      <c r="A308" s="7">
        <v>4902.9019750769221</v>
      </c>
      <c r="B308"/>
      <c r="C308"/>
      <c r="D308"/>
      <c r="E308" s="1"/>
    </row>
    <row r="309" spans="1:5" x14ac:dyDescent="0.25">
      <c r="A309" s="7">
        <v>4854.3583911652695</v>
      </c>
      <c r="B309"/>
      <c r="C309"/>
      <c r="D309"/>
      <c r="E309" s="1"/>
    </row>
    <row r="310" spans="1:5" x14ac:dyDescent="0.25">
      <c r="A310" s="7">
        <v>4806.2954367972961</v>
      </c>
      <c r="B310"/>
      <c r="C310"/>
      <c r="D310"/>
      <c r="E310" s="1"/>
    </row>
    <row r="311" spans="1:5" x14ac:dyDescent="0.25">
      <c r="A311" s="7">
        <v>4758.7083532646493</v>
      </c>
      <c r="B311"/>
      <c r="C311"/>
      <c r="D311"/>
      <c r="E311" s="1"/>
    </row>
    <row r="312" spans="1:5" x14ac:dyDescent="0.25">
      <c r="A312" s="7">
        <v>4711.5924289749</v>
      </c>
      <c r="B312"/>
      <c r="C312"/>
      <c r="D312"/>
      <c r="E312" s="1"/>
    </row>
    <row r="313" spans="1:5" x14ac:dyDescent="0.25">
      <c r="A313" s="7">
        <v>4664.9429989850496</v>
      </c>
      <c r="B313"/>
      <c r="C313"/>
      <c r="D313"/>
      <c r="E313" s="1"/>
    </row>
    <row r="314" spans="1:5" x14ac:dyDescent="0.25">
      <c r="A314" s="7">
        <v>4618.7554445396527</v>
      </c>
      <c r="B314"/>
      <c r="C314"/>
      <c r="D314"/>
      <c r="E314" s="1"/>
    </row>
    <row r="315" spans="1:5" x14ac:dyDescent="0.25">
      <c r="A315" s="7">
        <v>4573.0251926135179</v>
      </c>
      <c r="B315"/>
      <c r="C315"/>
      <c r="D315"/>
      <c r="E315" s="1"/>
    </row>
    <row r="316" spans="1:5" x14ac:dyDescent="0.25">
      <c r="A316" s="7">
        <v>4527.7477154589287</v>
      </c>
      <c r="B316"/>
      <c r="C316"/>
      <c r="D316"/>
      <c r="E316" s="1"/>
    </row>
    <row r="317" spans="1:5" x14ac:dyDescent="0.25">
      <c r="A317" s="7">
        <v>4482.9185301573552</v>
      </c>
      <c r="B317"/>
      <c r="C317"/>
      <c r="D317"/>
      <c r="E317" s="1"/>
    </row>
    <row r="318" spans="1:5" x14ac:dyDescent="0.25">
      <c r="A318" s="7">
        <v>4438.533198175599</v>
      </c>
      <c r="B318"/>
      <c r="C318"/>
      <c r="D318"/>
      <c r="E318" s="1"/>
    </row>
    <row r="319" spans="1:5" x14ac:dyDescent="0.25">
      <c r="A319" s="7">
        <v>4394.5873249263359</v>
      </c>
      <c r="B319"/>
      <c r="C319"/>
      <c r="D319"/>
      <c r="E319" s="1"/>
    </row>
    <row r="320" spans="1:5" x14ac:dyDescent="0.25">
      <c r="A320" s="7">
        <v>4351.0765593330061</v>
      </c>
      <c r="B320"/>
      <c r="C320"/>
      <c r="D320"/>
      <c r="E320" s="1"/>
    </row>
    <row r="321" spans="1:5" x14ac:dyDescent="0.25">
      <c r="A321" s="7">
        <v>4307.9965933990161</v>
      </c>
      <c r="B321"/>
      <c r="C321"/>
      <c r="D321"/>
      <c r="E321" s="1"/>
    </row>
    <row r="322" spans="1:5" x14ac:dyDescent="0.25">
      <c r="A322" s="7">
        <v>4265.3431617812039</v>
      </c>
      <c r="B322"/>
      <c r="C322"/>
      <c r="D322"/>
      <c r="E322" s="1"/>
    </row>
    <row r="323" spans="1:5" x14ac:dyDescent="0.25">
      <c r="A323" s="7">
        <v>4223.1120413675289</v>
      </c>
      <c r="B323"/>
      <c r="C323"/>
      <c r="D323"/>
      <c r="E323" s="1"/>
    </row>
    <row r="324" spans="1:5" x14ac:dyDescent="0.25">
      <c r="A324" s="7">
        <v>4181.2990508589392</v>
      </c>
      <c r="B324"/>
      <c r="C324"/>
      <c r="D324"/>
      <c r="E324" s="1"/>
    </row>
    <row r="325" spans="1:5" x14ac:dyDescent="0.25">
      <c r="A325" s="7">
        <v>4139.9000503553852</v>
      </c>
      <c r="B325"/>
      <c r="C325"/>
      <c r="D325"/>
      <c r="E325" s="1"/>
    </row>
    <row r="326" spans="1:5" x14ac:dyDescent="0.25">
      <c r="A326" s="7">
        <v>4098.9109409459261</v>
      </c>
      <c r="B326"/>
      <c r="C326"/>
      <c r="D326"/>
      <c r="E326" s="1"/>
    </row>
    <row r="327" spans="1:5" x14ac:dyDescent="0.25">
      <c r="A327" s="7">
        <v>4058.3276643028967</v>
      </c>
      <c r="B327"/>
      <c r="C327"/>
      <c r="D327"/>
      <c r="E327" s="1"/>
    </row>
    <row r="328" spans="1:5" x14ac:dyDescent="0.25">
      <c r="A328" s="7">
        <v>4018.1462022800956</v>
      </c>
      <c r="B328"/>
      <c r="C328"/>
      <c r="D328"/>
      <c r="E328" s="1"/>
    </row>
    <row r="329" spans="1:5" x14ac:dyDescent="0.25">
      <c r="A329" s="7">
        <v>3978.3625765149463</v>
      </c>
      <c r="B329"/>
      <c r="C329"/>
      <c r="D329"/>
      <c r="E329" s="1"/>
    </row>
    <row r="330" spans="1:5" x14ac:dyDescent="0.25">
      <c r="A330" s="7">
        <v>3938.9728480346002</v>
      </c>
      <c r="B330"/>
      <c r="C330"/>
      <c r="D330"/>
      <c r="E330" s="1"/>
    </row>
    <row r="331" spans="1:5" x14ac:dyDescent="0.25">
      <c r="A331" s="7">
        <v>3899.9731168659409</v>
      </c>
      <c r="B331"/>
      <c r="C331"/>
      <c r="D331"/>
      <c r="E331" s="1"/>
    </row>
    <row r="332" spans="1:5" x14ac:dyDescent="0.25">
      <c r="A332" s="7">
        <v>3861.3595216494464</v>
      </c>
      <c r="B332"/>
      <c r="C332"/>
      <c r="D332"/>
      <c r="E332" s="1"/>
    </row>
    <row r="333" spans="1:5" x14ac:dyDescent="0.25">
      <c r="A333" s="7">
        <v>3823.1282392568774</v>
      </c>
      <c r="B333"/>
      <c r="C333"/>
      <c r="D333"/>
      <c r="E333" s="1"/>
    </row>
    <row r="334" spans="1:5" x14ac:dyDescent="0.25">
      <c r="A334" s="7">
        <v>3785.2754844127498</v>
      </c>
      <c r="B334"/>
      <c r="C334"/>
      <c r="D334"/>
      <c r="E334" s="1"/>
    </row>
    <row r="335" spans="1:5" x14ac:dyDescent="0.25">
      <c r="A335" s="7">
        <v>3747.7975093195541</v>
      </c>
      <c r="B335"/>
      <c r="C335"/>
      <c r="D335"/>
      <c r="E335" s="1"/>
    </row>
    <row r="336" spans="1:5" x14ac:dyDescent="0.25">
      <c r="A336" s="7">
        <v>3710.6906032866873</v>
      </c>
      <c r="B336"/>
      <c r="C336"/>
      <c r="D336"/>
      <c r="E336" s="1"/>
    </row>
    <row r="337" spans="1:5" x14ac:dyDescent="0.25">
      <c r="A337" s="7">
        <v>3673.9510923630569</v>
      </c>
      <c r="B337"/>
      <c r="C337"/>
      <c r="D337"/>
      <c r="E337" s="1"/>
    </row>
    <row r="338" spans="1:5" x14ac:dyDescent="0.25">
      <c r="A338" s="7">
        <v>3637.5753389733236</v>
      </c>
      <c r="B338"/>
      <c r="C338"/>
      <c r="D338"/>
      <c r="E338" s="1"/>
    </row>
    <row r="339" spans="1:5" x14ac:dyDescent="0.25">
      <c r="A339" s="7">
        <v>3601.5597415577463</v>
      </c>
      <c r="B339"/>
      <c r="C339"/>
      <c r="D339"/>
      <c r="E339" s="1"/>
    </row>
    <row r="340" spans="1:5" x14ac:dyDescent="0.25">
      <c r="A340" s="7">
        <v>3565.9007342155905</v>
      </c>
      <c r="B340"/>
      <c r="C340"/>
      <c r="D340"/>
      <c r="E340" s="1"/>
    </row>
    <row r="341" spans="1:5" x14ac:dyDescent="0.25">
      <c r="A341" s="7">
        <v>3530.5947863520696</v>
      </c>
      <c r="B341"/>
      <c r="C341"/>
      <c r="D341"/>
      <c r="E341" s="1"/>
    </row>
    <row r="342" spans="1:5" x14ac:dyDescent="0.25">
      <c r="A342" s="7">
        <v>3495.6384023287819</v>
      </c>
      <c r="B342"/>
      <c r="C342"/>
      <c r="D342"/>
      <c r="E342" s="1"/>
    </row>
    <row r="343" spans="1:5" x14ac:dyDescent="0.25">
      <c r="A343" s="7">
        <v>3461.0281211176057</v>
      </c>
      <c r="B343"/>
      <c r="C343"/>
      <c r="D343"/>
      <c r="E343" s="1"/>
    </row>
    <row r="344" spans="1:5" x14ac:dyDescent="0.25">
      <c r="A344" s="7">
        <v>3426.7605159580253</v>
      </c>
      <c r="B344"/>
      <c r="C344"/>
      <c r="D344"/>
      <c r="E344" s="1"/>
    </row>
    <row r="345" spans="1:5" x14ac:dyDescent="0.25">
      <c r="A345" s="7">
        <v>3392.8321940178466</v>
      </c>
      <c r="B345"/>
      <c r="C345"/>
      <c r="D345"/>
      <c r="E345" s="1"/>
    </row>
    <row r="346" spans="1:5" x14ac:dyDescent="0.25">
      <c r="A346" s="7">
        <v>3359.2397960572739</v>
      </c>
      <c r="B346"/>
      <c r="C346"/>
      <c r="D346"/>
      <c r="E346" s="1"/>
    </row>
    <row r="347" spans="1:5" x14ac:dyDescent="0.25">
      <c r="A347" s="7">
        <v>3325.979996096311</v>
      </c>
      <c r="B347"/>
      <c r="C347"/>
      <c r="D347"/>
      <c r="E347" s="1"/>
    </row>
    <row r="348" spans="1:5" x14ac:dyDescent="0.25">
      <c r="A348" s="7">
        <v>3293.0495010854565</v>
      </c>
      <c r="B348"/>
      <c r="C348"/>
      <c r="D348"/>
      <c r="E348" s="1"/>
    </row>
    <row r="349" spans="1:5" x14ac:dyDescent="0.25">
      <c r="A349" s="7">
        <v>3260.4450505796599</v>
      </c>
      <c r="B349"/>
      <c r="C349"/>
      <c r="D349"/>
      <c r="E349" s="1"/>
    </row>
    <row r="350" spans="1:5" x14ac:dyDescent="0.25">
      <c r="A350" s="7">
        <v>3228.1634164155048</v>
      </c>
      <c r="B350"/>
      <c r="C350"/>
      <c r="D350"/>
      <c r="E350" s="1"/>
    </row>
    <row r="351" spans="1:5" x14ac:dyDescent="0.25">
      <c r="A351" s="7">
        <v>3196.201402391589</v>
      </c>
      <c r="B351"/>
      <c r="C351"/>
      <c r="D351"/>
      <c r="E351" s="1"/>
    </row>
    <row r="352" spans="1:5" x14ac:dyDescent="0.25">
      <c r="A352" s="7">
        <v>3164.5558439520682</v>
      </c>
      <c r="B352"/>
      <c r="C352"/>
      <c r="D352"/>
      <c r="E352" s="1"/>
    </row>
    <row r="353" spans="1:5" x14ac:dyDescent="0.25">
      <c r="A353" s="7">
        <v>3133.2236078733349</v>
      </c>
      <c r="B353"/>
      <c r="C353"/>
      <c r="D353"/>
      <c r="E353" s="1"/>
    </row>
    <row r="354" spans="1:5" x14ac:dyDescent="0.25">
      <c r="A354" s="7">
        <v>3102.2015919537971</v>
      </c>
      <c r="B354"/>
      <c r="C354"/>
      <c r="D354"/>
      <c r="E354" s="1"/>
    </row>
    <row r="355" spans="1:5" x14ac:dyDescent="0.25">
      <c r="A355" s="7">
        <v>3071.48672470673</v>
      </c>
      <c r="B355"/>
      <c r="C355"/>
      <c r="D355"/>
      <c r="E355" s="1"/>
    </row>
    <row r="356" spans="1:5" x14ac:dyDescent="0.25">
      <c r="A356" s="7">
        <v>3041.0759650561681</v>
      </c>
      <c r="B356"/>
      <c r="C356"/>
      <c r="D356"/>
      <c r="E356" s="1"/>
    </row>
    <row r="357" spans="1:5" x14ac:dyDescent="0.25">
      <c r="A357" s="7">
        <v>3010.9663020358098</v>
      </c>
      <c r="B357"/>
      <c r="C357"/>
      <c r="D357"/>
      <c r="E357" s="1"/>
    </row>
    <row r="358" spans="1:5" x14ac:dyDescent="0.25">
      <c r="A358" s="7">
        <v>2981.1547544909008</v>
      </c>
      <c r="B358"/>
      <c r="C358"/>
      <c r="D358"/>
      <c r="E358" s="1"/>
    </row>
    <row r="359" spans="1:5" x14ac:dyDescent="0.25">
      <c r="A359" s="7">
        <v>2951.6383707830701</v>
      </c>
      <c r="B359"/>
      <c r="C359"/>
      <c r="D359"/>
      <c r="E359" s="1"/>
    </row>
    <row r="360" spans="1:5" x14ac:dyDescent="0.25">
      <c r="A360" s="7">
        <v>2922.414228498089</v>
      </c>
      <c r="B360"/>
      <c r="C360"/>
      <c r="D360"/>
      <c r="E360" s="1"/>
    </row>
    <row r="361" spans="1:5" x14ac:dyDescent="0.25">
      <c r="A361" s="7">
        <v>2893.4794341565239</v>
      </c>
      <c r="B361"/>
      <c r="C361"/>
      <c r="D361"/>
      <c r="E361" s="1"/>
    </row>
    <row r="362" spans="1:5" x14ac:dyDescent="0.25">
      <c r="A362" s="7">
        <v>2864.8311229272513</v>
      </c>
      <c r="B362"/>
      <c r="C362"/>
      <c r="D362"/>
      <c r="E362" s="1"/>
    </row>
    <row r="363" spans="1:5" x14ac:dyDescent="0.25">
      <c r="A363" s="7">
        <v>2836.466458343813</v>
      </c>
      <c r="B363"/>
      <c r="C363"/>
      <c r="D363"/>
      <c r="E363" s="1"/>
    </row>
    <row r="364" spans="1:5" x14ac:dyDescent="0.25">
      <c r="A364" s="7">
        <v>2808.3826320235771</v>
      </c>
      <c r="B364"/>
      <c r="C364"/>
      <c r="D364"/>
      <c r="E364" s="1"/>
    </row>
    <row r="365" spans="1:5" x14ac:dyDescent="0.25">
      <c r="A365" s="7">
        <v>2780.5768633896805</v>
      </c>
      <c r="B365"/>
      <c r="C365"/>
      <c r="D365"/>
      <c r="E365" s="1"/>
    </row>
    <row r="366" spans="1:5" x14ac:dyDescent="0.25">
      <c r="A366" s="7">
        <v>2753.0463993957233</v>
      </c>
      <c r="B366"/>
      <c r="C366"/>
      <c r="D366"/>
      <c r="E366" s="1"/>
    </row>
    <row r="367" spans="1:5" x14ac:dyDescent="0.25">
      <c r="A367" s="7">
        <v>2725.7885142531914</v>
      </c>
      <c r="B367"/>
      <c r="C367"/>
      <c r="D367"/>
      <c r="E367" s="1"/>
    </row>
    <row r="368" spans="1:5" x14ac:dyDescent="0.25">
      <c r="A368" s="7">
        <v>2698.8005091615755</v>
      </c>
      <c r="B368"/>
      <c r="C368"/>
      <c r="D368"/>
      <c r="E368" s="1"/>
    </row>
    <row r="369" spans="1:5" x14ac:dyDescent="0.25">
      <c r="A369" s="7">
        <v>2672.0797120411639</v>
      </c>
      <c r="B369"/>
      <c r="C369"/>
      <c r="D369"/>
      <c r="E369" s="1"/>
    </row>
    <row r="370" spans="1:5" x14ac:dyDescent="0.25">
      <c r="A370" s="7">
        <v>2645.6234772684793</v>
      </c>
      <c r="B370"/>
      <c r="C370"/>
      <c r="D370"/>
      <c r="E370" s="1"/>
    </row>
    <row r="371" spans="1:5" x14ac:dyDescent="0.25">
      <c r="A371" s="7">
        <v>2619.4291854143357</v>
      </c>
      <c r="B371"/>
      <c r="C371"/>
      <c r="D371"/>
      <c r="E371" s="1"/>
    </row>
    <row r="372" spans="1:5" x14ac:dyDescent="0.25">
      <c r="A372" s="7">
        <v>2593.4942429844909</v>
      </c>
      <c r="B372"/>
      <c r="C372"/>
      <c r="D372"/>
      <c r="E372" s="1"/>
    </row>
    <row r="373" spans="1:5" x14ac:dyDescent="0.25">
      <c r="A373" s="7">
        <v>2567.8160821628621</v>
      </c>
      <c r="B373"/>
      <c r="C373"/>
      <c r="D373"/>
      <c r="E373" s="1"/>
    </row>
    <row r="374" spans="1:5" x14ac:dyDescent="0.25">
      <c r="A374" s="7">
        <v>2542.3921605572891</v>
      </c>
      <c r="B374"/>
      <c r="C374"/>
      <c r="D374"/>
      <c r="E374" s="1"/>
    </row>
    <row r="375" spans="1:5" x14ac:dyDescent="0.25">
      <c r="A375" s="7">
        <v>2517.2199609478112</v>
      </c>
      <c r="B375"/>
      <c r="C375"/>
      <c r="D375"/>
      <c r="E375" s="1"/>
    </row>
    <row r="376" spans="1:5" x14ac:dyDescent="0.25">
      <c r="A376" s="7">
        <v>2492.2969910374368</v>
      </c>
      <c r="B376"/>
      <c r="C376"/>
      <c r="D376"/>
      <c r="E376" s="1"/>
    </row>
    <row r="377" spans="1:5" x14ac:dyDescent="0.25">
      <c r="A377" s="7">
        <v>2467.6207832053828</v>
      </c>
      <c r="B377"/>
      <c r="C377"/>
      <c r="D377"/>
      <c r="E377" s="1"/>
    </row>
    <row r="378" spans="1:5" x14ac:dyDescent="0.25">
      <c r="A378" s="7">
        <v>2443.1888942627552</v>
      </c>
      <c r="B378"/>
      <c r="C378"/>
      <c r="D378"/>
      <c r="E378" s="1"/>
    </row>
    <row r="379" spans="1:5" x14ac:dyDescent="0.25">
      <c r="A379" s="7">
        <v>2418.9989052106489</v>
      </c>
      <c r="B379"/>
      <c r="C379"/>
      <c r="D379"/>
      <c r="E379" s="1"/>
    </row>
    <row r="380" spans="1:5" x14ac:dyDescent="0.25">
      <c r="A380" s="7">
        <v>2395.0484210006425</v>
      </c>
      <c r="B380"/>
      <c r="C380"/>
      <c r="D380"/>
      <c r="E380" s="1"/>
    </row>
    <row r="381" spans="1:5" x14ac:dyDescent="0.25">
      <c r="A381" s="7">
        <v>2371.3350702976659</v>
      </c>
      <c r="B381"/>
      <c r="C381"/>
      <c r="D381"/>
      <c r="E381" s="1"/>
    </row>
    <row r="382" spans="1:5" x14ac:dyDescent="0.25">
      <c r="A382" s="7">
        <v>2347.8565052452136</v>
      </c>
      <c r="B382"/>
      <c r="C382"/>
      <c r="D382"/>
      <c r="E382" s="1"/>
    </row>
    <row r="383" spans="1:5" x14ac:dyDescent="0.25">
      <c r="A383" s="7">
        <v>2324.6104012328847</v>
      </c>
      <c r="B383"/>
      <c r="C383"/>
      <c r="D383"/>
      <c r="E383" s="1"/>
    </row>
    <row r="384" spans="1:5" x14ac:dyDescent="0.25">
      <c r="A384" s="7">
        <v>2301.5944566662224</v>
      </c>
      <c r="B384"/>
      <c r="C384"/>
      <c r="D384"/>
      <c r="E384" s="1"/>
    </row>
    <row r="385" spans="1:5" x14ac:dyDescent="0.25">
      <c r="A385" s="7">
        <v>2278.8063927388339</v>
      </c>
      <c r="B385"/>
      <c r="C385"/>
      <c r="D385"/>
      <c r="E385" s="1"/>
    </row>
    <row r="386" spans="1:5" x14ac:dyDescent="0.25">
      <c r="A386" s="7">
        <v>2256.243953206766</v>
      </c>
      <c r="B386"/>
      <c r="C386"/>
      <c r="D386"/>
      <c r="E386" s="1"/>
    </row>
    <row r="387" spans="1:5" x14ac:dyDescent="0.25">
      <c r="A387" s="7">
        <v>2233.9049041651147</v>
      </c>
      <c r="B387"/>
      <c r="C387"/>
      <c r="D387"/>
      <c r="E387" s="1"/>
    </row>
    <row r="388" spans="1:5" x14ac:dyDescent="0.25">
      <c r="A388" s="7">
        <v>2211.7870338268463</v>
      </c>
      <c r="B388"/>
      <c r="C388"/>
      <c r="D388"/>
      <c r="E388" s="1"/>
    </row>
    <row r="389" spans="1:5" x14ac:dyDescent="0.25">
      <c r="A389" s="7">
        <v>2189.8881523038081</v>
      </c>
      <c r="B389"/>
      <c r="C389"/>
      <c r="D389"/>
      <c r="E389" s="1"/>
    </row>
    <row r="390" spans="1:5" x14ac:dyDescent="0.25">
      <c r="A390" s="7">
        <v>2168.206091389909</v>
      </c>
      <c r="B390"/>
      <c r="C390"/>
      <c r="D390"/>
      <c r="E390" s="1"/>
    </row>
    <row r="391" spans="1:5" x14ac:dyDescent="0.25">
      <c r="A391" s="7">
        <v>2146.7387043464446</v>
      </c>
      <c r="B391"/>
      <c r="C391"/>
      <c r="D391"/>
      <c r="E391" s="1"/>
    </row>
    <row r="392" spans="1:5" x14ac:dyDescent="0.25">
      <c r="A392" s="7">
        <v>2125.483865689549</v>
      </c>
      <c r="B392"/>
      <c r="C392"/>
      <c r="D392"/>
      <c r="E392" s="1"/>
    </row>
    <row r="393" spans="1:5" x14ac:dyDescent="0.25">
      <c r="A393" s="7">
        <v>2104.4394709797516</v>
      </c>
      <c r="B393"/>
      <c r="C393"/>
      <c r="D393"/>
      <c r="E393" s="1"/>
    </row>
    <row r="394" spans="1:5" x14ac:dyDescent="0.25">
      <c r="A394" s="7">
        <v>2083.6034366136155</v>
      </c>
      <c r="B394"/>
      <c r="C394"/>
      <c r="D394"/>
      <c r="E394" s="1"/>
    </row>
    <row r="395" spans="1:5" x14ac:dyDescent="0.25">
      <c r="A395" s="7">
        <v>2062.9736996174411</v>
      </c>
      <c r="B395"/>
      <c r="C395"/>
      <c r="D395"/>
      <c r="E395" s="1"/>
    </row>
    <row r="396" spans="1:5" x14ac:dyDescent="0.25">
      <c r="A396" s="7">
        <v>2042.5482174430108</v>
      </c>
      <c r="B396"/>
      <c r="C396"/>
      <c r="D396"/>
      <c r="E396" s="1"/>
    </row>
    <row r="397" spans="1:5" x14ac:dyDescent="0.25">
      <c r="A397" s="7">
        <v>2022.3249677653573</v>
      </c>
      <c r="B397"/>
      <c r="C397"/>
      <c r="D397"/>
      <c r="E397" s="1"/>
    </row>
    <row r="398" spans="1:5" x14ac:dyDescent="0.25">
      <c r="A398" s="7">
        <v>2002.3019482825321</v>
      </c>
      <c r="B398"/>
      <c r="C398"/>
      <c r="D398"/>
      <c r="E398" s="1"/>
    </row>
    <row r="399" spans="1:5" x14ac:dyDescent="0.25">
      <c r="A399" s="7">
        <v>1982.4771765173584</v>
      </c>
      <c r="B399"/>
      <c r="C399"/>
      <c r="D399"/>
      <c r="E399" s="1"/>
    </row>
    <row r="400" spans="1:5" x14ac:dyDescent="0.25">
      <c r="A400" s="7">
        <v>1962.8486896211468</v>
      </c>
      <c r="B400"/>
      <c r="C400"/>
      <c r="D400"/>
      <c r="E400" s="1"/>
    </row>
    <row r="401" spans="1:5" x14ac:dyDescent="0.25">
      <c r="A401" s="7">
        <v>1943.4145441793532</v>
      </c>
      <c r="B401"/>
      <c r="C401"/>
      <c r="D401"/>
      <c r="E401" s="1"/>
    </row>
    <row r="402" spans="1:5" x14ac:dyDescent="0.25">
      <c r="A402" s="7">
        <v>1924.1728160191617</v>
      </c>
      <c r="B402"/>
      <c r="C402"/>
      <c r="D402"/>
      <c r="E402" s="1"/>
    </row>
    <row r="403" spans="1:5" x14ac:dyDescent="0.25">
      <c r="A403" s="7">
        <v>1905.121600018972</v>
      </c>
      <c r="B403"/>
      <c r="C403"/>
      <c r="D403"/>
      <c r="E403" s="1"/>
    </row>
    <row r="404" spans="1:5" x14ac:dyDescent="0.25">
      <c r="A404" s="7">
        <v>1886.2590099197741</v>
      </c>
      <c r="B404"/>
      <c r="C404"/>
      <c r="D404"/>
      <c r="E404" s="1"/>
    </row>
    <row r="405" spans="1:5" x14ac:dyDescent="0.25">
      <c r="A405" s="7">
        <v>1867.5831781383902</v>
      </c>
      <c r="B405"/>
      <c r="C405"/>
      <c r="D405"/>
      <c r="E405" s="1"/>
    </row>
    <row r="406" spans="1:5" x14ac:dyDescent="0.25">
      <c r="A406" s="7">
        <v>1849.0922555825646</v>
      </c>
      <c r="B406"/>
      <c r="C406"/>
      <c r="D406"/>
      <c r="E406" s="1"/>
    </row>
    <row r="407" spans="1:5" x14ac:dyDescent="0.25">
      <c r="A407" s="7">
        <v>1830.7844114678858</v>
      </c>
      <c r="B407"/>
      <c r="C407"/>
      <c r="D407"/>
      <c r="E407" s="1"/>
    </row>
    <row r="408" spans="1:5" x14ac:dyDescent="0.25">
      <c r="A408" s="7">
        <v>1812.6578331365206</v>
      </c>
      <c r="B408"/>
      <c r="C408"/>
      <c r="D408"/>
      <c r="E408" s="1"/>
    </row>
    <row r="409" spans="1:5" x14ac:dyDescent="0.25">
      <c r="A409" s="7">
        <v>1794.7107258777432</v>
      </c>
      <c r="B409"/>
      <c r="C409"/>
      <c r="D409"/>
      <c r="E409" s="1"/>
    </row>
    <row r="410" spans="1:5" x14ac:dyDescent="0.25">
      <c r="A410" s="7">
        <v>1776.9413127502407</v>
      </c>
      <c r="B410"/>
      <c r="C410"/>
      <c r="D410"/>
      <c r="E410" s="1"/>
    </row>
    <row r="411" spans="1:5" x14ac:dyDescent="0.25">
      <c r="A411" s="7">
        <v>1759.3478344061789</v>
      </c>
      <c r="B411"/>
      <c r="C411"/>
      <c r="D411"/>
      <c r="E411" s="1"/>
    </row>
    <row r="412" spans="1:5" x14ac:dyDescent="0.25">
      <c r="A412" s="7">
        <v>1741.9285489170088</v>
      </c>
      <c r="B412"/>
      <c r="C412"/>
      <c r="D412"/>
      <c r="E412" s="1"/>
    </row>
    <row r="413" spans="1:5" x14ac:dyDescent="0.25">
      <c r="A413" s="7">
        <v>1724.6817316009988</v>
      </c>
      <c r="B413"/>
      <c r="C413"/>
      <c r="D413"/>
      <c r="E413" s="1"/>
    </row>
    <row r="414" spans="1:5" x14ac:dyDescent="0.25">
      <c r="A414" s="7">
        <v>1707.6056748524741</v>
      </c>
      <c r="B414"/>
      <c r="C414"/>
      <c r="D414"/>
      <c r="E414" s="1"/>
    </row>
    <row r="415" spans="1:5" x14ac:dyDescent="0.25">
      <c r="A415" s="7">
        <v>1690.6986879727465</v>
      </c>
      <c r="B415"/>
      <c r="C415"/>
      <c r="D415"/>
      <c r="E415" s="1"/>
    </row>
    <row r="416" spans="1:5" x14ac:dyDescent="0.25">
      <c r="A416" s="7">
        <v>1673.9590970027193</v>
      </c>
      <c r="B416"/>
      <c r="C416"/>
      <c r="D416"/>
      <c r="E416" s="1"/>
    </row>
    <row r="417" spans="1:5" x14ac:dyDescent="0.25">
      <c r="A417" s="7">
        <v>1657.3852445571479</v>
      </c>
      <c r="B417"/>
      <c r="C417"/>
      <c r="D417"/>
      <c r="E417" s="1"/>
    </row>
    <row r="418" spans="1:5" x14ac:dyDescent="0.25">
      <c r="A418" s="7">
        <v>1640.9754896605425</v>
      </c>
      <c r="B418"/>
      <c r="C418"/>
      <c r="D418"/>
      <c r="E418" s="1"/>
    </row>
    <row r="419" spans="1:5" x14ac:dyDescent="0.25">
      <c r="A419" s="7">
        <v>1624.7282075846956</v>
      </c>
      <c r="B419"/>
      <c r="C419"/>
      <c r="D419"/>
      <c r="E419" s="1"/>
    </row>
    <row r="420" spans="1:5" x14ac:dyDescent="0.25">
      <c r="A420" s="7">
        <v>1608.6417896878174</v>
      </c>
      <c r="B420"/>
      <c r="C420"/>
      <c r="D420"/>
      <c r="E420" s="1"/>
    </row>
    <row r="421" spans="1:5" x14ac:dyDescent="0.25">
      <c r="A421" s="7">
        <v>1592.7146432552647</v>
      </c>
      <c r="B421"/>
      <c r="C421"/>
      <c r="D421"/>
      <c r="E421" s="1"/>
    </row>
    <row r="422" spans="1:5" x14ac:dyDescent="0.25">
      <c r="A422" s="7">
        <v>1576.9451913418463</v>
      </c>
      <c r="B422"/>
      <c r="C422"/>
      <c r="D422"/>
      <c r="E422" s="1"/>
    </row>
    <row r="423" spans="1:5" x14ac:dyDescent="0.25">
      <c r="A423" s="7">
        <v>1561.3318726156895</v>
      </c>
      <c r="B423"/>
      <c r="C423"/>
      <c r="D423"/>
      <c r="E423" s="1"/>
    </row>
    <row r="424" spans="1:5" x14ac:dyDescent="0.25">
      <c r="A424" s="7">
        <v>1545.8731412036529</v>
      </c>
      <c r="B424"/>
      <c r="C424"/>
      <c r="D424"/>
      <c r="E424" s="1"/>
    </row>
    <row r="425" spans="1:5" x14ac:dyDescent="0.25">
      <c r="A425" s="7">
        <v>1530.5674665382703</v>
      </c>
      <c r="B425"/>
      <c r="C425"/>
      <c r="D425"/>
      <c r="E425" s="1"/>
    </row>
    <row r="426" spans="1:5" x14ac:dyDescent="0.25">
      <c r="A426" s="7">
        <v>1515.4133332062081</v>
      </c>
      <c r="B426"/>
      <c r="C426"/>
      <c r="D426"/>
      <c r="E426" s="1"/>
    </row>
    <row r="427" spans="1:5" x14ac:dyDescent="0.25">
      <c r="A427" s="7">
        <v>1500.4092407982259</v>
      </c>
      <c r="B427"/>
      <c r="C427"/>
      <c r="D427"/>
      <c r="E427" s="1"/>
    </row>
    <row r="428" spans="1:5" x14ac:dyDescent="0.25">
      <c r="A428" s="7">
        <v>1485.5537037606198</v>
      </c>
      <c r="B428"/>
      <c r="C428"/>
      <c r="D428"/>
      <c r="E428" s="1"/>
    </row>
    <row r="429" spans="1:5" x14ac:dyDescent="0.25">
      <c r="A429" s="7">
        <v>1470.8452512481383</v>
      </c>
      <c r="B429"/>
      <c r="C429"/>
      <c r="D429"/>
      <c r="E429" s="1"/>
    </row>
    <row r="430" spans="1:5" x14ac:dyDescent="0.25">
      <c r="A430" s="7">
        <v>1456.2824269783548</v>
      </c>
      <c r="B430"/>
      <c r="C430"/>
      <c r="D430"/>
      <c r="E430" s="1"/>
    </row>
    <row r="431" spans="1:5" x14ac:dyDescent="0.25">
      <c r="A431" s="7">
        <v>1441.86378908748</v>
      </c>
      <c r="B431"/>
      <c r="C431"/>
      <c r="D431"/>
      <c r="E431" s="1"/>
    </row>
    <row r="432" spans="1:5" x14ac:dyDescent="0.25">
      <c r="A432" s="7">
        <v>1427.587909987604</v>
      </c>
      <c r="B432"/>
      <c r="C432"/>
      <c r="D432"/>
      <c r="E432" s="1"/>
    </row>
    <row r="433" spans="1:5" x14ac:dyDescent="0.25">
      <c r="A433" s="7">
        <v>1413.4533762253504</v>
      </c>
      <c r="B433"/>
      <c r="C433"/>
      <c r="D433"/>
      <c r="E433" s="1"/>
    </row>
    <row r="434" spans="1:5" x14ac:dyDescent="0.25">
      <c r="A434" s="7">
        <v>1399.458788341931</v>
      </c>
      <c r="B434"/>
      <c r="C434"/>
      <c r="D434"/>
      <c r="E434" s="1"/>
    </row>
    <row r="435" spans="1:5" x14ac:dyDescent="0.25">
      <c r="A435" s="7">
        <v>1385.6027607345852</v>
      </c>
      <c r="B435"/>
      <c r="C435"/>
      <c r="D435"/>
      <c r="E435" s="1"/>
    </row>
    <row r="436" spans="1:5" x14ac:dyDescent="0.25">
      <c r="A436" s="7">
        <v>1371.8839215193914</v>
      </c>
      <c r="B436"/>
      <c r="C436"/>
      <c r="D436"/>
      <c r="E436" s="1"/>
    </row>
    <row r="437" spans="1:5" x14ac:dyDescent="0.25">
      <c r="A437" s="7">
        <v>1358.3009123954371</v>
      </c>
      <c r="B437"/>
      <c r="C437"/>
      <c r="D437"/>
      <c r="E437" s="1"/>
    </row>
    <row r="438" spans="1:5" x14ac:dyDescent="0.25">
      <c r="A438" s="7">
        <v>1344.8523885103336</v>
      </c>
      <c r="B438"/>
      <c r="C438"/>
      <c r="D438"/>
      <c r="E438" s="1"/>
    </row>
    <row r="439" spans="1:5" x14ac:dyDescent="0.25">
      <c r="A439" s="7">
        <v>1331.5370183270629</v>
      </c>
      <c r="B439"/>
      <c r="C439"/>
      <c r="D439"/>
      <c r="E439" s="1"/>
    </row>
    <row r="440" spans="1:5" x14ac:dyDescent="0.25">
      <c r="A440" s="7">
        <v>1318.3534834921415</v>
      </c>
      <c r="B440"/>
      <c r="C440"/>
      <c r="D440"/>
      <c r="E440" s="1"/>
    </row>
    <row r="441" spans="1:5" x14ac:dyDescent="0.25">
      <c r="A441" s="7">
        <v>1305.3004787050907</v>
      </c>
      <c r="B441"/>
      <c r="C441"/>
      <c r="D441"/>
      <c r="E441" s="1"/>
    </row>
    <row r="442" spans="1:5" x14ac:dyDescent="0.25">
      <c r="A442" s="7">
        <v>1292.3767115891987</v>
      </c>
      <c r="B442"/>
      <c r="C442"/>
      <c r="D442"/>
      <c r="E442" s="1"/>
    </row>
    <row r="443" spans="1:5" x14ac:dyDescent="0.25">
      <c r="A443" s="7">
        <v>1279.5809025635631</v>
      </c>
      <c r="B443"/>
      <c r="C443"/>
      <c r="D443"/>
      <c r="E443" s="1"/>
    </row>
    <row r="444" spans="1:5" x14ac:dyDescent="0.25">
      <c r="A444" s="7">
        <v>1266.9117847163991</v>
      </c>
      <c r="B444"/>
      <c r="C444"/>
      <c r="D444"/>
      <c r="E444" s="1"/>
    </row>
    <row r="445" spans="1:5" x14ac:dyDescent="0.25">
      <c r="A445" s="7">
        <v>1254.3681036796031</v>
      </c>
      <c r="B445"/>
      <c r="C445"/>
      <c r="D445"/>
      <c r="E445" s="1"/>
    </row>
    <row r="446" spans="1:5" x14ac:dyDescent="0.25">
      <c r="A446" s="7">
        <v>1241.9486175045574</v>
      </c>
      <c r="B446"/>
      <c r="C446"/>
      <c r="D446"/>
      <c r="E446" s="1"/>
    </row>
    <row r="447" spans="1:5" x14ac:dyDescent="0.25">
      <c r="A447" s="7">
        <v>1229.6520965391658</v>
      </c>
      <c r="B447"/>
      <c r="C447"/>
      <c r="D447"/>
      <c r="E447" s="1"/>
    </row>
    <row r="448" spans="1:5" x14ac:dyDescent="0.25">
      <c r="A448" s="7">
        <v>1217.4773233061046</v>
      </c>
      <c r="B448"/>
      <c r="C448"/>
      <c r="D448"/>
      <c r="E448" s="1"/>
    </row>
    <row r="449" spans="1:5" x14ac:dyDescent="0.25">
      <c r="A449" s="7">
        <v>1205.4230923822818</v>
      </c>
      <c r="B449"/>
      <c r="C449"/>
      <c r="D449"/>
      <c r="E449" s="1"/>
    </row>
    <row r="450" spans="1:5" x14ac:dyDescent="0.25">
      <c r="A450" s="7">
        <v>1193.4882102794868</v>
      </c>
      <c r="B450"/>
      <c r="C450"/>
      <c r="D450"/>
      <c r="E450" s="1"/>
    </row>
    <row r="451" spans="1:5" x14ac:dyDescent="0.25">
      <c r="A451" s="7">
        <v>1181.6714953262244</v>
      </c>
      <c r="B451"/>
      <c r="C451"/>
      <c r="D451"/>
      <c r="E451" s="1"/>
    </row>
    <row r="452" spans="1:5" x14ac:dyDescent="0.25">
      <c r="A452" s="7">
        <v>1169.9717775507172</v>
      </c>
      <c r="B452"/>
      <c r="C452"/>
      <c r="D452"/>
      <c r="E452" s="1"/>
    </row>
    <row r="453" spans="1:5" x14ac:dyDescent="0.25">
      <c r="A453" s="7">
        <v>1158.3878985650665</v>
      </c>
      <c r="B453"/>
      <c r="C453"/>
      <c r="D453"/>
      <c r="E453" s="1"/>
    </row>
    <row r="454" spans="1:5" x14ac:dyDescent="0.25">
      <c r="A454" s="7">
        <v>1146.918711450561</v>
      </c>
      <c r="B454"/>
      <c r="C454"/>
      <c r="D454"/>
      <c r="E454" s="1"/>
    </row>
    <row r="455" spans="1:5" x14ac:dyDescent="0.25">
      <c r="A455" s="7">
        <v>1135.5630806441197</v>
      </c>
      <c r="B455"/>
      <c r="C455"/>
      <c r="D455"/>
      <c r="E455" s="1"/>
    </row>
    <row r="456" spans="1:5" x14ac:dyDescent="0.25">
      <c r="A456" s="7">
        <v>1124.3198818258611</v>
      </c>
      <c r="B456"/>
      <c r="C456"/>
      <c r="D456"/>
      <c r="E456" s="1"/>
    </row>
    <row r="457" spans="1:5" x14ac:dyDescent="0.25">
      <c r="A457" s="7">
        <v>1113.1880018077832</v>
      </c>
      <c r="B457"/>
      <c r="C457"/>
      <c r="D457"/>
      <c r="E457" s="1"/>
    </row>
    <row r="458" spans="1:5" x14ac:dyDescent="0.25">
      <c r="A458" s="7">
        <v>1102.1663384235476</v>
      </c>
      <c r="B458"/>
      <c r="C458"/>
      <c r="D458"/>
      <c r="E458" s="1"/>
    </row>
    <row r="459" spans="1:5" x14ac:dyDescent="0.25">
      <c r="A459" s="7">
        <v>1091.2538004193541</v>
      </c>
      <c r="B459"/>
      <c r="C459"/>
      <c r="D459"/>
      <c r="E459" s="1"/>
    </row>
    <row r="460" spans="1:5" x14ac:dyDescent="0.25">
      <c r="A460" s="7">
        <v>1080.449307345895</v>
      </c>
      <c r="B460"/>
      <c r="C460"/>
      <c r="D460"/>
      <c r="E460" s="1"/>
    </row>
    <row r="461" spans="1:5" x14ac:dyDescent="0.25">
      <c r="A461" s="7">
        <v>1069.7517894513812</v>
      </c>
      <c r="B461"/>
      <c r="C461"/>
      <c r="D461"/>
      <c r="E461" s="1"/>
    </row>
    <row r="462" spans="1:5" x14ac:dyDescent="0.25">
      <c r="A462" s="7">
        <v>1059.1601875756251</v>
      </c>
      <c r="B462"/>
      <c r="C462"/>
      <c r="D462"/>
      <c r="E462" s="1"/>
    </row>
    <row r="463" spans="1:5" x14ac:dyDescent="0.25">
      <c r="A463" s="7">
        <v>1048.6734530451733</v>
      </c>
      <c r="B463"/>
      <c r="C463"/>
      <c r="D463"/>
      <c r="E463" s="1"/>
    </row>
    <row r="464" spans="1:5" x14ac:dyDescent="0.25">
      <c r="A464" s="7">
        <v>1038.2905475694786</v>
      </c>
      <c r="B464"/>
      <c r="C464"/>
      <c r="D464"/>
      <c r="E464" s="1"/>
    </row>
    <row r="465" spans="1:5" x14ac:dyDescent="0.25">
      <c r="A465" s="7">
        <v>1028.0104431380976</v>
      </c>
      <c r="B465"/>
      <c r="C465"/>
      <c r="D465"/>
      <c r="E465" s="1"/>
    </row>
    <row r="466" spans="1:5" x14ac:dyDescent="0.25">
      <c r="A466" s="7">
        <v>1017.8321219189085</v>
      </c>
      <c r="B466"/>
      <c r="C466"/>
      <c r="D466"/>
      <c r="E466" s="1"/>
    </row>
    <row r="467" spans="1:5" x14ac:dyDescent="0.25">
      <c r="A467" s="7">
        <v>1007.7545761573351</v>
      </c>
      <c r="B467"/>
      <c r="C467"/>
      <c r="D467"/>
      <c r="E467" s="1"/>
    </row>
    <row r="468" spans="1:5" x14ac:dyDescent="0.25">
      <c r="A468" s="7">
        <v>997.77680807656941</v>
      </c>
      <c r="B468"/>
      <c r="C468"/>
      <c r="D468"/>
      <c r="E468" s="1"/>
    </row>
    <row r="469" spans="1:5" x14ac:dyDescent="0.25">
      <c r="A469" s="7">
        <v>987.89782977878156</v>
      </c>
      <c r="B469"/>
      <c r="C469"/>
      <c r="D469"/>
      <c r="E469" s="1"/>
    </row>
    <row r="470" spans="1:5" x14ac:dyDescent="0.25">
      <c r="A470" s="7">
        <v>978.11666314730849</v>
      </c>
      <c r="B470"/>
      <c r="C470"/>
      <c r="D470"/>
      <c r="E470" s="1"/>
    </row>
    <row r="471" spans="1:5" x14ac:dyDescent="0.25">
      <c r="A471" s="7">
        <v>968.43233974981035</v>
      </c>
      <c r="B471"/>
      <c r="C471"/>
      <c r="D471"/>
      <c r="E471" s="1"/>
    </row>
    <row r="472" spans="1:5" x14ac:dyDescent="0.25">
      <c r="A472" s="7">
        <v>958.8439007423865</v>
      </c>
      <c r="B472"/>
      <c r="C472"/>
      <c r="D472"/>
      <c r="E472" s="1"/>
    </row>
    <row r="473" spans="1:5" x14ac:dyDescent="0.25">
      <c r="A473" s="7">
        <v>949.3503967746401</v>
      </c>
      <c r="B473"/>
      <c r="C473"/>
      <c r="D473"/>
      <c r="E473" s="1"/>
    </row>
    <row r="474" spans="1:5" x14ac:dyDescent="0.25">
      <c r="A474" s="7">
        <v>939.95088789568331</v>
      </c>
      <c r="B474"/>
      <c r="C474"/>
      <c r="D474"/>
      <c r="E474" s="1"/>
    </row>
    <row r="475" spans="1:5" x14ac:dyDescent="0.25">
      <c r="A475" s="7">
        <v>930.64444346107257</v>
      </c>
      <c r="B475"/>
      <c r="C475"/>
      <c r="D475"/>
      <c r="E475" s="1"/>
    </row>
    <row r="476" spans="1:5" x14ac:dyDescent="0.25">
      <c r="A476" s="7">
        <v>921.43014204066594</v>
      </c>
      <c r="B476"/>
      <c r="C476"/>
      <c r="D476"/>
      <c r="E476" s="1"/>
    </row>
    <row r="477" spans="1:5" x14ac:dyDescent="0.25">
      <c r="A477" s="7">
        <v>912.30707132739201</v>
      </c>
      <c r="B477"/>
      <c r="C477"/>
      <c r="D477"/>
      <c r="E477" s="1"/>
    </row>
    <row r="478" spans="1:5" x14ac:dyDescent="0.25">
      <c r="A478" s="7">
        <v>903.27432804692273</v>
      </c>
      <c r="B478"/>
      <c r="C478"/>
      <c r="D478"/>
      <c r="E478" s="1"/>
    </row>
    <row r="479" spans="1:5" x14ac:dyDescent="0.25">
      <c r="A479" s="7">
        <v>894.33101786824034</v>
      </c>
      <c r="B479"/>
      <c r="C479"/>
      <c r="D479"/>
      <c r="E479" s="1"/>
    </row>
    <row r="480" spans="1:5" x14ac:dyDescent="0.25">
      <c r="A480" s="7">
        <v>885.47625531508947</v>
      </c>
      <c r="B480"/>
      <c r="C480"/>
      <c r="D480"/>
      <c r="E480" s="1"/>
    </row>
    <row r="481" spans="1:5" x14ac:dyDescent="0.25">
      <c r="A481" s="7">
        <v>876.70916367830637</v>
      </c>
      <c r="B481"/>
      <c r="C481"/>
      <c r="D481"/>
      <c r="E481" s="1"/>
    </row>
    <row r="482" spans="1:5" x14ac:dyDescent="0.25">
      <c r="A482" s="7">
        <v>868.02887492901618</v>
      </c>
      <c r="B482"/>
      <c r="C482"/>
      <c r="D482"/>
      <c r="E482" s="1"/>
    </row>
    <row r="483" spans="1:5" x14ac:dyDescent="0.25">
      <c r="A483" s="7">
        <v>859.4345296326893</v>
      </c>
      <c r="B483"/>
      <c r="C483"/>
      <c r="D483"/>
      <c r="E483" s="1"/>
    </row>
    <row r="484" spans="1:5" x14ac:dyDescent="0.25">
      <c r="A484" s="7">
        <v>850.92527686404878</v>
      </c>
      <c r="B484"/>
      <c r="C484"/>
      <c r="D484"/>
      <c r="E484" s="1"/>
    </row>
    <row r="485" spans="1:5" x14ac:dyDescent="0.25">
      <c r="A485" s="7">
        <v>842.50027412282054</v>
      </c>
      <c r="B485"/>
      <c r="C485"/>
      <c r="D485"/>
      <c r="E485" s="1"/>
    </row>
    <row r="486" spans="1:5" x14ac:dyDescent="0.25">
      <c r="A486" s="7">
        <v>834.15868725031737</v>
      </c>
      <c r="B486"/>
      <c r="C486"/>
      <c r="D486"/>
      <c r="E486" s="1"/>
    </row>
    <row r="487" spans="1:5" x14ac:dyDescent="0.25">
      <c r="A487" s="7">
        <v>825.89969034684884</v>
      </c>
      <c r="B487"/>
      <c r="C487"/>
      <c r="D487"/>
      <c r="E487" s="1"/>
    </row>
    <row r="488" spans="1:5" x14ac:dyDescent="0.25">
      <c r="A488" s="7">
        <v>817.72246568994933</v>
      </c>
      <c r="B488"/>
      <c r="C488"/>
      <c r="D488"/>
      <c r="E488" s="1"/>
    </row>
    <row r="489" spans="1:5" x14ac:dyDescent="0.25">
      <c r="A489" s="7">
        <v>809.62620365341513</v>
      </c>
      <c r="B489"/>
      <c r="C489"/>
      <c r="D489"/>
      <c r="E489" s="1"/>
    </row>
    <row r="490" spans="1:5" x14ac:dyDescent="0.25">
      <c r="A490" s="7">
        <v>801.61010262714365</v>
      </c>
      <c r="B490"/>
      <c r="C490"/>
      <c r="D490"/>
      <c r="E490" s="1"/>
    </row>
    <row r="491" spans="1:5" x14ac:dyDescent="0.25">
      <c r="A491" s="7">
        <v>793.67336893776599</v>
      </c>
      <c r="B491"/>
      <c r="C491"/>
      <c r="D491"/>
      <c r="E491" s="1"/>
    </row>
    <row r="492" spans="1:5" x14ac:dyDescent="0.25">
      <c r="A492" s="7">
        <v>785.81521677006538</v>
      </c>
      <c r="B492"/>
      <c r="C492"/>
      <c r="D492"/>
      <c r="E492" s="1"/>
    </row>
    <row r="493" spans="1:5" x14ac:dyDescent="0.25">
      <c r="A493" s="7">
        <v>778.03486808917364</v>
      </c>
      <c r="B493"/>
      <c r="C493"/>
      <c r="D493"/>
      <c r="E493" s="1"/>
    </row>
    <row r="494" spans="1:5" x14ac:dyDescent="0.25">
      <c r="A494" s="7">
        <v>770.33155256353825</v>
      </c>
      <c r="B494"/>
      <c r="C494"/>
      <c r="D494"/>
      <c r="E494" s="1"/>
    </row>
    <row r="495" spans="1:5" x14ac:dyDescent="0.25">
      <c r="A495" s="7">
        <v>762.70450748865176</v>
      </c>
      <c r="B495"/>
      <c r="C495"/>
      <c r="D495"/>
      <c r="E495" s="1"/>
    </row>
    <row r="496" spans="1:5" x14ac:dyDescent="0.25">
      <c r="A496" s="7">
        <v>755.15297771153644</v>
      </c>
      <c r="B496"/>
      <c r="C496"/>
      <c r="D496"/>
      <c r="E496" s="1"/>
    </row>
    <row r="497" spans="1:5" x14ac:dyDescent="0.25">
      <c r="A497" s="7">
        <v>747.67621555597668</v>
      </c>
      <c r="B497"/>
      <c r="C497"/>
      <c r="D497"/>
      <c r="E497" s="1"/>
    </row>
    <row r="498" spans="1:5" x14ac:dyDescent="0.25">
      <c r="A498" s="7">
        <v>740.27348074849181</v>
      </c>
      <c r="B498"/>
      <c r="C498"/>
      <c r="D498"/>
      <c r="E498" s="1"/>
    </row>
    <row r="499" spans="1:5" x14ac:dyDescent="0.25">
      <c r="A499" s="7">
        <v>732.94404034504134</v>
      </c>
      <c r="B499"/>
      <c r="C499"/>
      <c r="D499"/>
      <c r="E499" s="1"/>
    </row>
    <row r="500" spans="1:5" x14ac:dyDescent="0.25">
      <c r="A500" s="7">
        <v>725.68716865845681</v>
      </c>
      <c r="B500"/>
      <c r="C500"/>
      <c r="D500"/>
      <c r="E500" s="1"/>
    </row>
    <row r="501" spans="1:5" x14ac:dyDescent="0.25">
      <c r="A501" s="7">
        <v>718.50214718659095</v>
      </c>
      <c r="B501"/>
      <c r="C501"/>
      <c r="D501"/>
      <c r="E501" s="1"/>
    </row>
    <row r="502" spans="1:5" x14ac:dyDescent="0.25">
      <c r="A502" s="7">
        <v>711.38826454117918</v>
      </c>
      <c r="B502"/>
      <c r="C502"/>
      <c r="D502"/>
      <c r="E502" s="1"/>
    </row>
    <row r="503" spans="1:5" x14ac:dyDescent="0.25">
      <c r="A503" s="7">
        <v>704.3448163774051</v>
      </c>
      <c r="B503"/>
      <c r="C503"/>
      <c r="D503"/>
      <c r="E503" s="1"/>
    </row>
    <row r="504" spans="1:5" x14ac:dyDescent="0.25">
      <c r="A504" s="7">
        <v>697.37110532416341</v>
      </c>
      <c r="B504"/>
      <c r="C504"/>
      <c r="D504"/>
      <c r="E504" s="1"/>
    </row>
    <row r="505" spans="1:5" x14ac:dyDescent="0.25">
      <c r="A505" s="7">
        <v>690.46644091501332</v>
      </c>
      <c r="B505"/>
      <c r="C505"/>
      <c r="D505"/>
      <c r="E505" s="1"/>
    </row>
    <row r="506" spans="1:5" x14ac:dyDescent="0.25">
      <c r="A506" s="7">
        <v>683.6301395198152</v>
      </c>
      <c r="B506"/>
      <c r="C506"/>
      <c r="D506"/>
      <c r="E506" s="1"/>
    </row>
    <row r="507" spans="1:5" x14ac:dyDescent="0.25">
      <c r="A507" s="7">
        <v>676.86152427704474</v>
      </c>
      <c r="B507"/>
      <c r="C507"/>
      <c r="D507"/>
      <c r="E507" s="1"/>
    </row>
    <row r="508" spans="1:5" x14ac:dyDescent="0.25">
      <c r="A508" s="7">
        <v>670.15992502677693</v>
      </c>
      <c r="B508"/>
      <c r="C508"/>
      <c r="D508"/>
      <c r="E508" s="1"/>
    </row>
    <row r="509" spans="1:5" x14ac:dyDescent="0.25">
      <c r="A509" s="7">
        <v>663.52467824433359</v>
      </c>
      <c r="B509"/>
      <c r="C509"/>
      <c r="D509"/>
      <c r="E509" s="1"/>
    </row>
    <row r="510" spans="1:5" x14ac:dyDescent="0.25">
      <c r="A510" s="7">
        <v>656.95512697458776</v>
      </c>
      <c r="B510"/>
      <c r="C510"/>
      <c r="D510"/>
      <c r="E510" s="1"/>
    </row>
    <row r="511" spans="1:5" x14ac:dyDescent="0.25">
      <c r="A511" s="7">
        <v>650.45062076691852</v>
      </c>
      <c r="B511"/>
      <c r="C511"/>
      <c r="D511"/>
      <c r="E511" s="1"/>
    </row>
    <row r="512" spans="1:5" x14ac:dyDescent="0.25">
      <c r="A512" s="7">
        <v>644.01051561081044</v>
      </c>
      <c r="B512"/>
      <c r="C512"/>
      <c r="D512"/>
      <c r="E512" s="1"/>
    </row>
    <row r="513" spans="1:5" x14ac:dyDescent="0.25">
      <c r="A513" s="7">
        <v>637.63417387208949</v>
      </c>
      <c r="B513"/>
      <c r="C513"/>
      <c r="D513"/>
      <c r="E513" s="1"/>
    </row>
    <row r="514" spans="1:5" x14ac:dyDescent="0.25">
      <c r="A514" s="7">
        <v>631.32096422979157</v>
      </c>
      <c r="B514"/>
      <c r="C514"/>
      <c r="D514"/>
      <c r="E514" s="1"/>
    </row>
    <row r="515" spans="1:5" x14ac:dyDescent="0.25">
      <c r="A515" s="7">
        <v>625.07026161365502</v>
      </c>
      <c r="B515"/>
      <c r="C515"/>
      <c r="D515"/>
      <c r="E515" s="1"/>
    </row>
    <row r="516" spans="1:5" x14ac:dyDescent="0.25">
      <c r="A516" s="7">
        <v>618.88144714223267</v>
      </c>
      <c r="B516"/>
      <c r="C516"/>
      <c r="D516"/>
      <c r="E516" s="1"/>
    </row>
    <row r="517" spans="1:5" x14ac:dyDescent="0.25">
      <c r="A517" s="7">
        <v>612.75390806161647</v>
      </c>
      <c r="B517"/>
      <c r="C517"/>
      <c r="D517"/>
      <c r="E517" s="1"/>
    </row>
    <row r="518" spans="1:5" x14ac:dyDescent="0.25">
      <c r="A518" s="7">
        <v>606.68703768476882</v>
      </c>
      <c r="B518"/>
      <c r="C518"/>
      <c r="D518"/>
      <c r="E518" s="1"/>
    </row>
    <row r="519" spans="1:5" x14ac:dyDescent="0.25">
      <c r="A519" s="7">
        <v>600.68023533145424</v>
      </c>
      <c r="B519"/>
      <c r="C519"/>
      <c r="D519"/>
      <c r="E519" s="1"/>
    </row>
    <row r="520" spans="1:5" x14ac:dyDescent="0.25">
      <c r="A520" s="7">
        <v>594.73290626876656</v>
      </c>
      <c r="B520"/>
      <c r="C520"/>
      <c r="D520"/>
      <c r="E520" s="1"/>
    </row>
    <row r="521" spans="1:5" x14ac:dyDescent="0.25">
      <c r="A521" s="7">
        <v>588.84446165224415</v>
      </c>
      <c r="B521"/>
      <c r="C521"/>
      <c r="D521"/>
      <c r="E521" s="1"/>
    </row>
    <row r="522" spans="1:5" x14ac:dyDescent="0.25">
      <c r="A522" s="7">
        <v>583.0143184675685</v>
      </c>
      <c r="B522"/>
      <c r="C522"/>
      <c r="D522"/>
      <c r="E522" s="1"/>
    </row>
    <row r="523" spans="1:5" x14ac:dyDescent="0.25">
      <c r="A523" s="7">
        <v>577.24189947284015</v>
      </c>
      <c r="B523"/>
      <c r="C523"/>
      <c r="D523"/>
      <c r="E523" s="1"/>
    </row>
    <row r="524" spans="1:5" x14ac:dyDescent="0.25">
      <c r="A524" s="7">
        <v>571.52663314142592</v>
      </c>
      <c r="B524"/>
      <c r="C524"/>
      <c r="D524"/>
      <c r="E524" s="1"/>
    </row>
    <row r="525" spans="1:5" x14ac:dyDescent="0.25">
      <c r="A525" s="7">
        <v>565.86795360537224</v>
      </c>
      <c r="B525"/>
      <c r="C525"/>
      <c r="D525"/>
      <c r="E525" s="1"/>
    </row>
    <row r="526" spans="1:5" x14ac:dyDescent="0.25">
      <c r="A526" s="7">
        <v>560.26530059937841</v>
      </c>
      <c r="B526"/>
      <c r="C526"/>
      <c r="D526"/>
      <c r="E526" s="1"/>
    </row>
    <row r="527" spans="1:5" x14ac:dyDescent="0.25">
      <c r="A527" s="7">
        <v>554.71811940532518</v>
      </c>
      <c r="B527"/>
      <c r="C527"/>
      <c r="D527"/>
      <c r="E527" s="1"/>
    </row>
    <row r="528" spans="1:5" x14ac:dyDescent="0.25">
      <c r="A528" s="7">
        <v>549.22586079735163</v>
      </c>
      <c r="B528"/>
      <c r="C528"/>
      <c r="D528"/>
      <c r="E528" s="1"/>
    </row>
    <row r="529" spans="1:5" x14ac:dyDescent="0.25">
      <c r="A529" s="7">
        <v>543.78798098747689</v>
      </c>
      <c r="B529"/>
      <c r="C529"/>
      <c r="D529"/>
      <c r="E529" s="1"/>
    </row>
    <row r="530" spans="1:5" x14ac:dyDescent="0.25">
      <c r="A530" s="7">
        <v>538.40394157175933</v>
      </c>
      <c r="B530"/>
      <c r="C530"/>
      <c r="D530"/>
      <c r="E530" s="1"/>
    </row>
    <row r="531" spans="1:5" x14ac:dyDescent="0.25">
      <c r="A531" s="7">
        <v>533.0732094769894</v>
      </c>
      <c r="B531"/>
      <c r="C531"/>
      <c r="D531"/>
      <c r="E531" s="1"/>
    </row>
    <row r="532" spans="1:5" x14ac:dyDescent="0.25">
      <c r="A532" s="7">
        <v>527.79525690791024</v>
      </c>
      <c r="B532"/>
      <c r="C532"/>
      <c r="D532"/>
      <c r="E532" s="1"/>
    </row>
    <row r="533" spans="1:5" x14ac:dyDescent="0.25">
      <c r="A533" s="7">
        <v>522.56956129496064</v>
      </c>
      <c r="B533"/>
      <c r="C533"/>
      <c r="D533"/>
      <c r="E533" s="1"/>
    </row>
    <row r="534" spans="1:5" x14ac:dyDescent="0.25">
      <c r="A534" s="7">
        <v>517.39560524253523</v>
      </c>
      <c r="B534"/>
      <c r="C534"/>
      <c r="D534"/>
      <c r="E534" s="1"/>
    </row>
    <row r="535" spans="1:5" x14ac:dyDescent="0.25">
      <c r="A535" s="7">
        <v>512.27287647775768</v>
      </c>
      <c r="B535"/>
      <c r="C535"/>
      <c r="D535"/>
      <c r="E535" s="1"/>
    </row>
    <row r="536" spans="1:5" x14ac:dyDescent="0.25">
      <c r="A536" s="7">
        <v>507.20086779976003</v>
      </c>
      <c r="B536"/>
      <c r="C536"/>
      <c r="D536"/>
      <c r="E536" s="1"/>
    </row>
    <row r="537" spans="1:5" x14ac:dyDescent="0.25">
      <c r="A537" s="7">
        <v>502.17907702946536</v>
      </c>
      <c r="B537"/>
      <c r="C537"/>
      <c r="D537"/>
      <c r="E537" s="1"/>
    </row>
    <row r="538" spans="1:5" x14ac:dyDescent="0.25">
      <c r="A538" s="7">
        <v>497.2070069598667</v>
      </c>
      <c r="B538"/>
      <c r="C538"/>
      <c r="D538"/>
      <c r="E538" s="1"/>
    </row>
    <row r="539" spans="1:5" x14ac:dyDescent="0.25">
      <c r="A539" s="7">
        <v>492.28416530679868</v>
      </c>
      <c r="B539"/>
      <c r="C539"/>
      <c r="D539"/>
      <c r="E539" s="1"/>
    </row>
    <row r="540" spans="1:5" x14ac:dyDescent="0.25">
      <c r="A540" s="7">
        <v>487.41006466019672</v>
      </c>
      <c r="B540"/>
      <c r="C540"/>
      <c r="D540"/>
      <c r="E540" s="1"/>
    </row>
    <row r="541" spans="1:5" x14ac:dyDescent="0.25">
      <c r="A541" s="7">
        <v>482.58422243583834</v>
      </c>
      <c r="B541"/>
      <c r="C541"/>
      <c r="D541"/>
      <c r="E541" s="1"/>
    </row>
    <row r="542" spans="1:5" x14ac:dyDescent="0.25">
      <c r="A542" s="7">
        <v>477.80616082756273</v>
      </c>
      <c r="B542"/>
      <c r="C542"/>
      <c r="D542"/>
      <c r="E542" s="1"/>
    </row>
    <row r="543" spans="1:5" x14ac:dyDescent="0.25">
      <c r="A543" s="7">
        <v>473.07540675996307</v>
      </c>
      <c r="B543"/>
      <c r="C543"/>
      <c r="D543"/>
      <c r="E543" s="1"/>
    </row>
    <row r="544" spans="1:5" x14ac:dyDescent="0.25">
      <c r="A544" s="7">
        <v>468.39149184154758</v>
      </c>
      <c r="B544"/>
      <c r="C544"/>
      <c r="D544"/>
      <c r="E544" s="1"/>
    </row>
    <row r="545" spans="1:5" x14ac:dyDescent="0.25">
      <c r="A545" s="7">
        <v>463.75395231836393</v>
      </c>
      <c r="B545"/>
      <c r="C545"/>
      <c r="D545"/>
      <c r="E545" s="1"/>
    </row>
    <row r="546" spans="1:5" x14ac:dyDescent="0.25">
      <c r="A546" s="7">
        <v>459.16232902808309</v>
      </c>
      <c r="B546"/>
      <c r="C546"/>
      <c r="D546"/>
      <c r="E546" s="1"/>
    </row>
    <row r="547" spans="1:5" x14ac:dyDescent="0.25">
      <c r="A547" s="7">
        <v>454.61616735453771</v>
      </c>
      <c r="B547"/>
      <c r="C547"/>
      <c r="D547"/>
      <c r="E547" s="1"/>
    </row>
    <row r="548" spans="1:5" x14ac:dyDescent="0.25">
      <c r="A548" s="7">
        <v>450.11501718271057</v>
      </c>
      <c r="B548"/>
      <c r="C548"/>
      <c r="D548"/>
      <c r="E548" s="1"/>
    </row>
    <row r="549" spans="1:5" x14ac:dyDescent="0.25">
      <c r="A549" s="7">
        <v>445.65843285416889</v>
      </c>
      <c r="B549"/>
      <c r="C549"/>
      <c r="D549"/>
      <c r="E549" s="1"/>
    </row>
    <row r="550" spans="1:5" x14ac:dyDescent="0.25">
      <c r="A550" s="7">
        <v>441.24597312293952</v>
      </c>
      <c r="B550"/>
      <c r="C550"/>
      <c r="D550"/>
      <c r="E550" s="1"/>
    </row>
    <row r="551" spans="1:5" x14ac:dyDescent="0.25">
      <c r="A551" s="7">
        <v>436.87720111182131</v>
      </c>
      <c r="B551"/>
      <c r="C551"/>
      <c r="D551"/>
      <c r="E551" s="1"/>
    </row>
    <row r="552" spans="1:5" x14ac:dyDescent="0.25">
      <c r="A552" s="7">
        <v>432.55168426913002</v>
      </c>
      <c r="B552"/>
      <c r="C552"/>
      <c r="D552"/>
      <c r="E552" s="1"/>
    </row>
    <row r="553" spans="1:5" x14ac:dyDescent="0.25">
      <c r="A553" s="7">
        <v>428.26899432587129</v>
      </c>
      <c r="B553"/>
      <c r="C553"/>
      <c r="D553"/>
      <c r="E553" s="1"/>
    </row>
    <row r="554" spans="1:5" x14ac:dyDescent="0.25">
      <c r="A554" s="7">
        <v>424.02870725333793</v>
      </c>
      <c r="B554"/>
      <c r="C554"/>
      <c r="D554"/>
      <c r="E554" s="1"/>
    </row>
    <row r="555" spans="1:5" x14ac:dyDescent="0.25">
      <c r="A555" s="7">
        <v>419.83040322112663</v>
      </c>
      <c r="B555"/>
      <c r="C555"/>
      <c r="D555"/>
      <c r="E555" s="1"/>
    </row>
    <row r="556" spans="1:5" x14ac:dyDescent="0.25">
      <c r="A556" s="7">
        <v>415.67366655557089</v>
      </c>
      <c r="B556"/>
      <c r="C556"/>
      <c r="D556"/>
      <c r="E556" s="1"/>
    </row>
    <row r="557" spans="1:5" x14ac:dyDescent="0.25">
      <c r="A557" s="7">
        <v>411.55808569858505</v>
      </c>
      <c r="B557"/>
      <c r="C557"/>
      <c r="D557"/>
      <c r="E557" s="1"/>
    </row>
    <row r="558" spans="1:5" x14ac:dyDescent="0.25">
      <c r="A558" s="7">
        <v>407.48325316691586</v>
      </c>
      <c r="B558"/>
      <c r="C558"/>
      <c r="D558"/>
      <c r="E558" s="1"/>
    </row>
    <row r="559" spans="1:5" x14ac:dyDescent="0.25">
      <c r="A559" s="7">
        <v>403.44876551179789</v>
      </c>
      <c r="B559"/>
      <c r="C559"/>
      <c r="D559"/>
      <c r="E559" s="1"/>
    </row>
    <row r="560" spans="1:5" x14ac:dyDescent="0.25">
      <c r="A560" s="7">
        <v>399.45422327900781</v>
      </c>
      <c r="B560"/>
      <c r="C560"/>
      <c r="D560"/>
      <c r="E560" s="1"/>
    </row>
    <row r="561" spans="1:5" x14ac:dyDescent="0.25">
      <c r="A561" s="7">
        <v>395.49923096931468</v>
      </c>
      <c r="B561"/>
      <c r="C561"/>
      <c r="D561"/>
      <c r="E561" s="1"/>
    </row>
    <row r="562" spans="1:5" x14ac:dyDescent="0.25">
      <c r="A562" s="7">
        <v>391.58339699932145</v>
      </c>
      <c r="B562"/>
      <c r="C562"/>
      <c r="D562"/>
      <c r="E562" s="1"/>
    </row>
    <row r="563" spans="1:5" x14ac:dyDescent="0.25">
      <c r="A563" s="7">
        <v>387.70633366269448</v>
      </c>
      <c r="B563"/>
      <c r="C563"/>
      <c r="D563"/>
      <c r="E563" s="1"/>
    </row>
    <row r="564" spans="1:5" x14ac:dyDescent="0.25">
      <c r="A564" s="7">
        <v>383.86765709177672</v>
      </c>
      <c r="B564"/>
      <c r="C564"/>
      <c r="D564"/>
      <c r="E564" s="1"/>
    </row>
    <row r="565" spans="1:5" x14ac:dyDescent="0.25">
      <c r="A565" s="7">
        <v>380.06698721958088</v>
      </c>
      <c r="B565"/>
      <c r="C565"/>
      <c r="D565"/>
      <c r="E565" s="1"/>
    </row>
    <row r="566" spans="1:5" x14ac:dyDescent="0.25">
      <c r="A566" s="7">
        <v>376.30394774215927</v>
      </c>
      <c r="B566"/>
      <c r="C566"/>
      <c r="D566"/>
      <c r="E566" s="1"/>
    </row>
    <row r="567" spans="1:5" x14ac:dyDescent="0.25">
      <c r="A567" s="7">
        <v>372.57816608134578</v>
      </c>
      <c r="B567"/>
      <c r="C567"/>
      <c r="D567"/>
      <c r="E567" s="1"/>
    </row>
    <row r="568" spans="1:5" x14ac:dyDescent="0.25">
      <c r="A568" s="7">
        <v>368.88927334786712</v>
      </c>
      <c r="B568"/>
      <c r="C568"/>
      <c r="D568"/>
      <c r="E568" s="1"/>
    </row>
    <row r="569" spans="1:5" x14ac:dyDescent="0.25">
      <c r="A569" s="7">
        <v>365.23690430481895</v>
      </c>
      <c r="B569"/>
      <c r="C569"/>
      <c r="D569"/>
      <c r="E569" s="1"/>
    </row>
    <row r="570" spans="1:5" x14ac:dyDescent="0.25">
      <c r="A570" s="7">
        <v>361.62069733150389</v>
      </c>
      <c r="B570"/>
      <c r="C570"/>
      <c r="D570"/>
      <c r="E570" s="1"/>
    </row>
    <row r="571" spans="1:5" x14ac:dyDescent="0.25">
      <c r="A571" s="7">
        <v>358.04029438762763</v>
      </c>
      <c r="B571"/>
      <c r="C571"/>
      <c r="D571"/>
      <c r="E571" s="1"/>
    </row>
    <row r="572" spans="1:5" x14ac:dyDescent="0.25">
      <c r="A572" s="7">
        <v>354.49534097784914</v>
      </c>
      <c r="B572"/>
      <c r="C572"/>
      <c r="D572"/>
      <c r="E572" s="1"/>
    </row>
    <row r="573" spans="1:5" x14ac:dyDescent="0.25">
      <c r="A573" s="7">
        <v>350.9854861166823</v>
      </c>
      <c r="B573"/>
      <c r="C573"/>
      <c r="D573"/>
      <c r="E573" s="1"/>
    </row>
    <row r="574" spans="1:5" x14ac:dyDescent="0.25">
      <c r="A574" s="7">
        <v>347.51038229374484</v>
      </c>
      <c r="B574"/>
      <c r="C574"/>
      <c r="D574"/>
      <c r="E574" s="1"/>
    </row>
    <row r="575" spans="1:5" x14ac:dyDescent="0.25">
      <c r="A575" s="7">
        <v>344.0696854393513</v>
      </c>
      <c r="B575"/>
      <c r="C575"/>
      <c r="D575"/>
      <c r="E575" s="1"/>
    </row>
    <row r="576" spans="1:5" x14ac:dyDescent="0.25">
      <c r="A576" s="7">
        <v>340.66305489044686</v>
      </c>
      <c r="B576"/>
      <c r="C576"/>
      <c r="D576"/>
      <c r="E576" s="1"/>
    </row>
    <row r="577" spans="1:5" x14ac:dyDescent="0.25">
      <c r="A577" s="7">
        <v>337.29015335687808</v>
      </c>
      <c r="B577"/>
      <c r="C577"/>
      <c r="D577"/>
      <c r="E577" s="1"/>
    </row>
    <row r="578" spans="1:5" x14ac:dyDescent="0.25">
      <c r="A578" s="7">
        <v>333.95064688799812</v>
      </c>
      <c r="B578"/>
      <c r="C578"/>
      <c r="D578"/>
      <c r="E578" s="1"/>
    </row>
    <row r="579" spans="1:5" x14ac:dyDescent="0.25">
      <c r="A579" s="7">
        <v>330.64420483960208</v>
      </c>
      <c r="B579"/>
      <c r="C579"/>
      <c r="D579"/>
      <c r="E579" s="1"/>
    </row>
    <row r="580" spans="1:5" x14ac:dyDescent="0.25">
      <c r="A580" s="7">
        <v>327.37049984119017</v>
      </c>
      <c r="B580"/>
      <c r="C580"/>
      <c r="D580"/>
      <c r="E580" s="1"/>
    </row>
    <row r="581" spans="1:5" x14ac:dyDescent="0.25">
      <c r="A581" s="7">
        <v>324.12920776355463</v>
      </c>
      <c r="B581"/>
      <c r="C581"/>
      <c r="D581"/>
      <c r="E581" s="1"/>
    </row>
    <row r="582" spans="1:5" x14ac:dyDescent="0.25">
      <c r="A582" s="7">
        <v>320.92000768668777</v>
      </c>
      <c r="B582"/>
      <c r="C582"/>
      <c r="D582"/>
      <c r="E582" s="1"/>
    </row>
    <row r="583" spans="1:5" x14ac:dyDescent="0.25">
      <c r="A583" s="7">
        <v>317.74258186800768</v>
      </c>
      <c r="B583"/>
      <c r="C583"/>
      <c r="D583"/>
      <c r="E583" s="1"/>
    </row>
    <row r="584" spans="1:5" x14ac:dyDescent="0.25">
      <c r="A584" s="7">
        <v>314.59661571089867</v>
      </c>
      <c r="B584"/>
      <c r="C584"/>
      <c r="D584"/>
      <c r="E584" s="1"/>
    </row>
    <row r="585" spans="1:5" x14ac:dyDescent="0.25">
      <c r="A585" s="7">
        <v>311.48179773356304</v>
      </c>
      <c r="B585"/>
      <c r="C585"/>
      <c r="D585"/>
      <c r="E585" s="1"/>
    </row>
    <row r="586" spans="1:5" x14ac:dyDescent="0.25">
      <c r="A586" s="7">
        <v>308.39781953818124</v>
      </c>
      <c r="B586"/>
      <c r="C586"/>
      <c r="D586"/>
      <c r="E586" s="1"/>
    </row>
    <row r="587" spans="1:5" x14ac:dyDescent="0.25">
      <c r="A587" s="7">
        <v>305.34437578037745</v>
      </c>
      <c r="B587"/>
      <c r="C587"/>
      <c r="D587"/>
      <c r="E587" s="1"/>
    </row>
    <row r="588" spans="1:5" x14ac:dyDescent="0.25">
      <c r="A588" s="7">
        <v>302.32116413898757</v>
      </c>
      <c r="B588"/>
      <c r="C588"/>
      <c r="D588"/>
      <c r="E588" s="1"/>
    </row>
    <row r="589" spans="1:5" x14ac:dyDescent="0.25">
      <c r="A589" s="7">
        <v>299.32788528612633</v>
      </c>
      <c r="B589"/>
      <c r="C589"/>
      <c r="D589"/>
      <c r="E589" s="1"/>
    </row>
    <row r="590" spans="1:5" x14ac:dyDescent="0.25">
      <c r="A590" s="7">
        <v>296.36424285755083</v>
      </c>
      <c r="B590"/>
      <c r="C590"/>
      <c r="D590"/>
      <c r="E590" s="1"/>
    </row>
    <row r="591" spans="1:5" x14ac:dyDescent="0.25">
      <c r="A591" s="7">
        <v>293.42994342331764</v>
      </c>
      <c r="B591"/>
      <c r="C591"/>
      <c r="D591"/>
      <c r="E591" s="1"/>
    </row>
    <row r="592" spans="1:5" x14ac:dyDescent="0.25">
      <c r="A592" s="7">
        <v>290.52469645873032</v>
      </c>
      <c r="B592"/>
      <c r="C592"/>
      <c r="D592"/>
      <c r="E592" s="1"/>
    </row>
    <row r="593" spans="1:5" x14ac:dyDescent="0.25">
      <c r="A593" s="7">
        <v>287.64821431557459</v>
      </c>
      <c r="B593"/>
      <c r="C593"/>
      <c r="D593"/>
      <c r="E593" s="1"/>
    </row>
    <row r="594" spans="1:5" x14ac:dyDescent="0.25">
      <c r="A594" s="7">
        <v>284.80021219363823</v>
      </c>
      <c r="B594"/>
      <c r="C594"/>
      <c r="D594"/>
      <c r="E594" s="1"/>
    </row>
    <row r="595" spans="1:5" x14ac:dyDescent="0.25">
      <c r="A595" s="7">
        <v>281.98040811251309</v>
      </c>
      <c r="B595"/>
      <c r="C595"/>
      <c r="D595"/>
      <c r="E595" s="1"/>
    </row>
    <row r="596" spans="1:5" x14ac:dyDescent="0.25">
      <c r="A596" s="7">
        <v>279.18852288367634</v>
      </c>
      <c r="B596"/>
      <c r="C596"/>
      <c r="D596"/>
      <c r="E596" s="1"/>
    </row>
    <row r="597" spans="1:5" x14ac:dyDescent="0.25">
      <c r="A597" s="7">
        <v>276.42428008284787</v>
      </c>
      <c r="B597"/>
      <c r="C597"/>
      <c r="D597"/>
      <c r="E597" s="1"/>
    </row>
    <row r="598" spans="1:5" x14ac:dyDescent="0.25">
      <c r="A598" s="7">
        <v>273.68740602262164</v>
      </c>
      <c r="B598"/>
      <c r="C598"/>
      <c r="D598"/>
      <c r="E598" s="1"/>
    </row>
    <row r="599" spans="1:5" x14ac:dyDescent="0.25">
      <c r="A599" s="7">
        <v>270.97762972536799</v>
      </c>
      <c r="B599"/>
      <c r="C599"/>
      <c r="D599"/>
      <c r="E599" s="1"/>
    </row>
    <row r="600" spans="1:5" x14ac:dyDescent="0.25">
      <c r="A600" s="7">
        <v>268.29468289640397</v>
      </c>
      <c r="B600"/>
      <c r="C600"/>
      <c r="D600"/>
      <c r="E600" s="1"/>
    </row>
    <row r="601" spans="1:5" x14ac:dyDescent="0.25">
      <c r="A601" s="7">
        <v>265.63829989742965</v>
      </c>
      <c r="B601"/>
      <c r="C601"/>
      <c r="D601"/>
      <c r="E601" s="1"/>
    </row>
    <row r="602" spans="1:5" x14ac:dyDescent="0.25">
      <c r="A602" s="7">
        <v>263.00821772022738</v>
      </c>
      <c r="B602"/>
      <c r="C602"/>
      <c r="D602"/>
      <c r="E602" s="1"/>
    </row>
    <row r="603" spans="1:5" x14ac:dyDescent="0.25">
      <c r="A603" s="7">
        <v>260.40417596062116</v>
      </c>
      <c r="B603"/>
      <c r="C603"/>
      <c r="D603"/>
      <c r="E603" s="1"/>
    </row>
    <row r="604" spans="1:5" x14ac:dyDescent="0.25">
      <c r="A604" s="7">
        <v>257.82591679269422</v>
      </c>
      <c r="B604"/>
      <c r="C604"/>
      <c r="D604"/>
      <c r="E604" s="1"/>
    </row>
    <row r="605" spans="1:5" x14ac:dyDescent="0.25">
      <c r="A605" s="7">
        <v>255.27318494326161</v>
      </c>
      <c r="B605"/>
      <c r="C605"/>
      <c r="D605"/>
      <c r="E605" s="1"/>
    </row>
    <row r="606" spans="1:5" x14ac:dyDescent="0.25">
      <c r="A606" s="7">
        <v>252.74572766659566</v>
      </c>
      <c r="B606"/>
      <c r="C606"/>
      <c r="D606"/>
      <c r="E606" s="1"/>
    </row>
    <row r="607" spans="1:5" x14ac:dyDescent="0.25">
      <c r="A607" s="7">
        <v>250.24329471940163</v>
      </c>
      <c r="B607"/>
      <c r="C607"/>
      <c r="D607"/>
      <c r="E607" s="1"/>
    </row>
    <row r="608" spans="1:5" x14ac:dyDescent="0.25">
      <c r="A608" s="7">
        <v>247.76563833604121</v>
      </c>
      <c r="B608"/>
      <c r="C608"/>
      <c r="D608"/>
      <c r="E608" s="1"/>
    </row>
    <row r="609" spans="1:5" x14ac:dyDescent="0.25">
      <c r="A609" s="7">
        <v>245.31251320400119</v>
      </c>
      <c r="B609"/>
      <c r="C609"/>
      <c r="D609"/>
      <c r="E609" s="1"/>
    </row>
    <row r="610" spans="1:5" x14ac:dyDescent="0.25">
      <c r="A610" s="7">
        <v>242.88367643960513</v>
      </c>
      <c r="B610"/>
      <c r="C610"/>
      <c r="D610"/>
      <c r="E610" s="1"/>
    </row>
    <row r="611" spans="1:5" x14ac:dyDescent="0.25">
      <c r="A611" s="7">
        <v>240.47888756396546</v>
      </c>
      <c r="B611"/>
      <c r="C611"/>
      <c r="D611"/>
      <c r="E611" s="1"/>
    </row>
    <row r="612" spans="1:5" x14ac:dyDescent="0.25">
      <c r="A612" s="7">
        <v>238.09790847917373</v>
      </c>
      <c r="B612"/>
      <c r="C612"/>
      <c r="D612"/>
      <c r="E612" s="1"/>
    </row>
    <row r="613" spans="1:5" x14ac:dyDescent="0.25">
      <c r="A613" s="7">
        <v>235.74050344472647</v>
      </c>
      <c r="B613"/>
      <c r="C613"/>
      <c r="D613"/>
      <c r="E613" s="1"/>
    </row>
    <row r="614" spans="1:5" x14ac:dyDescent="0.25">
      <c r="A614" s="7">
        <v>233.40643905418463</v>
      </c>
      <c r="B614"/>
      <c r="C614"/>
      <c r="D614"/>
      <c r="E614" s="1"/>
    </row>
    <row r="615" spans="1:5" x14ac:dyDescent="0.25">
      <c r="A615" s="7">
        <v>231.09548421206398</v>
      </c>
      <c r="B615"/>
      <c r="C615"/>
      <c r="D615"/>
      <c r="E615" s="1"/>
    </row>
    <row r="616" spans="1:5" x14ac:dyDescent="0.25">
      <c r="A616" s="7">
        <v>228.80741011095444</v>
      </c>
      <c r="B616"/>
      <c r="C616"/>
      <c r="D616"/>
      <c r="E616" s="1"/>
    </row>
    <row r="617" spans="1:5" x14ac:dyDescent="0.25">
      <c r="A617" s="7">
        <v>226.54199020886577</v>
      </c>
      <c r="B617"/>
      <c r="C617"/>
      <c r="D617"/>
      <c r="E617" s="1"/>
    </row>
    <row r="618" spans="1:5" x14ac:dyDescent="0.25">
      <c r="A618" s="7">
        <v>224.29900020679779</v>
      </c>
      <c r="B618"/>
      <c r="C618"/>
      <c r="D618"/>
      <c r="E618" s="1"/>
    </row>
    <row r="619" spans="1:5" x14ac:dyDescent="0.25">
      <c r="A619" s="7">
        <v>222.07821802653245</v>
      </c>
      <c r="B619"/>
      <c r="C619"/>
      <c r="D619"/>
      <c r="E619" s="1"/>
    </row>
    <row r="620" spans="1:5" x14ac:dyDescent="0.25">
      <c r="A620" s="7">
        <v>219.87942378864599</v>
      </c>
      <c r="B620"/>
      <c r="C620"/>
      <c r="D620"/>
      <c r="E620" s="1"/>
    </row>
    <row r="621" spans="1:5" x14ac:dyDescent="0.25">
      <c r="A621" s="7">
        <v>217.70239979073861</v>
      </c>
      <c r="B621"/>
      <c r="C621"/>
      <c r="D621"/>
      <c r="E621" s="1"/>
    </row>
    <row r="622" spans="1:5" x14ac:dyDescent="0.25">
      <c r="A622" s="7">
        <v>215.54693048587981</v>
      </c>
      <c r="B622"/>
      <c r="C622"/>
      <c r="D622"/>
      <c r="E622" s="1"/>
    </row>
    <row r="623" spans="1:5" x14ac:dyDescent="0.25">
      <c r="A623" s="7">
        <v>213.41280246126715</v>
      </c>
      <c r="B623"/>
      <c r="C623"/>
      <c r="D623"/>
      <c r="E623" s="1"/>
    </row>
    <row r="624" spans="1:5" x14ac:dyDescent="0.25">
      <c r="A624" s="7">
        <v>211.2998044170962</v>
      </c>
      <c r="B624"/>
      <c r="C624"/>
      <c r="D624"/>
      <c r="E624" s="1"/>
    </row>
    <row r="625" spans="1:5" x14ac:dyDescent="0.25">
      <c r="A625" s="7">
        <v>209.20772714563981</v>
      </c>
      <c r="B625"/>
      <c r="C625"/>
      <c r="D625"/>
      <c r="E625" s="1"/>
    </row>
    <row r="626" spans="1:5" x14ac:dyDescent="0.25">
      <c r="A626" s="7">
        <v>207.13636351053447</v>
      </c>
      <c r="B626"/>
      <c r="C626"/>
      <c r="D626"/>
      <c r="E626" s="1"/>
    </row>
    <row r="627" spans="1:5" x14ac:dyDescent="0.25">
      <c r="A627" s="7">
        <v>205.08550842627176</v>
      </c>
      <c r="B627"/>
      <c r="C627"/>
      <c r="D627"/>
      <c r="E627" s="1"/>
    </row>
    <row r="628" spans="1:5" x14ac:dyDescent="0.25">
      <c r="A628" s="7">
        <v>203.05495883789283</v>
      </c>
      <c r="B628"/>
      <c r="C628"/>
      <c r="D628"/>
      <c r="E628" s="1"/>
    </row>
    <row r="629" spans="1:5" x14ac:dyDescent="0.25">
      <c r="A629" s="7">
        <v>201.04451370088398</v>
      </c>
      <c r="B629"/>
      <c r="C629"/>
      <c r="D629"/>
      <c r="E629" s="1"/>
    </row>
    <row r="630" spans="1:5" x14ac:dyDescent="0.25">
      <c r="A630" s="7">
        <v>199.05397396127125</v>
      </c>
      <c r="B630"/>
      <c r="C630"/>
      <c r="D630"/>
      <c r="E630" s="1"/>
    </row>
    <row r="631" spans="1:5" x14ac:dyDescent="0.25">
      <c r="A631" s="7">
        <v>197.08314253591212</v>
      </c>
      <c r="B631"/>
      <c r="C631"/>
      <c r="D631"/>
      <c r="E631" s="1"/>
    </row>
    <row r="632" spans="1:5" x14ac:dyDescent="0.25">
      <c r="A632" s="7">
        <v>195.13182429298229</v>
      </c>
      <c r="B632"/>
      <c r="C632"/>
      <c r="D632"/>
      <c r="E632" s="1"/>
    </row>
    <row r="633" spans="1:5" x14ac:dyDescent="0.25">
      <c r="A633" s="7">
        <v>193.19982603265572</v>
      </c>
      <c r="B633"/>
      <c r="C633"/>
      <c r="D633"/>
      <c r="E633" s="1"/>
    </row>
    <row r="634" spans="1:5" x14ac:dyDescent="0.25">
      <c r="A634" s="7">
        <v>191.28695646797595</v>
      </c>
      <c r="B634"/>
      <c r="C634"/>
      <c r="D634"/>
      <c r="E634" s="1"/>
    </row>
    <row r="635" spans="1:5" x14ac:dyDescent="0.25">
      <c r="A635" s="7">
        <v>189.39302620591678</v>
      </c>
      <c r="B635"/>
      <c r="C635"/>
      <c r="D635"/>
      <c r="E635" s="1"/>
    </row>
    <row r="636" spans="1:5" x14ac:dyDescent="0.25">
      <c r="A636" s="7">
        <v>187.51784772863047</v>
      </c>
      <c r="B636"/>
      <c r="C636"/>
      <c r="D636"/>
      <c r="E636" s="1"/>
    </row>
    <row r="637" spans="1:5" x14ac:dyDescent="0.25">
      <c r="A637" s="7">
        <v>185.66123537488164</v>
      </c>
      <c r="B637"/>
      <c r="C637"/>
      <c r="D637"/>
      <c r="E637" s="1"/>
    </row>
    <row r="638" spans="1:5" x14ac:dyDescent="0.25">
      <c r="A638" s="7">
        <v>183.82300532166499</v>
      </c>
      <c r="B638"/>
      <c r="C638"/>
      <c r="D638"/>
      <c r="E638" s="1"/>
    </row>
    <row r="639" spans="1:5" x14ac:dyDescent="0.25">
      <c r="A639" s="7">
        <v>182.00297556600495</v>
      </c>
      <c r="B639"/>
      <c r="C639"/>
      <c r="D639"/>
      <c r="E639" s="1"/>
    </row>
    <row r="640" spans="1:5" x14ac:dyDescent="0.25">
      <c r="A640" s="7">
        <v>180.20096590693558</v>
      </c>
      <c r="B640"/>
      <c r="C640"/>
      <c r="D640"/>
      <c r="E640" s="1"/>
    </row>
    <row r="641" spans="1:5" x14ac:dyDescent="0.25">
      <c r="A641" s="7">
        <v>178.41679792765899</v>
      </c>
      <c r="B641"/>
      <c r="C641"/>
      <c r="D641"/>
      <c r="E641" s="1"/>
    </row>
    <row r="642" spans="1:5" x14ac:dyDescent="0.25">
      <c r="A642" s="7">
        <v>176.65029497788018</v>
      </c>
      <c r="B642"/>
      <c r="C642"/>
      <c r="D642"/>
      <c r="E642" s="1"/>
    </row>
    <row r="643" spans="1:5" x14ac:dyDescent="0.25">
      <c r="A643" s="7">
        <v>174.901282156317</v>
      </c>
      <c r="B643"/>
      <c r="C643"/>
      <c r="D643"/>
      <c r="E643" s="1"/>
    </row>
    <row r="644" spans="1:5" x14ac:dyDescent="0.25">
      <c r="A644" s="7">
        <v>173.16958629338316</v>
      </c>
      <c r="B644"/>
      <c r="C644"/>
      <c r="D644"/>
      <c r="E644" s="1"/>
    </row>
    <row r="645" spans="1:5" x14ac:dyDescent="0.25">
      <c r="A645" s="7">
        <v>171.45503593404274</v>
      </c>
      <c r="B645"/>
      <c r="C645"/>
      <c r="D645"/>
      <c r="E645" s="1"/>
    </row>
    <row r="646" spans="1:5" x14ac:dyDescent="0.25">
      <c r="A646" s="7">
        <v>169.75746132083441</v>
      </c>
      <c r="B646"/>
      <c r="C646"/>
      <c r="D646"/>
      <c r="E646" s="1"/>
    </row>
    <row r="647" spans="1:5" x14ac:dyDescent="0.25">
      <c r="A647" s="7">
        <v>168.07669437706377</v>
      </c>
      <c r="B647"/>
      <c r="C647"/>
      <c r="D647"/>
      <c r="E647" s="1"/>
    </row>
    <row r="648" spans="1:5" x14ac:dyDescent="0.25">
      <c r="A648" s="7">
        <v>166.41256869016215</v>
      </c>
      <c r="B648"/>
      <c r="C648"/>
      <c r="D648"/>
      <c r="E648" s="1"/>
    </row>
    <row r="649" spans="1:5" x14ac:dyDescent="0.25">
      <c r="A649" s="7">
        <v>164.76491949521005</v>
      </c>
      <c r="B649"/>
      <c r="C649"/>
      <c r="D649"/>
      <c r="E649" s="1"/>
    </row>
    <row r="650" spans="1:5" x14ac:dyDescent="0.25">
      <c r="A650" s="7">
        <v>163.13358365862382</v>
      </c>
      <c r="B650"/>
      <c r="C650"/>
      <c r="D650"/>
      <c r="E650" s="1"/>
    </row>
    <row r="651" spans="1:5" x14ac:dyDescent="0.25">
      <c r="A651" s="7">
        <v>161.51839966200379</v>
      </c>
      <c r="B651"/>
      <c r="C651"/>
      <c r="D651"/>
      <c r="E651" s="1"/>
    </row>
    <row r="652" spans="1:5" x14ac:dyDescent="0.25">
      <c r="A652" s="7">
        <v>159.91920758614236</v>
      </c>
      <c r="B652"/>
      <c r="C652"/>
      <c r="D652"/>
      <c r="E652" s="1"/>
    </row>
    <row r="653" spans="1:5" x14ac:dyDescent="0.25">
      <c r="A653" s="7">
        <v>158.33584909519047</v>
      </c>
      <c r="B653"/>
      <c r="C653"/>
      <c r="D653"/>
      <c r="E653" s="1"/>
    </row>
    <row r="654" spans="1:5" x14ac:dyDescent="0.25">
      <c r="A654" s="7">
        <v>156.76816742098066</v>
      </c>
      <c r="B654"/>
      <c r="C654"/>
      <c r="D654"/>
      <c r="E654" s="1"/>
    </row>
    <row r="655" spans="1:5" x14ac:dyDescent="0.25">
      <c r="A655" s="7">
        <v>155.21600734750561</v>
      </c>
      <c r="B655"/>
      <c r="C655"/>
      <c r="D655"/>
      <c r="E655" s="1"/>
    </row>
    <row r="656" spans="1:5" x14ac:dyDescent="0.25">
      <c r="A656" s="7">
        <v>153.67921519555011</v>
      </c>
      <c r="B656"/>
      <c r="C656"/>
      <c r="D656"/>
      <c r="E656" s="1"/>
    </row>
    <row r="657" spans="1:5" x14ac:dyDescent="0.25">
      <c r="A657" s="7">
        <v>152.15763880747537</v>
      </c>
      <c r="B657"/>
      <c r="C657"/>
      <c r="D657"/>
      <c r="E657" s="1"/>
    </row>
    <row r="658" spans="1:5" x14ac:dyDescent="0.25">
      <c r="A658" s="7">
        <v>150.65112753215382</v>
      </c>
      <c r="B658"/>
      <c r="C658"/>
      <c r="D658"/>
      <c r="E658" s="1"/>
    </row>
    <row r="659" spans="1:5" x14ac:dyDescent="0.25">
      <c r="A659" s="7">
        <v>149.1595322100533</v>
      </c>
      <c r="B659"/>
      <c r="C659"/>
      <c r="D659"/>
      <c r="E659" s="1"/>
    </row>
    <row r="660" spans="1:5" x14ac:dyDescent="0.25">
      <c r="A660" s="7">
        <v>147.68270515846862</v>
      </c>
      <c r="B660"/>
      <c r="C660"/>
      <c r="D660"/>
      <c r="E660" s="1"/>
    </row>
    <row r="661" spans="1:5" x14ac:dyDescent="0.25">
      <c r="A661" s="7">
        <v>146.22050015689962</v>
      </c>
      <c r="B661"/>
      <c r="C661"/>
      <c r="D661"/>
      <c r="E661" s="1"/>
    </row>
    <row r="662" spans="1:5" x14ac:dyDescent="0.25">
      <c r="A662" s="7">
        <v>144.77277243257387</v>
      </c>
      <c r="B662"/>
      <c r="C662"/>
      <c r="D662"/>
      <c r="E662" s="1"/>
    </row>
    <row r="663" spans="1:5" x14ac:dyDescent="0.25">
      <c r="A663" s="7">
        <v>143.33937864611275</v>
      </c>
      <c r="B663"/>
      <c r="C663"/>
      <c r="D663"/>
      <c r="E663" s="1"/>
    </row>
    <row r="664" spans="1:5" x14ac:dyDescent="0.25">
      <c r="A664" s="7">
        <v>141.92017687733934</v>
      </c>
      <c r="B664"/>
      <c r="C664"/>
      <c r="D664"/>
      <c r="E664" s="1"/>
    </row>
    <row r="665" spans="1:5" x14ac:dyDescent="0.25">
      <c r="A665" s="7">
        <v>140.51502661122709</v>
      </c>
      <c r="B665"/>
      <c r="C665"/>
      <c r="D665"/>
      <c r="E665" s="1"/>
    </row>
    <row r="666" spans="1:5" x14ac:dyDescent="0.25">
      <c r="A666" s="7">
        <v>139.12378872398722</v>
      </c>
      <c r="B666"/>
      <c r="C666"/>
      <c r="D666"/>
      <c r="E666" s="1"/>
    </row>
    <row r="667" spans="1:5" x14ac:dyDescent="0.25">
      <c r="A667" s="7">
        <v>137.74632546929428</v>
      </c>
      <c r="B667"/>
      <c r="C667"/>
      <c r="D667"/>
      <c r="E667" s="1"/>
    </row>
    <row r="668" spans="1:5" x14ac:dyDescent="0.25">
      <c r="A668" s="7">
        <v>136.38250046464779</v>
      </c>
      <c r="B668"/>
      <c r="C668"/>
      <c r="D668"/>
      <c r="E668" s="1"/>
    </row>
    <row r="669" spans="1:5" x14ac:dyDescent="0.25">
      <c r="A669" s="7">
        <v>135.0321786778691</v>
      </c>
      <c r="B669"/>
      <c r="C669"/>
      <c r="D669"/>
      <c r="E669" s="1"/>
    </row>
    <row r="670" spans="1:5" x14ac:dyDescent="0.25">
      <c r="A670" s="7">
        <v>133.69522641373177</v>
      </c>
      <c r="B670"/>
      <c r="C670"/>
      <c r="D670"/>
      <c r="E670" s="1"/>
    </row>
    <row r="671" spans="1:5" x14ac:dyDescent="0.25">
      <c r="A671" s="7">
        <v>132.37151130072453</v>
      </c>
      <c r="B671"/>
      <c r="C671"/>
      <c r="D671"/>
      <c r="E671" s="1"/>
    </row>
    <row r="672" spans="1:5" x14ac:dyDescent="0.25">
      <c r="A672" s="7">
        <v>131.06090227794508</v>
      </c>
      <c r="B672"/>
      <c r="C672"/>
      <c r="D672"/>
      <c r="E672" s="1"/>
    </row>
    <row r="673" spans="1:5" x14ac:dyDescent="0.25">
      <c r="A673" s="7">
        <v>129.76326958212383</v>
      </c>
      <c r="B673"/>
      <c r="C673"/>
      <c r="D673"/>
      <c r="E673" s="1"/>
    </row>
    <row r="674" spans="1:5" x14ac:dyDescent="0.25">
      <c r="A674" s="7">
        <v>128.47848473477606</v>
      </c>
      <c r="B674"/>
      <c r="C674"/>
      <c r="D674"/>
      <c r="E674" s="1"/>
    </row>
    <row r="675" spans="1:5" x14ac:dyDescent="0.25">
      <c r="A675" s="7">
        <v>127.20642052948125</v>
      </c>
      <c r="B675"/>
      <c r="C675"/>
      <c r="D675"/>
      <c r="E675" s="1"/>
    </row>
    <row r="676" spans="1:5" x14ac:dyDescent="0.25">
      <c r="A676" s="7">
        <v>125.94695101928836</v>
      </c>
      <c r="B676"/>
      <c r="C676"/>
      <c r="D676"/>
      <c r="E676" s="1"/>
    </row>
    <row r="677" spans="1:5" x14ac:dyDescent="0.25">
      <c r="A677" s="7">
        <v>124.6999515042459</v>
      </c>
      <c r="B677"/>
      <c r="C677"/>
      <c r="D677"/>
      <c r="E677" s="1"/>
    </row>
    <row r="678" spans="1:5" x14ac:dyDescent="0.25">
      <c r="A678" s="7">
        <v>123.46529851905535</v>
      </c>
      <c r="B678"/>
      <c r="C678"/>
      <c r="D678"/>
      <c r="E678" s="1"/>
    </row>
    <row r="679" spans="1:5" x14ac:dyDescent="0.25">
      <c r="A679" s="7">
        <v>122.24286982084688</v>
      </c>
      <c r="B679"/>
      <c r="C679"/>
      <c r="D679"/>
      <c r="E679" s="1"/>
    </row>
    <row r="680" spans="1:5" x14ac:dyDescent="0.25">
      <c r="A680" s="7">
        <v>121.03254437707612</v>
      </c>
      <c r="B680"/>
      <c r="C680"/>
      <c r="D680"/>
      <c r="E680" s="1"/>
    </row>
    <row r="681" spans="1:5" x14ac:dyDescent="0.25">
      <c r="A681" s="7">
        <v>119.83420235354072</v>
      </c>
      <c r="B681"/>
      <c r="C681"/>
      <c r="D681"/>
      <c r="E681" s="1"/>
    </row>
    <row r="682" spans="1:5" x14ac:dyDescent="0.25">
      <c r="A682" s="7">
        <v>118.64772510251557</v>
      </c>
      <c r="B682"/>
      <c r="C682"/>
      <c r="D682"/>
      <c r="E682" s="1"/>
    </row>
    <row r="683" spans="1:5" x14ac:dyDescent="0.25">
      <c r="A683" s="7">
        <v>117.47299515100551</v>
      </c>
      <c r="B683"/>
      <c r="C683"/>
      <c r="D683"/>
      <c r="E683" s="1"/>
    </row>
    <row r="684" spans="1:5" x14ac:dyDescent="0.25">
      <c r="A684" s="7">
        <v>116.30989618911435</v>
      </c>
      <c r="B684"/>
      <c r="C684"/>
      <c r="D684"/>
      <c r="E684" s="1"/>
    </row>
    <row r="685" spans="1:5" x14ac:dyDescent="0.25">
      <c r="A685" s="7">
        <v>115.15831305852906</v>
      </c>
      <c r="B685"/>
      <c r="C685"/>
      <c r="D685"/>
      <c r="E685" s="1"/>
    </row>
    <row r="686" spans="1:5" x14ac:dyDescent="0.25">
      <c r="A686" s="7">
        <v>114.01813174111788</v>
      </c>
      <c r="B686"/>
      <c r="C686"/>
      <c r="D686"/>
      <c r="E686" s="1"/>
    </row>
    <row r="687" spans="1:5" x14ac:dyDescent="0.25">
      <c r="A687" s="7">
        <v>112.88923934764146</v>
      </c>
      <c r="B687"/>
      <c r="C687"/>
      <c r="D687"/>
      <c r="E687" s="1"/>
    </row>
    <row r="688" spans="1:5" x14ac:dyDescent="0.25">
      <c r="A688" s="7">
        <v>111.77152410657571</v>
      </c>
      <c r="B688"/>
      <c r="C688"/>
      <c r="D688"/>
      <c r="E688" s="1"/>
    </row>
    <row r="689" spans="1:5" x14ac:dyDescent="0.25">
      <c r="A689" s="7">
        <v>110.66487535304526</v>
      </c>
      <c r="B689"/>
      <c r="C689"/>
      <c r="D689"/>
      <c r="E689" s="1"/>
    </row>
    <row r="690" spans="1:5" x14ac:dyDescent="0.25">
      <c r="A690" s="7">
        <v>109.56918351786659</v>
      </c>
      <c r="B690"/>
      <c r="C690"/>
      <c r="D690"/>
      <c r="E690" s="1"/>
    </row>
    <row r="691" spans="1:5" x14ac:dyDescent="0.25">
      <c r="A691" s="7">
        <v>108.4843401166996</v>
      </c>
      <c r="B691"/>
      <c r="C691"/>
      <c r="D691"/>
      <c r="E691" s="1"/>
    </row>
    <row r="692" spans="1:5" x14ac:dyDescent="0.25">
      <c r="A692" s="7">
        <v>107.41023773930654</v>
      </c>
      <c r="B692"/>
      <c r="C692"/>
      <c r="D692"/>
      <c r="E692" s="1"/>
    </row>
    <row r="693" spans="1:5" x14ac:dyDescent="0.25">
      <c r="A693" s="7">
        <v>106.34677003891737</v>
      </c>
      <c r="B693"/>
      <c r="C693"/>
      <c r="D693"/>
      <c r="E693" s="1"/>
    </row>
    <row r="694" spans="1:5" x14ac:dyDescent="0.25">
      <c r="A694" s="7">
        <v>105.29383172170037</v>
      </c>
      <c r="B694"/>
      <c r="C694"/>
      <c r="D694"/>
      <c r="E694" s="1"/>
    </row>
    <row r="695" spans="1:5" x14ac:dyDescent="0.25">
      <c r="A695" s="7">
        <v>104.251318536337</v>
      </c>
      <c r="B695"/>
      <c r="C695"/>
      <c r="D695"/>
      <c r="E695" s="1"/>
    </row>
    <row r="696" spans="1:5" x14ac:dyDescent="0.25">
      <c r="A696" s="7">
        <v>103.21912726369999</v>
      </c>
      <c r="B696"/>
      <c r="C696"/>
      <c r="D696"/>
      <c r="E696" s="1"/>
    </row>
    <row r="697" spans="1:5" x14ac:dyDescent="0.25">
      <c r="A697" s="7">
        <v>102.19715570663365</v>
      </c>
      <c r="B697"/>
      <c r="C697"/>
      <c r="D697"/>
      <c r="E697" s="1"/>
    </row>
    <row r="698" spans="1:5" x14ac:dyDescent="0.25">
      <c r="A698" s="7">
        <v>101.1853026798353</v>
      </c>
      <c r="B698"/>
      <c r="C698"/>
      <c r="D698"/>
      <c r="E698" s="1"/>
    </row>
    <row r="699" spans="1:5" x14ac:dyDescent="0.25">
      <c r="A699" s="7">
        <v>100.18346799983694</v>
      </c>
      <c r="B699"/>
      <c r="C699"/>
      <c r="D699"/>
      <c r="E699" s="1"/>
    </row>
    <row r="700" spans="1:5" x14ac:dyDescent="0.25">
      <c r="A700" s="7">
        <v>99.19155247508607</v>
      </c>
      <c r="B700"/>
      <c r="C700"/>
      <c r="D700"/>
      <c r="E700" s="1"/>
    </row>
    <row r="701" spans="1:5" x14ac:dyDescent="0.25">
      <c r="A701" s="7">
        <v>98.209457896124817</v>
      </c>
      <c r="B701"/>
      <c r="C701"/>
      <c r="D701"/>
      <c r="E701" s="1"/>
    </row>
    <row r="702" spans="1:5" x14ac:dyDescent="0.25">
      <c r="A702" s="7">
        <v>97.23708702586616</v>
      </c>
      <c r="B702"/>
      <c r="C702"/>
      <c r="D702"/>
      <c r="E702" s="1"/>
    </row>
    <row r="703" spans="1:5" x14ac:dyDescent="0.25">
      <c r="A703" s="7">
        <v>96.274343589966492</v>
      </c>
      <c r="B703"/>
      <c r="C703"/>
      <c r="D703"/>
      <c r="E703" s="1"/>
    </row>
    <row r="704" spans="1:5" x14ac:dyDescent="0.25">
      <c r="A704" s="7">
        <v>95.321132267293549</v>
      </c>
      <c r="B704"/>
      <c r="C704"/>
      <c r="D704"/>
      <c r="E704" s="1"/>
    </row>
    <row r="705" spans="1:5" x14ac:dyDescent="0.25">
      <c r="A705" s="7">
        <v>94.377358680488669</v>
      </c>
      <c r="B705"/>
      <c r="C705"/>
      <c r="D705"/>
      <c r="E705" s="1"/>
    </row>
    <row r="706" spans="1:5" x14ac:dyDescent="0.25">
      <c r="A706" s="7">
        <v>93.442929386622438</v>
      </c>
      <c r="B706"/>
      <c r="C706"/>
      <c r="D706"/>
      <c r="E706" s="1"/>
    </row>
    <row r="707" spans="1:5" x14ac:dyDescent="0.25">
      <c r="A707" s="7">
        <v>92.517751867943005</v>
      </c>
      <c r="B707"/>
      <c r="C707"/>
      <c r="D707"/>
      <c r="E707" s="1"/>
    </row>
    <row r="708" spans="1:5" x14ac:dyDescent="0.25">
      <c r="A708" s="7">
        <v>91.601734522715844</v>
      </c>
      <c r="B708"/>
      <c r="C708"/>
      <c r="D708"/>
      <c r="E708" s="1"/>
    </row>
    <row r="709" spans="1:5" x14ac:dyDescent="0.25">
      <c r="A709" s="7">
        <v>90.694786656154307</v>
      </c>
      <c r="B709"/>
      <c r="C709"/>
      <c r="D709"/>
      <c r="E709" s="1"/>
    </row>
    <row r="710" spans="1:5" x14ac:dyDescent="0.25">
      <c r="A710" s="7">
        <v>89.796818471439906</v>
      </c>
      <c r="B710"/>
      <c r="C710"/>
      <c r="D710"/>
      <c r="E710" s="1"/>
    </row>
    <row r="711" spans="1:5" x14ac:dyDescent="0.25">
      <c r="A711" s="7">
        <v>88.907741060831583</v>
      </c>
      <c r="B711"/>
      <c r="C711"/>
      <c r="D711"/>
      <c r="E711" s="1"/>
    </row>
    <row r="712" spans="1:5" x14ac:dyDescent="0.25">
      <c r="A712" s="7">
        <v>88.027466396862948</v>
      </c>
      <c r="B712"/>
      <c r="C712"/>
      <c r="D712"/>
      <c r="E712" s="1"/>
    </row>
    <row r="713" spans="1:5" x14ac:dyDescent="0.25">
      <c r="A713" s="7">
        <v>87.155907323626678</v>
      </c>
      <c r="B713"/>
      <c r="C713"/>
      <c r="D713"/>
      <c r="E713" s="1"/>
    </row>
    <row r="714" spans="1:5" x14ac:dyDescent="0.25">
      <c r="A714" s="7">
        <v>86.292977548145231</v>
      </c>
      <c r="B714"/>
      <c r="C714"/>
      <c r="D714"/>
      <c r="E714" s="1"/>
    </row>
    <row r="715" spans="1:5" x14ac:dyDescent="0.25">
      <c r="A715" s="7">
        <v>85.438591631826966</v>
      </c>
      <c r="B715"/>
      <c r="C715"/>
      <c r="D715"/>
      <c r="E715" s="1"/>
    </row>
    <row r="716" spans="1:5" x14ac:dyDescent="0.25">
      <c r="A716" s="7">
        <v>84.592664982006895</v>
      </c>
      <c r="B716"/>
      <c r="C716"/>
      <c r="D716"/>
      <c r="E716" s="1"/>
    </row>
    <row r="717" spans="1:5" x14ac:dyDescent="0.25">
      <c r="A717" s="7">
        <v>83.755113843571181</v>
      </c>
      <c r="B717"/>
      <c r="C717"/>
      <c r="D717"/>
      <c r="E717" s="1"/>
    </row>
    <row r="718" spans="1:5" x14ac:dyDescent="0.25">
      <c r="A718" s="7">
        <v>82.925855290664529</v>
      </c>
      <c r="B718"/>
      <c r="C718"/>
      <c r="D718"/>
      <c r="E718" s="1"/>
    </row>
    <row r="719" spans="1:5" x14ac:dyDescent="0.25">
      <c r="A719" s="7">
        <v>82.104807218479735</v>
      </c>
      <c r="B719"/>
      <c r="C719"/>
      <c r="D719"/>
      <c r="E719" s="1"/>
    </row>
    <row r="720" spans="1:5" x14ac:dyDescent="0.25">
      <c r="A720" s="7">
        <v>81.291888335128448</v>
      </c>
      <c r="B720"/>
      <c r="C720"/>
      <c r="D720"/>
      <c r="E720" s="1"/>
    </row>
    <row r="721" spans="1:5" x14ac:dyDescent="0.25">
      <c r="A721" s="7">
        <v>80.487018153592516</v>
      </c>
      <c r="B721"/>
      <c r="C721"/>
      <c r="D721"/>
      <c r="E721" s="1"/>
    </row>
    <row r="722" spans="1:5" x14ac:dyDescent="0.25">
      <c r="A722" s="7">
        <v>79.690116983754962</v>
      </c>
      <c r="B722"/>
      <c r="C722"/>
      <c r="D722"/>
      <c r="E722" s="1"/>
    </row>
    <row r="723" spans="1:5" x14ac:dyDescent="0.25">
      <c r="A723" s="7">
        <v>78.901105924509864</v>
      </c>
      <c r="B723"/>
      <c r="C723"/>
      <c r="D723"/>
      <c r="E723" s="1"/>
    </row>
    <row r="724" spans="1:5" x14ac:dyDescent="0.25">
      <c r="A724" s="7">
        <v>78.119906855950362</v>
      </c>
      <c r="B724"/>
      <c r="C724"/>
      <c r="D724"/>
      <c r="E724" s="1"/>
    </row>
    <row r="725" spans="1:5" x14ac:dyDescent="0.25">
      <c r="A725" s="7">
        <v>77.346442431634017</v>
      </c>
      <c r="B725"/>
      <c r="C725"/>
      <c r="D725"/>
      <c r="E725" s="1"/>
    </row>
    <row r="726" spans="1:5" x14ac:dyDescent="0.25">
      <c r="A726" s="7">
        <v>76.580636070924768</v>
      </c>
      <c r="B726"/>
      <c r="C726"/>
      <c r="D726"/>
      <c r="E726" s="1"/>
    </row>
    <row r="727" spans="1:5" x14ac:dyDescent="0.25">
      <c r="A727" s="7">
        <v>75.822411951410658</v>
      </c>
      <c r="B727"/>
      <c r="C727"/>
      <c r="D727"/>
      <c r="E727" s="1"/>
    </row>
    <row r="728" spans="1:5" x14ac:dyDescent="0.25">
      <c r="A728" s="7">
        <v>75.071695001396691</v>
      </c>
      <c r="B728"/>
      <c r="C728"/>
      <c r="D728"/>
      <c r="E728" s="1"/>
    </row>
    <row r="729" spans="1:5" x14ac:dyDescent="0.25">
      <c r="A729" s="7">
        <v>74.328410892471965</v>
      </c>
      <c r="B729"/>
      <c r="C729"/>
      <c r="D729"/>
      <c r="E729" s="1"/>
    </row>
    <row r="730" spans="1:5" x14ac:dyDescent="0.25">
      <c r="A730" s="7">
        <v>73.592486032150461</v>
      </c>
      <c r="B730"/>
      <c r="C730"/>
      <c r="D730"/>
      <c r="E730" s="1"/>
    </row>
    <row r="731" spans="1:5" x14ac:dyDescent="0.25">
      <c r="A731" s="7">
        <v>72.863847556584616</v>
      </c>
      <c r="B731"/>
      <c r="C731"/>
      <c r="D731"/>
      <c r="E731" s="1"/>
    </row>
    <row r="732" spans="1:5" x14ac:dyDescent="0.25">
      <c r="A732" s="7">
        <v>72.14242332335111</v>
      </c>
      <c r="B732"/>
      <c r="C732"/>
      <c r="D732"/>
      <c r="E732" s="1"/>
    </row>
    <row r="733" spans="1:5" x14ac:dyDescent="0.25">
      <c r="A733" s="7">
        <v>71.428141904308035</v>
      </c>
      <c r="B733"/>
      <c r="C733"/>
      <c r="D733"/>
      <c r="E733" s="1"/>
    </row>
    <row r="734" spans="1:5" x14ac:dyDescent="0.25">
      <c r="A734" s="7">
        <v>70.720932578522806</v>
      </c>
      <c r="B734"/>
      <c r="C734"/>
      <c r="D734"/>
      <c r="E734" s="1"/>
    </row>
    <row r="735" spans="1:5" x14ac:dyDescent="0.25">
      <c r="A735" s="7">
        <v>70.020725325270107</v>
      </c>
      <c r="B735"/>
      <c r="C735"/>
      <c r="D735"/>
      <c r="E735" s="1"/>
    </row>
    <row r="736" spans="1:5" x14ac:dyDescent="0.25">
      <c r="A736" s="7">
        <v>69.32745081709912</v>
      </c>
      <c r="B736"/>
      <c r="C736"/>
      <c r="D736"/>
      <c r="E736" s="1"/>
    </row>
    <row r="737" spans="1:5" x14ac:dyDescent="0.25">
      <c r="A737" s="7">
        <v>68.641040412969431</v>
      </c>
      <c r="B737"/>
      <c r="C737"/>
      <c r="D737"/>
      <c r="E737" s="1"/>
    </row>
    <row r="738" spans="1:5" x14ac:dyDescent="0.25">
      <c r="A738" s="7">
        <v>67.961426151454887</v>
      </c>
      <c r="B738"/>
      <c r="C738"/>
      <c r="D738"/>
      <c r="E738" s="1"/>
    </row>
    <row r="739" spans="1:5" x14ac:dyDescent="0.25">
      <c r="A739" s="7">
        <v>67.288540744014739</v>
      </c>
      <c r="B739"/>
      <c r="C739"/>
      <c r="D739"/>
      <c r="E739" s="1"/>
    </row>
    <row r="740" spans="1:5" x14ac:dyDescent="0.25">
      <c r="A740" s="7">
        <v>66.622317568331425</v>
      </c>
      <c r="B740"/>
      <c r="C740"/>
      <c r="D740"/>
      <c r="E740" s="1"/>
    </row>
    <row r="741" spans="1:5" x14ac:dyDescent="0.25">
      <c r="A741" s="7">
        <v>65.962690661714277</v>
      </c>
      <c r="B741"/>
      <c r="C741"/>
      <c r="D741"/>
      <c r="E741" s="1"/>
    </row>
    <row r="742" spans="1:5" x14ac:dyDescent="0.25">
      <c r="A742" s="7">
        <v>65.30959471456859</v>
      </c>
      <c r="B742"/>
      <c r="C742"/>
      <c r="D742"/>
      <c r="E742" s="1"/>
    </row>
    <row r="743" spans="1:5" x14ac:dyDescent="0.25">
      <c r="A743" s="7">
        <v>64.662965063929292</v>
      </c>
      <c r="B743"/>
      <c r="C743"/>
      <c r="D743"/>
      <c r="E743" s="1"/>
    </row>
    <row r="744" spans="1:5" x14ac:dyDescent="0.25">
      <c r="A744" s="7">
        <v>64.022737687058708</v>
      </c>
      <c r="B744"/>
      <c r="C744"/>
      <c r="D744"/>
      <c r="E744" s="1"/>
    </row>
    <row r="745" spans="1:5" x14ac:dyDescent="0.25">
      <c r="A745" s="7">
        <v>63.388849195107632</v>
      </c>
      <c r="B745"/>
      <c r="C745"/>
      <c r="D745"/>
      <c r="E745" s="1"/>
    </row>
    <row r="746" spans="1:5" x14ac:dyDescent="0.25">
      <c r="A746" s="7">
        <v>62.761236826839237</v>
      </c>
      <c r="B746"/>
      <c r="C746"/>
      <c r="D746"/>
      <c r="E746" s="1"/>
    </row>
    <row r="747" spans="1:5" x14ac:dyDescent="0.25">
      <c r="A747" s="7">
        <v>62.139838442415083</v>
      </c>
      <c r="B747"/>
      <c r="C747"/>
      <c r="D747"/>
      <c r="E747" s="1"/>
    </row>
    <row r="748" spans="1:5" x14ac:dyDescent="0.25">
      <c r="A748" s="7">
        <v>61.52459251724266</v>
      </c>
      <c r="B748"/>
      <c r="C748"/>
      <c r="D748"/>
      <c r="E748" s="1"/>
    </row>
    <row r="749" spans="1:5" x14ac:dyDescent="0.25">
      <c r="A749" s="7">
        <v>60.915438135883818</v>
      </c>
      <c r="B749"/>
      <c r="C749"/>
      <c r="D749"/>
      <c r="E749" s="1"/>
    </row>
    <row r="750" spans="1:5" x14ac:dyDescent="0.25">
      <c r="A750" s="7">
        <v>60.31231498602358</v>
      </c>
      <c r="B750"/>
      <c r="C750"/>
      <c r="D750"/>
      <c r="E750" s="1"/>
    </row>
    <row r="751" spans="1:5" x14ac:dyDescent="0.25">
      <c r="A751" s="7">
        <v>59.715163352498593</v>
      </c>
      <c r="B751"/>
      <c r="C751"/>
      <c r="D751"/>
      <c r="E751" s="1"/>
    </row>
    <row r="752" spans="1:5" x14ac:dyDescent="0.25">
      <c r="A752" s="7">
        <v>59.123924111384746</v>
      </c>
      <c r="B752"/>
      <c r="C752"/>
      <c r="D752"/>
      <c r="E752" s="1"/>
    </row>
    <row r="753" spans="1:5" x14ac:dyDescent="0.25">
      <c r="A753" s="7">
        <v>58.538538724143315</v>
      </c>
      <c r="B753"/>
      <c r="C753"/>
      <c r="D753"/>
      <c r="E753" s="1"/>
    </row>
    <row r="754" spans="1:5" x14ac:dyDescent="0.25">
      <c r="A754" s="7">
        <v>57.958949231825066</v>
      </c>
      <c r="B754"/>
      <c r="C754"/>
      <c r="D754"/>
      <c r="E754" s="1"/>
    </row>
    <row r="755" spans="1:5" x14ac:dyDescent="0.25">
      <c r="A755" s="7">
        <v>57.385098249331747</v>
      </c>
      <c r="B755"/>
      <c r="C755"/>
      <c r="D755"/>
      <c r="E755" s="1"/>
    </row>
    <row r="756" spans="1:5" x14ac:dyDescent="0.25">
      <c r="A756" s="7">
        <v>56.816928959734405</v>
      </c>
      <c r="B756"/>
      <c r="C756"/>
      <c r="D756"/>
      <c r="E756" s="1"/>
    </row>
    <row r="757" spans="1:5" x14ac:dyDescent="0.25">
      <c r="A757" s="7">
        <v>56.254385108647924</v>
      </c>
      <c r="B757"/>
      <c r="C757"/>
      <c r="D757"/>
      <c r="E757" s="1"/>
    </row>
    <row r="758" spans="1:5" x14ac:dyDescent="0.25">
      <c r="A758" s="7">
        <v>55.697410998661312</v>
      </c>
      <c r="B758"/>
      <c r="C758"/>
      <c r="D758"/>
      <c r="E758" s="1"/>
    </row>
    <row r="759" spans="1:5" x14ac:dyDescent="0.25">
      <c r="A759" s="7">
        <v>55.145951483823083</v>
      </c>
      <c r="B759"/>
      <c r="C759"/>
      <c r="D759"/>
      <c r="E759" s="1"/>
    </row>
    <row r="760" spans="1:5" x14ac:dyDescent="0.25">
      <c r="A760" s="7">
        <v>54.599951964181273</v>
      </c>
      <c r="B760"/>
      <c r="C760"/>
      <c r="D760"/>
      <c r="E760" s="1"/>
    </row>
    <row r="761" spans="1:5" x14ac:dyDescent="0.25">
      <c r="A761" s="7">
        <v>54.059358380377496</v>
      </c>
      <c r="B761"/>
      <c r="C761"/>
      <c r="D761"/>
      <c r="E761" s="1"/>
    </row>
    <row r="762" spans="1:5" x14ac:dyDescent="0.25">
      <c r="A762" s="7">
        <v>53.524117208294548</v>
      </c>
      <c r="B762"/>
      <c r="C762"/>
      <c r="D762"/>
      <c r="E762" s="1"/>
    </row>
    <row r="763" spans="1:5" x14ac:dyDescent="0.25">
      <c r="A763" s="7">
        <v>52.994175453756981</v>
      </c>
      <c r="B763"/>
      <c r="C763"/>
      <c r="D763"/>
      <c r="E763" s="1"/>
    </row>
    <row r="764" spans="1:5" x14ac:dyDescent="0.25">
      <c r="A764" s="7">
        <v>52.469480647284136</v>
      </c>
      <c r="B764"/>
      <c r="C764"/>
      <c r="D764"/>
      <c r="E764" s="1"/>
    </row>
    <row r="765" spans="1:5" x14ac:dyDescent="0.25">
      <c r="A765" s="7">
        <v>51.949980838895186</v>
      </c>
      <c r="B765"/>
      <c r="C765"/>
      <c r="D765"/>
      <c r="E765" s="1"/>
    </row>
    <row r="766" spans="1:5" x14ac:dyDescent="0.25">
      <c r="A766" s="7">
        <v>51.435624592965532</v>
      </c>
      <c r="B766"/>
      <c r="C766"/>
      <c r="D766"/>
      <c r="E766" s="1"/>
    </row>
    <row r="767" spans="1:5" x14ac:dyDescent="0.25">
      <c r="A767" s="7">
        <v>50.926360983134188</v>
      </c>
      <c r="B767"/>
      <c r="C767"/>
      <c r="D767"/>
      <c r="E767" s="1"/>
    </row>
    <row r="768" spans="1:5" x14ac:dyDescent="0.25">
      <c r="A768" s="7">
        <v>50.422139587261569</v>
      </c>
      <c r="B768"/>
      <c r="C768"/>
      <c r="D768"/>
      <c r="E768" s="1"/>
    </row>
    <row r="769" spans="1:5" x14ac:dyDescent="0.25">
      <c r="A769" s="7">
        <v>49.922910482437196</v>
      </c>
      <c r="B769"/>
      <c r="C769"/>
      <c r="D769"/>
      <c r="E769" s="1"/>
    </row>
    <row r="770" spans="1:5" x14ac:dyDescent="0.25">
      <c r="A770" s="7">
        <v>49.428624240036825</v>
      </c>
      <c r="B770"/>
      <c r="C770"/>
      <c r="D770"/>
      <c r="E770" s="1"/>
    </row>
    <row r="771" spans="1:5" x14ac:dyDescent="0.25">
      <c r="A771" s="7">
        <v>48.93923192082854</v>
      </c>
      <c r="B771"/>
      <c r="C771"/>
      <c r="D771"/>
      <c r="E771" s="1"/>
    </row>
    <row r="772" spans="1:5" x14ac:dyDescent="0.25">
      <c r="A772" s="7">
        <v>48.454685070127269</v>
      </c>
      <c r="B772"/>
      <c r="C772"/>
      <c r="D772"/>
      <c r="E772" s="1"/>
    </row>
    <row r="773" spans="1:5" x14ac:dyDescent="0.25">
      <c r="A773" s="7">
        <v>47.974935712997294</v>
      </c>
      <c r="B773"/>
      <c r="C773"/>
      <c r="D773"/>
      <c r="E773" s="1"/>
    </row>
    <row r="774" spans="1:5" x14ac:dyDescent="0.25">
      <c r="A774" s="7">
        <v>47.499936349502271</v>
      </c>
      <c r="B774"/>
      <c r="C774"/>
      <c r="D774"/>
      <c r="E774" s="1"/>
    </row>
    <row r="775" spans="1:5" x14ac:dyDescent="0.25">
      <c r="A775" s="7">
        <v>47.029639950002249</v>
      </c>
      <c r="B775"/>
      <c r="C775"/>
      <c r="D775"/>
      <c r="E775" s="1"/>
    </row>
    <row r="776" spans="1:5" x14ac:dyDescent="0.25">
      <c r="A776" s="7">
        <v>46.563999950497276</v>
      </c>
      <c r="B776"/>
      <c r="C776"/>
      <c r="D776"/>
      <c r="E776" s="1"/>
    </row>
    <row r="777" spans="1:5" x14ac:dyDescent="0.25">
      <c r="A777" s="7">
        <v>46.102970248017108</v>
      </c>
      <c r="B777"/>
      <c r="C777"/>
      <c r="D777"/>
      <c r="E777" s="1"/>
    </row>
    <row r="778" spans="1:5" x14ac:dyDescent="0.25">
      <c r="A778" s="7">
        <v>45.646505196056545</v>
      </c>
      <c r="B778"/>
      <c r="C778"/>
      <c r="D778"/>
      <c r="E778" s="1"/>
    </row>
    <row r="779" spans="1:5" x14ac:dyDescent="0.25">
      <c r="A779" s="7">
        <v>45.194559600055982</v>
      </c>
      <c r="B779"/>
      <c r="C779"/>
      <c r="D779"/>
      <c r="E779" s="1"/>
    </row>
    <row r="780" spans="1:5" x14ac:dyDescent="0.25">
      <c r="A780" s="7">
        <v>44.747088712926711</v>
      </c>
      <c r="B780"/>
      <c r="C780"/>
      <c r="D780"/>
      <c r="E780" s="1"/>
    </row>
    <row r="781" spans="1:5" x14ac:dyDescent="0.25">
      <c r="A781" s="7">
        <v>44.304048230620509</v>
      </c>
      <c r="B781"/>
      <c r="C781"/>
      <c r="D781"/>
      <c r="E781" s="1"/>
    </row>
    <row r="782" spans="1:5" x14ac:dyDescent="0.25">
      <c r="A782" s="7">
        <v>43.865394287743079</v>
      </c>
      <c r="B782"/>
      <c r="C782"/>
      <c r="D782"/>
      <c r="E782" s="1"/>
    </row>
    <row r="783" spans="1:5" x14ac:dyDescent="0.25">
      <c r="A783" s="7">
        <v>43.431083453210967</v>
      </c>
      <c r="B783"/>
      <c r="C783"/>
      <c r="D783"/>
      <c r="E783" s="1"/>
    </row>
    <row r="784" spans="1:5" x14ac:dyDescent="0.25">
      <c r="A784" s="7">
        <v>43.001072725951452</v>
      </c>
      <c r="B784"/>
      <c r="C784"/>
      <c r="D784"/>
      <c r="E784" s="1"/>
    </row>
    <row r="785" spans="1:5" x14ac:dyDescent="0.25">
      <c r="A785" s="7">
        <v>42.575319530645004</v>
      </c>
      <c r="B785"/>
      <c r="C785"/>
      <c r="D785"/>
      <c r="E785" s="1"/>
    </row>
    <row r="786" spans="1:5" x14ac:dyDescent="0.25">
      <c r="A786" s="7">
        <v>42.153781713509908</v>
      </c>
      <c r="B786"/>
      <c r="C786"/>
      <c r="D786"/>
      <c r="E786" s="1"/>
    </row>
    <row r="787" spans="1:5" x14ac:dyDescent="0.25">
      <c r="A787" s="7">
        <v>41.73641753812862</v>
      </c>
      <c r="B787"/>
      <c r="C787"/>
      <c r="D787"/>
      <c r="E787" s="1"/>
    </row>
    <row r="788" spans="1:5" x14ac:dyDescent="0.25">
      <c r="A788" s="7">
        <v>41.323185681315465</v>
      </c>
      <c r="B788"/>
      <c r="C788"/>
      <c r="D788"/>
      <c r="E788" s="1"/>
    </row>
    <row r="789" spans="1:5" x14ac:dyDescent="0.25">
      <c r="A789" s="7">
        <v>40.914045229025213</v>
      </c>
      <c r="B789"/>
      <c r="C789"/>
      <c r="D789"/>
      <c r="E789" s="1"/>
    </row>
    <row r="790" spans="1:5" x14ac:dyDescent="0.25">
      <c r="A790" s="7">
        <v>40.508955672302193</v>
      </c>
      <c r="B790"/>
      <c r="C790"/>
      <c r="D790"/>
      <c r="E790" s="1"/>
    </row>
    <row r="791" spans="1:5" x14ac:dyDescent="0.25">
      <c r="A791" s="7">
        <v>40.107876903269499</v>
      </c>
      <c r="B791"/>
      <c r="C791"/>
      <c r="D791"/>
      <c r="E791" s="1"/>
    </row>
    <row r="792" spans="1:5" x14ac:dyDescent="0.25">
      <c r="A792" s="7">
        <v>39.710769211157917</v>
      </c>
      <c r="B792"/>
      <c r="C792"/>
      <c r="D792"/>
      <c r="E792" s="1"/>
    </row>
    <row r="793" spans="1:5" x14ac:dyDescent="0.25">
      <c r="A793" s="7">
        <v>39.317593278374176</v>
      </c>
      <c r="B793"/>
      <c r="C793"/>
      <c r="D793"/>
      <c r="E793" s="1"/>
    </row>
    <row r="794" spans="1:5" x14ac:dyDescent="0.25">
      <c r="A794" s="7">
        <v>38.928310176608093</v>
      </c>
      <c r="B794"/>
      <c r="C794"/>
      <c r="D794"/>
      <c r="E794" s="1"/>
    </row>
    <row r="795" spans="1:5" x14ac:dyDescent="0.25">
      <c r="A795" s="7">
        <v>38.542881362978306</v>
      </c>
      <c r="B795"/>
      <c r="C795"/>
      <c r="D795"/>
      <c r="E795" s="1"/>
    </row>
    <row r="796" spans="1:5" x14ac:dyDescent="0.25">
      <c r="A796" s="7">
        <v>38.161268676216146</v>
      </c>
      <c r="B796"/>
      <c r="C796"/>
      <c r="D796"/>
      <c r="E796" s="1"/>
    </row>
    <row r="797" spans="1:5" x14ac:dyDescent="0.25">
      <c r="A797" s="7">
        <v>37.783434332887275</v>
      </c>
      <c r="B797"/>
      <c r="C797"/>
      <c r="D797"/>
      <c r="E797" s="1"/>
    </row>
    <row r="798" spans="1:5" x14ac:dyDescent="0.25">
      <c r="A798" s="7">
        <v>37.409340923650767</v>
      </c>
      <c r="B798"/>
      <c r="C798"/>
      <c r="D798"/>
      <c r="E798" s="1"/>
    </row>
    <row r="799" spans="1:5" x14ac:dyDescent="0.25">
      <c r="A799" s="7">
        <v>37.038951409555217</v>
      </c>
      <c r="B799"/>
      <c r="C799"/>
      <c r="D799"/>
      <c r="E799" s="1"/>
    </row>
    <row r="800" spans="1:5" x14ac:dyDescent="0.25">
      <c r="A800" s="7">
        <v>36.672229118371504</v>
      </c>
      <c r="B800"/>
      <c r="C800"/>
      <c r="D800"/>
      <c r="E800" s="1"/>
    </row>
    <row r="801" spans="1:5" x14ac:dyDescent="0.25">
      <c r="A801" s="7">
        <v>36.309137740961887</v>
      </c>
      <c r="B801"/>
      <c r="C801"/>
      <c r="D801"/>
      <c r="E801" s="1"/>
    </row>
    <row r="802" spans="1:5" x14ac:dyDescent="0.25">
      <c r="A802" s="7">
        <v>35.949641327685036</v>
      </c>
      <c r="B802"/>
      <c r="C802"/>
      <c r="D802"/>
      <c r="E802" s="1"/>
    </row>
    <row r="803" spans="1:5" x14ac:dyDescent="0.25">
      <c r="A803" s="7">
        <v>35.593704284836669</v>
      </c>
      <c r="B803"/>
      <c r="C803"/>
      <c r="D803"/>
      <c r="E803" s="1"/>
    </row>
    <row r="804" spans="1:5" x14ac:dyDescent="0.25">
      <c r="A804" s="7">
        <v>35.241291371125413</v>
      </c>
      <c r="B804"/>
      <c r="C804"/>
      <c r="D804"/>
      <c r="E804" s="1"/>
    </row>
    <row r="805" spans="1:5" x14ac:dyDescent="0.25">
      <c r="A805" s="7">
        <v>34.892367694183577</v>
      </c>
      <c r="B805"/>
      <c r="C805"/>
      <c r="D805"/>
      <c r="E805" s="1"/>
    </row>
    <row r="806" spans="1:5" x14ac:dyDescent="0.25">
      <c r="A806" s="7">
        <v>34.546898707112454</v>
      </c>
      <c r="B806"/>
      <c r="C806"/>
      <c r="D806"/>
      <c r="E806" s="1"/>
    </row>
    <row r="807" spans="1:5" x14ac:dyDescent="0.25">
      <c r="A807" s="7">
        <v>34.204850205061838</v>
      </c>
      <c r="B807"/>
      <c r="C807"/>
      <c r="D807"/>
      <c r="E807" s="1"/>
    </row>
    <row r="808" spans="1:5" x14ac:dyDescent="0.25">
      <c r="A808" s="7">
        <v>33.866188321843403</v>
      </c>
      <c r="B808"/>
      <c r="C808"/>
      <c r="D808"/>
      <c r="E808" s="1"/>
    </row>
    <row r="809" spans="1:5" x14ac:dyDescent="0.25">
      <c r="A809" s="7">
        <v>33.530879526577628</v>
      </c>
      <c r="B809"/>
      <c r="C809"/>
      <c r="D809"/>
      <c r="E809" s="1"/>
    </row>
    <row r="810" spans="1:5" x14ac:dyDescent="0.25">
      <c r="A810" s="7">
        <v>33.198890620373888</v>
      </c>
      <c r="B810"/>
      <c r="C810"/>
      <c r="D810"/>
      <c r="E810" s="1"/>
    </row>
    <row r="811" spans="1:5" x14ac:dyDescent="0.25">
      <c r="A811" s="7">
        <v>32.870188733043456</v>
      </c>
      <c r="B811"/>
      <c r="C811"/>
      <c r="D811"/>
      <c r="E811" s="1"/>
    </row>
    <row r="812" spans="1:5" x14ac:dyDescent="0.25">
      <c r="A812" s="7">
        <v>32.544741319845002</v>
      </c>
      <c r="B812"/>
      <c r="C812"/>
      <c r="D812"/>
      <c r="E812" s="1"/>
    </row>
    <row r="813" spans="1:5" x14ac:dyDescent="0.25">
      <c r="A813" s="7">
        <v>32.22251615826238</v>
      </c>
      <c r="B813"/>
      <c r="C813"/>
      <c r="D813"/>
      <c r="E813" s="1"/>
    </row>
    <row r="814" spans="1:5" x14ac:dyDescent="0.25">
      <c r="A814" s="7">
        <v>31.903481344814235</v>
      </c>
      <c r="B814"/>
      <c r="C814"/>
      <c r="D814"/>
      <c r="E814" s="1"/>
    </row>
    <row r="815" spans="1:5" x14ac:dyDescent="0.25">
      <c r="A815" s="7">
        <v>31.587605291895283</v>
      </c>
      <c r="B815"/>
      <c r="C815"/>
      <c r="D815"/>
      <c r="E815" s="1"/>
    </row>
    <row r="816" spans="1:5" x14ac:dyDescent="0.25">
      <c r="A816" s="7">
        <v>31.274856724648796</v>
      </c>
      <c r="B816"/>
      <c r="C816"/>
      <c r="D816"/>
      <c r="E816" s="1"/>
    </row>
    <row r="817" spans="1:5" x14ac:dyDescent="0.25">
      <c r="A817" s="7">
        <v>30.965204677870094</v>
      </c>
      <c r="B817"/>
      <c r="C817"/>
      <c r="D817"/>
      <c r="E817" s="1"/>
    </row>
    <row r="818" spans="1:5" x14ac:dyDescent="0.25">
      <c r="A818" s="7">
        <v>30.658618492940686</v>
      </c>
      <c r="B818"/>
      <c r="C818"/>
      <c r="D818"/>
      <c r="E818" s="1"/>
    </row>
    <row r="819" spans="1:5" x14ac:dyDescent="0.25">
      <c r="A819" s="7">
        <v>30.355067814792758</v>
      </c>
      <c r="B819"/>
      <c r="C819"/>
      <c r="D819"/>
      <c r="E819" s="1"/>
    </row>
    <row r="820" spans="1:5" x14ac:dyDescent="0.25">
      <c r="A820" s="7">
        <v>30.054522588903719</v>
      </c>
      <c r="B820"/>
      <c r="C820"/>
      <c r="D820"/>
      <c r="E820" s="1"/>
    </row>
    <row r="821" spans="1:5" x14ac:dyDescent="0.25">
      <c r="A821" s="7">
        <v>29.756953058320512</v>
      </c>
      <c r="B821"/>
      <c r="C821"/>
      <c r="D821"/>
      <c r="E821" s="1"/>
    </row>
    <row r="822" spans="1:5" x14ac:dyDescent="0.25">
      <c r="A822" s="7">
        <v>29.462329760713377</v>
      </c>
      <c r="B822"/>
      <c r="C822"/>
      <c r="D822"/>
      <c r="E822" s="1"/>
    </row>
    <row r="823" spans="1:5" x14ac:dyDescent="0.25">
      <c r="A823" s="7">
        <v>29.17062352545879</v>
      </c>
      <c r="B823"/>
      <c r="C823"/>
      <c r="D823"/>
      <c r="E823" s="1"/>
    </row>
    <row r="824" spans="1:5" x14ac:dyDescent="0.25">
      <c r="A824" s="7">
        <v>28.881805470751278</v>
      </c>
      <c r="B824"/>
      <c r="C824"/>
      <c r="D824"/>
      <c r="E824" s="1"/>
    </row>
    <row r="825" spans="1:5" x14ac:dyDescent="0.25">
      <c r="A825" s="7">
        <v>28.595847000743838</v>
      </c>
      <c r="B825"/>
      <c r="C825"/>
      <c r="D825"/>
      <c r="E825" s="1"/>
    </row>
    <row r="826" spans="1:5" x14ac:dyDescent="0.25">
      <c r="A826" s="7">
        <v>28.312719802716671</v>
      </c>
      <c r="B826"/>
      <c r="C826"/>
      <c r="D826"/>
      <c r="E826" s="1"/>
    </row>
    <row r="827" spans="1:5" x14ac:dyDescent="0.25">
      <c r="A827" s="7">
        <v>28.032395844273932</v>
      </c>
      <c r="B827"/>
      <c r="C827"/>
      <c r="D827"/>
      <c r="E827" s="1"/>
    </row>
    <row r="828" spans="1:5" x14ac:dyDescent="0.25">
      <c r="A828" s="7">
        <v>27.75484737056825</v>
      </c>
      <c r="B828"/>
      <c r="C828"/>
      <c r="D828"/>
      <c r="E828" s="1"/>
    </row>
    <row r="829" spans="1:5" x14ac:dyDescent="0.25">
      <c r="A829" s="7">
        <v>27.480046901552722</v>
      </c>
      <c r="B829"/>
      <c r="C829"/>
      <c r="D829"/>
      <c r="E829" s="1"/>
    </row>
    <row r="830" spans="1:5" x14ac:dyDescent="0.25">
      <c r="A830" s="7">
        <v>27.20796722926012</v>
      </c>
      <c r="B830"/>
      <c r="C830"/>
      <c r="D830"/>
      <c r="E830" s="1"/>
    </row>
    <row r="831" spans="1:5" x14ac:dyDescent="0.25">
      <c r="A831" s="7">
        <v>26.938581415109031</v>
      </c>
      <c r="B831"/>
      <c r="C831"/>
      <c r="D831"/>
      <c r="E831" s="1"/>
    </row>
    <row r="832" spans="1:5" x14ac:dyDescent="0.25">
      <c r="A832" s="7">
        <v>26.671862787236662</v>
      </c>
      <c r="B832"/>
      <c r="C832"/>
      <c r="D832"/>
      <c r="E832" s="1"/>
    </row>
    <row r="833" spans="1:5" x14ac:dyDescent="0.25">
      <c r="A833" s="7">
        <v>26.407784937858082</v>
      </c>
      <c r="B833"/>
      <c r="C833"/>
      <c r="D833"/>
      <c r="E833" s="1"/>
    </row>
    <row r="834" spans="1:5" x14ac:dyDescent="0.25">
      <c r="A834" s="7">
        <v>26.146321720651567</v>
      </c>
      <c r="B834"/>
      <c r="C834"/>
      <c r="D834"/>
      <c r="E834" s="1"/>
    </row>
    <row r="835" spans="1:5" x14ac:dyDescent="0.25">
      <c r="A835" s="7">
        <v>25.887447248169867</v>
      </c>
      <c r="B835"/>
      <c r="C835"/>
      <c r="D835"/>
      <c r="E835" s="1"/>
    </row>
    <row r="836" spans="1:5" x14ac:dyDescent="0.25">
      <c r="A836" s="7">
        <v>25.631135889277097</v>
      </c>
      <c r="B836"/>
      <c r="C836"/>
      <c r="D836"/>
      <c r="E836" s="1"/>
    </row>
    <row r="837" spans="1:5" x14ac:dyDescent="0.25">
      <c r="A837" s="7">
        <v>25.377362266610987</v>
      </c>
      <c r="B837"/>
      <c r="C837"/>
      <c r="D837"/>
      <c r="E837" s="1"/>
    </row>
    <row r="838" spans="1:5" x14ac:dyDescent="0.25">
      <c r="A838" s="7">
        <v>25.126101254070285</v>
      </c>
      <c r="B838"/>
      <c r="C838"/>
      <c r="D838"/>
      <c r="E838" s="1"/>
    </row>
    <row r="839" spans="1:5" x14ac:dyDescent="0.25">
      <c r="A839" s="7">
        <v>24.877327974327013</v>
      </c>
      <c r="B839"/>
      <c r="C839"/>
      <c r="D839"/>
      <c r="E839" s="1"/>
    </row>
    <row r="840" spans="1:5" x14ac:dyDescent="0.25">
      <c r="A840" s="7">
        <v>24.631017796363381</v>
      </c>
      <c r="B840"/>
      <c r="C840"/>
      <c r="D840"/>
      <c r="E840" s="1"/>
    </row>
    <row r="841" spans="1:5" x14ac:dyDescent="0.25">
      <c r="A841" s="7">
        <v>24.387146333033051</v>
      </c>
      <c r="B841"/>
      <c r="C841"/>
      <c r="D841"/>
      <c r="E841" s="1"/>
    </row>
    <row r="842" spans="1:5" x14ac:dyDescent="0.25">
      <c r="A842" s="7">
        <v>24.145689438646585</v>
      </c>
      <c r="B842"/>
      <c r="C842"/>
      <c r="D842"/>
      <c r="E842" s="1"/>
    </row>
    <row r="843" spans="1:5" x14ac:dyDescent="0.25">
      <c r="A843" s="7">
        <v>23.906623206580775</v>
      </c>
      <c r="B843"/>
      <c r="C843"/>
      <c r="D843"/>
      <c r="E843" s="1"/>
    </row>
    <row r="844" spans="1:5" x14ac:dyDescent="0.25">
      <c r="A844" s="7">
        <v>23.669923966911657</v>
      </c>
      <c r="B844"/>
      <c r="C844"/>
      <c r="D844"/>
      <c r="E844" s="1"/>
    </row>
    <row r="845" spans="1:5" x14ac:dyDescent="0.25">
      <c r="A845" s="7">
        <v>23.435568284070946</v>
      </c>
      <c r="B845"/>
      <c r="C845"/>
      <c r="D845"/>
      <c r="E845" s="1"/>
    </row>
    <row r="846" spans="1:5" x14ac:dyDescent="0.25">
      <c r="A846" s="7">
        <v>23.203532954525688</v>
      </c>
      <c r="B846"/>
      <c r="C846"/>
      <c r="D846"/>
      <c r="E846" s="1"/>
    </row>
    <row r="847" spans="1:5" x14ac:dyDescent="0.25">
      <c r="A847" s="7">
        <v>22.973795004480881</v>
      </c>
      <c r="B847"/>
      <c r="C847"/>
      <c r="D847"/>
      <c r="E847" s="1"/>
    </row>
    <row r="848" spans="1:5" x14ac:dyDescent="0.25">
      <c r="A848" s="7">
        <v>22.746331687604833</v>
      </c>
      <c r="B848"/>
      <c r="C848"/>
      <c r="D848"/>
      <c r="E848" s="1"/>
    </row>
    <row r="849" spans="1:5" x14ac:dyDescent="0.25">
      <c r="A849" s="7">
        <v>22.521120482777061</v>
      </c>
      <c r="B849"/>
      <c r="C849"/>
      <c r="D849"/>
      <c r="E849" s="1"/>
    </row>
    <row r="850" spans="1:5" x14ac:dyDescent="0.25">
      <c r="A850" s="7">
        <v>22.298139091858477</v>
      </c>
      <c r="B850"/>
      <c r="C850"/>
      <c r="D850"/>
      <c r="E850" s="1"/>
    </row>
    <row r="851" spans="1:5" x14ac:dyDescent="0.25">
      <c r="A851" s="7">
        <v>22.077365437483639</v>
      </c>
      <c r="B851"/>
      <c r="C851"/>
      <c r="D851"/>
      <c r="E851" s="1"/>
    </row>
    <row r="852" spans="1:5" x14ac:dyDescent="0.25">
      <c r="A852" s="7">
        <v>21.858777660874889</v>
      </c>
      <c r="B852"/>
      <c r="C852"/>
      <c r="D852"/>
      <c r="E852" s="1"/>
    </row>
    <row r="853" spans="1:5" x14ac:dyDescent="0.25">
      <c r="A853" s="7">
        <v>21.642354119678107</v>
      </c>
      <c r="B853"/>
      <c r="C853"/>
      <c r="D853"/>
      <c r="E853" s="1"/>
    </row>
    <row r="854" spans="1:5" x14ac:dyDescent="0.25">
      <c r="A854" s="7">
        <v>21.428073385819907</v>
      </c>
      <c r="B854"/>
      <c r="C854"/>
      <c r="D854"/>
      <c r="E854" s="1"/>
    </row>
    <row r="855" spans="1:5" x14ac:dyDescent="0.25">
      <c r="A855" s="7">
        <v>21.215914243386045</v>
      </c>
      <c r="B855"/>
      <c r="C855"/>
      <c r="D855"/>
      <c r="E855" s="1"/>
    </row>
    <row r="856" spans="1:5" x14ac:dyDescent="0.25">
      <c r="A856" s="7">
        <v>21.005855686520835</v>
      </c>
      <c r="B856"/>
      <c r="C856"/>
      <c r="D856"/>
      <c r="E856" s="1"/>
    </row>
    <row r="857" spans="1:5" x14ac:dyDescent="0.25">
      <c r="A857" s="7">
        <v>20.797876917347363</v>
      </c>
      <c r="B857"/>
      <c r="C857"/>
      <c r="D857"/>
      <c r="E857" s="1"/>
    </row>
    <row r="858" spans="1:5" x14ac:dyDescent="0.25">
      <c r="A858" s="7">
        <v>20.59195734390828</v>
      </c>
      <c r="B858"/>
      <c r="C858"/>
      <c r="D858"/>
      <c r="E858" s="1"/>
    </row>
    <row r="859" spans="1:5" x14ac:dyDescent="0.25">
      <c r="A859" s="7">
        <v>20.388076578127009</v>
      </c>
      <c r="B859"/>
      <c r="C859"/>
      <c r="D859"/>
      <c r="E859" s="1"/>
    </row>
    <row r="860" spans="1:5" x14ac:dyDescent="0.25">
      <c r="A860" s="7">
        <v>20.186214433789118</v>
      </c>
      <c r="B860"/>
      <c r="C860"/>
      <c r="D860"/>
      <c r="E860" s="1"/>
    </row>
    <row r="861" spans="1:5" x14ac:dyDescent="0.25">
      <c r="A861" s="7">
        <v>19.986350924543682</v>
      </c>
      <c r="B861"/>
      <c r="C861"/>
      <c r="D861"/>
      <c r="E861" s="1"/>
    </row>
    <row r="862" spans="1:5" x14ac:dyDescent="0.25">
      <c r="A862" s="7">
        <v>19.788466261924437</v>
      </c>
      <c r="B862"/>
      <c r="C862"/>
      <c r="D862"/>
      <c r="E862" s="1"/>
    </row>
    <row r="863" spans="1:5" x14ac:dyDescent="0.25">
      <c r="A863" s="7">
        <v>19.592540853390531</v>
      </c>
      <c r="B863"/>
      <c r="C863"/>
      <c r="D863"/>
      <c r="E863" s="1"/>
    </row>
    <row r="864" spans="1:5" x14ac:dyDescent="0.25">
      <c r="A864" s="7">
        <v>19.398555300386665</v>
      </c>
      <c r="B864"/>
      <c r="C864"/>
      <c r="D864"/>
      <c r="E864" s="1"/>
    </row>
    <row r="865" spans="1:5" x14ac:dyDescent="0.25">
      <c r="A865" s="7">
        <v>19.206490396422442</v>
      </c>
      <c r="B865"/>
      <c r="C865"/>
      <c r="D865"/>
      <c r="E865" s="1"/>
    </row>
    <row r="866" spans="1:5" x14ac:dyDescent="0.25">
      <c r="A866" s="7">
        <v>19.016327125170733</v>
      </c>
      <c r="B866"/>
      <c r="C866"/>
      <c r="D866"/>
      <c r="E866" s="1"/>
    </row>
    <row r="867" spans="1:5" x14ac:dyDescent="0.25">
      <c r="A867" s="7">
        <v>18.828046658584885</v>
      </c>
      <c r="B867"/>
      <c r="C867"/>
      <c r="D867"/>
      <c r="E867" s="1"/>
    </row>
    <row r="868" spans="1:5" x14ac:dyDescent="0.25">
      <c r="A868" s="7">
        <v>18.64163035503454</v>
      </c>
      <c r="B868"/>
      <c r="C868"/>
      <c r="D868"/>
      <c r="E868" s="1"/>
    </row>
    <row r="869" spans="1:5" x14ac:dyDescent="0.25">
      <c r="A869" s="7">
        <v>18.457059757459941</v>
      </c>
      <c r="B869"/>
      <c r="C869"/>
      <c r="D869"/>
      <c r="E869" s="1"/>
    </row>
    <row r="870" spans="1:5" x14ac:dyDescent="0.25">
      <c r="A870" s="7">
        <v>18.274316591544498</v>
      </c>
      <c r="B870"/>
      <c r="C870"/>
      <c r="D870"/>
      <c r="E870" s="1"/>
    </row>
    <row r="871" spans="1:5" x14ac:dyDescent="0.25">
      <c r="A871" s="7">
        <v>18.093382763905442</v>
      </c>
      <c r="B871"/>
      <c r="C871"/>
      <c r="D871"/>
      <c r="E871" s="1"/>
    </row>
    <row r="872" spans="1:5" x14ac:dyDescent="0.25">
      <c r="A872" s="7">
        <v>17.914240360302419</v>
      </c>
      <c r="B872"/>
      <c r="C872"/>
      <c r="D872"/>
      <c r="E872" s="1"/>
    </row>
    <row r="873" spans="1:5" x14ac:dyDescent="0.25">
      <c r="A873" s="7">
        <v>17.736871643863779</v>
      </c>
      <c r="B873"/>
      <c r="C873"/>
      <c r="D873"/>
      <c r="E873" s="1"/>
    </row>
    <row r="874" spans="1:5" x14ac:dyDescent="0.25">
      <c r="A874" s="7">
        <v>17.561259053330474</v>
      </c>
      <c r="B874"/>
      <c r="C874"/>
      <c r="D874"/>
      <c r="E874" s="1"/>
    </row>
    <row r="875" spans="1:5" x14ac:dyDescent="0.25">
      <c r="A875" s="7">
        <v>17.387385201317301</v>
      </c>
      <c r="B875"/>
      <c r="C875"/>
      <c r="D875"/>
      <c r="E875" s="1"/>
    </row>
    <row r="876" spans="1:5" x14ac:dyDescent="0.25">
      <c r="A876" s="7">
        <v>17.215232872591386</v>
      </c>
      <c r="B876"/>
      <c r="C876"/>
      <c r="D876"/>
      <c r="E876" s="1"/>
    </row>
    <row r="877" spans="1:5" x14ac:dyDescent="0.25">
      <c r="A877" s="7">
        <v>17.044785022367709</v>
      </c>
      <c r="B877"/>
      <c r="C877"/>
      <c r="D877"/>
      <c r="E877" s="1"/>
    </row>
    <row r="878" spans="1:5" x14ac:dyDescent="0.25">
      <c r="A878" s="7">
        <v>16.876024774621495</v>
      </c>
      <c r="B878"/>
      <c r="C878"/>
      <c r="D878"/>
      <c r="E878" s="1"/>
    </row>
    <row r="879" spans="1:5" x14ac:dyDescent="0.25">
      <c r="A879" s="7">
        <v>16.708935420417323</v>
      </c>
      <c r="B879"/>
      <c r="C879"/>
      <c r="D879"/>
      <c r="E879" s="1"/>
    </row>
    <row r="880" spans="1:5" x14ac:dyDescent="0.25">
      <c r="A880" s="7">
        <v>16.543500416254776</v>
      </c>
      <c r="B880"/>
      <c r="C880"/>
      <c r="D880"/>
      <c r="E880" s="1"/>
    </row>
    <row r="881" spans="1:5" x14ac:dyDescent="0.25">
      <c r="A881" s="7">
        <v>16.379703382430471</v>
      </c>
      <c r="B881"/>
      <c r="C881"/>
      <c r="D881"/>
      <c r="E881" s="1"/>
    </row>
    <row r="882" spans="1:5" x14ac:dyDescent="0.25">
      <c r="A882" s="7">
        <v>16.217528101416306</v>
      </c>
      <c r="B882"/>
      <c r="C882"/>
      <c r="D882"/>
      <c r="E882" s="1"/>
    </row>
    <row r="883" spans="1:5" x14ac:dyDescent="0.25">
      <c r="A883" s="7">
        <v>16.056958516253768</v>
      </c>
      <c r="B883"/>
      <c r="C883"/>
      <c r="D883"/>
      <c r="E883" s="1"/>
    </row>
    <row r="884" spans="1:5" x14ac:dyDescent="0.25">
      <c r="A884" s="7">
        <v>15.897978728964127</v>
      </c>
      <c r="B884"/>
      <c r="C884"/>
      <c r="D884"/>
      <c r="E884" s="1"/>
    </row>
    <row r="885" spans="1:5" x14ac:dyDescent="0.25">
      <c r="A885" s="7">
        <v>15.740572998974383</v>
      </c>
      <c r="B885"/>
      <c r="C885"/>
      <c r="D885"/>
      <c r="E885" s="1"/>
    </row>
    <row r="886" spans="1:5" x14ac:dyDescent="0.25">
      <c r="A886" s="7">
        <v>15.584725741558794</v>
      </c>
      <c r="B886"/>
      <c r="C886"/>
      <c r="D886"/>
      <c r="E886" s="1"/>
    </row>
    <row r="887" spans="1:5" x14ac:dyDescent="0.25">
      <c r="A887" s="7">
        <v>15.430421526295834</v>
      </c>
      <c r="B887"/>
      <c r="C887"/>
      <c r="D887"/>
      <c r="E887" s="1"/>
    </row>
    <row r="888" spans="1:5" x14ac:dyDescent="0.25">
      <c r="A888" s="7">
        <v>15.27764507554043</v>
      </c>
      <c r="B888"/>
      <c r="C888"/>
      <c r="D888"/>
      <c r="E888" s="1"/>
    </row>
    <row r="889" spans="1:5" x14ac:dyDescent="0.25">
      <c r="A889" s="7">
        <v>15.126381262911318</v>
      </c>
      <c r="B889"/>
      <c r="C889"/>
      <c r="D889"/>
      <c r="E889" s="1"/>
    </row>
    <row r="890" spans="1:5" x14ac:dyDescent="0.25">
      <c r="A890" s="7">
        <v>14.976615111793384</v>
      </c>
      <c r="B890"/>
      <c r="C890"/>
      <c r="D890"/>
      <c r="E890" s="1"/>
    </row>
    <row r="891" spans="1:5" x14ac:dyDescent="0.25">
      <c r="A891" s="7">
        <v>14.828331793854836</v>
      </c>
      <c r="B891"/>
      <c r="C891"/>
      <c r="D891"/>
      <c r="E891" s="1"/>
    </row>
    <row r="892" spans="1:5" x14ac:dyDescent="0.25">
      <c r="A892" s="7">
        <v>14.681516627579047</v>
      </c>
      <c r="B892"/>
      <c r="C892"/>
      <c r="D892"/>
      <c r="E892" s="1"/>
    </row>
    <row r="893" spans="1:5" x14ac:dyDescent="0.25">
      <c r="A893" s="7">
        <v>14.536155076810937</v>
      </c>
      <c r="B893"/>
      <c r="C893"/>
      <c r="D893"/>
      <c r="E893" s="1"/>
    </row>
    <row r="894" spans="1:5" x14ac:dyDescent="0.25">
      <c r="A894" s="7">
        <v>14.39223274931776</v>
      </c>
      <c r="B894"/>
      <c r="C894"/>
      <c r="D894"/>
      <c r="E894" s="1"/>
    </row>
    <row r="895" spans="1:5" x14ac:dyDescent="0.25">
      <c r="A895" s="7">
        <v>14.249735395364118</v>
      </c>
      <c r="B895"/>
      <c r="C895"/>
      <c r="D895"/>
      <c r="E895" s="1"/>
    </row>
    <row r="896" spans="1:5" x14ac:dyDescent="0.25">
      <c r="A896" s="7">
        <v>14.108648906301106</v>
      </c>
      <c r="B896"/>
      <c r="C896"/>
      <c r="D896"/>
      <c r="E896" s="1"/>
    </row>
    <row r="897" spans="1:5" x14ac:dyDescent="0.25">
      <c r="A897" s="7">
        <v>13.968959313169412</v>
      </c>
      <c r="B897"/>
      <c r="C897"/>
      <c r="D897"/>
      <c r="E897" s="1"/>
    </row>
    <row r="898" spans="1:5" x14ac:dyDescent="0.25">
      <c r="A898" s="7">
        <v>13.83065278531625</v>
      </c>
      <c r="B898"/>
      <c r="C898"/>
      <c r="D898"/>
      <c r="E898" s="1"/>
    </row>
    <row r="899" spans="1:5" x14ac:dyDescent="0.25">
      <c r="A899" s="7">
        <v>13.69371562902599</v>
      </c>
      <c r="B899"/>
      <c r="C899"/>
      <c r="D899"/>
      <c r="E899" s="1"/>
    </row>
    <row r="900" spans="1:5" x14ac:dyDescent="0.25">
      <c r="A900" s="7">
        <v>13.558134286164346</v>
      </c>
      <c r="B900"/>
      <c r="C900"/>
      <c r="D900"/>
      <c r="E900" s="1"/>
    </row>
    <row r="901" spans="1:5" x14ac:dyDescent="0.25">
      <c r="A901" s="7">
        <v>13.423895332835986</v>
      </c>
      <c r="B901"/>
      <c r="C901"/>
      <c r="D901"/>
      <c r="E901" s="1"/>
    </row>
    <row r="902" spans="1:5" x14ac:dyDescent="0.25">
      <c r="A902" s="7">
        <v>13.290985478055433</v>
      </c>
      <c r="B902"/>
      <c r="C902"/>
      <c r="D902"/>
      <c r="E902" s="1"/>
    </row>
    <row r="903" spans="1:5" x14ac:dyDescent="0.25">
      <c r="A903" s="7">
        <v>13.159391562431122</v>
      </c>
      <c r="B903"/>
      <c r="C903"/>
      <c r="D903"/>
      <c r="E903" s="1"/>
    </row>
    <row r="904" spans="1:5" x14ac:dyDescent="0.25">
      <c r="A904" s="7">
        <v>13.029100556862497</v>
      </c>
      <c r="B904"/>
      <c r="C904"/>
      <c r="D904"/>
      <c r="E904" s="1"/>
    </row>
    <row r="905" spans="1:5" x14ac:dyDescent="0.25">
      <c r="A905" s="7">
        <v>12.900099561249997</v>
      </c>
      <c r="B905"/>
      <c r="C905"/>
      <c r="D905"/>
      <c r="E905" s="1"/>
    </row>
    <row r="906" spans="1:5" x14ac:dyDescent="0.25">
      <c r="A906" s="7">
        <v>12.772375803217818</v>
      </c>
      <c r="B906"/>
      <c r="C906"/>
      <c r="D906"/>
      <c r="E906" s="1"/>
    </row>
    <row r="907" spans="1:5" x14ac:dyDescent="0.25">
      <c r="A907" s="7">
        <v>12.645916636849325</v>
      </c>
      <c r="B907"/>
      <c r="C907"/>
      <c r="D907"/>
      <c r="E907" s="1"/>
    </row>
    <row r="908" spans="1:5" x14ac:dyDescent="0.25">
      <c r="A908" s="7">
        <v>12.520709541434975</v>
      </c>
      <c r="B908"/>
      <c r="C908"/>
      <c r="D908"/>
      <c r="E908" s="1"/>
    </row>
    <row r="909" spans="1:5" x14ac:dyDescent="0.25">
      <c r="A909" s="7">
        <v>12.396742120232648</v>
      </c>
      <c r="B909"/>
      <c r="C909"/>
      <c r="D909"/>
      <c r="E909" s="1"/>
    </row>
    <row r="910" spans="1:5" x14ac:dyDescent="0.25">
      <c r="A910" s="7">
        <v>12.274002099240246</v>
      </c>
      <c r="B910"/>
      <c r="C910"/>
      <c r="D910"/>
      <c r="E910" s="1"/>
    </row>
    <row r="911" spans="1:5" x14ac:dyDescent="0.25">
      <c r="A911" s="7">
        <v>12.152477325980442</v>
      </c>
      <c r="B911"/>
      <c r="C911"/>
      <c r="D911"/>
      <c r="E911" s="1"/>
    </row>
    <row r="912" spans="1:5" x14ac:dyDescent="0.25">
      <c r="A912" s="7">
        <v>12.032155768297468</v>
      </c>
      <c r="B912"/>
      <c r="C912"/>
      <c r="D912"/>
      <c r="E912" s="1"/>
    </row>
    <row r="913" spans="1:5" x14ac:dyDescent="0.25">
      <c r="A913" s="7">
        <v>11.91302551316581</v>
      </c>
      <c r="B913"/>
      <c r="C913"/>
      <c r="D913"/>
      <c r="E913" s="1"/>
    </row>
    <row r="914" spans="1:5" x14ac:dyDescent="0.25">
      <c r="A914" s="7">
        <v>11.795074765510703</v>
      </c>
      <c r="B914"/>
      <c r="C914"/>
      <c r="D914"/>
      <c r="E914" s="1"/>
    </row>
    <row r="915" spans="1:5" x14ac:dyDescent="0.25">
      <c r="A915" s="7">
        <v>11.678291847040301</v>
      </c>
      <c r="B915"/>
      <c r="C915"/>
      <c r="D915"/>
      <c r="E915" s="1"/>
    </row>
    <row r="916" spans="1:5" x14ac:dyDescent="0.25">
      <c r="A916" s="7">
        <v>11.562665195089407</v>
      </c>
      <c r="B916"/>
      <c r="C916"/>
      <c r="D916"/>
      <c r="E916" s="1"/>
    </row>
    <row r="917" spans="1:5" x14ac:dyDescent="0.25">
      <c r="A917" s="7">
        <v>11.44818336147466</v>
      </c>
      <c r="B917"/>
      <c r="C917"/>
      <c r="D917"/>
      <c r="E917" s="1"/>
    </row>
    <row r="918" spans="1:5" x14ac:dyDescent="0.25">
      <c r="A918" s="7">
        <v>11.334835011361049</v>
      </c>
      <c r="B918"/>
      <c r="C918"/>
      <c r="D918"/>
      <c r="E918" s="1"/>
    </row>
    <row r="919" spans="1:5" x14ac:dyDescent="0.25">
      <c r="A919" s="7">
        <v>11.222608922139653</v>
      </c>
      <c r="B919"/>
      <c r="C919"/>
      <c r="D919"/>
      <c r="E919" s="1"/>
    </row>
    <row r="920" spans="1:5" x14ac:dyDescent="0.25">
      <c r="A920" s="7">
        <v>11.111493982316487</v>
      </c>
      <c r="B920"/>
      <c r="C920"/>
      <c r="D920"/>
      <c r="E920" s="1"/>
    </row>
    <row r="921" spans="1:5" x14ac:dyDescent="0.25">
      <c r="A921" s="7">
        <v>11.001479190412363</v>
      </c>
      <c r="B921"/>
      <c r="C921"/>
      <c r="D921"/>
      <c r="E921" s="1"/>
    </row>
    <row r="922" spans="1:5" x14ac:dyDescent="0.25">
      <c r="A922" s="7">
        <v>10.892553653873627</v>
      </c>
      <c r="B922"/>
      <c r="C922"/>
      <c r="D922"/>
      <c r="E922" s="1"/>
    </row>
    <row r="923" spans="1:5" x14ac:dyDescent="0.25">
      <c r="A923" s="7">
        <v>10.784706587993689</v>
      </c>
      <c r="B923"/>
      <c r="C923"/>
      <c r="D923"/>
      <c r="E923" s="1"/>
    </row>
    <row r="924" spans="1:5" x14ac:dyDescent="0.25">
      <c r="A924" s="7">
        <v>10.677927314845236</v>
      </c>
      <c r="B924"/>
      <c r="C924"/>
      <c r="D924"/>
      <c r="E924" s="1"/>
    </row>
    <row r="925" spans="1:5" x14ac:dyDescent="0.25">
      <c r="A925" s="7">
        <v>10.572205262223006</v>
      </c>
      <c r="B925"/>
      <c r="C925"/>
      <c r="D925"/>
      <c r="E925" s="1"/>
    </row>
    <row r="926" spans="1:5" x14ac:dyDescent="0.25">
      <c r="A926" s="7">
        <v>10.467529962597036</v>
      </c>
      <c r="B926"/>
      <c r="C926"/>
      <c r="D926"/>
      <c r="E926" s="1"/>
    </row>
    <row r="927" spans="1:5" x14ac:dyDescent="0.25">
      <c r="A927" s="7">
        <v>10.363891052076273</v>
      </c>
      <c r="B927"/>
      <c r="C927"/>
      <c r="D927"/>
      <c r="E927" s="1"/>
    </row>
    <row r="928" spans="1:5" x14ac:dyDescent="0.25">
      <c r="A928" s="7">
        <v>10.261278269382448</v>
      </c>
      <c r="B928"/>
      <c r="C928"/>
      <c r="D928"/>
      <c r="E928" s="1"/>
    </row>
    <row r="929" spans="1:5" x14ac:dyDescent="0.25">
      <c r="A929" s="7">
        <v>10.159681454834107</v>
      </c>
      <c r="B929"/>
      <c r="C929"/>
      <c r="D929"/>
      <c r="E929" s="1"/>
    </row>
    <row r="930" spans="1:5" x14ac:dyDescent="0.25">
      <c r="A930" s="7">
        <v>10.0590905493407</v>
      </c>
      <c r="B930"/>
      <c r="C930"/>
      <c r="D930"/>
      <c r="E930" s="1"/>
    </row>
    <row r="931" spans="1:5" x14ac:dyDescent="0.25">
      <c r="A931" s="7">
        <v>9.9594955934066345</v>
      </c>
      <c r="B931"/>
      <c r="C931"/>
      <c r="D931"/>
      <c r="E931" s="1"/>
    </row>
    <row r="932" spans="1:5" x14ac:dyDescent="0.25">
      <c r="A932" s="7">
        <v>9.860886726145182</v>
      </c>
      <c r="B932"/>
      <c r="C932"/>
      <c r="D932"/>
      <c r="E932" s="1"/>
    </row>
    <row r="933" spans="1:5" x14ac:dyDescent="0.25">
      <c r="A933" s="7">
        <v>9.763254184302161</v>
      </c>
      <c r="B933"/>
      <c r="C933"/>
      <c r="D933"/>
      <c r="E933" s="1"/>
    </row>
    <row r="934" spans="1:5" x14ac:dyDescent="0.25">
      <c r="A934" s="7">
        <v>9.6665883012892682</v>
      </c>
      <c r="B934"/>
      <c r="C934"/>
      <c r="D934"/>
      <c r="E934" s="1"/>
    </row>
    <row r="935" spans="1:5" x14ac:dyDescent="0.25">
      <c r="A935" s="7">
        <v>9.5708795062269978</v>
      </c>
      <c r="B935"/>
      <c r="C935"/>
      <c r="D935"/>
      <c r="E935" s="1"/>
    </row>
    <row r="936" spans="1:5" x14ac:dyDescent="0.25">
      <c r="A936" s="7">
        <v>9.4761183229970278</v>
      </c>
      <c r="B936"/>
      <c r="C936"/>
      <c r="D936"/>
      <c r="E936" s="1"/>
    </row>
    <row r="937" spans="1:5" x14ac:dyDescent="0.25">
      <c r="A937" s="7">
        <v>9.3822953693039874</v>
      </c>
      <c r="B937"/>
      <c r="C937"/>
      <c r="D937"/>
      <c r="E937" s="1"/>
    </row>
    <row r="938" spans="1:5" x14ac:dyDescent="0.25">
      <c r="A938" s="7">
        <v>9.2894013557465218</v>
      </c>
      <c r="B938"/>
      <c r="C938"/>
      <c r="D938"/>
      <c r="E938" s="1"/>
    </row>
    <row r="939" spans="1:5" x14ac:dyDescent="0.25">
      <c r="A939" s="7">
        <v>9.1974270848975461</v>
      </c>
      <c r="B939"/>
      <c r="C939"/>
      <c r="D939"/>
      <c r="E939" s="1"/>
    </row>
    <row r="940" spans="1:5" x14ac:dyDescent="0.25">
      <c r="A940" s="7">
        <v>9.1063634503936104</v>
      </c>
      <c r="B940"/>
      <c r="C940"/>
      <c r="D940"/>
      <c r="E940" s="1"/>
    </row>
    <row r="941" spans="1:5" x14ac:dyDescent="0.25">
      <c r="A941" s="7">
        <v>9.0162014360332776</v>
      </c>
      <c r="B941"/>
      <c r="C941"/>
      <c r="D941"/>
      <c r="E941" s="1"/>
    </row>
    <row r="942" spans="1:5" x14ac:dyDescent="0.25">
      <c r="A942" s="7">
        <v>8.9269321148844334</v>
      </c>
      <c r="B942"/>
      <c r="C942"/>
      <c r="D942"/>
      <c r="E942" s="1"/>
    </row>
    <row r="943" spans="1:5" x14ac:dyDescent="0.25">
      <c r="A943" s="7">
        <v>8.8385466484004294</v>
      </c>
      <c r="B943"/>
      <c r="C943"/>
      <c r="D943"/>
      <c r="E943" s="1"/>
    </row>
    <row r="944" spans="1:5" x14ac:dyDescent="0.25">
      <c r="A944" s="7">
        <v>8.7510362855449788</v>
      </c>
      <c r="B944"/>
      <c r="C944"/>
      <c r="D944"/>
      <c r="E944" s="1"/>
    </row>
    <row r="945" spans="1:5" x14ac:dyDescent="0.25">
      <c r="A945" s="7">
        <v>8.6643923619257208</v>
      </c>
      <c r="B945"/>
      <c r="C945"/>
      <c r="D945"/>
      <c r="E945" s="1"/>
    </row>
    <row r="946" spans="1:5" x14ac:dyDescent="0.25">
      <c r="A946" s="7">
        <v>8.5786062989363572</v>
      </c>
      <c r="B946"/>
      <c r="C946"/>
      <c r="D946"/>
      <c r="E946" s="1"/>
    </row>
    <row r="947" spans="1:5" x14ac:dyDescent="0.25">
      <c r="A947" s="7">
        <v>8.4936696029072838</v>
      </c>
      <c r="B947"/>
      <c r="C947"/>
      <c r="D947"/>
      <c r="E947" s="1"/>
    </row>
    <row r="948" spans="1:5" x14ac:dyDescent="0.25">
      <c r="A948" s="7">
        <v>8.4095738642646367</v>
      </c>
      <c r="B948"/>
      <c r="C948"/>
      <c r="D948"/>
      <c r="E948" s="1"/>
    </row>
    <row r="949" spans="1:5" x14ac:dyDescent="0.25">
      <c r="A949" s="7">
        <v>8.3263107566976604</v>
      </c>
      <c r="B949"/>
      <c r="C949"/>
      <c r="D949"/>
      <c r="E949" s="1"/>
    </row>
    <row r="950" spans="1:5" x14ac:dyDescent="0.25">
      <c r="A950" s="7">
        <v>8.2438720363343165</v>
      </c>
      <c r="B950"/>
      <c r="C950"/>
      <c r="D950"/>
      <c r="E950" s="1"/>
    </row>
    <row r="951" spans="1:5" x14ac:dyDescent="0.25">
      <c r="A951" s="7">
        <v>8.1622495409250657</v>
      </c>
      <c r="B951"/>
      <c r="C951"/>
      <c r="D951"/>
      <c r="E951" s="1"/>
    </row>
    <row r="952" spans="1:5" x14ac:dyDescent="0.25">
      <c r="A952" s="7">
        <v>8.0814351890347176</v>
      </c>
      <c r="B952"/>
      <c r="C952"/>
      <c r="D952"/>
      <c r="E952" s="1"/>
    </row>
    <row r="953" spans="1:5" x14ac:dyDescent="0.25">
      <c r="A953" s="7">
        <v>8.0014209792422939</v>
      </c>
      <c r="B953"/>
      <c r="C953"/>
      <c r="D953"/>
      <c r="E953" s="1"/>
    </row>
    <row r="954" spans="1:5" x14ac:dyDescent="0.25">
      <c r="A954" s="7">
        <v>7.9221989893488054</v>
      </c>
      <c r="B954"/>
      <c r="C954"/>
      <c r="D954"/>
      <c r="E954" s="1"/>
    </row>
    <row r="955" spans="1:5" x14ac:dyDescent="0.25">
      <c r="A955" s="7">
        <v>7.8437613755928766</v>
      </c>
      <c r="B955"/>
      <c r="C955"/>
      <c r="D955"/>
      <c r="E955" s="1"/>
    </row>
    <row r="956" spans="1:5" x14ac:dyDescent="0.25">
      <c r="A956" s="7">
        <v>7.7661003718741348</v>
      </c>
      <c r="B956"/>
      <c r="C956"/>
      <c r="D956"/>
      <c r="E956" s="1"/>
    </row>
    <row r="957" spans="1:5" x14ac:dyDescent="0.25">
      <c r="A957" s="7">
        <v>7.6892082889842914</v>
      </c>
      <c r="B957"/>
      <c r="C957"/>
      <c r="D957"/>
      <c r="E957" s="1"/>
    </row>
    <row r="958" spans="1:5" x14ac:dyDescent="0.25">
      <c r="A958" s="7">
        <v>7.6130775138458331</v>
      </c>
      <c r="B958"/>
      <c r="C958"/>
      <c r="D958"/>
      <c r="E958" s="1"/>
    </row>
    <row r="959" spans="1:5" x14ac:dyDescent="0.25">
      <c r="A959" s="7">
        <v>7.5377005087582507</v>
      </c>
      <c r="B959"/>
      <c r="C959"/>
      <c r="D959"/>
      <c r="E959" s="1"/>
    </row>
    <row r="960" spans="1:5" x14ac:dyDescent="0.25">
      <c r="A960" s="7">
        <v>7.4630698106517332</v>
      </c>
      <c r="B960"/>
      <c r="C960"/>
      <c r="D960"/>
      <c r="E960" s="1"/>
    </row>
    <row r="961" spans="1:5" x14ac:dyDescent="0.25">
      <c r="A961" s="7">
        <v>7.3891780303482504</v>
      </c>
      <c r="B961"/>
      <c r="C961"/>
      <c r="D961"/>
      <c r="E961" s="1"/>
    </row>
    <row r="962" spans="1:5" x14ac:dyDescent="0.25">
      <c r="A962" s="7">
        <v>7.316017851829951</v>
      </c>
      <c r="B962"/>
      <c r="C962"/>
      <c r="D962"/>
      <c r="E962" s="1"/>
    </row>
    <row r="963" spans="1:5" x14ac:dyDescent="0.25">
      <c r="A963" s="7">
        <v>7.2435820315148032</v>
      </c>
      <c r="B963"/>
      <c r="C963"/>
      <c r="D963"/>
      <c r="E963" s="1"/>
    </row>
    <row r="964" spans="1:5" x14ac:dyDescent="0.25">
      <c r="A964" s="7">
        <v>7.1718633975394086</v>
      </c>
      <c r="B964"/>
      <c r="C964"/>
      <c r="D964"/>
      <c r="E964" s="1"/>
    </row>
    <row r="965" spans="1:5" x14ac:dyDescent="0.25">
      <c r="A965" s="7">
        <v>7.1008548490489192</v>
      </c>
      <c r="B965"/>
      <c r="C965"/>
      <c r="D965"/>
      <c r="E965" s="1"/>
    </row>
    <row r="966" spans="1:5" x14ac:dyDescent="0.25">
      <c r="A966" s="7">
        <v>7.0305493554939797</v>
      </c>
      <c r="B966"/>
      <c r="C966"/>
      <c r="D966"/>
      <c r="E966" s="1"/>
    </row>
    <row r="967" spans="1:5" x14ac:dyDescent="0.25">
      <c r="A967" s="7">
        <v>6.9609399559346334</v>
      </c>
      <c r="B967"/>
      <c r="C967"/>
      <c r="D967"/>
      <c r="E967" s="1"/>
    </row>
    <row r="968" spans="1:5" x14ac:dyDescent="0.25">
      <c r="A968" s="7">
        <v>6.8920197583511218</v>
      </c>
      <c r="B968"/>
      <c r="C968"/>
      <c r="D968"/>
      <c r="E968" s="1"/>
    </row>
    <row r="969" spans="1:5" x14ac:dyDescent="0.25">
      <c r="A969" s="7">
        <v>6.8237819389615071</v>
      </c>
      <c r="B969"/>
      <c r="C969"/>
      <c r="D969"/>
      <c r="E969" s="1"/>
    </row>
    <row r="970" spans="1:5" x14ac:dyDescent="0.25">
      <c r="A970" s="7">
        <v>6.7562197415460465</v>
      </c>
      <c r="B970"/>
      <c r="C970"/>
      <c r="D970"/>
      <c r="E970" s="1"/>
    </row>
    <row r="971" spans="1:5" x14ac:dyDescent="0.25">
      <c r="A971" s="7">
        <v>6.6893264767782634</v>
      </c>
      <c r="B971"/>
      <c r="C971"/>
      <c r="D971"/>
      <c r="E971" s="1"/>
    </row>
    <row r="972" spans="1:5" x14ac:dyDescent="0.25">
      <c r="A972" s="7">
        <v>6.6230955215626368</v>
      </c>
      <c r="B972"/>
      <c r="C972"/>
      <c r="D972"/>
      <c r="E972" s="1"/>
    </row>
    <row r="973" spans="1:5" x14ac:dyDescent="0.25">
      <c r="A973" s="7">
        <v>6.557520318378848</v>
      </c>
      <c r="B973"/>
      <c r="C973"/>
      <c r="D973"/>
      <c r="E973" s="1"/>
    </row>
    <row r="974" spans="1:5" x14ac:dyDescent="0.25">
      <c r="A974" s="7">
        <v>6.4925943746325228</v>
      </c>
      <c r="B974"/>
      <c r="C974"/>
      <c r="D974"/>
      <c r="E974" s="1"/>
    </row>
    <row r="975" spans="1:5" x14ac:dyDescent="0.25">
      <c r="A975" s="7">
        <v>6.4283112620123983</v>
      </c>
      <c r="B975"/>
      <c r="C975"/>
      <c r="D975"/>
      <c r="E975" s="1"/>
    </row>
    <row r="976" spans="1:5" x14ac:dyDescent="0.25">
      <c r="A976" s="7">
        <v>6.3646646158538598</v>
      </c>
      <c r="B976"/>
      <c r="C976"/>
      <c r="D976"/>
      <c r="E976" s="1"/>
    </row>
    <row r="977" spans="1:5" x14ac:dyDescent="0.25">
      <c r="A977" s="7">
        <v>6.3016481345087723</v>
      </c>
      <c r="B977"/>
      <c r="C977"/>
      <c r="D977"/>
      <c r="E977" s="1"/>
    </row>
    <row r="978" spans="1:5" x14ac:dyDescent="0.25">
      <c r="A978" s="7">
        <v>6.2392555787215569</v>
      </c>
      <c r="B978"/>
      <c r="C978"/>
      <c r="D978"/>
      <c r="E978" s="1"/>
    </row>
    <row r="979" spans="1:5" x14ac:dyDescent="0.25">
      <c r="A979" s="7">
        <v>6.1774807710114423</v>
      </c>
      <c r="B979"/>
      <c r="C979"/>
      <c r="D979"/>
      <c r="E979" s="1"/>
    </row>
    <row r="980" spans="1:5" x14ac:dyDescent="0.25">
      <c r="A980" s="7">
        <v>6.1163175950608339</v>
      </c>
      <c r="B980"/>
      <c r="C980"/>
      <c r="D980"/>
      <c r="E980" s="1"/>
    </row>
    <row r="981" spans="1:5" x14ac:dyDescent="0.25">
      <c r="A981" s="7">
        <v>6.0557599951097369</v>
      </c>
      <c r="B981"/>
      <c r="C981"/>
      <c r="D981"/>
      <c r="E981" s="1"/>
    </row>
    <row r="982" spans="1:5" x14ac:dyDescent="0.25">
      <c r="A982" s="7">
        <v>5.9958019753561755</v>
      </c>
      <c r="B982"/>
      <c r="C982"/>
      <c r="D982"/>
      <c r="E982" s="1"/>
    </row>
    <row r="983" spans="1:5" x14ac:dyDescent="0.25">
      <c r="A983" s="7">
        <v>5.9364375993625496</v>
      </c>
      <c r="B983"/>
      <c r="C983"/>
      <c r="D983"/>
      <c r="E983" s="1"/>
    </row>
    <row r="984" spans="1:5" x14ac:dyDescent="0.25">
      <c r="A984" s="7">
        <v>5.8776609894678709</v>
      </c>
      <c r="B984"/>
      <c r="C984"/>
      <c r="D984"/>
      <c r="E984" s="1"/>
    </row>
    <row r="985" spans="1:5" x14ac:dyDescent="0.25">
      <c r="A985" s="7">
        <v>5.8194663262058128</v>
      </c>
      <c r="B985"/>
      <c r="C985"/>
      <c r="D985"/>
      <c r="E985" s="1"/>
    </row>
    <row r="986" spans="1:5" x14ac:dyDescent="0.25">
      <c r="A986" s="7">
        <v>5.7618478477285278</v>
      </c>
      <c r="B986"/>
      <c r="C986"/>
      <c r="D986"/>
      <c r="E986" s="1"/>
    </row>
    <row r="987" spans="1:5" x14ac:dyDescent="0.25">
      <c r="A987" s="7">
        <v>5.7047998492361662</v>
      </c>
      <c r="B987"/>
      <c r="C987"/>
      <c r="D987"/>
      <c r="E987" s="1"/>
    </row>
    <row r="988" spans="1:5" x14ac:dyDescent="0.25">
      <c r="A988" s="7">
        <v>5.6483166824120454</v>
      </c>
      <c r="B988"/>
      <c r="C988"/>
      <c r="D988"/>
      <c r="E988" s="1"/>
    </row>
    <row r="989" spans="1:5" x14ac:dyDescent="0.25">
      <c r="A989" s="7">
        <v>5.5923927548634111</v>
      </c>
      <c r="B989"/>
      <c r="C989"/>
      <c r="D989"/>
      <c r="E989" s="1"/>
    </row>
    <row r="990" spans="1:5" x14ac:dyDescent="0.25">
      <c r="A990" s="7">
        <v>5.537022529567734</v>
      </c>
      <c r="B990"/>
      <c r="C990"/>
      <c r="D990"/>
      <c r="E990" s="1"/>
    </row>
    <row r="991" spans="1:5" x14ac:dyDescent="0.25">
      <c r="A991" s="7">
        <v>5.4822005243244893</v>
      </c>
      <c r="B991"/>
      <c r="C991"/>
      <c r="D991"/>
      <c r="E991" s="1"/>
    </row>
    <row r="992" spans="1:5" x14ac:dyDescent="0.25">
      <c r="A992" s="7">
        <v>5.4279213112123657</v>
      </c>
      <c r="B992"/>
      <c r="C992"/>
      <c r="D992"/>
      <c r="E992" s="1"/>
    </row>
    <row r="993" spans="1:5" x14ac:dyDescent="0.25">
      <c r="A993" s="7">
        <v>5.3741795160518473</v>
      </c>
      <c r="B993"/>
      <c r="C993"/>
      <c r="D993"/>
      <c r="E993" s="1"/>
    </row>
    <row r="994" spans="1:5" x14ac:dyDescent="0.25">
      <c r="A994" s="7">
        <v>5.3209698178731157</v>
      </c>
      <c r="B994"/>
      <c r="C994"/>
      <c r="D994"/>
      <c r="E994" s="1"/>
    </row>
    <row r="995" spans="1:5" x14ac:dyDescent="0.25">
      <c r="A995" s="7">
        <v>5.2682869483892238</v>
      </c>
      <c r="B995"/>
      <c r="C995"/>
      <c r="D995"/>
      <c r="E995" s="1"/>
    </row>
    <row r="996" spans="1:5" x14ac:dyDescent="0.25">
      <c r="A996" s="7">
        <v>5.2161256914744794</v>
      </c>
      <c r="B996"/>
      <c r="C996"/>
      <c r="D996"/>
      <c r="E996" s="1"/>
    </row>
    <row r="997" spans="1:5" x14ac:dyDescent="0.25">
      <c r="A997" s="7">
        <v>5.1644808826479993</v>
      </c>
      <c r="B997"/>
      <c r="C997"/>
      <c r="D997"/>
      <c r="E997" s="1"/>
    </row>
    <row r="998" spans="1:5" x14ac:dyDescent="0.25">
      <c r="A998" s="7">
        <v>5.1133474085623751</v>
      </c>
      <c r="B998"/>
      <c r="C998"/>
      <c r="D998"/>
      <c r="E998" s="1"/>
    </row>
    <row r="999" spans="1:5" x14ac:dyDescent="0.25">
      <c r="A999" s="7">
        <v>5.0627202064974011</v>
      </c>
      <c r="B999"/>
      <c r="C999"/>
      <c r="D999"/>
      <c r="E999" s="1"/>
    </row>
    <row r="1000" spans="1:5" x14ac:dyDescent="0.25">
      <c r="A1000" s="7">
        <v>5.012594263858813</v>
      </c>
      <c r="B1000"/>
      <c r="C1000"/>
      <c r="D1000"/>
      <c r="E1000" s="1"/>
    </row>
    <row r="1001" spans="1:5" x14ac:dyDescent="0.25">
      <c r="A1001" s="7">
        <v>4.962964617681993</v>
      </c>
      <c r="B1001"/>
      <c r="C1001"/>
      <c r="D1001"/>
      <c r="E1001" s="1"/>
    </row>
    <row r="1002" spans="1:5" x14ac:dyDescent="0.25">
      <c r="A1002" s="7">
        <v>4.9138263541405873</v>
      </c>
      <c r="B1002"/>
      <c r="C1002"/>
      <c r="D1002"/>
      <c r="E1002" s="1"/>
    </row>
    <row r="1003" spans="1:5" x14ac:dyDescent="0.25">
      <c r="A1003" s="7">
        <v>4.8651746080599878</v>
      </c>
      <c r="B1003"/>
      <c r="C1003"/>
      <c r="D1003"/>
      <c r="E1003" s="1"/>
    </row>
    <row r="1004" spans="1:5" x14ac:dyDescent="0.25">
      <c r="A1004" s="7">
        <v>4.8170045624356312</v>
      </c>
      <c r="B1004"/>
      <c r="C1004"/>
      <c r="D1004"/>
      <c r="E1004" s="1"/>
    </row>
    <row r="1005" spans="1:5" x14ac:dyDescent="0.25">
      <c r="A1005" s="7">
        <v>4.7693114479560705</v>
      </c>
      <c r="B1005"/>
      <c r="C1005"/>
      <c r="D1005"/>
      <c r="E1005" s="1"/>
    </row>
    <row r="1006" spans="1:5" x14ac:dyDescent="0.25">
      <c r="A1006" s="7">
        <v>4.7220905425307631</v>
      </c>
      <c r="B1006"/>
      <c r="C1006"/>
      <c r="D1006"/>
      <c r="E1006" s="1"/>
    </row>
    <row r="1007" spans="1:5" x14ac:dyDescent="0.25">
      <c r="A1007" s="7">
        <v>4.6753371708225373</v>
      </c>
      <c r="B1007"/>
      <c r="C1007"/>
      <c r="D1007"/>
      <c r="E1007" s="1"/>
    </row>
    <row r="1008" spans="1:5" x14ac:dyDescent="0.25">
      <c r="A1008" s="7">
        <v>4.6290467037846907</v>
      </c>
      <c r="B1008"/>
      <c r="C1008"/>
      <c r="D1008"/>
      <c r="E1008" s="1"/>
    </row>
    <row r="1009" spans="1:5" x14ac:dyDescent="0.25">
      <c r="A1009" s="7">
        <v>4.5832145582026644</v>
      </c>
      <c r="B1009"/>
      <c r="C1009"/>
      <c r="D1009"/>
      <c r="E1009" s="1"/>
    </row>
    <row r="1010" spans="1:5" x14ac:dyDescent="0.25">
      <c r="A1010" s="7">
        <v>4.5378361962402618</v>
      </c>
      <c r="B1010"/>
      <c r="C1010"/>
      <c r="D1010"/>
      <c r="E1010" s="1"/>
    </row>
    <row r="1011" spans="1:5" x14ac:dyDescent="0.25">
      <c r="A1011" s="7">
        <v>4.4929071249903583</v>
      </c>
      <c r="B1011"/>
      <c r="C1011"/>
      <c r="D1011"/>
      <c r="E1011" s="1"/>
    </row>
    <row r="1012" spans="1:5" x14ac:dyDescent="0.25">
      <c r="A1012" s="7">
        <v>4.448422896030058</v>
      </c>
      <c r="B1012"/>
      <c r="C1012"/>
      <c r="D1012"/>
      <c r="E1012" s="1"/>
    </row>
    <row r="1013" spans="1:5" x14ac:dyDescent="0.25">
      <c r="A1013" s="7">
        <v>4.4043791049802552</v>
      </c>
      <c r="B1013"/>
      <c r="C1013"/>
      <c r="D1013"/>
      <c r="E1013" s="1"/>
    </row>
    <row r="1014" spans="1:5" x14ac:dyDescent="0.25">
      <c r="A1014" s="7">
        <v>4.3607713910695596</v>
      </c>
      <c r="B1014"/>
      <c r="C1014"/>
      <c r="D1014"/>
      <c r="E1014" s="1"/>
    </row>
    <row r="1015" spans="1:5" x14ac:dyDescent="0.25">
      <c r="A1015" s="7">
        <v>4.3175954367025344</v>
      </c>
      <c r="B1015"/>
      <c r="C1015"/>
      <c r="D1015"/>
      <c r="E1015" s="1"/>
    </row>
    <row r="1016" spans="1:5" x14ac:dyDescent="0.25">
      <c r="A1016" s="7">
        <v>4.2748469670322127</v>
      </c>
      <c r="B1016"/>
      <c r="C1016"/>
      <c r="D1016"/>
      <c r="E1016" s="1"/>
    </row>
    <row r="1017" spans="1:5" x14ac:dyDescent="0.25">
      <c r="A1017" s="7">
        <v>4.2325217495368443</v>
      </c>
      <c r="B1017"/>
      <c r="C1017"/>
      <c r="D1017"/>
      <c r="E1017" s="1"/>
    </row>
    <row r="1018" spans="1:5" x14ac:dyDescent="0.25">
      <c r="A1018" s="7">
        <v>4.1906155936008362</v>
      </c>
      <c r="B1018"/>
      <c r="C1018"/>
      <c r="D1018"/>
      <c r="E1018" s="1"/>
    </row>
    <row r="1019" spans="1:5" x14ac:dyDescent="0.25">
      <c r="A1019" s="7">
        <v>4.1491243500998376</v>
      </c>
      <c r="B1019"/>
      <c r="C1019"/>
      <c r="D1019"/>
      <c r="E1019" s="1"/>
    </row>
    <row r="1020" spans="1:5" x14ac:dyDescent="0.25">
      <c r="A1020" s="7">
        <v>4.108043910989938</v>
      </c>
      <c r="B1020"/>
      <c r="C1020"/>
      <c r="D1020"/>
      <c r="E1020" s="1"/>
    </row>
    <row r="1021" spans="1:5" x14ac:dyDescent="0.25">
      <c r="A1021" s="7">
        <v>4.0673702089009289</v>
      </c>
      <c r="B1021"/>
      <c r="C1021"/>
      <c r="D1021"/>
      <c r="E1021" s="1"/>
    </row>
    <row r="1022" spans="1:5" x14ac:dyDescent="0.25">
      <c r="A1022" s="7">
        <v>4.0270992167335926</v>
      </c>
      <c r="B1022"/>
      <c r="C1022"/>
      <c r="D1022"/>
      <c r="E1022" s="1"/>
    </row>
    <row r="1023" spans="1:5" x14ac:dyDescent="0.25">
      <c r="A1023" s="7">
        <v>3.9872269472609827</v>
      </c>
      <c r="B1023"/>
      <c r="C1023"/>
      <c r="D1023"/>
      <c r="E1023" s="1"/>
    </row>
    <row r="1024" spans="1:5" x14ac:dyDescent="0.25">
      <c r="A1024" s="7">
        <v>3.9477494527336461</v>
      </c>
      <c r="B1024"/>
      <c r="C1024"/>
      <c r="D1024"/>
      <c r="E1024" s="1"/>
    </row>
    <row r="1025" spans="1:5" x14ac:dyDescent="0.25">
      <c r="A1025" s="7">
        <v>3.9086628244887587</v>
      </c>
      <c r="B1025"/>
      <c r="C1025"/>
      <c r="D1025"/>
      <c r="E1025" s="1"/>
    </row>
    <row r="1026" spans="1:5" x14ac:dyDescent="0.25">
      <c r="A1026" s="7">
        <v>3.8699631925631275</v>
      </c>
      <c r="B1026"/>
      <c r="C1026"/>
      <c r="D1026"/>
      <c r="E1026" s="1"/>
    </row>
    <row r="1027" spans="1:5" x14ac:dyDescent="0.25">
      <c r="A1027" s="7">
        <v>3.8316467253100273</v>
      </c>
      <c r="B1027"/>
      <c r="C1027"/>
      <c r="D1027"/>
      <c r="E1027" s="1"/>
    </row>
    <row r="1028" spans="1:5" x14ac:dyDescent="0.25">
      <c r="A1028" s="7">
        <v>3.7937096290198289</v>
      </c>
      <c r="B1028"/>
      <c r="C1028"/>
      <c r="D1028"/>
      <c r="E1028" s="1"/>
    </row>
    <row r="1029" spans="1:5" x14ac:dyDescent="0.25">
      <c r="A1029" s="7">
        <v>3.7561481475443852</v>
      </c>
      <c r="B1029"/>
      <c r="C1029"/>
      <c r="D1029"/>
      <c r="E1029" s="1"/>
    </row>
    <row r="1030" spans="1:5" x14ac:dyDescent="0.25">
      <c r="A1030" s="7">
        <v>3.7189585619251337</v>
      </c>
      <c r="B1030"/>
      <c r="C1030"/>
      <c r="D1030"/>
      <c r="E1030" s="1"/>
    </row>
    <row r="1031" spans="1:5" x14ac:dyDescent="0.25">
      <c r="A1031" s="7">
        <v>3.6821371900248847</v>
      </c>
      <c r="B1031"/>
      <c r="C1031"/>
      <c r="D1031"/>
      <c r="E1031" s="1"/>
    </row>
    <row r="1032" spans="1:5" x14ac:dyDescent="0.25">
      <c r="A1032" s="7">
        <v>3.6456803861632521</v>
      </c>
      <c r="B1032"/>
      <c r="C1032"/>
      <c r="D1032"/>
      <c r="E1032" s="1"/>
    </row>
    <row r="1033" spans="1:5" x14ac:dyDescent="0.25">
      <c r="A1033" s="7">
        <v>3.6095845407556952</v>
      </c>
      <c r="B1033"/>
      <c r="C1033"/>
      <c r="D1033"/>
      <c r="E1033" s="1"/>
    </row>
    <row r="1034" spans="1:5" x14ac:dyDescent="0.25">
      <c r="A1034" s="7">
        <v>3.5738460799561338</v>
      </c>
      <c r="B1034"/>
      <c r="C1034"/>
      <c r="D1034"/>
      <c r="E1034" s="1"/>
    </row>
    <row r="1035" spans="1:5" x14ac:dyDescent="0.25">
      <c r="A1035" s="7">
        <v>3.5384614653031026</v>
      </c>
      <c r="B1035"/>
      <c r="C1035"/>
      <c r="D1035"/>
      <c r="E1035" s="1"/>
    </row>
    <row r="1036" spans="1:5" x14ac:dyDescent="0.25">
      <c r="A1036" s="7">
        <v>3.5034271933694083</v>
      </c>
      <c r="B1036"/>
      <c r="C1036"/>
      <c r="D1036"/>
      <c r="E1036" s="1"/>
    </row>
    <row r="1037" spans="1:5" x14ac:dyDescent="0.25">
      <c r="A1037" s="7">
        <v>3.4687397954152557</v>
      </c>
      <c r="B1037"/>
      <c r="C1037"/>
      <c r="D1037"/>
      <c r="E1037" s="1"/>
    </row>
    <row r="1038" spans="1:5" x14ac:dyDescent="0.25">
      <c r="A1038" s="7">
        <v>3.4343958370448076</v>
      </c>
      <c r="B1038"/>
      <c r="C1038"/>
      <c r="D1038"/>
      <c r="E1038" s="1"/>
    </row>
    <row r="1039" spans="1:5" x14ac:dyDescent="0.25">
      <c r="A1039" s="7">
        <v>3.4003919178661461</v>
      </c>
      <c r="B1039"/>
      <c r="C1039"/>
      <c r="D1039"/>
      <c r="E1039" s="1"/>
    </row>
    <row r="1040" spans="1:5" x14ac:dyDescent="0.25">
      <c r="A1040" s="7">
        <v>3.3667246711545999</v>
      </c>
      <c r="B1040"/>
      <c r="C1040"/>
      <c r="D1040"/>
      <c r="E1040" s="1"/>
    </row>
    <row r="1041" spans="1:5" x14ac:dyDescent="0.25">
      <c r="A1041" s="7">
        <v>3.333390763519406</v>
      </c>
      <c r="B1041"/>
      <c r="C1041"/>
      <c r="D1041"/>
      <c r="E1041" s="1"/>
    </row>
    <row r="1042" spans="1:5" x14ac:dyDescent="0.25">
      <c r="A1042" s="7">
        <v>3.3003868945736694</v>
      </c>
      <c r="B1042"/>
      <c r="C1042"/>
      <c r="D1042"/>
      <c r="E1042" s="1"/>
    </row>
    <row r="1043" spans="1:5" x14ac:dyDescent="0.25">
      <c r="A1043" s="7">
        <v>3.2677097966075936</v>
      </c>
      <c r="B1043"/>
      <c r="C1043"/>
      <c r="D1043"/>
      <c r="E1043" s="1"/>
    </row>
    <row r="1044" spans="1:5" x14ac:dyDescent="0.25">
      <c r="A1044" s="7">
        <v>3.2353562342649442</v>
      </c>
      <c r="B1044"/>
      <c r="C1044"/>
      <c r="D1044"/>
      <c r="E1044" s="1"/>
    </row>
    <row r="1045" spans="1:5" x14ac:dyDescent="0.25">
      <c r="A1045" s="7">
        <v>3.203323004222717</v>
      </c>
      <c r="B1045"/>
      <c r="C1045"/>
      <c r="D1045"/>
      <c r="E1045" s="1"/>
    </row>
    <row r="1046" spans="1:5" x14ac:dyDescent="0.25">
      <c r="A1046" s="7">
        <v>3.171606934873977</v>
      </c>
      <c r="B1046"/>
      <c r="C1046"/>
      <c r="D1046"/>
      <c r="E1046" s="1"/>
    </row>
    <row r="1047" spans="1:5" x14ac:dyDescent="0.25">
      <c r="A1047" s="7">
        <v>3.1402048860138385</v>
      </c>
      <c r="B1047"/>
      <c r="C1047"/>
      <c r="D1047"/>
      <c r="E1047" s="1"/>
    </row>
    <row r="1048" spans="1:5" x14ac:dyDescent="0.25">
      <c r="A1048" s="7">
        <v>3.1091137485285532</v>
      </c>
      <c r="B1048"/>
      <c r="C1048"/>
      <c r="D1048"/>
      <c r="E1048" s="1"/>
    </row>
    <row r="1049" spans="1:5" x14ac:dyDescent="0.25">
      <c r="A1049" s="7">
        <v>3.0783304440876762</v>
      </c>
      <c r="B1049"/>
      <c r="C1049"/>
      <c r="D1049"/>
      <c r="E1049" s="1"/>
    </row>
    <row r="1050" spans="1:5" x14ac:dyDescent="0.25">
      <c r="A1050" s="7">
        <v>3.0478519248392835</v>
      </c>
      <c r="B1050"/>
      <c r="C1050"/>
      <c r="D1050"/>
      <c r="E1050" s="1"/>
    </row>
    <row r="1051" spans="1:5" x14ac:dyDescent="0.25">
      <c r="A1051" s="7">
        <v>3.0176751731082012</v>
      </c>
      <c r="B1051"/>
      <c r="C1051"/>
      <c r="D1051"/>
      <c r="E1051" s="1"/>
    </row>
    <row r="1052" spans="1:5" x14ac:dyDescent="0.25">
      <c r="A1052" s="7">
        <v>2.9877972010972287</v>
      </c>
      <c r="B1052"/>
      <c r="C1052"/>
      <c r="D1052"/>
      <c r="E1052" s="1"/>
    </row>
    <row r="1053" spans="1:5" x14ac:dyDescent="0.25">
      <c r="A1053" s="7">
        <v>2.9582150505913156</v>
      </c>
      <c r="B1053"/>
      <c r="C1053"/>
      <c r="D1053"/>
      <c r="E1053" s="1"/>
    </row>
    <row r="1054" spans="1:5" x14ac:dyDescent="0.25">
      <c r="A1054" s="7">
        <v>2.928925792664669</v>
      </c>
      <c r="B1054"/>
      <c r="C1054"/>
      <c r="D1054"/>
      <c r="E1054" s="1"/>
    </row>
    <row r="1055" spans="1:5" x14ac:dyDescent="0.25">
      <c r="A1055" s="7">
        <v>2.8999265273907615</v>
      </c>
      <c r="B1055"/>
      <c r="C1055"/>
      <c r="D1055"/>
      <c r="E1055" s="1"/>
    </row>
    <row r="1056" spans="1:5" x14ac:dyDescent="0.25">
      <c r="A1056" s="7">
        <v>2.8712143835552095</v>
      </c>
      <c r="B1056"/>
      <c r="C1056"/>
      <c r="D1056"/>
      <c r="E1056" s="1"/>
    </row>
    <row r="1057" spans="1:5" x14ac:dyDescent="0.25">
      <c r="A1057" s="7">
        <v>2.8427865183714944</v>
      </c>
      <c r="B1057"/>
      <c r="C1057"/>
      <c r="D1057"/>
      <c r="E1057" s="1"/>
    </row>
    <row r="1058" spans="1:5" x14ac:dyDescent="0.25">
      <c r="A1058" s="7">
        <v>2.8146401171994992</v>
      </c>
      <c r="B1058"/>
      <c r="C1058"/>
      <c r="D1058"/>
      <c r="E1058" s="1"/>
    </row>
    <row r="1059" spans="1:5" x14ac:dyDescent="0.25">
      <c r="A1059" s="7">
        <v>2.7867723932668311</v>
      </c>
      <c r="B1059"/>
      <c r="C1059"/>
      <c r="D1059"/>
      <c r="E1059" s="1"/>
    </row>
    <row r="1060" spans="1:5" x14ac:dyDescent="0.25">
      <c r="A1060" s="7">
        <v>2.7591805873929021</v>
      </c>
      <c r="B1060"/>
      <c r="C1060"/>
      <c r="D1060"/>
      <c r="E1060" s="1"/>
    </row>
    <row r="1061" spans="1:5" x14ac:dyDescent="0.25">
      <c r="A1061" s="7">
        <v>2.7318619677157447</v>
      </c>
      <c r="B1061"/>
      <c r="C1061"/>
      <c r="D1061"/>
      <c r="E1061" s="1"/>
    </row>
    <row r="1062" spans="1:5" x14ac:dyDescent="0.25">
      <c r="A1062" s="7">
        <v>2.7048138294215294</v>
      </c>
      <c r="B1062"/>
      <c r="C1062"/>
      <c r="D1062"/>
      <c r="E1062" s="1"/>
    </row>
    <row r="1063" spans="1:5" x14ac:dyDescent="0.25">
      <c r="A1063" s="7">
        <v>2.6780334944767619</v>
      </c>
      <c r="B1063"/>
      <c r="C1063"/>
      <c r="D1063"/>
      <c r="E1063" s="1"/>
    </row>
    <row r="1064" spans="1:5" x14ac:dyDescent="0.25">
      <c r="A1064" s="7">
        <v>2.6515183113631307</v>
      </c>
      <c r="B1064"/>
      <c r="C1064"/>
      <c r="D1064"/>
      <c r="E1064" s="1"/>
    </row>
    <row r="1065" spans="1:5" x14ac:dyDescent="0.25">
      <c r="A1065" s="7">
        <v>2.6252656548149806</v>
      </c>
      <c r="B1065"/>
      <c r="C1065"/>
      <c r="D1065"/>
      <c r="E1065" s="1"/>
    </row>
    <row r="1066" spans="1:5" x14ac:dyDescent="0.25">
      <c r="A1066" s="7">
        <v>2.5992729255593869</v>
      </c>
      <c r="B1066"/>
      <c r="C1066"/>
      <c r="D1066"/>
      <c r="E1066" s="1"/>
    </row>
    <row r="1067" spans="1:5" x14ac:dyDescent="0.25">
      <c r="A1067" s="7">
        <v>2.5735375500587989</v>
      </c>
      <c r="B1067"/>
      <c r="C1067"/>
      <c r="D1067"/>
      <c r="E1067" s="1"/>
    </row>
    <row r="1068" spans="1:5" x14ac:dyDescent="0.25">
      <c r="A1068" s="7">
        <v>2.5480569802562365</v>
      </c>
      <c r="B1068"/>
      <c r="C1068"/>
      <c r="D1068"/>
      <c r="E1068" s="1"/>
    </row>
    <row r="1069" spans="1:5" x14ac:dyDescent="0.25">
      <c r="A1069" s="7">
        <v>2.5228286933230066</v>
      </c>
      <c r="B1069"/>
      <c r="C1069"/>
      <c r="D1069"/>
      <c r="E1069" s="1"/>
    </row>
    <row r="1070" spans="1:5" x14ac:dyDescent="0.25">
      <c r="A1070" s="7">
        <v>2.4978501914089173</v>
      </c>
      <c r="B1070"/>
      <c r="C1070"/>
      <c r="D1070"/>
      <c r="E1070" s="1"/>
    </row>
    <row r="1071" spans="1:5" x14ac:dyDescent="0.25">
      <c r="A1071" s="7">
        <v>2.4731190013949678</v>
      </c>
      <c r="B1071"/>
      <c r="C1071"/>
      <c r="D1071"/>
      <c r="E1071" s="1"/>
    </row>
    <row r="1072" spans="1:5" x14ac:dyDescent="0.25">
      <c r="A1072" s="7">
        <v>2.4486326746484828</v>
      </c>
      <c r="B1072"/>
      <c r="C1072"/>
      <c r="D1072"/>
      <c r="E1072" s="1"/>
    </row>
    <row r="1073" spans="1:5" x14ac:dyDescent="0.25">
      <c r="A1073" s="7">
        <v>2.4243887867806762</v>
      </c>
      <c r="B1073"/>
      <c r="C1073"/>
      <c r="D1073"/>
      <c r="E1073" s="1"/>
    </row>
    <row r="1074" spans="1:5" x14ac:dyDescent="0.25">
      <c r="A1074" s="7">
        <v>2.40038493740661</v>
      </c>
      <c r="B1074"/>
      <c r="C1074"/>
      <c r="D1074"/>
      <c r="E1074" s="1"/>
    </row>
    <row r="1075" spans="1:5" x14ac:dyDescent="0.25">
      <c r="A1075" s="7">
        <v>2.3766187499075344</v>
      </c>
      <c r="B1075"/>
      <c r="C1075"/>
      <c r="D1075"/>
      <c r="E1075" s="1"/>
    </row>
    <row r="1076" spans="1:5" x14ac:dyDescent="0.25">
      <c r="A1076" s="7">
        <v>2.3530878711955787</v>
      </c>
      <c r="B1076"/>
      <c r="C1076"/>
      <c r="D1076"/>
      <c r="E1076" s="1"/>
    </row>
    <row r="1077" spans="1:5" x14ac:dyDescent="0.25">
      <c r="A1077" s="7">
        <v>2.3297899714807708</v>
      </c>
      <c r="B1077"/>
      <c r="C1077"/>
      <c r="D1077"/>
      <c r="E1077" s="1"/>
    </row>
    <row r="1078" spans="1:5" x14ac:dyDescent="0.25">
      <c r="A1078" s="7">
        <v>2.3067227440403673</v>
      </c>
      <c r="B1078"/>
      <c r="C1078"/>
      <c r="D1078"/>
      <c r="E1078" s="1"/>
    </row>
    <row r="1079" spans="1:5" x14ac:dyDescent="0.25">
      <c r="A1079" s="7">
        <v>2.2838839049904625</v>
      </c>
      <c r="B1079"/>
      <c r="C1079"/>
      <c r="D1079"/>
      <c r="E1079" s="1"/>
    </row>
    <row r="1080" spans="1:5" x14ac:dyDescent="0.25">
      <c r="A1080" s="7">
        <v>2.2612711930598639</v>
      </c>
      <c r="B1080"/>
      <c r="C1080"/>
      <c r="D1080"/>
      <c r="E1080" s="1"/>
    </row>
    <row r="1081" spans="1:5" x14ac:dyDescent="0.25">
      <c r="A1081" s="7">
        <v>2.2388823693662019</v>
      </c>
      <c r="B1081"/>
      <c r="C1081"/>
      <c r="D1081"/>
      <c r="E1081" s="1"/>
    </row>
    <row r="1082" spans="1:5" x14ac:dyDescent="0.25">
      <c r="A1082" s="7">
        <v>2.2167152171942592</v>
      </c>
      <c r="B1082"/>
      <c r="C1082"/>
      <c r="D1082"/>
      <c r="E1082" s="1"/>
    </row>
    <row r="1083" spans="1:5" x14ac:dyDescent="0.25">
      <c r="A1083" s="7">
        <v>2.1947675417764945</v>
      </c>
      <c r="B1083"/>
      <c r="C1083"/>
      <c r="D1083"/>
      <c r="E1083" s="1"/>
    </row>
    <row r="1084" spans="1:5" x14ac:dyDescent="0.25">
      <c r="A1084" s="7">
        <v>2.1730371700757369</v>
      </c>
      <c r="B1084"/>
      <c r="C1084"/>
      <c r="D1084"/>
      <c r="E1084" s="1"/>
    </row>
    <row r="1085" spans="1:5" x14ac:dyDescent="0.25">
      <c r="A1085" s="7">
        <v>2.1515219505700367</v>
      </c>
      <c r="B1085"/>
      <c r="C1085"/>
      <c r="D1085"/>
      <c r="E1085" s="1"/>
    </row>
    <row r="1086" spans="1:5" x14ac:dyDescent="0.25">
      <c r="A1086" s="7">
        <v>2.1302197530396403</v>
      </c>
      <c r="B1086"/>
      <c r="C1086"/>
      <c r="D1086"/>
      <c r="E1086" s="1"/>
    </row>
    <row r="1087" spans="1:5" x14ac:dyDescent="0.25">
      <c r="A1087" s="7">
        <v>2.1091284683560794</v>
      </c>
      <c r="B1087"/>
      <c r="C1087"/>
      <c r="D1087"/>
      <c r="E1087" s="1"/>
    </row>
    <row r="1088" spans="1:5" x14ac:dyDescent="0.25">
      <c r="A1088" s="7">
        <v>2.0882460082733458</v>
      </c>
      <c r="B1088"/>
      <c r="C1088"/>
      <c r="D1088"/>
      <c r="E1088" s="1"/>
    </row>
    <row r="1089" spans="1:5" x14ac:dyDescent="0.25">
      <c r="A1089" s="7">
        <v>2.0675703052211345</v>
      </c>
      <c r="B1089"/>
      <c r="C1089"/>
      <c r="D1089"/>
      <c r="E1089" s="1"/>
    </row>
    <row r="1090" spans="1:5" x14ac:dyDescent="0.25">
      <c r="A1090" s="7">
        <v>2.0470993121001331</v>
      </c>
      <c r="B1090"/>
      <c r="C1090"/>
      <c r="D1090"/>
      <c r="E1090" s="1"/>
    </row>
    <row r="1091" spans="1:5" x14ac:dyDescent="0.25">
      <c r="A1091" s="7">
        <v>2.0268310020793399</v>
      </c>
      <c r="B1091"/>
      <c r="C1091"/>
      <c r="D1091"/>
      <c r="E1091" s="1"/>
    </row>
    <row r="1092" spans="1:5" x14ac:dyDescent="0.25">
      <c r="A1092" s="7">
        <v>2.006763368395386</v>
      </c>
      <c r="B1092"/>
      <c r="C1092"/>
      <c r="D1092"/>
      <c r="E1092" s="1"/>
    </row>
    <row r="1093" spans="1:5" x14ac:dyDescent="0.25">
      <c r="A1093" s="7">
        <v>1.9868944241538475</v>
      </c>
      <c r="B1093"/>
      <c r="C1093"/>
      <c r="D1093"/>
      <c r="E1093" s="1"/>
    </row>
    <row r="1094" spans="1:5" x14ac:dyDescent="0.25">
      <c r="A1094" s="7">
        <v>1.9672222021325223</v>
      </c>
      <c r="B1094"/>
      <c r="C1094"/>
      <c r="D1094"/>
      <c r="E1094" s="1"/>
    </row>
    <row r="1095" spans="1:5" x14ac:dyDescent="0.25">
      <c r="A1095" s="7">
        <v>1.9477447545866557</v>
      </c>
      <c r="B1095"/>
      <c r="C1095"/>
      <c r="D1095"/>
      <c r="E1095" s="1"/>
    </row>
    <row r="1096" spans="1:5" x14ac:dyDescent="0.25">
      <c r="A1096" s="7">
        <v>1.9284601530560948</v>
      </c>
      <c r="B1096"/>
      <c r="C1096"/>
      <c r="D1096"/>
      <c r="E1096" s="1"/>
    </row>
    <row r="1097" spans="1:5" x14ac:dyDescent="0.25">
      <c r="A1097" s="7">
        <v>1.9093664881743513</v>
      </c>
      <c r="B1097"/>
      <c r="C1097"/>
      <c r="D1097"/>
      <c r="E1097" s="1"/>
    </row>
    <row r="1098" spans="1:5" x14ac:dyDescent="0.25">
      <c r="A1098" s="7">
        <v>1.8904618694795556</v>
      </c>
      <c r="B1098"/>
      <c r="C1098"/>
      <c r="D1098"/>
      <c r="E1098" s="1"/>
    </row>
    <row r="1099" spans="1:5" x14ac:dyDescent="0.25">
      <c r="A1099" s="7">
        <v>1.8717444252272828</v>
      </c>
      <c r="B1099"/>
      <c r="C1099"/>
      <c r="D1099"/>
      <c r="E1099" s="1"/>
    </row>
    <row r="1100" spans="1:5" x14ac:dyDescent="0.25">
      <c r="A1100" s="7">
        <v>1.8532123022052305</v>
      </c>
      <c r="B1100"/>
      <c r="C1100"/>
      <c r="D1100"/>
      <c r="E1100" s="1"/>
    </row>
    <row r="1101" spans="1:5" x14ac:dyDescent="0.25">
      <c r="A1101" s="7">
        <v>1.8348636655497332</v>
      </c>
      <c r="B1101"/>
      <c r="C1101"/>
      <c r="D1101"/>
      <c r="E1101" s="1"/>
    </row>
    <row r="1102" spans="1:5" x14ac:dyDescent="0.25">
      <c r="A1102" s="7">
        <v>1.8166966985640922</v>
      </c>
      <c r="B1102"/>
      <c r="C1102"/>
      <c r="D1102"/>
      <c r="E1102" s="1"/>
    </row>
    <row r="1103" spans="1:5" x14ac:dyDescent="0.25">
      <c r="A1103" s="7">
        <v>1.798709602538705</v>
      </c>
      <c r="B1103"/>
      <c r="C1103"/>
      <c r="D1103"/>
      <c r="E1103" s="1"/>
    </row>
    <row r="1104" spans="1:5" x14ac:dyDescent="0.25">
      <c r="A1104" s="7">
        <v>1.7809005965729752</v>
      </c>
      <c r="B1104"/>
      <c r="C1104"/>
      <c r="D1104"/>
      <c r="E1104" s="1"/>
    </row>
    <row r="1105" spans="1:5" x14ac:dyDescent="0.25">
      <c r="A1105" s="7">
        <v>1.7632679173989854</v>
      </c>
      <c r="B1105"/>
      <c r="C1105"/>
      <c r="D1105"/>
      <c r="E1105" s="1"/>
    </row>
    <row r="1106" spans="1:5" x14ac:dyDescent="0.25">
      <c r="A1106" s="7">
        <v>1.7458098192069162</v>
      </c>
      <c r="B1106"/>
      <c r="C1106"/>
      <c r="D1106"/>
      <c r="E1106" s="1"/>
    </row>
    <row r="1107" spans="1:5" x14ac:dyDescent="0.25">
      <c r="A1107" s="7">
        <v>1.7285245734721943</v>
      </c>
      <c r="B1107"/>
      <c r="C1107"/>
      <c r="D1107"/>
      <c r="E1107" s="1"/>
    </row>
    <row r="1108" spans="1:5" x14ac:dyDescent="0.25">
      <c r="A1108" s="7">
        <v>1.7114104687843508</v>
      </c>
      <c r="B1108"/>
      <c r="C1108"/>
      <c r="D1108"/>
      <c r="E1108" s="1"/>
    </row>
    <row r="1109" spans="1:5" x14ac:dyDescent="0.25">
      <c r="A1109" s="7">
        <v>1.694465810677575</v>
      </c>
      <c r="B1109"/>
      <c r="C1109"/>
      <c r="D1109"/>
      <c r="E1109" s="1"/>
    </row>
    <row r="1110" spans="1:5" x14ac:dyDescent="0.25">
      <c r="A1110" s="7">
        <v>1.6776889214629456</v>
      </c>
      <c r="B1110"/>
      <c r="C1110"/>
      <c r="D1110"/>
      <c r="E1110" s="1"/>
    </row>
    <row r="1111" spans="1:5" x14ac:dyDescent="0.25">
      <c r="A1111" s="7">
        <v>1.6610781400623222</v>
      </c>
      <c r="B1111"/>
      <c r="C1111"/>
      <c r="D1111"/>
      <c r="E1111" s="1"/>
    </row>
    <row r="1112" spans="1:5" x14ac:dyDescent="0.25">
      <c r="A1112" s="7">
        <v>1.6446318218438833</v>
      </c>
      <c r="B1112"/>
      <c r="C1112"/>
      <c r="D1112"/>
      <c r="E1112" s="1"/>
    </row>
    <row r="1113" spans="1:5" x14ac:dyDescent="0.25">
      <c r="A1113" s="7">
        <v>1.6283483384592905</v>
      </c>
      <c r="B1113"/>
      <c r="C1113"/>
      <c r="D1113"/>
      <c r="E1113" s="1"/>
    </row>
    <row r="1114" spans="1:5" x14ac:dyDescent="0.25">
      <c r="A1114" s="7">
        <v>1.6122260776824657</v>
      </c>
      <c r="B1114"/>
      <c r="C1114"/>
      <c r="D1114"/>
      <c r="E1114" s="1"/>
    </row>
    <row r="1115" spans="1:5" x14ac:dyDescent="0.25">
      <c r="A1115" s="7">
        <v>1.5962634432499661</v>
      </c>
      <c r="B1115"/>
      <c r="C1115"/>
      <c r="D1115"/>
      <c r="E1115" s="1"/>
    </row>
    <row r="1116" spans="1:5" x14ac:dyDescent="0.25">
      <c r="A1116" s="7">
        <v>1.5804588547029366</v>
      </c>
      <c r="B1116"/>
      <c r="C1116"/>
      <c r="D1116"/>
      <c r="E1116" s="1"/>
    </row>
    <row r="1117" spans="1:5" x14ac:dyDescent="0.25">
      <c r="A1117" s="7">
        <v>1.5648107472306303</v>
      </c>
      <c r="B1117"/>
      <c r="C1117"/>
      <c r="D1117"/>
      <c r="E1117" s="1"/>
    </row>
    <row r="1118" spans="1:5" x14ac:dyDescent="0.25">
      <c r="A1118" s="7">
        <v>1.5493175715154754</v>
      </c>
      <c r="B1118"/>
      <c r="C1118"/>
      <c r="D1118"/>
      <c r="E1118" s="1"/>
    </row>
    <row r="1119" spans="1:5" x14ac:dyDescent="0.25">
      <c r="A1119" s="7">
        <v>1.5339777935796786</v>
      </c>
      <c r="B1119"/>
      <c r="C1119"/>
      <c r="D1119"/>
      <c r="E1119" s="1"/>
    </row>
    <row r="1120" spans="1:5" x14ac:dyDescent="0.25">
      <c r="A1120" s="7">
        <v>1.5187898946333451</v>
      </c>
      <c r="B1120"/>
      <c r="C1120"/>
      <c r="D1120"/>
      <c r="E1120" s="1"/>
    </row>
    <row r="1121" spans="1:5" x14ac:dyDescent="0.25">
      <c r="A1121" s="7">
        <v>1.5037523709241041</v>
      </c>
      <c r="B1121"/>
      <c r="C1121"/>
      <c r="D1121"/>
      <c r="E1121" s="1"/>
    </row>
    <row r="1122" spans="1:5" x14ac:dyDescent="0.25">
      <c r="A1122" s="7">
        <v>1.4888637335882218</v>
      </c>
      <c r="B1122"/>
      <c r="C1122"/>
      <c r="D1122"/>
      <c r="E1122" s="1"/>
    </row>
    <row r="1123" spans="1:5" x14ac:dyDescent="0.25">
      <c r="A1123" s="7">
        <v>1.4741225085031899</v>
      </c>
      <c r="B1123"/>
      <c r="C1123"/>
      <c r="D1123"/>
      <c r="E1123" s="1"/>
    </row>
    <row r="1124" spans="1:5" x14ac:dyDescent="0.25">
      <c r="A1124" s="7">
        <v>1.4595272361417722</v>
      </c>
      <c r="B1124"/>
      <c r="C1124"/>
      <c r="D1124"/>
      <c r="E1124" s="1"/>
    </row>
    <row r="1125" spans="1:5" x14ac:dyDescent="0.25">
      <c r="A1125" s="7">
        <v>1.4450764714274971</v>
      </c>
      <c r="B1125"/>
      <c r="C1125"/>
      <c r="D1125"/>
      <c r="E1125" s="1"/>
    </row>
    <row r="1126" spans="1:5" x14ac:dyDescent="0.25">
      <c r="A1126" s="7">
        <v>1.4307687835915812</v>
      </c>
      <c r="B1126"/>
      <c r="C1126"/>
      <c r="D1126"/>
      <c r="E1126" s="1"/>
    </row>
    <row r="1127" spans="1:5" x14ac:dyDescent="0.25">
      <c r="A1127" s="7">
        <v>1.4166027560312686</v>
      </c>
      <c r="B1127"/>
      <c r="C1127"/>
      <c r="D1127"/>
      <c r="E1127" s="1"/>
    </row>
    <row r="1128" spans="1:5" x14ac:dyDescent="0.25">
      <c r="A1128" s="7">
        <v>1.4025769861695729</v>
      </c>
      <c r="B1128"/>
      <c r="C1128"/>
      <c r="D1128"/>
      <c r="E1128" s="1"/>
    </row>
    <row r="1129" spans="1:5" x14ac:dyDescent="0.25">
      <c r="A1129" s="7">
        <v>1.3886900853164088</v>
      </c>
      <c r="B1129"/>
      <c r="C1129"/>
      <c r="D1129"/>
      <c r="E1129" s="1"/>
    </row>
    <row r="1130" spans="1:5" x14ac:dyDescent="0.25">
      <c r="A1130" s="7">
        <v>1.3749406785310978</v>
      </c>
      <c r="B1130"/>
      <c r="C1130"/>
      <c r="D1130"/>
      <c r="E1130" s="1"/>
    </row>
    <row r="1131" spans="1:5" x14ac:dyDescent="0.25">
      <c r="A1131" s="7">
        <v>1.3613274044862353</v>
      </c>
      <c r="B1131"/>
      <c r="C1131"/>
      <c r="D1131"/>
      <c r="E1131" s="1"/>
    </row>
    <row r="1132" spans="1:5" x14ac:dyDescent="0.25">
      <c r="A1132" s="7">
        <v>1.3478489153329063</v>
      </c>
      <c r="B1132"/>
      <c r="C1132"/>
      <c r="D1132"/>
      <c r="E1132" s="1"/>
    </row>
    <row r="1133" spans="1:5" x14ac:dyDescent="0.25">
      <c r="A1133" s="7">
        <v>1.3345038765672339</v>
      </c>
      <c r="B1133"/>
      <c r="C1133"/>
      <c r="D1133"/>
      <c r="E1133" s="1"/>
    </row>
    <row r="1134" spans="1:5" x14ac:dyDescent="0.25">
      <c r="A1134" s="7">
        <v>1.3212909668982513</v>
      </c>
      <c r="B1134"/>
      <c r="C1134"/>
      <c r="D1134"/>
      <c r="E1134" s="1"/>
    </row>
    <row r="1135" spans="1:5" x14ac:dyDescent="0.25">
      <c r="A1135" s="7">
        <v>1.3082088781170804</v>
      </c>
      <c r="B1135"/>
      <c r="C1135"/>
      <c r="D1135"/>
      <c r="E1135" s="1"/>
    </row>
    <row r="1136" spans="1:5" x14ac:dyDescent="0.25">
      <c r="A1136" s="7">
        <v>1.2952563149674063</v>
      </c>
      <c r="B1136"/>
      <c r="C1136"/>
      <c r="D1136"/>
      <c r="E1136" s="1"/>
    </row>
    <row r="1137" spans="1:5" x14ac:dyDescent="0.25">
      <c r="A1137" s="7">
        <v>1.282431995017234</v>
      </c>
      <c r="B1137"/>
      <c r="C1137"/>
      <c r="D1137"/>
      <c r="E1137" s="1"/>
    </row>
    <row r="1138" spans="1:5" x14ac:dyDescent="0.25">
      <c r="A1138" s="7">
        <v>1.269734648531915</v>
      </c>
      <c r="B1138"/>
      <c r="C1138"/>
      <c r="D1138"/>
      <c r="E1138" s="1"/>
    </row>
    <row r="1139" spans="1:5" x14ac:dyDescent="0.25">
      <c r="A1139" s="7">
        <v>1.2571630183484306</v>
      </c>
      <c r="B1139"/>
      <c r="C1139"/>
      <c r="D1139"/>
      <c r="E1139" s="1"/>
    </row>
    <row r="1140" spans="1:5" x14ac:dyDescent="0.25">
      <c r="A1140" s="7">
        <v>1.2447158597509214</v>
      </c>
      <c r="B1140"/>
      <c r="C1140"/>
      <c r="D1140"/>
      <c r="E1140" s="1"/>
    </row>
    <row r="1141" spans="1:5" x14ac:dyDescent="0.25">
      <c r="A1141" s="7">
        <v>1.2323919403474468</v>
      </c>
      <c r="B1141"/>
      <c r="C1141"/>
      <c r="D1141"/>
      <c r="E1141" s="1"/>
    </row>
    <row r="1142" spans="1:5" x14ac:dyDescent="0.25">
      <c r="A1142" s="7">
        <v>1.220190039947967</v>
      </c>
      <c r="B1142"/>
      <c r="C1142"/>
      <c r="D1142"/>
      <c r="E1142" s="1"/>
    </row>
    <row r="1143" spans="1:5" x14ac:dyDescent="0.25">
      <c r="A1143" s="7">
        <v>1.2081089504435316</v>
      </c>
      <c r="B1143"/>
      <c r="C1143"/>
      <c r="D1143"/>
      <c r="E1143" s="1"/>
    </row>
    <row r="1144" spans="1:5" x14ac:dyDescent="0.25">
      <c r="A1144" s="7">
        <v>1.196147475686665</v>
      </c>
      <c r="B1144"/>
      <c r="C1144"/>
      <c r="D1144"/>
      <c r="E1144" s="1"/>
    </row>
    <row r="1145" spans="1:5" x14ac:dyDescent="0.25">
      <c r="A1145" s="7">
        <v>1.1843044313729356</v>
      </c>
      <c r="B1145"/>
      <c r="C1145"/>
      <c r="D1145"/>
      <c r="E1145" s="1"/>
    </row>
    <row r="1146" spans="1:5" x14ac:dyDescent="0.25">
      <c r="A1146" s="7">
        <v>1.1725786449236986</v>
      </c>
      <c r="B1146"/>
      <c r="C1146"/>
      <c r="D1146"/>
      <c r="E1146" s="1"/>
    </row>
    <row r="1147" spans="1:5" x14ac:dyDescent="0.25">
      <c r="A1147" s="7">
        <v>1.1609689553699987</v>
      </c>
      <c r="B1147"/>
      <c r="C1147"/>
      <c r="D1147"/>
      <c r="E1147" s="1"/>
    </row>
    <row r="1148" spans="1:5" x14ac:dyDescent="0.25">
      <c r="A1148" s="7">
        <v>1.1494742132376223</v>
      </c>
      <c r="B1148"/>
      <c r="C1148"/>
      <c r="D1148"/>
      <c r="E1148" s="1"/>
    </row>
    <row r="1149" spans="1:5" x14ac:dyDescent="0.25">
      <c r="A1149" s="7">
        <v>1.1380932804332895</v>
      </c>
      <c r="B1149"/>
      <c r="C1149"/>
      <c r="D1149"/>
      <c r="E1149" s="1"/>
    </row>
    <row r="1150" spans="1:5" x14ac:dyDescent="0.25">
      <c r="A1150" s="7">
        <v>1.1268250301319698</v>
      </c>
      <c r="B1150"/>
      <c r="C1150"/>
      <c r="D1150"/>
      <c r="E1150" s="1"/>
    </row>
    <row r="1151" spans="1:5" x14ac:dyDescent="0.25">
      <c r="A1151" s="7">
        <v>1.1156683466653166</v>
      </c>
      <c r="B1151"/>
      <c r="C1151"/>
      <c r="D1151"/>
      <c r="E1151" s="1"/>
    </row>
    <row r="1152" spans="1:5" x14ac:dyDescent="0.25">
      <c r="A1152" s="7">
        <v>1.1046221254112045</v>
      </c>
      <c r="B1152"/>
      <c r="C1152"/>
      <c r="D1152"/>
      <c r="E1152" s="1"/>
    </row>
    <row r="1153" spans="1:5" x14ac:dyDescent="0.25">
      <c r="A1153" s="7">
        <v>1.0936852726843609</v>
      </c>
      <c r="B1153"/>
      <c r="C1153"/>
      <c r="D1153"/>
      <c r="E1153" s="1"/>
    </row>
    <row r="1154" spans="1:5" x14ac:dyDescent="0.25">
      <c r="A1154" s="7">
        <v>1.08285670562808</v>
      </c>
      <c r="B1154"/>
      <c r="C1154"/>
      <c r="D1154"/>
      <c r="E1154" s="1"/>
    </row>
    <row r="1155" spans="1:5" x14ac:dyDescent="0.25">
      <c r="A1155" s="7">
        <v>1.0721353521070098</v>
      </c>
      <c r="B1155"/>
      <c r="C1155"/>
      <c r="D1155"/>
      <c r="E1155" s="1"/>
    </row>
    <row r="1156" spans="1:5" x14ac:dyDescent="0.25">
      <c r="A1156" s="7">
        <v>1.0615201506009999</v>
      </c>
      <c r="B1156"/>
      <c r="C1156"/>
      <c r="D1156"/>
      <c r="E1156" s="1"/>
    </row>
    <row r="1157" spans="1:5" x14ac:dyDescent="0.25">
      <c r="A1157" s="7">
        <v>1.0510100500999999</v>
      </c>
      <c r="B1157"/>
      <c r="C1157"/>
      <c r="D1157"/>
      <c r="E1157" s="1"/>
    </row>
    <row r="1158" spans="1:5" x14ac:dyDescent="0.25">
      <c r="A1158" s="7">
        <v>1.04060401</v>
      </c>
      <c r="B1158"/>
      <c r="C1158"/>
      <c r="D1158"/>
      <c r="E1158" s="1"/>
    </row>
    <row r="1159" spans="1:5" x14ac:dyDescent="0.25">
      <c r="A1159" s="7">
        <v>1.0303009999999999</v>
      </c>
      <c r="B1159"/>
      <c r="C1159"/>
      <c r="D1159"/>
      <c r="E1159" s="1"/>
    </row>
    <row r="1160" spans="1:5" x14ac:dyDescent="0.25">
      <c r="A1160" s="7">
        <v>1.0201</v>
      </c>
      <c r="B1160"/>
      <c r="C1160"/>
      <c r="D1160"/>
      <c r="E1160" s="1"/>
    </row>
    <row r="1161" spans="1:5" x14ac:dyDescent="0.25">
      <c r="A1161" s="7">
        <v>1.01</v>
      </c>
      <c r="B1161"/>
      <c r="C1161"/>
      <c r="D1161"/>
      <c r="E1161" s="1"/>
    </row>
    <row r="1162" spans="1:5" x14ac:dyDescent="0.25">
      <c r="A1162" s="7">
        <v>1</v>
      </c>
      <c r="B1162"/>
      <c r="C1162"/>
      <c r="D1162"/>
      <c r="E1162" s="18" t="s">
        <v>8</v>
      </c>
    </row>
    <row r="1163" spans="1:5" x14ac:dyDescent="0.25">
      <c r="A1163" s="7">
        <v>0.99009900990099009</v>
      </c>
      <c r="B1163"/>
      <c r="C1163"/>
      <c r="D1163"/>
      <c r="E1163" s="1"/>
    </row>
    <row r="1164" spans="1:5" x14ac:dyDescent="0.25">
      <c r="A1164" s="7">
        <v>0.98029604940692083</v>
      </c>
      <c r="B1164"/>
      <c r="C1164"/>
      <c r="D1164"/>
      <c r="E1164" s="1"/>
    </row>
    <row r="1165" spans="1:5" x14ac:dyDescent="0.25">
      <c r="A1165" s="7">
        <v>0.97059014792764442</v>
      </c>
      <c r="B1165"/>
      <c r="C1165"/>
      <c r="D1165"/>
      <c r="E1165" s="1"/>
    </row>
    <row r="1166" spans="1:5" x14ac:dyDescent="0.25">
      <c r="A1166" s="7">
        <v>0.96098034448281622</v>
      </c>
      <c r="B1166"/>
      <c r="C1166"/>
      <c r="D1166"/>
      <c r="E1166" s="1"/>
    </row>
    <row r="1167" spans="1:5" x14ac:dyDescent="0.25">
      <c r="A1167" s="7">
        <v>0.95146568760674877</v>
      </c>
      <c r="B1167"/>
      <c r="C1167"/>
      <c r="D1167"/>
      <c r="E1167" s="1"/>
    </row>
    <row r="1168" spans="1:5" x14ac:dyDescent="0.25">
      <c r="A1168" s="7">
        <v>0.94204523525420669</v>
      </c>
      <c r="B1168"/>
      <c r="C1168"/>
      <c r="D1168"/>
      <c r="E1168" s="1"/>
    </row>
    <row r="1169" spans="1:5" x14ac:dyDescent="0.25">
      <c r="A1169" s="7">
        <v>0.93271805470713531</v>
      </c>
      <c r="B1169"/>
      <c r="C1169"/>
      <c r="D1169"/>
      <c r="E1169" s="1"/>
    </row>
    <row r="1170" spans="1:5" x14ac:dyDescent="0.25">
      <c r="A1170" s="7">
        <v>0.92348322248231218</v>
      </c>
      <c r="B1170"/>
      <c r="C1170"/>
      <c r="D1170"/>
      <c r="E1170" s="1"/>
    </row>
    <row r="1171" spans="1:5" x14ac:dyDescent="0.25">
      <c r="A1171" s="7">
        <v>0.914339824239913</v>
      </c>
      <c r="B1171"/>
      <c r="C1171"/>
      <c r="D1171"/>
      <c r="E1171" s="1"/>
    </row>
    <row r="1172" spans="1:5" x14ac:dyDescent="0.25">
      <c r="A1172" s="7">
        <v>0.90528695469298315</v>
      </c>
      <c r="B1172"/>
      <c r="C1172"/>
      <c r="D1172"/>
      <c r="E1172" s="1"/>
    </row>
    <row r="1173" spans="1:5" x14ac:dyDescent="0.25">
      <c r="A1173" s="7">
        <v>0.89632371751780504</v>
      </c>
      <c r="B1173"/>
      <c r="C1173"/>
      <c r="D1173"/>
      <c r="E1173" s="1"/>
    </row>
    <row r="1174" spans="1:5" x14ac:dyDescent="0.25">
      <c r="A1174" s="7">
        <v>0.88744922526515346</v>
      </c>
      <c r="B1174"/>
      <c r="C1174"/>
      <c r="D1174"/>
      <c r="E1174" s="1"/>
    </row>
    <row r="1175" spans="1:5" x14ac:dyDescent="0.25">
      <c r="A1175" s="7">
        <v>0.87866259927242918</v>
      </c>
      <c r="B1175"/>
      <c r="C1175"/>
      <c r="D1175"/>
      <c r="E1175" s="1"/>
    </row>
    <row r="1176" spans="1:5" x14ac:dyDescent="0.25">
      <c r="A1176" s="7">
        <v>0.86996296957666253</v>
      </c>
      <c r="B1176"/>
      <c r="C1176"/>
      <c r="D1176"/>
      <c r="E1176" s="1"/>
    </row>
    <row r="1177" spans="1:5" x14ac:dyDescent="0.25">
      <c r="A1177" s="7">
        <v>0.86134947482837876</v>
      </c>
      <c r="B1177"/>
      <c r="C1177"/>
      <c r="D1177"/>
      <c r="E1177" s="1"/>
    </row>
    <row r="1178" spans="1:5" x14ac:dyDescent="0.25">
      <c r="A1178" s="7">
        <v>0.8528212622063156</v>
      </c>
      <c r="B1178"/>
      <c r="C1178"/>
      <c r="D1178"/>
      <c r="E1178" s="1"/>
    </row>
    <row r="1179" spans="1:5" x14ac:dyDescent="0.25">
      <c r="A1179" s="7">
        <v>0.84437748733298579</v>
      </c>
      <c r="B1179"/>
      <c r="C1179"/>
      <c r="D1179"/>
      <c r="E1179" s="1"/>
    </row>
    <row r="1180" spans="1:5" x14ac:dyDescent="0.25">
      <c r="A1180" s="7">
        <v>0.83601731419107506</v>
      </c>
      <c r="B1180"/>
      <c r="C1180"/>
      <c r="D1180"/>
      <c r="E1180" s="1"/>
    </row>
    <row r="1181" spans="1:5" x14ac:dyDescent="0.25">
      <c r="A1181" s="7">
        <v>0.82773991504066835</v>
      </c>
      <c r="B1181"/>
      <c r="C1181"/>
      <c r="D1181"/>
      <c r="E1181" s="1"/>
    </row>
    <row r="1182" spans="1:5" x14ac:dyDescent="0.25">
      <c r="A1182" s="7">
        <v>0.81954447033729538</v>
      </c>
      <c r="B1182"/>
      <c r="C1182"/>
      <c r="D1182"/>
      <c r="E1182" s="1"/>
    </row>
    <row r="1183" spans="1:5" x14ac:dyDescent="0.25">
      <c r="A1183" s="7">
        <v>0.81143016865078754</v>
      </c>
      <c r="B1183"/>
      <c r="C1183"/>
      <c r="D1183"/>
      <c r="E1183" s="1"/>
    </row>
    <row r="1184" spans="1:5" x14ac:dyDescent="0.25">
      <c r="A1184" s="7">
        <v>0.80339620658493816</v>
      </c>
      <c r="B1184"/>
      <c r="C1184"/>
      <c r="D1184"/>
      <c r="E1184" s="1"/>
    </row>
    <row r="1185" spans="1:5" x14ac:dyDescent="0.25">
      <c r="A1185" s="7">
        <v>0.79544178869795856</v>
      </c>
      <c r="B1185"/>
      <c r="C1185"/>
      <c r="D1185"/>
      <c r="E1185" s="1"/>
    </row>
    <row r="1186" spans="1:5" x14ac:dyDescent="0.25">
      <c r="A1186" s="7">
        <v>0.78756612742372134</v>
      </c>
      <c r="B1186"/>
      <c r="C1186"/>
      <c r="D1186"/>
      <c r="E1186" s="1"/>
    </row>
    <row r="1187" spans="1:5" x14ac:dyDescent="0.25">
      <c r="A1187" s="7">
        <v>0.77976844299378345</v>
      </c>
      <c r="B1187"/>
      <c r="C1187"/>
      <c r="D1187"/>
      <c r="E1187" s="1"/>
    </row>
    <row r="1188" spans="1:5" x14ac:dyDescent="0.25">
      <c r="A1188" s="7">
        <v>0.77204796336018167</v>
      </c>
      <c r="B1188"/>
      <c r="C1188"/>
      <c r="D1188"/>
      <c r="E1188" s="1"/>
    </row>
    <row r="1189" spans="1:5" x14ac:dyDescent="0.25">
      <c r="A1189" s="7">
        <v>0.76440392411899172</v>
      </c>
      <c r="B1189"/>
      <c r="C1189"/>
      <c r="D1189"/>
      <c r="E1189" s="1"/>
    </row>
    <row r="1190" spans="1:5" x14ac:dyDescent="0.25">
      <c r="A1190" s="7">
        <v>0.75683556843464528</v>
      </c>
      <c r="B1190"/>
      <c r="C1190"/>
      <c r="D1190"/>
      <c r="E1190" s="1"/>
    </row>
    <row r="1191" spans="1:5" x14ac:dyDescent="0.25">
      <c r="A1191" s="7">
        <v>0.74934214696499535</v>
      </c>
      <c r="B1191"/>
      <c r="C1191"/>
      <c r="D1191"/>
      <c r="E1191" s="1"/>
    </row>
    <row r="1192" spans="1:5" x14ac:dyDescent="0.25">
      <c r="A1192" s="7">
        <v>0.74192291778712405</v>
      </c>
      <c r="B1192"/>
      <c r="C1192"/>
      <c r="D1192"/>
      <c r="E1192" s="1"/>
    </row>
    <row r="1193" spans="1:5" x14ac:dyDescent="0.25">
      <c r="A1193" s="7">
        <v>0.73457714632388516</v>
      </c>
      <c r="B1193"/>
      <c r="C1193"/>
      <c r="D1193"/>
      <c r="E1193" s="1"/>
    </row>
    <row r="1194" spans="1:5" x14ac:dyDescent="0.25">
      <c r="A1194" s="7">
        <v>0.7273041052711734</v>
      </c>
      <c r="B1194"/>
      <c r="C1194"/>
      <c r="D1194"/>
      <c r="E1194" s="1"/>
    </row>
    <row r="1195" spans="1:5" x14ac:dyDescent="0.25">
      <c r="A1195" s="7">
        <v>0.72010307452591427</v>
      </c>
      <c r="B1195"/>
      <c r="C1195"/>
      <c r="D1195"/>
      <c r="E1195" s="1"/>
    </row>
    <row r="1196" spans="1:5" x14ac:dyDescent="0.25">
      <c r="A1196" s="7">
        <v>0.71297334111476662</v>
      </c>
      <c r="B1196"/>
      <c r="C1196"/>
      <c r="D1196"/>
      <c r="E1196" s="1"/>
    </row>
    <row r="1197" spans="1:5" x14ac:dyDescent="0.25">
      <c r="A1197" s="7">
        <v>0.70591419912353126</v>
      </c>
      <c r="B1197"/>
      <c r="C1197"/>
      <c r="D1197"/>
      <c r="E1197" s="1"/>
    </row>
    <row r="1198" spans="1:5" x14ac:dyDescent="0.25">
      <c r="A1198" s="7">
        <v>0.69892494962725871</v>
      </c>
      <c r="B1198"/>
      <c r="C1198"/>
      <c r="D1198"/>
      <c r="E1198" s="1"/>
    </row>
    <row r="1199" spans="1:5" x14ac:dyDescent="0.25">
      <c r="A1199" s="7">
        <v>0.69200490062104825</v>
      </c>
      <c r="B1199"/>
      <c r="C1199"/>
      <c r="D1199"/>
      <c r="E1199" s="1"/>
    </row>
    <row r="1200" spans="1:5" x14ac:dyDescent="0.25">
      <c r="A1200" s="7">
        <v>0.68515336695153295</v>
      </c>
      <c r="B1200"/>
      <c r="C1200"/>
      <c r="D1200"/>
      <c r="E1200" s="1"/>
    </row>
    <row r="1201" spans="1:5" x14ac:dyDescent="0.25">
      <c r="A1201" s="7">
        <v>0.67836967024904249</v>
      </c>
      <c r="B1201"/>
      <c r="C1201"/>
      <c r="D1201"/>
      <c r="E1201" s="1"/>
    </row>
    <row r="1202" spans="1:5" x14ac:dyDescent="0.25">
      <c r="A1202" s="7">
        <v>0.67165313886043809</v>
      </c>
      <c r="B1202"/>
      <c r="C1202"/>
      <c r="D1202"/>
      <c r="E1202" s="1"/>
    </row>
    <row r="1203" spans="1:5" x14ac:dyDescent="0.25">
      <c r="A1203" s="7">
        <v>0.66500310778261196</v>
      </c>
      <c r="B1203"/>
      <c r="C1203"/>
      <c r="D1203"/>
      <c r="E1203" s="1"/>
    </row>
    <row r="1204" spans="1:5" x14ac:dyDescent="0.25">
      <c r="A1204" s="7">
        <v>0.65841891859664547</v>
      </c>
      <c r="B1204"/>
      <c r="C1204"/>
      <c r="D1204"/>
      <c r="E1204" s="1"/>
    </row>
    <row r="1205" spans="1:5" x14ac:dyDescent="0.25">
      <c r="A1205" s="7">
        <v>0.65189991940261927</v>
      </c>
      <c r="B1205"/>
      <c r="C1205"/>
      <c r="D1205"/>
      <c r="E1205" s="1"/>
    </row>
    <row r="1206" spans="1:5" x14ac:dyDescent="0.25">
      <c r="A1206" s="7">
        <v>0.64544546475506859</v>
      </c>
      <c r="B1206"/>
      <c r="C1206"/>
      <c r="D1206"/>
      <c r="E1206" s="1"/>
    </row>
    <row r="1207" spans="1:5" x14ac:dyDescent="0.25">
      <c r="A1207" s="7">
        <v>0.63905491559907779</v>
      </c>
      <c r="B1207"/>
      <c r="C1207"/>
      <c r="D1207"/>
      <c r="E1207" s="1"/>
    </row>
    <row r="1208" spans="1:5" x14ac:dyDescent="0.25">
      <c r="A1208" s="7">
        <v>0.6327276392070077</v>
      </c>
      <c r="B1208"/>
      <c r="C1208"/>
      <c r="D1208"/>
      <c r="E1208" s="1"/>
    </row>
    <row r="1209" spans="1:5" x14ac:dyDescent="0.25">
      <c r="A1209" s="7">
        <v>0.62646300911584918</v>
      </c>
      <c r="B1209"/>
      <c r="C1209"/>
      <c r="D1209"/>
      <c r="E1209" s="1"/>
    </row>
    <row r="1210" spans="1:5" x14ac:dyDescent="0.25">
      <c r="A1210" s="7">
        <v>0.6202604050651972</v>
      </c>
      <c r="B1210"/>
      <c r="C1210"/>
      <c r="D1210"/>
      <c r="E1210" s="1"/>
    </row>
    <row r="1211" spans="1:5" x14ac:dyDescent="0.25">
      <c r="A1211" s="7">
        <v>0.61411921293583882</v>
      </c>
      <c r="B1211"/>
      <c r="C1211"/>
      <c r="D1211"/>
      <c r="E1211" s="1"/>
    </row>
    <row r="1212" spans="1:5" x14ac:dyDescent="0.25">
      <c r="A1212" s="7">
        <v>0.60803882468894932</v>
      </c>
      <c r="B1212"/>
      <c r="C1212"/>
      <c r="D1212"/>
      <c r="E1212" s="1"/>
    </row>
    <row r="1213" spans="1:5" x14ac:dyDescent="0.25">
      <c r="A1213" s="7">
        <v>0.60201863830589042</v>
      </c>
      <c r="B1213"/>
      <c r="C1213"/>
      <c r="D1213"/>
      <c r="E1213" s="1"/>
    </row>
    <row r="1214" spans="1:5" x14ac:dyDescent="0.25">
      <c r="A1214" s="7">
        <v>0.59605805772860432</v>
      </c>
      <c r="B1214"/>
      <c r="C1214"/>
      <c r="D1214"/>
      <c r="E1214" s="1"/>
    </row>
    <row r="1215" spans="1:5" x14ac:dyDescent="0.25">
      <c r="A1215" s="7">
        <v>0.59015649280059834</v>
      </c>
      <c r="B1215"/>
      <c r="C1215"/>
      <c r="D1215"/>
      <c r="E1215" s="1"/>
    </row>
    <row r="1216" spans="1:5" x14ac:dyDescent="0.25">
      <c r="A1216" s="7">
        <v>0.58431335920851324</v>
      </c>
      <c r="B1216"/>
      <c r="C1216"/>
      <c r="D1216"/>
      <c r="E1216" s="1"/>
    </row>
    <row r="1217" spans="1:5" x14ac:dyDescent="0.25">
      <c r="A1217" s="7">
        <v>0.57852807842427056</v>
      </c>
      <c r="B1217"/>
      <c r="C1217"/>
      <c r="D1217"/>
      <c r="E1217" s="1"/>
    </row>
    <row r="1218" spans="1:5" x14ac:dyDescent="0.25">
      <c r="A1218" s="7">
        <v>0.57280007764779262</v>
      </c>
      <c r="B1218"/>
      <c r="C1218"/>
      <c r="D1218"/>
      <c r="E1218" s="1"/>
    </row>
    <row r="1219" spans="1:5" x14ac:dyDescent="0.25">
      <c r="A1219" s="7">
        <v>0.56712878975028969</v>
      </c>
      <c r="B1219"/>
      <c r="C1219"/>
      <c r="D1219"/>
      <c r="E1219" s="1"/>
    </row>
    <row r="1220" spans="1:5" x14ac:dyDescent="0.25">
      <c r="A1220" s="7">
        <v>0.56151365321810864</v>
      </c>
      <c r="B1220"/>
      <c r="C1220"/>
      <c r="D1220"/>
      <c r="E1220" s="1"/>
    </row>
    <row r="1221" spans="1:5" x14ac:dyDescent="0.25">
      <c r="A1221" s="7">
        <v>0.5559541120971373</v>
      </c>
      <c r="B1221"/>
      <c r="C1221"/>
      <c r="D1221"/>
      <c r="E1221" s="1"/>
    </row>
    <row r="1222" spans="1:5" x14ac:dyDescent="0.25">
      <c r="A1222" s="7">
        <v>0.55044961593775965</v>
      </c>
      <c r="B1222"/>
      <c r="C1222"/>
      <c r="D1222"/>
      <c r="E1222" s="1"/>
    </row>
    <row r="1223" spans="1:5" x14ac:dyDescent="0.25">
      <c r="A1223" s="7">
        <v>0.54499961974035604</v>
      </c>
      <c r="B1223"/>
      <c r="C1223"/>
      <c r="D1223"/>
      <c r="E1223" s="1"/>
    </row>
    <row r="1224" spans="1:5" x14ac:dyDescent="0.25">
      <c r="A1224" s="7">
        <v>0.53960358390134266</v>
      </c>
      <c r="B1224"/>
      <c r="C1224"/>
      <c r="D1224"/>
      <c r="E1224" s="1"/>
    </row>
    <row r="1225" spans="1:5" x14ac:dyDescent="0.25">
      <c r="A1225" s="7">
        <v>0.53426097415974516</v>
      </c>
      <c r="B1225"/>
      <c r="C1225"/>
      <c r="D1225"/>
      <c r="E1225" s="1"/>
    </row>
    <row r="1226" spans="1:5" x14ac:dyDescent="0.25">
      <c r="A1226" s="7">
        <v>0.52897126154430218</v>
      </c>
      <c r="B1226"/>
      <c r="C1226"/>
      <c r="D1226"/>
      <c r="E1226" s="1"/>
    </row>
    <row r="1227" spans="1:5" x14ac:dyDescent="0.25">
      <c r="A1227" s="7">
        <v>0.52373392232109128</v>
      </c>
      <c r="B1227"/>
      <c r="C1227"/>
      <c r="D1227"/>
      <c r="E1227" s="1"/>
    </row>
    <row r="1228" spans="1:5" x14ac:dyDescent="0.25">
      <c r="A1228" s="7">
        <v>0.51854843794167449</v>
      </c>
      <c r="B1228"/>
      <c r="C1228"/>
      <c r="D1228"/>
      <c r="E1228" s="1"/>
    </row>
    <row r="1229" spans="1:5" x14ac:dyDescent="0.25">
      <c r="A1229" s="7">
        <v>0.51341429499175695</v>
      </c>
      <c r="B1229"/>
      <c r="C1229"/>
      <c r="D1229"/>
      <c r="E1229" s="1"/>
    </row>
    <row r="1230" spans="1:5" x14ac:dyDescent="0.25">
      <c r="A1230" s="7">
        <v>0.50833098514035346</v>
      </c>
      <c r="B1230"/>
      <c r="C1230"/>
      <c r="D1230"/>
      <c r="E1230" s="1"/>
    </row>
    <row r="1231" spans="1:5" x14ac:dyDescent="0.25">
      <c r="A1231" s="7">
        <v>0.50329800508945888</v>
      </c>
      <c r="B1231"/>
      <c r="C1231"/>
      <c r="D1231"/>
      <c r="E1231" s="1"/>
    </row>
    <row r="1232" spans="1:5" x14ac:dyDescent="0.25">
      <c r="A1232" s="7">
        <v>0.4983148565242167</v>
      </c>
      <c r="B1232"/>
      <c r="C1232"/>
      <c r="D1232"/>
      <c r="E1232" s="1"/>
    </row>
    <row r="1233" spans="1:5" x14ac:dyDescent="0.25">
      <c r="A1233" s="7">
        <v>0.49338104606358091</v>
      </c>
      <c r="B1233"/>
      <c r="C1233"/>
      <c r="D1233"/>
      <c r="E1233" s="1"/>
    </row>
    <row r="1234" spans="1:5" x14ac:dyDescent="0.25">
      <c r="A1234" s="7">
        <v>0.48849608521146626</v>
      </c>
      <c r="B1234"/>
      <c r="C1234"/>
      <c r="D1234"/>
      <c r="E1234" s="1"/>
    </row>
    <row r="1235" spans="1:5" x14ac:dyDescent="0.25">
      <c r="A1235" s="7">
        <v>0.48365949030838246</v>
      </c>
      <c r="B1235"/>
      <c r="C1235"/>
      <c r="D1235"/>
      <c r="E1235" s="1"/>
    </row>
    <row r="1236" spans="1:5" x14ac:dyDescent="0.25">
      <c r="A1236" s="7">
        <v>0.47887078248354698</v>
      </c>
      <c r="B1236"/>
      <c r="C1236"/>
      <c r="D1236"/>
      <c r="E1236" s="1"/>
    </row>
    <row r="1237" spans="1:5" x14ac:dyDescent="0.25">
      <c r="A1237" s="7">
        <v>0.47412948760747226</v>
      </c>
      <c r="B1237"/>
      <c r="C1237"/>
      <c r="D1237"/>
      <c r="E1237" s="1"/>
    </row>
    <row r="1238" spans="1:5" x14ac:dyDescent="0.25">
      <c r="A1238" s="7">
        <v>0.46943513624502203</v>
      </c>
      <c r="B1238"/>
      <c r="C1238"/>
      <c r="D1238"/>
      <c r="E1238" s="1"/>
    </row>
    <row r="1239" spans="1:5" x14ac:dyDescent="0.25">
      <c r="A1239" s="7">
        <v>0.46478726360893269</v>
      </c>
      <c r="B1239"/>
      <c r="C1239"/>
      <c r="D1239"/>
      <c r="E1239" s="1"/>
    </row>
    <row r="1240" spans="1:5" x14ac:dyDescent="0.25">
      <c r="A1240" s="7">
        <v>0.46018540951379472</v>
      </c>
      <c r="B1240"/>
      <c r="C1240"/>
      <c r="D1240"/>
      <c r="E1240" s="1"/>
    </row>
    <row r="1241" spans="1:5" x14ac:dyDescent="0.25">
      <c r="A1241" s="7">
        <v>0.4556291183304898</v>
      </c>
      <c r="B1241"/>
      <c r="C1241"/>
      <c r="D1241"/>
      <c r="E1241" s="1"/>
    </row>
    <row r="1242" spans="1:5" x14ac:dyDescent="0.25">
      <c r="A1242" s="7">
        <v>0.45111793894107899</v>
      </c>
      <c r="B1242"/>
      <c r="C1242"/>
      <c r="D1242"/>
      <c r="E1242" s="1"/>
    </row>
    <row r="1243" spans="1:5" x14ac:dyDescent="0.25">
      <c r="A1243" s="7">
        <v>0.4466514246941376</v>
      </c>
      <c r="B1243"/>
      <c r="C1243"/>
      <c r="D1243"/>
      <c r="E1243" s="1"/>
    </row>
    <row r="1244" spans="1:5" x14ac:dyDescent="0.25">
      <c r="A1244" s="7">
        <v>0.44222913336053227</v>
      </c>
      <c r="B1244"/>
      <c r="C1244"/>
      <c r="D1244"/>
      <c r="E1244" s="1"/>
    </row>
    <row r="1245" spans="1:5" x14ac:dyDescent="0.25">
      <c r="A1245" s="7">
        <v>0.4378506270896359</v>
      </c>
      <c r="B1245"/>
      <c r="C1245"/>
      <c r="D1245"/>
      <c r="E1245" s="1"/>
    </row>
    <row r="1246" spans="1:5" x14ac:dyDescent="0.25">
      <c r="A1246" s="7">
        <v>0.43351547236597615</v>
      </c>
      <c r="B1246"/>
      <c r="C1246"/>
      <c r="D1246"/>
      <c r="E1246" s="1"/>
    </row>
    <row r="1247" spans="1:5" x14ac:dyDescent="0.25">
      <c r="A1247" s="7">
        <v>0.42922323996631301</v>
      </c>
      <c r="B1247"/>
      <c r="C1247"/>
      <c r="D1247"/>
      <c r="E1247" s="1"/>
    </row>
    <row r="1248" spans="1:5" x14ac:dyDescent="0.25">
      <c r="A1248" s="7">
        <v>0.42497350491714159</v>
      </c>
      <c r="B1248"/>
      <c r="C1248"/>
      <c r="D1248"/>
      <c r="E1248" s="1"/>
    </row>
    <row r="1249" spans="1:5" x14ac:dyDescent="0.25">
      <c r="A1249" s="7">
        <v>0.42076584645261544</v>
      </c>
      <c r="B1249"/>
      <c r="C1249"/>
      <c r="D1249"/>
      <c r="E1249" s="1"/>
    </row>
    <row r="1250" spans="1:5" x14ac:dyDescent="0.25">
      <c r="A1250" s="7">
        <v>0.41659984797288657</v>
      </c>
      <c r="B1250"/>
      <c r="C1250"/>
      <c r="D1250"/>
      <c r="E1250" s="1"/>
    </row>
    <row r="1251" spans="1:5" x14ac:dyDescent="0.25">
      <c r="A1251" s="7">
        <v>0.412475097002858</v>
      </c>
      <c r="B1251"/>
      <c r="C1251"/>
      <c r="D1251"/>
      <c r="E1251" s="1"/>
    </row>
    <row r="1252" spans="1:5" x14ac:dyDescent="0.25">
      <c r="A1252" s="7">
        <v>0.40839118515134454</v>
      </c>
      <c r="B1252"/>
      <c r="C1252"/>
      <c r="D1252"/>
      <c r="E1252" s="1"/>
    </row>
    <row r="1253" spans="1:5" x14ac:dyDescent="0.25">
      <c r="A1253" s="7">
        <v>0.40434770807063813</v>
      </c>
      <c r="B1253"/>
      <c r="C1253"/>
      <c r="D1253"/>
      <c r="E1253" s="1"/>
    </row>
    <row r="1254" spans="1:5" x14ac:dyDescent="0.25">
      <c r="A1254" s="7">
        <v>0.40034426541647339</v>
      </c>
      <c r="B1254"/>
      <c r="C1254"/>
      <c r="D1254"/>
      <c r="E1254" s="1"/>
    </row>
    <row r="1255" spans="1:5" x14ac:dyDescent="0.25">
      <c r="A1255" s="7">
        <v>0.39638046080838951</v>
      </c>
      <c r="B1255"/>
      <c r="C1255"/>
      <c r="D1255"/>
      <c r="E1255" s="1"/>
    </row>
    <row r="1256" spans="1:5" x14ac:dyDescent="0.25">
      <c r="A1256" s="7">
        <v>0.39245590179048467</v>
      </c>
      <c r="B1256"/>
      <c r="C1256"/>
      <c r="D1256"/>
      <c r="E1256" s="1"/>
    </row>
    <row r="1257" spans="1:5" x14ac:dyDescent="0.25">
      <c r="A1257" s="7">
        <v>0.38857019979255908</v>
      </c>
      <c r="B1257"/>
      <c r="C1257"/>
      <c r="D1257"/>
      <c r="E1257" s="1"/>
    </row>
    <row r="1258" spans="1:5" x14ac:dyDescent="0.25">
      <c r="A1258" s="7">
        <v>0.38472297009164264</v>
      </c>
      <c r="B1258"/>
      <c r="C1258"/>
      <c r="D1258"/>
      <c r="E1258" s="1"/>
    </row>
    <row r="1259" spans="1:5" x14ac:dyDescent="0.25">
      <c r="A1259" s="7">
        <v>0.38091383177390359</v>
      </c>
      <c r="B1259"/>
      <c r="C1259"/>
      <c r="D1259"/>
      <c r="E1259" s="1"/>
    </row>
    <row r="1260" spans="1:5" x14ac:dyDescent="0.25">
      <c r="A1260" s="7">
        <v>0.37714240769693425</v>
      </c>
      <c r="B1260"/>
      <c r="C1260"/>
      <c r="D1260"/>
      <c r="E1260" s="1"/>
    </row>
    <row r="1261" spans="1:5" x14ac:dyDescent="0.25">
      <c r="A1261" s="7">
        <v>0.37340832445241012</v>
      </c>
      <c r="B1261"/>
      <c r="C1261"/>
      <c r="D1261"/>
      <c r="E1261" s="1"/>
    </row>
    <row r="1262" spans="1:5" x14ac:dyDescent="0.25">
      <c r="A1262" s="7">
        <v>0.36971121232911891</v>
      </c>
      <c r="B1262"/>
      <c r="C1262"/>
      <c r="D1262"/>
      <c r="E1262" s="1"/>
    </row>
    <row r="1263" spans="1:5" x14ac:dyDescent="0.25">
      <c r="A1263" s="7">
        <v>0.36605070527635536</v>
      </c>
      <c r="B1263"/>
      <c r="C1263"/>
      <c r="D1263"/>
      <c r="E1263" s="1"/>
    </row>
    <row r="1264" spans="1:5" x14ac:dyDescent="0.25">
      <c r="A1264" s="7">
        <v>0.36242644086767856</v>
      </c>
      <c r="B1264"/>
      <c r="C1264"/>
      <c r="D1264"/>
      <c r="E1264" s="1"/>
    </row>
    <row r="1265" spans="1:5" x14ac:dyDescent="0.25">
      <c r="A1265" s="7">
        <v>0.35883806026502829</v>
      </c>
      <c r="B1265"/>
      <c r="C1265"/>
      <c r="D1265"/>
      <c r="E1265" s="1"/>
    </row>
    <row r="1266" spans="1:5" x14ac:dyDescent="0.25">
      <c r="A1266" s="7">
        <v>0.35528520818319631</v>
      </c>
      <c r="B1266"/>
      <c r="C1266"/>
      <c r="D1266"/>
      <c r="E1266" s="1"/>
    </row>
    <row r="1267" spans="1:5" x14ac:dyDescent="0.25">
      <c r="A1267" s="7">
        <v>0.35176753285464979</v>
      </c>
      <c r="B1267"/>
      <c r="C1267"/>
      <c r="D1267"/>
      <c r="E1267" s="1"/>
    </row>
    <row r="1268" spans="1:5" x14ac:dyDescent="0.25">
      <c r="A1268" s="7">
        <v>0.34828468599470275</v>
      </c>
      <c r="B1268"/>
      <c r="C1268"/>
      <c r="D1268"/>
      <c r="E1268" s="1"/>
    </row>
    <row r="1269" spans="1:5" x14ac:dyDescent="0.25">
      <c r="A1269" s="7">
        <v>0.34483632276703241</v>
      </c>
      <c r="B1269"/>
      <c r="C1269"/>
      <c r="D1269"/>
      <c r="E1269" s="1"/>
    </row>
    <row r="1270" spans="1:5" x14ac:dyDescent="0.25">
      <c r="A1270" s="7">
        <v>0.34142210174953702</v>
      </c>
      <c r="B1270"/>
      <c r="C1270"/>
      <c r="D1270"/>
      <c r="E1270" s="1"/>
    </row>
    <row r="1271" spans="1:5" x14ac:dyDescent="0.25">
      <c r="A1271" s="7">
        <v>0.33804168490053171</v>
      </c>
      <c r="B1271"/>
      <c r="C1271"/>
      <c r="D1271"/>
      <c r="E1271" s="1"/>
    </row>
    <row r="1272" spans="1:5" x14ac:dyDescent="0.25">
      <c r="A1272" s="7">
        <v>0.3346947375252789</v>
      </c>
      <c r="B1272"/>
      <c r="C1272"/>
      <c r="D1272"/>
      <c r="E1272" s="1"/>
    </row>
    <row r="1273" spans="1:5" x14ac:dyDescent="0.25">
      <c r="A1273" s="7">
        <v>0.33138092824285037</v>
      </c>
      <c r="B1273"/>
      <c r="C1273"/>
      <c r="D1273"/>
      <c r="E1273" s="1"/>
    </row>
    <row r="1274" spans="1:5" x14ac:dyDescent="0.25">
      <c r="A1274" s="7">
        <v>0.32809992895331719</v>
      </c>
      <c r="B1274"/>
      <c r="C1274"/>
      <c r="D1274"/>
      <c r="E1274" s="1"/>
    </row>
    <row r="1275" spans="1:5" x14ac:dyDescent="0.25">
      <c r="A1275" s="7">
        <v>0.32485141480526453</v>
      </c>
      <c r="B1275"/>
      <c r="C1275"/>
      <c r="D1275"/>
      <c r="E1275" s="1"/>
    </row>
    <row r="1276" spans="1:5" x14ac:dyDescent="0.25">
      <c r="A1276" s="7">
        <v>0.32163506416362825</v>
      </c>
      <c r="B1276"/>
      <c r="C1276"/>
      <c r="D1276"/>
      <c r="E1276" s="1"/>
    </row>
    <row r="1277" spans="1:5" x14ac:dyDescent="0.25">
      <c r="A1277" s="7">
        <v>0.31845055857784976</v>
      </c>
      <c r="B1277"/>
      <c r="C1277"/>
      <c r="D1277"/>
      <c r="E1277" s="1"/>
    </row>
    <row r="1278" spans="1:5" x14ac:dyDescent="0.25">
      <c r="A1278" s="7">
        <v>0.31529758275034631</v>
      </c>
      <c r="B1278"/>
      <c r="C1278"/>
      <c r="D1278"/>
      <c r="E1278" s="1"/>
    </row>
    <row r="1279" spans="1:5" x14ac:dyDescent="0.25">
      <c r="A1279" s="7">
        <v>0.31217582450529335</v>
      </c>
      <c r="B1279"/>
      <c r="C1279"/>
      <c r="D1279"/>
      <c r="E1279" s="1"/>
    </row>
    <row r="1280" spans="1:5" x14ac:dyDescent="0.25">
      <c r="A1280" s="7">
        <v>0.30908497475771618</v>
      </c>
      <c r="B1280"/>
      <c r="C1280"/>
      <c r="D1280"/>
      <c r="E1280" s="1"/>
    </row>
    <row r="1281" spans="1:5" x14ac:dyDescent="0.25">
      <c r="A1281" s="7">
        <v>0.30602472748288728</v>
      </c>
      <c r="B1281"/>
      <c r="C1281"/>
      <c r="D1281"/>
      <c r="E1281" s="1"/>
    </row>
    <row r="1282" spans="1:5" x14ac:dyDescent="0.25">
      <c r="A1282" s="7">
        <v>0.302994779686027</v>
      </c>
      <c r="B1282"/>
      <c r="C1282"/>
      <c r="D1282"/>
      <c r="E1282" s="1"/>
    </row>
    <row r="1283" spans="1:5" x14ac:dyDescent="0.25">
      <c r="A1283" s="7">
        <v>0.29999483137230398</v>
      </c>
      <c r="B1283"/>
      <c r="C1283"/>
      <c r="D1283"/>
      <c r="E1283" s="1"/>
    </row>
    <row r="1284" spans="1:5" x14ac:dyDescent="0.25">
      <c r="A1284" s="7">
        <v>0.29702458551713268</v>
      </c>
      <c r="B1284"/>
      <c r="C1284"/>
      <c r="D1284"/>
      <c r="E1284" s="1"/>
    </row>
    <row r="1285" spans="1:5" x14ac:dyDescent="0.25">
      <c r="A1285" s="7">
        <v>0.29408374803676501</v>
      </c>
      <c r="B1285"/>
      <c r="C1285"/>
      <c r="D1285"/>
      <c r="E1285" s="1"/>
    </row>
    <row r="1286" spans="1:5" x14ac:dyDescent="0.25">
      <c r="A1286" s="7">
        <v>0.29117202775917328</v>
      </c>
      <c r="B1286"/>
      <c r="C1286"/>
      <c r="D1286"/>
      <c r="E1286" s="1"/>
    </row>
    <row r="1287" spans="1:5" x14ac:dyDescent="0.25">
      <c r="A1287" s="7">
        <v>0.28828913639522108</v>
      </c>
      <c r="B1287"/>
      <c r="C1287"/>
      <c r="D1287"/>
      <c r="E1287" s="1"/>
    </row>
    <row r="1288" spans="1:5" x14ac:dyDescent="0.25">
      <c r="A1288" s="7">
        <v>0.28543478851011989</v>
      </c>
      <c r="B1288"/>
      <c r="C1288"/>
      <c r="D1288"/>
      <c r="E1288" s="1"/>
    </row>
    <row r="1289" spans="1:5" x14ac:dyDescent="0.25">
      <c r="A1289" s="7">
        <v>0.2826087014951682</v>
      </c>
      <c r="B1289"/>
      <c r="C1289"/>
      <c r="D1289"/>
      <c r="E1289" s="1"/>
    </row>
    <row r="1290" spans="1:5" x14ac:dyDescent="0.25">
      <c r="A1290" s="7">
        <v>0.2798105955397705</v>
      </c>
      <c r="B1290"/>
      <c r="C1290"/>
      <c r="D1290"/>
      <c r="E1290" s="1"/>
    </row>
    <row r="1291" spans="1:5" x14ac:dyDescent="0.25">
      <c r="A1291" s="7">
        <v>0.27704019360373316</v>
      </c>
      <c r="B1291"/>
      <c r="C1291"/>
      <c r="D1291"/>
      <c r="E1291" s="1"/>
    </row>
    <row r="1292" spans="1:5" x14ac:dyDescent="0.25">
      <c r="A1292" s="7">
        <v>0.27429722138983481</v>
      </c>
      <c r="B1292"/>
      <c r="C1292"/>
      <c r="D1292"/>
      <c r="E1292" s="1"/>
    </row>
    <row r="1293" spans="1:5" x14ac:dyDescent="0.25">
      <c r="A1293" s="7">
        <v>0.27158140731666813</v>
      </c>
      <c r="B1293"/>
      <c r="C1293"/>
      <c r="D1293"/>
      <c r="E1293" s="1"/>
    </row>
    <row r="1294" spans="1:5" x14ac:dyDescent="0.25">
      <c r="A1294" s="7">
        <v>0.26889248249175063</v>
      </c>
      <c r="B1294"/>
      <c r="C1294"/>
      <c r="D1294"/>
      <c r="E1294" s="1"/>
    </row>
    <row r="1295" spans="1:5" x14ac:dyDescent="0.25">
      <c r="A1295" s="7">
        <v>0.26623018068490162</v>
      </c>
      <c r="B1295"/>
      <c r="C1295"/>
      <c r="D1295"/>
      <c r="E1295" s="1"/>
    </row>
    <row r="1296" spans="1:5" x14ac:dyDescent="0.25">
      <c r="A1296" s="7">
        <v>0.26359423830188278</v>
      </c>
      <c r="B1296"/>
      <c r="C1296"/>
      <c r="D1296"/>
      <c r="E1296" s="1"/>
    </row>
    <row r="1297" spans="1:5" x14ac:dyDescent="0.25">
      <c r="A1297" s="7">
        <v>0.26098439435829979</v>
      </c>
      <c r="B1297"/>
      <c r="C1297"/>
      <c r="D1297"/>
      <c r="E1297" s="1"/>
    </row>
    <row r="1298" spans="1:5" x14ac:dyDescent="0.25">
      <c r="A1298" s="7">
        <v>0.25840039045376217</v>
      </c>
      <c r="B1298"/>
      <c r="C1298"/>
      <c r="D1298"/>
      <c r="E1298" s="1"/>
    </row>
    <row r="1299" spans="1:5" x14ac:dyDescent="0.25">
      <c r="A1299" s="7">
        <v>0.25584197074629916</v>
      </c>
      <c r="B1299"/>
      <c r="C1299"/>
      <c r="D1299"/>
      <c r="E1299" s="1"/>
    </row>
    <row r="1300" spans="1:5" x14ac:dyDescent="0.25">
      <c r="A1300" s="7">
        <v>0.25330888192702888</v>
      </c>
      <c r="B1300"/>
      <c r="C1300"/>
      <c r="D1300"/>
      <c r="E1300" s="1"/>
    </row>
    <row r="1301" spans="1:5" x14ac:dyDescent="0.25">
      <c r="A1301" s="7">
        <v>0.2508008731950781</v>
      </c>
      <c r="B1301"/>
      <c r="C1301"/>
      <c r="D1301"/>
      <c r="E1301" s="1"/>
    </row>
    <row r="1302" spans="1:5" x14ac:dyDescent="0.25">
      <c r="A1302" s="7">
        <v>0.2483176962327506</v>
      </c>
      <c r="B1302"/>
      <c r="C1302"/>
      <c r="D1302"/>
      <c r="E1302" s="1"/>
    </row>
    <row r="1303" spans="1:5" x14ac:dyDescent="0.25">
      <c r="A1303" s="7">
        <v>0.24585910518094117</v>
      </c>
      <c r="B1303"/>
      <c r="C1303"/>
      <c r="D1303"/>
      <c r="E1303" s="1"/>
    </row>
    <row r="1304" spans="1:5" x14ac:dyDescent="0.25">
      <c r="A1304" s="7">
        <v>0.24342485661479324</v>
      </c>
      <c r="B1304"/>
      <c r="C1304"/>
      <c r="D1304"/>
      <c r="E1304" s="1"/>
    </row>
    <row r="1305" spans="1:5" x14ac:dyDescent="0.25">
      <c r="A1305" s="7">
        <v>0.24101470951959728</v>
      </c>
      <c r="B1305"/>
      <c r="C1305"/>
      <c r="D1305"/>
      <c r="E1305" s="1"/>
    </row>
    <row r="1306" spans="1:5" x14ac:dyDescent="0.25">
      <c r="A1306" s="7">
        <v>0.23862842526692798</v>
      </c>
      <c r="B1306"/>
      <c r="C1306"/>
      <c r="D1306"/>
      <c r="E1306" s="1"/>
    </row>
    <row r="1307" spans="1:5" x14ac:dyDescent="0.25">
      <c r="A1307" s="7">
        <v>0.23626576759101781</v>
      </c>
      <c r="B1307"/>
      <c r="C1307"/>
      <c r="D1307"/>
      <c r="E1307" s="1"/>
    </row>
    <row r="1308" spans="1:5" x14ac:dyDescent="0.25">
      <c r="A1308" s="7">
        <v>0.23392650256536415</v>
      </c>
      <c r="B1308"/>
      <c r="C1308"/>
      <c r="D1308"/>
      <c r="E1308" s="1"/>
    </row>
    <row r="1309" spans="1:5" x14ac:dyDescent="0.25">
      <c r="A1309" s="7">
        <v>0.23161039857956847</v>
      </c>
      <c r="B1309"/>
      <c r="C1309"/>
      <c r="D1309"/>
      <c r="E1309" s="1"/>
    </row>
    <row r="1310" spans="1:5" x14ac:dyDescent="0.25">
      <c r="A1310" s="7">
        <v>0.22931722631640442</v>
      </c>
      <c r="B1310"/>
      <c r="C1310"/>
      <c r="D1310"/>
      <c r="E1310" s="1"/>
    </row>
    <row r="1311" spans="1:5" x14ac:dyDescent="0.25">
      <c r="A1311" s="7">
        <v>0.22704675872911328</v>
      </c>
      <c r="B1311"/>
      <c r="C1311"/>
      <c r="D1311"/>
      <c r="E1311" s="1"/>
    </row>
    <row r="1312" spans="1:5" x14ac:dyDescent="0.25">
      <c r="A1312" s="7">
        <v>0.22479877101892404</v>
      </c>
      <c r="B1312"/>
      <c r="C1312"/>
      <c r="D1312"/>
      <c r="E1312" s="1"/>
    </row>
    <row r="1313" spans="1:5" x14ac:dyDescent="0.25">
      <c r="A1313" s="7">
        <v>0.22257304061279606</v>
      </c>
      <c r="B1313"/>
      <c r="C1313"/>
      <c r="D1313"/>
      <c r="E1313" s="1"/>
    </row>
    <row r="1314" spans="1:5" x14ac:dyDescent="0.25">
      <c r="A1314" s="7">
        <v>0.22036934714138223</v>
      </c>
      <c r="B1314"/>
      <c r="C1314"/>
      <c r="D1314"/>
      <c r="E1314" s="1"/>
    </row>
    <row r="1315" spans="1:5" x14ac:dyDescent="0.25">
      <c r="A1315" s="7">
        <v>0.21818747241721012</v>
      </c>
      <c r="B1315"/>
      <c r="C1315"/>
      <c r="D1315"/>
      <c r="E1315" s="1"/>
    </row>
    <row r="1316" spans="1:5" x14ac:dyDescent="0.25">
      <c r="A1316" s="7">
        <v>0.21602720041307932</v>
      </c>
      <c r="B1316"/>
      <c r="C1316"/>
      <c r="D1316"/>
      <c r="E1316" s="1"/>
    </row>
    <row r="1317" spans="1:5" x14ac:dyDescent="0.25">
      <c r="A1317" s="7">
        <v>0.21388831724067259</v>
      </c>
      <c r="B1317"/>
      <c r="C1317"/>
      <c r="D1317"/>
      <c r="E1317" s="1"/>
    </row>
    <row r="1318" spans="1:5" x14ac:dyDescent="0.25">
      <c r="A1318" s="7">
        <v>0.21177061112937881</v>
      </c>
      <c r="B1318"/>
      <c r="C1318"/>
      <c r="D1318"/>
      <c r="E1318" s="1"/>
    </row>
    <row r="1319" spans="1:5" x14ac:dyDescent="0.25">
      <c r="A1319" s="7">
        <v>0.20967387240532556</v>
      </c>
      <c r="B1319"/>
      <c r="C1319"/>
      <c r="D1319"/>
      <c r="E1319" s="1"/>
    </row>
    <row r="1320" spans="1:5" x14ac:dyDescent="0.25">
      <c r="A1320" s="7">
        <v>0.20759789347061935</v>
      </c>
      <c r="B1320"/>
      <c r="C1320"/>
      <c r="D1320"/>
      <c r="E1320" s="1"/>
    </row>
    <row r="1321" spans="1:5" x14ac:dyDescent="0.25">
      <c r="A1321" s="7">
        <v>0.20554246878279145</v>
      </c>
      <c r="B1321"/>
      <c r="C1321"/>
      <c r="D1321"/>
      <c r="E1321" s="1"/>
    </row>
    <row r="1322" spans="1:5" x14ac:dyDescent="0.25">
      <c r="A1322" s="7">
        <v>0.20350739483444696</v>
      </c>
      <c r="B1322"/>
      <c r="C1322"/>
      <c r="D1322"/>
      <c r="E1322" s="1"/>
    </row>
    <row r="1323" spans="1:5" x14ac:dyDescent="0.25">
      <c r="A1323" s="7">
        <v>0.2014924701331158</v>
      </c>
      <c r="B1323"/>
      <c r="C1323"/>
      <c r="D1323"/>
      <c r="E1323" s="1"/>
    </row>
    <row r="1324" spans="1:5" x14ac:dyDescent="0.25">
      <c r="A1324" s="7">
        <v>0.19949749518130278</v>
      </c>
      <c r="B1324"/>
      <c r="C1324"/>
      <c r="D1324"/>
      <c r="E1324" s="1"/>
    </row>
    <row r="1325" spans="1:5" x14ac:dyDescent="0.25">
      <c r="A1325" s="7">
        <v>0.19752227245673543</v>
      </c>
      <c r="B1325"/>
      <c r="C1325"/>
      <c r="D1325"/>
      <c r="E1325" s="1"/>
    </row>
    <row r="1326" spans="1:5" x14ac:dyDescent="0.25">
      <c r="A1326" s="7">
        <v>0.19556660639280735</v>
      </c>
      <c r="B1326"/>
      <c r="C1326"/>
      <c r="D1326"/>
      <c r="E1326" s="1"/>
    </row>
    <row r="1327" spans="1:5" x14ac:dyDescent="0.25">
      <c r="A1327" s="7">
        <v>0.19363030335921519</v>
      </c>
      <c r="B1327"/>
      <c r="C1327"/>
      <c r="D1327"/>
      <c r="E1327" s="1"/>
    </row>
    <row r="1328" spans="1:5" x14ac:dyDescent="0.25">
      <c r="A1328" s="7">
        <v>0.19171317164278731</v>
      </c>
      <c r="B1328"/>
      <c r="C1328"/>
      <c r="D1328"/>
      <c r="E1328" s="1"/>
    </row>
    <row r="1329" spans="1:5" x14ac:dyDescent="0.25">
      <c r="A1329" s="7">
        <v>0.18981502142850229</v>
      </c>
      <c r="B1329"/>
      <c r="C1329"/>
      <c r="D1329"/>
      <c r="E1329" s="1"/>
    </row>
    <row r="1330" spans="1:5" x14ac:dyDescent="0.25">
      <c r="A1330" s="7">
        <v>0.18793566478069534</v>
      </c>
      <c r="B1330"/>
      <c r="C1330"/>
      <c r="D1330"/>
      <c r="E1330" s="1"/>
    </row>
    <row r="1331" spans="1:5" x14ac:dyDescent="0.25">
      <c r="A1331" s="7">
        <v>0.18607491562445083</v>
      </c>
      <c r="B1331"/>
      <c r="C1331"/>
      <c r="D1331"/>
      <c r="E1331" s="1"/>
    </row>
    <row r="1332" spans="1:5" x14ac:dyDescent="0.25">
      <c r="A1332" s="7">
        <v>0.18423258972717904</v>
      </c>
      <c r="B1332"/>
      <c r="C1332"/>
      <c r="D1332"/>
      <c r="E1332" s="1"/>
    </row>
    <row r="1333" spans="1:5" x14ac:dyDescent="0.25">
      <c r="A1333" s="7">
        <v>0.18240850468037528</v>
      </c>
      <c r="B1333"/>
      <c r="C1333"/>
      <c r="D1333"/>
      <c r="E1333" s="1"/>
    </row>
    <row r="1334" spans="1:5" x14ac:dyDescent="0.25">
      <c r="A1334" s="7">
        <v>0.1806024798815597</v>
      </c>
      <c r="B1334"/>
      <c r="C1334"/>
      <c r="D1334"/>
      <c r="E1334" s="1"/>
    </row>
    <row r="1335" spans="1:5" x14ac:dyDescent="0.25">
      <c r="A1335" s="7">
        <v>0.17881433651639575</v>
      </c>
      <c r="B1335"/>
      <c r="C1335"/>
      <c r="D1335"/>
      <c r="E1335" s="1"/>
    </row>
    <row r="1336" spans="1:5" x14ac:dyDescent="0.25">
      <c r="A1336" s="7">
        <v>0.1770438975409859</v>
      </c>
      <c r="B1336"/>
      <c r="C1336"/>
      <c r="D1336"/>
      <c r="E1336" s="1"/>
    </row>
    <row r="1337" spans="1:5" x14ac:dyDescent="0.25">
      <c r="A1337" s="7">
        <v>0.17529098766434248</v>
      </c>
      <c r="B1337"/>
      <c r="C1337"/>
      <c r="D1337"/>
      <c r="E1337" s="1"/>
    </row>
    <row r="1338" spans="1:5" x14ac:dyDescent="0.25">
      <c r="A1338" s="7">
        <v>0.17355543333103216</v>
      </c>
      <c r="B1338"/>
      <c r="C1338"/>
      <c r="D1338"/>
      <c r="E1338" s="1"/>
    </row>
    <row r="1339" spans="1:5" x14ac:dyDescent="0.25">
      <c r="A1339" s="7">
        <v>0.17183706270399224</v>
      </c>
      <c r="B1339"/>
      <c r="C1339"/>
      <c r="D1339"/>
      <c r="E1339" s="1"/>
    </row>
    <row r="1340" spans="1:5" x14ac:dyDescent="0.25">
      <c r="A1340" s="7">
        <v>0.17013570564751707</v>
      </c>
      <c r="B1340"/>
      <c r="C1340"/>
      <c r="D1340"/>
      <c r="E1340" s="1"/>
    </row>
    <row r="1341" spans="1:5" x14ac:dyDescent="0.25">
      <c r="A1341" s="7">
        <v>0.16845119371041292</v>
      </c>
      <c r="B1341"/>
      <c r="C1341"/>
      <c r="D1341"/>
      <c r="E1341" s="1"/>
    </row>
    <row r="1342" spans="1:5" x14ac:dyDescent="0.25">
      <c r="A1342" s="7">
        <v>0.16678336010931971</v>
      </c>
      <c r="B1342"/>
      <c r="C1342"/>
      <c r="D1342"/>
      <c r="E1342" s="1"/>
    </row>
    <row r="1343" spans="1:5" x14ac:dyDescent="0.25">
      <c r="A1343" s="7">
        <v>0.16513203971219773</v>
      </c>
      <c r="B1343"/>
      <c r="C1343"/>
      <c r="D1343"/>
      <c r="E1343" s="1"/>
    </row>
    <row r="1344" spans="1:5" x14ac:dyDescent="0.25">
      <c r="A1344" s="7">
        <v>0.16349706902197794</v>
      </c>
      <c r="B1344"/>
      <c r="C1344"/>
      <c r="D1344"/>
      <c r="E1344" s="1"/>
    </row>
    <row r="1345" spans="1:5" x14ac:dyDescent="0.25">
      <c r="A1345" s="7">
        <v>0.1618782861603742</v>
      </c>
      <c r="B1345"/>
      <c r="C1345"/>
      <c r="D1345"/>
      <c r="E1345" s="1"/>
    </row>
    <row r="1346" spans="1:5" x14ac:dyDescent="0.25">
      <c r="A1346" s="7">
        <v>0.16027553085185564</v>
      </c>
      <c r="B1346"/>
      <c r="C1346"/>
      <c r="D1346"/>
      <c r="E1346" s="1"/>
    </row>
    <row r="1347" spans="1:5" x14ac:dyDescent="0.25">
      <c r="A1347" s="7">
        <v>0.15868864440777786</v>
      </c>
      <c r="B1347"/>
      <c r="C1347"/>
      <c r="D1347"/>
      <c r="E1347" s="1"/>
    </row>
    <row r="1348" spans="1:5" x14ac:dyDescent="0.25">
      <c r="A1348" s="7">
        <v>0.15711746971067114</v>
      </c>
      <c r="B1348"/>
      <c r="C1348"/>
      <c r="D1348"/>
      <c r="E1348" s="1"/>
    </row>
    <row r="1349" spans="1:5" x14ac:dyDescent="0.25">
      <c r="A1349" s="7">
        <v>0.15556185119868429</v>
      </c>
      <c r="B1349"/>
      <c r="C1349"/>
      <c r="D1349"/>
      <c r="E1349" s="1"/>
    </row>
    <row r="1350" spans="1:5" x14ac:dyDescent="0.25">
      <c r="A1350" s="7">
        <v>0.15402163485018247</v>
      </c>
      <c r="B1350"/>
      <c r="C1350"/>
      <c r="D1350"/>
      <c r="E1350" s="1"/>
    </row>
    <row r="1351" spans="1:5" x14ac:dyDescent="0.25">
      <c r="A1351" s="7">
        <v>0.1524966681684975</v>
      </c>
      <c r="B1351"/>
      <c r="C1351"/>
      <c r="D1351"/>
      <c r="E1351" s="1"/>
    </row>
    <row r="1352" spans="1:5" x14ac:dyDescent="0.25">
      <c r="A1352" s="7">
        <v>0.15098680016682919</v>
      </c>
      <c r="B1352"/>
      <c r="C1352"/>
      <c r="D1352"/>
      <c r="E1352" s="1"/>
    </row>
    <row r="1353" spans="1:5" x14ac:dyDescent="0.25">
      <c r="A1353" s="7">
        <v>0.14949188135329622</v>
      </c>
      <c r="B1353"/>
      <c r="C1353"/>
      <c r="D1353"/>
      <c r="E1353" s="1"/>
    </row>
    <row r="1354" spans="1:5" x14ac:dyDescent="0.25">
      <c r="A1354" s="7">
        <v>0.14801176371613486</v>
      </c>
      <c r="B1354"/>
      <c r="C1354"/>
      <c r="D1354"/>
      <c r="E1354" s="1"/>
    </row>
    <row r="1355" spans="1:5" x14ac:dyDescent="0.25">
      <c r="A1355" s="7">
        <v>0.14654630070904442</v>
      </c>
      <c r="B1355"/>
      <c r="C1355"/>
      <c r="D1355"/>
      <c r="E1355" s="1"/>
    </row>
    <row r="1356" spans="1:5" x14ac:dyDescent="0.25">
      <c r="A1356" s="7">
        <v>0.14509534723667764</v>
      </c>
      <c r="B1356"/>
      <c r="C1356"/>
      <c r="D1356"/>
      <c r="E1356" s="1"/>
    </row>
    <row r="1357" spans="1:5" x14ac:dyDescent="0.25">
      <c r="A1357" s="7">
        <v>0.14365875964027489</v>
      </c>
      <c r="B1357"/>
      <c r="C1357"/>
      <c r="D1357"/>
      <c r="E1357" s="1"/>
    </row>
    <row r="1358" spans="1:5" x14ac:dyDescent="0.25">
      <c r="A1358" s="7">
        <v>0.14223639568344049</v>
      </c>
      <c r="B1358"/>
      <c r="C1358"/>
      <c r="D1358"/>
      <c r="E1358" s="1"/>
    </row>
    <row r="1359" spans="1:5" x14ac:dyDescent="0.25">
      <c r="A1359" s="7">
        <v>0.14082811453805988</v>
      </c>
      <c r="B1359"/>
      <c r="C1359"/>
      <c r="D1359"/>
      <c r="E1359" s="1"/>
    </row>
    <row r="1360" spans="1:5" x14ac:dyDescent="0.25">
      <c r="A1360" s="7">
        <v>0.13943377677035632</v>
      </c>
      <c r="B1360"/>
      <c r="C1360"/>
      <c r="D1360"/>
      <c r="E1360" s="1"/>
    </row>
    <row r="1361" spans="1:5" x14ac:dyDescent="0.25">
      <c r="A1361" s="7">
        <v>0.13805324432708546</v>
      </c>
      <c r="B1361"/>
      <c r="C1361"/>
      <c r="D1361"/>
      <c r="E1361" s="1"/>
    </row>
    <row r="1362" spans="1:5" x14ac:dyDescent="0.25">
      <c r="A1362" s="7">
        <v>0.1366863805218668</v>
      </c>
      <c r="B1362"/>
      <c r="C1362"/>
      <c r="D1362"/>
      <c r="E1362" s="1"/>
    </row>
    <row r="1363" spans="1:5" x14ac:dyDescent="0.25">
      <c r="A1363" s="7">
        <v>0.1353330500216503</v>
      </c>
      <c r="B1363"/>
      <c r="C1363"/>
      <c r="D1363"/>
      <c r="E1363" s="1"/>
    </row>
    <row r="1364" spans="1:5" x14ac:dyDescent="0.25">
      <c r="A1364" s="7">
        <v>0.13399311883331713</v>
      </c>
      <c r="B1364"/>
      <c r="C1364"/>
      <c r="D1364"/>
      <c r="E1364" s="1"/>
    </row>
    <row r="1365" spans="1:5" x14ac:dyDescent="0.25">
      <c r="A1365" s="7">
        <v>0.13266645429041299</v>
      </c>
      <c r="B1365"/>
      <c r="C1365"/>
      <c r="D1365"/>
      <c r="E1365" s="1"/>
    </row>
    <row r="1366" spans="1:5" x14ac:dyDescent="0.25">
      <c r="A1366" s="7">
        <v>0.13135292504001286</v>
      </c>
      <c r="B1366"/>
      <c r="C1366"/>
      <c r="D1366"/>
      <c r="E1366" s="1"/>
    </row>
    <row r="1367" spans="1:5" x14ac:dyDescent="0.25">
      <c r="A1367" s="7">
        <v>0.13005240102971571</v>
      </c>
      <c r="B1367"/>
      <c r="C1367"/>
      <c r="D1367"/>
      <c r="E1367" s="1"/>
    </row>
    <row r="1368" spans="1:5" x14ac:dyDescent="0.25">
      <c r="A1368" s="7">
        <v>0.12876475349476804</v>
      </c>
      <c r="B1368"/>
      <c r="C1368"/>
      <c r="D1368"/>
      <c r="E1368" s="1"/>
    </row>
    <row r="1369" spans="1:5" x14ac:dyDescent="0.25">
      <c r="A1369" s="7">
        <v>0.1274898549453149</v>
      </c>
      <c r="B1369"/>
      <c r="C1369"/>
      <c r="D1369"/>
      <c r="E1369" s="1"/>
    </row>
    <row r="1370" spans="1:5" x14ac:dyDescent="0.25">
      <c r="A1370" s="7">
        <v>0.12622757915377714</v>
      </c>
      <c r="B1370"/>
      <c r="C1370"/>
      <c r="D1370"/>
      <c r="E1370" s="1"/>
    </row>
    <row r="1371" spans="1:5" x14ac:dyDescent="0.25">
      <c r="A1371" s="7">
        <v>0.1249778011423536</v>
      </c>
      <c r="B1371"/>
      <c r="C1371"/>
      <c r="D1371"/>
      <c r="E1371" s="1"/>
    </row>
    <row r="1372" spans="1:5" x14ac:dyDescent="0.25">
      <c r="A1372" s="7">
        <v>0.12374039717064712</v>
      </c>
      <c r="B1372"/>
      <c r="C1372"/>
      <c r="D1372"/>
      <c r="E1372" s="1"/>
    </row>
    <row r="1373" spans="1:5" x14ac:dyDescent="0.25">
      <c r="A1373" s="7">
        <v>0.12251524472341299</v>
      </c>
      <c r="B1373"/>
      <c r="C1373"/>
      <c r="D1373"/>
      <c r="E1373" s="1"/>
    </row>
    <row r="1374" spans="1:5" x14ac:dyDescent="0.25">
      <c r="A1374" s="7">
        <v>0.1213022224984287</v>
      </c>
      <c r="B1374"/>
      <c r="C1374"/>
      <c r="D1374"/>
      <c r="E1374" s="1"/>
    </row>
    <row r="1375" spans="1:5" x14ac:dyDescent="0.25">
      <c r="A1375" s="7">
        <v>0.12010121039448386</v>
      </c>
      <c r="B1375"/>
      <c r="C1375"/>
      <c r="D1375"/>
      <c r="E1375" s="1"/>
    </row>
    <row r="1376" spans="1:5" x14ac:dyDescent="0.25">
      <c r="A1376" s="7">
        <v>0.11891208949948898</v>
      </c>
      <c r="B1376"/>
      <c r="C1376"/>
      <c r="D1376"/>
      <c r="E1376" s="1"/>
    </row>
    <row r="1377" spans="1:5" x14ac:dyDescent="0.25">
      <c r="A1377" s="7">
        <v>0.11773474207870195</v>
      </c>
      <c r="B1377"/>
      <c r="C1377"/>
      <c r="D1377"/>
      <c r="E1377" s="1"/>
    </row>
    <row r="1378" spans="1:5" x14ac:dyDescent="0.25">
      <c r="A1378" s="7">
        <v>0.11656905156307124</v>
      </c>
      <c r="B1378"/>
      <c r="C1378"/>
      <c r="D1378"/>
      <c r="E1378" s="1"/>
    </row>
    <row r="1379" spans="1:5" x14ac:dyDescent="0.25">
      <c r="A1379" s="7">
        <v>0.11541490253769429</v>
      </c>
      <c r="B1379"/>
      <c r="C1379"/>
      <c r="D1379"/>
      <c r="E1379" s="1"/>
    </row>
    <row r="1380" spans="1:5" x14ac:dyDescent="0.25">
      <c r="A1380" s="7">
        <v>0.11427218073039039</v>
      </c>
      <c r="B1380"/>
      <c r="C1380"/>
      <c r="D1380"/>
      <c r="E1380" s="1"/>
    </row>
    <row r="1381" spans="1:5" x14ac:dyDescent="0.25">
      <c r="A1381" s="7">
        <v>0.11314077300038652</v>
      </c>
      <c r="B1381"/>
      <c r="C1381"/>
      <c r="D1381"/>
      <c r="E1381" s="1"/>
    </row>
    <row r="1382" spans="1:5" x14ac:dyDescent="0.25">
      <c r="A1382" s="7">
        <v>0.11202056732711536</v>
      </c>
      <c r="B1382"/>
      <c r="C1382"/>
      <c r="D1382"/>
      <c r="E1382" s="1"/>
    </row>
    <row r="1383" spans="1:5" x14ac:dyDescent="0.25">
      <c r="A1383" s="7">
        <v>0.11091145279912412</v>
      </c>
      <c r="B1383"/>
      <c r="C1383"/>
      <c r="D1383"/>
      <c r="E1383" s="1"/>
    </row>
    <row r="1384" spans="1:5" x14ac:dyDescent="0.25">
      <c r="A1384" s="7">
        <v>0.10981331960309319</v>
      </c>
      <c r="B1384"/>
      <c r="C1384"/>
      <c r="D1384"/>
      <c r="E1384" s="1"/>
    </row>
    <row r="1385" spans="1:5" x14ac:dyDescent="0.25">
      <c r="A1385" s="7">
        <v>0.10872605901296356</v>
      </c>
      <c r="B1385"/>
      <c r="C1385"/>
      <c r="D1385"/>
      <c r="E1385" s="1"/>
    </row>
    <row r="1386" spans="1:5" x14ac:dyDescent="0.25">
      <c r="A1386" s="7">
        <v>0.10764956337917184</v>
      </c>
      <c r="B1386"/>
      <c r="C1386"/>
      <c r="D1386"/>
      <c r="E1386" s="1"/>
    </row>
    <row r="1387" spans="1:5" x14ac:dyDescent="0.25">
      <c r="A1387" s="7">
        <v>0.10658372611799191</v>
      </c>
      <c r="B1387"/>
      <c r="C1387"/>
      <c r="D1387"/>
      <c r="E1387" s="1"/>
    </row>
    <row r="1388" spans="1:5" x14ac:dyDescent="0.25">
      <c r="A1388" s="7">
        <v>0.10552844170098209</v>
      </c>
      <c r="B1388"/>
      <c r="C1388"/>
      <c r="D1388"/>
      <c r="E1388" s="1"/>
    </row>
    <row r="1389" spans="1:5" x14ac:dyDescent="0.25">
      <c r="A1389" s="7">
        <v>0.10448360564453672</v>
      </c>
      <c r="B1389"/>
      <c r="C1389"/>
      <c r="D1389"/>
      <c r="E1389" s="1"/>
    </row>
    <row r="1390" spans="1:5" x14ac:dyDescent="0.25">
      <c r="A1390" s="7">
        <v>0.10344911449954131</v>
      </c>
      <c r="B1390"/>
      <c r="C1390"/>
      <c r="D1390"/>
      <c r="E1390" s="1"/>
    </row>
    <row r="1391" spans="1:5" x14ac:dyDescent="0.25">
      <c r="A1391" s="7">
        <v>0.10242486584113</v>
      </c>
      <c r="B1391"/>
      <c r="C1391"/>
      <c r="D1391"/>
      <c r="E1391" s="1"/>
    </row>
    <row r="1392" spans="1:5" x14ac:dyDescent="0.25">
      <c r="A1392" s="7">
        <v>0.10141075825854455</v>
      </c>
      <c r="B1392"/>
      <c r="C1392"/>
      <c r="D1392"/>
      <c r="E1392" s="1"/>
    </row>
    <row r="1393" spans="1:5" x14ac:dyDescent="0.25">
      <c r="A1393" s="7">
        <v>0.10040669134509361</v>
      </c>
      <c r="B1393"/>
      <c r="C1393"/>
      <c r="D1393"/>
      <c r="E1393" s="1"/>
    </row>
    <row r="1394" spans="1:5" x14ac:dyDescent="0.25">
      <c r="A1394" s="7">
        <v>9.9412565688211496E-2</v>
      </c>
      <c r="B1394"/>
      <c r="C1394"/>
      <c r="D1394"/>
      <c r="E1394" s="1"/>
    </row>
    <row r="1395" spans="1:5" x14ac:dyDescent="0.25">
      <c r="A1395" s="7">
        <v>9.8428282859615343E-2</v>
      </c>
      <c r="B1395"/>
      <c r="C1395"/>
      <c r="D1395"/>
      <c r="E1395" s="1"/>
    </row>
    <row r="1396" spans="1:5" x14ac:dyDescent="0.25">
      <c r="A1396" s="7">
        <v>9.7453745405559747E-2</v>
      </c>
      <c r="B1396"/>
      <c r="C1396"/>
      <c r="D1396"/>
      <c r="E1396" s="1"/>
    </row>
    <row r="1397" spans="1:5" x14ac:dyDescent="0.25">
      <c r="A1397" s="7">
        <v>9.6488856837187872E-2</v>
      </c>
      <c r="B1397"/>
      <c r="C1397"/>
      <c r="D1397"/>
      <c r="E1397" s="1"/>
    </row>
    <row r="1398" spans="1:5" x14ac:dyDescent="0.25">
      <c r="A1398" s="7">
        <v>9.5533521620978085E-2</v>
      </c>
      <c r="B1398"/>
      <c r="C1398"/>
      <c r="D1398"/>
      <c r="E1398" s="1"/>
    </row>
    <row r="1399" spans="1:5" x14ac:dyDescent="0.25">
      <c r="A1399" s="7">
        <v>9.4587645169285237E-2</v>
      </c>
      <c r="B1399"/>
      <c r="C1399"/>
      <c r="D1399"/>
      <c r="E1399" s="1"/>
    </row>
    <row r="1400" spans="1:5" x14ac:dyDescent="0.25">
      <c r="A1400" s="7">
        <v>9.365113383097548E-2</v>
      </c>
      <c r="B1400"/>
      <c r="C1400"/>
      <c r="D1400"/>
      <c r="E1400" s="1"/>
    </row>
    <row r="1401" spans="1:5" x14ac:dyDescent="0.25">
      <c r="A1401" s="7">
        <v>9.2723894882153934E-2</v>
      </c>
      <c r="B1401"/>
      <c r="C1401"/>
      <c r="D1401"/>
      <c r="E1401" s="1"/>
    </row>
    <row r="1402" spans="1:5" x14ac:dyDescent="0.25">
      <c r="A1402" s="7">
        <v>9.1805836516984096E-2</v>
      </c>
      <c r="B1402"/>
      <c r="C1402"/>
      <c r="D1402"/>
      <c r="E1402" s="1"/>
    </row>
    <row r="1403" spans="1:5" x14ac:dyDescent="0.25">
      <c r="A1403" s="7">
        <v>9.0896867838598114E-2</v>
      </c>
      <c r="B1403"/>
      <c r="C1403"/>
      <c r="D1403"/>
      <c r="E1403" s="1"/>
    </row>
    <row r="1404" spans="1:5" x14ac:dyDescent="0.25">
      <c r="A1404" s="7">
        <v>8.9996898850097137E-2</v>
      </c>
      <c r="B1404"/>
      <c r="C1404"/>
      <c r="D1404"/>
      <c r="E1404" s="1"/>
    </row>
    <row r="1405" spans="1:5" x14ac:dyDescent="0.25">
      <c r="A1405" s="7">
        <v>8.9105840445640724E-2</v>
      </c>
      <c r="B1405"/>
      <c r="C1405"/>
      <c r="D1405"/>
      <c r="E1405" s="1"/>
    </row>
    <row r="1406" spans="1:5" x14ac:dyDescent="0.25">
      <c r="A1406" s="7">
        <v>8.8223604401624481E-2</v>
      </c>
      <c r="B1406"/>
      <c r="C1406"/>
      <c r="D1406"/>
      <c r="E1406" s="1"/>
    </row>
    <row r="1407" spans="1:5" x14ac:dyDescent="0.25">
      <c r="A1407" s="7">
        <v>8.7350103367945034E-2</v>
      </c>
      <c r="B1407"/>
      <c r="C1407"/>
      <c r="D1407"/>
      <c r="E1407" s="1"/>
    </row>
    <row r="1408" spans="1:5" x14ac:dyDescent="0.25">
      <c r="A1408" s="7">
        <v>8.648525085935152E-2</v>
      </c>
      <c r="B1408"/>
      <c r="C1408"/>
      <c r="D1408"/>
      <c r="E1408" s="1"/>
    </row>
    <row r="1409" spans="1:5" x14ac:dyDescent="0.25">
      <c r="A1409" s="7">
        <v>8.5628961246882698E-2</v>
      </c>
      <c r="B1409"/>
      <c r="C1409"/>
      <c r="D1409"/>
      <c r="E1409" s="1"/>
    </row>
    <row r="1410" spans="1:5" x14ac:dyDescent="0.25">
      <c r="A1410" s="7">
        <v>8.4781149749388815E-2</v>
      </c>
      <c r="B1410"/>
      <c r="C1410"/>
      <c r="D1410"/>
      <c r="E1410" s="1"/>
    </row>
    <row r="1411" spans="1:5" x14ac:dyDescent="0.25">
      <c r="A1411" s="7">
        <v>8.3941732425137444E-2</v>
      </c>
      <c r="B1411"/>
      <c r="C1411"/>
      <c r="D1411"/>
      <c r="E1411" s="1"/>
    </row>
    <row r="1412" spans="1:5" x14ac:dyDescent="0.25">
      <c r="A1412" s="7">
        <v>8.3110626163502413E-2</v>
      </c>
      <c r="B1412"/>
      <c r="C1412"/>
      <c r="D1412"/>
      <c r="E1412" s="1"/>
    </row>
    <row r="1413" spans="1:5" x14ac:dyDescent="0.25">
      <c r="A1413" s="7">
        <v>8.2287748676735065E-2</v>
      </c>
      <c r="B1413"/>
      <c r="C1413"/>
      <c r="D1413"/>
      <c r="E1413" s="1"/>
    </row>
    <row r="1414" spans="1:5" x14ac:dyDescent="0.25">
      <c r="A1414" s="7">
        <v>8.1473018491816901E-2</v>
      </c>
      <c r="B1414"/>
      <c r="C1414"/>
      <c r="D1414"/>
      <c r="E1414" s="1"/>
    </row>
    <row r="1415" spans="1:5" x14ac:dyDescent="0.25">
      <c r="A1415" s="7">
        <v>8.0666354942392965E-2</v>
      </c>
      <c r="B1415"/>
      <c r="C1415"/>
      <c r="D1415"/>
      <c r="E1415" s="1"/>
    </row>
    <row r="1416" spans="1:5" x14ac:dyDescent="0.25">
      <c r="A1416" s="7">
        <v>7.9867678160785119E-2</v>
      </c>
      <c r="B1416"/>
      <c r="C1416"/>
      <c r="D1416"/>
      <c r="E1416" s="1"/>
    </row>
    <row r="1417" spans="1:5" x14ac:dyDescent="0.25">
      <c r="A1417" s="7">
        <v>7.9076909070084273E-2</v>
      </c>
      <c r="B1417"/>
      <c r="C1417"/>
      <c r="D1417"/>
      <c r="E1417" s="1"/>
    </row>
    <row r="1418" spans="1:5" x14ac:dyDescent="0.25">
      <c r="A1418" s="7">
        <v>7.8293969376321063E-2</v>
      </c>
      <c r="B1418"/>
      <c r="C1418"/>
      <c r="D1418"/>
      <c r="E1418" s="1"/>
    </row>
    <row r="1419" spans="1:5" x14ac:dyDescent="0.25">
      <c r="A1419" s="7">
        <v>7.7518781560713929E-2</v>
      </c>
      <c r="B1419"/>
      <c r="C1419"/>
      <c r="D1419"/>
      <c r="E1419" s="1"/>
    </row>
    <row r="1420" spans="1:5" x14ac:dyDescent="0.25">
      <c r="A1420" s="7">
        <v>7.6751268871993988E-2</v>
      </c>
      <c r="B1420"/>
      <c r="C1420"/>
      <c r="D1420"/>
      <c r="E1420" s="1"/>
    </row>
    <row r="1421" spans="1:5" x14ac:dyDescent="0.25">
      <c r="A1421" s="7">
        <v>7.5991355318805923E-2</v>
      </c>
      <c r="B1421"/>
      <c r="C1421"/>
      <c r="D1421"/>
      <c r="E1421" s="1"/>
    </row>
    <row r="1422" spans="1:5" x14ac:dyDescent="0.25">
      <c r="A1422" s="7">
        <v>7.5238965662184076E-2</v>
      </c>
      <c r="B1422"/>
      <c r="C1422"/>
      <c r="D1422"/>
      <c r="E1422" s="1"/>
    </row>
    <row r="1423" spans="1:5" x14ac:dyDescent="0.25">
      <c r="A1423" s="7">
        <v>7.4494025408103043E-2</v>
      </c>
      <c r="B1423"/>
      <c r="C1423"/>
      <c r="D1423"/>
      <c r="E1423" s="1"/>
    </row>
    <row r="1424" spans="1:5" x14ac:dyDescent="0.25">
      <c r="A1424" s="7">
        <v>7.3756460800102022E-2</v>
      </c>
      <c r="B1424"/>
      <c r="C1424"/>
      <c r="D1424"/>
      <c r="E1424" s="1"/>
    </row>
    <row r="1425" spans="1:5" x14ac:dyDescent="0.25">
      <c r="A1425" s="7">
        <v>7.3026198811982204E-2</v>
      </c>
      <c r="B1425"/>
      <c r="C1425"/>
      <c r="D1425"/>
      <c r="E1425" s="1"/>
    </row>
    <row r="1426" spans="1:5" x14ac:dyDescent="0.25">
      <c r="A1426" s="7">
        <v>7.2303167140576441E-2</v>
      </c>
      <c r="B1426"/>
      <c r="C1426"/>
      <c r="D1426"/>
      <c r="E1426" s="1"/>
    </row>
    <row r="1427" spans="1:5" x14ac:dyDescent="0.25">
      <c r="A1427" s="7">
        <v>7.1587294198590529E-2</v>
      </c>
      <c r="B1427"/>
      <c r="C1427"/>
      <c r="D1427"/>
      <c r="E1427" s="1"/>
    </row>
    <row r="1428" spans="1:5" x14ac:dyDescent="0.25">
      <c r="A1428" s="7">
        <v>7.0878509107515378E-2</v>
      </c>
      <c r="B1428"/>
      <c r="C1428"/>
      <c r="D1428"/>
      <c r="E1428" s="1"/>
    </row>
    <row r="1429" spans="1:5" x14ac:dyDescent="0.25">
      <c r="A1429" s="7">
        <v>7.0176741690609279E-2</v>
      </c>
      <c r="B1429"/>
      <c r="C1429"/>
      <c r="D1429"/>
      <c r="E1429" s="1"/>
    </row>
    <row r="1430" spans="1:5" x14ac:dyDescent="0.25">
      <c r="A1430" s="7">
        <v>6.948192246594978E-2</v>
      </c>
      <c r="B1430"/>
      <c r="C1430"/>
      <c r="D1430"/>
      <c r="E1430" s="1"/>
    </row>
    <row r="1431" spans="1:5" x14ac:dyDescent="0.25">
      <c r="A1431" s="7">
        <v>6.8793982639554233E-2</v>
      </c>
      <c r="B1431"/>
      <c r="C1431"/>
      <c r="D1431"/>
      <c r="E1431" s="1"/>
    </row>
    <row r="1432" spans="1:5" x14ac:dyDescent="0.25">
      <c r="A1432" s="7">
        <v>6.8112854098568543E-2</v>
      </c>
      <c r="B1432"/>
      <c r="C1432"/>
      <c r="D1432"/>
      <c r="E1432" s="1"/>
    </row>
    <row r="1433" spans="1:5" x14ac:dyDescent="0.25">
      <c r="A1433" s="7">
        <v>6.7438469404523305E-2</v>
      </c>
      <c r="B1433"/>
      <c r="C1433"/>
      <c r="D1433"/>
      <c r="E1433" s="1"/>
    </row>
    <row r="1434" spans="1:5" x14ac:dyDescent="0.25">
      <c r="A1434" s="7">
        <v>6.6770761786656738E-2</v>
      </c>
      <c r="B1434"/>
      <c r="C1434"/>
      <c r="D1434"/>
      <c r="E1434" s="1"/>
    </row>
    <row r="1435" spans="1:5" x14ac:dyDescent="0.25">
      <c r="A1435" s="7">
        <v>6.6109665135303697E-2</v>
      </c>
      <c r="B1435"/>
      <c r="C1435"/>
      <c r="D1435"/>
      <c r="E1435" s="1"/>
    </row>
    <row r="1436" spans="1:5" x14ac:dyDescent="0.25">
      <c r="A1436" s="7">
        <v>6.54551139953502E-2</v>
      </c>
      <c r="B1436"/>
      <c r="C1436"/>
      <c r="D1436"/>
      <c r="E1436" s="1"/>
    </row>
    <row r="1437" spans="1:5" x14ac:dyDescent="0.25">
      <c r="A1437" s="7">
        <v>6.480704355975267E-2</v>
      </c>
      <c r="B1437"/>
      <c r="C1437"/>
      <c r="D1437"/>
      <c r="E1437" s="1"/>
    </row>
    <row r="1438" spans="1:5" x14ac:dyDescent="0.25">
      <c r="A1438" s="7">
        <v>6.416538966312145E-2</v>
      </c>
      <c r="B1438"/>
      <c r="C1438"/>
      <c r="D1438"/>
      <c r="E1438" s="1"/>
    </row>
    <row r="1439" spans="1:5" x14ac:dyDescent="0.25">
      <c r="A1439" s="7">
        <v>6.3530088775367768E-2</v>
      </c>
      <c r="B1439"/>
      <c r="C1439"/>
      <c r="D1439"/>
      <c r="E1439" s="1"/>
    </row>
    <row r="1440" spans="1:5" x14ac:dyDescent="0.25">
      <c r="A1440" s="7">
        <v>6.2901077995413626E-2</v>
      </c>
      <c r="B1440"/>
      <c r="C1440"/>
      <c r="D1440"/>
      <c r="E1440" s="1"/>
    </row>
    <row r="1441" spans="1:5" x14ac:dyDescent="0.25">
      <c r="A1441" s="7">
        <v>6.2278295044963988E-2</v>
      </c>
      <c r="B1441"/>
      <c r="C1441"/>
      <c r="D1441"/>
      <c r="E1441" s="1"/>
    </row>
    <row r="1442" spans="1:5" x14ac:dyDescent="0.25">
      <c r="A1442" s="7">
        <v>6.1661678262340584E-2</v>
      </c>
      <c r="B1442"/>
      <c r="C1442"/>
      <c r="D1442"/>
      <c r="E1442" s="1"/>
    </row>
    <row r="1443" spans="1:5" x14ac:dyDescent="0.25">
      <c r="A1443" s="7">
        <v>6.1051166596376813E-2</v>
      </c>
      <c r="B1443"/>
      <c r="C1443"/>
      <c r="D1443"/>
      <c r="E1443" s="1"/>
    </row>
    <row r="1444" spans="1:5" x14ac:dyDescent="0.25">
      <c r="A1444" s="7">
        <v>6.0446699600373084E-2</v>
      </c>
      <c r="B1444"/>
      <c r="C1444"/>
      <c r="D1444"/>
      <c r="E1444" s="1"/>
    </row>
    <row r="1445" spans="1:5" x14ac:dyDescent="0.25">
      <c r="A1445" s="7">
        <v>5.9848217426111967E-2</v>
      </c>
      <c r="B1445"/>
      <c r="C1445"/>
      <c r="D1445"/>
      <c r="E1445" s="1"/>
    </row>
    <row r="1446" spans="1:5" x14ac:dyDescent="0.25">
      <c r="A1446" s="7">
        <v>5.925566081793264E-2</v>
      </c>
      <c r="B1446"/>
      <c r="C1446"/>
      <c r="D1446"/>
      <c r="E1446" s="1"/>
    </row>
    <row r="1447" spans="1:5" x14ac:dyDescent="0.25">
      <c r="A1447" s="7">
        <v>5.8668971106863997E-2</v>
      </c>
      <c r="B1447"/>
      <c r="C1447"/>
      <c r="D1447"/>
      <c r="E1447" s="1"/>
    </row>
    <row r="1448" spans="1:5" x14ac:dyDescent="0.25">
      <c r="A1448" s="7">
        <v>5.808809020481584E-2</v>
      </c>
      <c r="B1448"/>
      <c r="C1448"/>
      <c r="D1448"/>
      <c r="E1448" s="1"/>
    </row>
    <row r="1449" spans="1:5" x14ac:dyDescent="0.25">
      <c r="A1449" s="7">
        <v>5.7512960598827566E-2</v>
      </c>
      <c r="B1449"/>
      <c r="C1449"/>
      <c r="D1449"/>
      <c r="E1449" s="1"/>
    </row>
    <row r="1450" spans="1:5" x14ac:dyDescent="0.25">
      <c r="A1450" s="7">
        <v>5.6943525345373829E-2</v>
      </c>
      <c r="B1450"/>
      <c r="C1450"/>
      <c r="D1450"/>
      <c r="E1450" s="1"/>
    </row>
    <row r="1451" spans="1:5" x14ac:dyDescent="0.25">
      <c r="A1451" s="7">
        <v>5.6379728064726561E-2</v>
      </c>
      <c r="B1451"/>
      <c r="C1451"/>
      <c r="D1451"/>
      <c r="E1451" s="1"/>
    </row>
    <row r="1452" spans="1:5" x14ac:dyDescent="0.25">
      <c r="A1452" s="7">
        <v>5.5821512935372831E-2</v>
      </c>
      <c r="B1452"/>
      <c r="C1452"/>
      <c r="D1452"/>
      <c r="E1452" s="1"/>
    </row>
    <row r="1453" spans="1:5" x14ac:dyDescent="0.25">
      <c r="A1453" s="7">
        <v>5.5268824688487948E-2</v>
      </c>
      <c r="B1453"/>
      <c r="C1453"/>
      <c r="D1453"/>
      <c r="E1453" s="1"/>
    </row>
    <row r="1454" spans="1:5" x14ac:dyDescent="0.25">
      <c r="A1454" s="7">
        <v>5.4721608602463313E-2</v>
      </c>
      <c r="B1454"/>
      <c r="C1454"/>
      <c r="D1454"/>
      <c r="E1454" s="1"/>
    </row>
    <row r="1455" spans="1:5" x14ac:dyDescent="0.25">
      <c r="A1455" s="7">
        <v>5.4179810497488427E-2</v>
      </c>
      <c r="B1455"/>
      <c r="C1455"/>
      <c r="D1455"/>
      <c r="E1455" s="1"/>
    </row>
    <row r="1456" spans="1:5" x14ac:dyDescent="0.25">
      <c r="A1456" s="7">
        <v>5.3643376730186564E-2</v>
      </c>
      <c r="B1456"/>
      <c r="C1456"/>
      <c r="D1456"/>
      <c r="E1456" s="1"/>
    </row>
    <row r="1457" spans="1:5" x14ac:dyDescent="0.25">
      <c r="A1457" s="7">
        <v>5.311225418830353E-2</v>
      </c>
      <c r="B1457"/>
      <c r="C1457"/>
      <c r="D1457"/>
      <c r="E1457" s="1"/>
    </row>
    <row r="1458" spans="1:5" x14ac:dyDescent="0.25">
      <c r="A1458" s="7">
        <v>5.2586390285449036E-2</v>
      </c>
      <c r="B1458"/>
      <c r="C1458"/>
      <c r="D1458"/>
      <c r="E1458" s="1"/>
    </row>
    <row r="1459" spans="1:5" x14ac:dyDescent="0.25">
      <c r="A1459" s="7">
        <v>5.2065732955890134E-2</v>
      </c>
      <c r="B1459"/>
      <c r="C1459"/>
      <c r="D1459"/>
      <c r="E1459" s="1"/>
    </row>
    <row r="1460" spans="1:5" x14ac:dyDescent="0.25">
      <c r="A1460" s="7">
        <v>5.1550230649396171E-2</v>
      </c>
      <c r="B1460"/>
      <c r="C1460"/>
      <c r="D1460"/>
      <c r="E1460" s="1"/>
    </row>
    <row r="1461" spans="1:5" x14ac:dyDescent="0.25">
      <c r="A1461" s="7">
        <v>5.1039832326134821E-2</v>
      </c>
      <c r="B1461"/>
      <c r="C1461"/>
      <c r="D1461"/>
      <c r="E1461" s="1"/>
    </row>
    <row r="1462" spans="1:5" x14ac:dyDescent="0.25">
      <c r="A1462" s="7">
        <v>5.0534487451618634E-2</v>
      </c>
      <c r="B1462"/>
      <c r="C1462"/>
      <c r="D1462"/>
      <c r="E1462" s="1"/>
    </row>
    <row r="1463" spans="1:5" x14ac:dyDescent="0.25">
      <c r="A1463" s="7">
        <v>5.0034145991701619E-2</v>
      </c>
      <c r="B1463"/>
      <c r="C1463"/>
      <c r="D1463"/>
      <c r="E1463" s="1"/>
    </row>
    <row r="1464" spans="1:5" x14ac:dyDescent="0.25">
      <c r="A1464" s="7">
        <v>4.9538758407625366E-2</v>
      </c>
      <c r="B1464"/>
      <c r="C1464"/>
      <c r="D1464"/>
      <c r="E1464" s="1"/>
    </row>
    <row r="1465" spans="1:5" x14ac:dyDescent="0.25">
      <c r="A1465" s="7">
        <v>4.904827565111422E-2</v>
      </c>
      <c r="B1465"/>
      <c r="C1465"/>
      <c r="D1465"/>
      <c r="E1465" s="1"/>
    </row>
    <row r="1466" spans="1:5" x14ac:dyDescent="0.25">
      <c r="A1466" s="7">
        <v>4.8562649159519029E-2</v>
      </c>
      <c r="B1466"/>
      <c r="C1466"/>
      <c r="D1466"/>
      <c r="E1466" s="1"/>
    </row>
    <row r="1467" spans="1:5" x14ac:dyDescent="0.25">
      <c r="A1467" s="7">
        <v>4.8081830851008943E-2</v>
      </c>
      <c r="B1467"/>
      <c r="C1467"/>
      <c r="D1467"/>
      <c r="E1467" s="1"/>
    </row>
    <row r="1468" spans="1:5" x14ac:dyDescent="0.25">
      <c r="A1468" s="7">
        <v>4.7605773119810832E-2</v>
      </c>
      <c r="B1468"/>
      <c r="C1468"/>
      <c r="D1468"/>
      <c r="E1468" s="1"/>
    </row>
    <row r="1469" spans="1:5" x14ac:dyDescent="0.25">
      <c r="A1469" s="7">
        <v>4.7134428831495871E-2</v>
      </c>
      <c r="B1469"/>
      <c r="C1469"/>
      <c r="D1469"/>
      <c r="E1469" s="1"/>
    </row>
    <row r="1470" spans="1:5" x14ac:dyDescent="0.25">
      <c r="A1470" s="7">
        <v>4.6667751318312745E-2</v>
      </c>
      <c r="B1470"/>
      <c r="C1470"/>
      <c r="D1470"/>
      <c r="E1470" s="1"/>
    </row>
    <row r="1471" spans="1:5" x14ac:dyDescent="0.25">
      <c r="A1471" s="7">
        <v>4.620569437456707E-2</v>
      </c>
      <c r="B1471"/>
      <c r="C1471"/>
      <c r="D1471"/>
      <c r="E1471" s="1"/>
    </row>
    <row r="1472" spans="1:5" x14ac:dyDescent="0.25">
      <c r="A1472" s="7">
        <v>4.5748212252046602E-2</v>
      </c>
      <c r="B1472"/>
      <c r="C1472"/>
      <c r="D1472"/>
      <c r="E1472" s="1"/>
    </row>
    <row r="1473" spans="1:5" x14ac:dyDescent="0.25">
      <c r="A1473" s="7">
        <v>4.5295259655491686E-2</v>
      </c>
      <c r="B1473"/>
      <c r="C1473"/>
      <c r="D1473"/>
      <c r="E1473" s="1"/>
    </row>
    <row r="1474" spans="1:5" x14ac:dyDescent="0.25">
      <c r="A1474" s="7">
        <v>4.4846791738110577E-2</v>
      </c>
      <c r="B1474"/>
      <c r="C1474"/>
      <c r="D1474"/>
      <c r="E1474" s="1"/>
    </row>
    <row r="1475" spans="1:5" x14ac:dyDescent="0.25">
      <c r="A1475" s="7">
        <v>4.4402764097139183E-2</v>
      </c>
      <c r="B1475"/>
      <c r="C1475"/>
      <c r="D1475"/>
      <c r="E1475" s="1"/>
    </row>
    <row r="1476" spans="1:5" x14ac:dyDescent="0.25">
      <c r="A1476" s="7">
        <v>4.3963132769444732E-2</v>
      </c>
      <c r="B1476"/>
      <c r="C1476"/>
      <c r="D1476"/>
      <c r="E1476" s="1"/>
    </row>
    <row r="1477" spans="1:5" x14ac:dyDescent="0.25">
      <c r="A1477" s="7">
        <v>4.3527854227173E-2</v>
      </c>
      <c r="B1477"/>
      <c r="C1477"/>
      <c r="D1477"/>
      <c r="E1477" s="1"/>
    </row>
    <row r="1478" spans="1:5" x14ac:dyDescent="0.25">
      <c r="A1478" s="7">
        <v>4.3096885373438615E-2</v>
      </c>
      <c r="B1478"/>
      <c r="C1478"/>
      <c r="D1478"/>
      <c r="E1478" s="1"/>
    </row>
    <row r="1479" spans="1:5" x14ac:dyDescent="0.25">
      <c r="A1479" s="7">
        <v>4.2670183538058036E-2</v>
      </c>
      <c r="B1479"/>
      <c r="C1479"/>
      <c r="D1479"/>
      <c r="E1479" s="1"/>
    </row>
    <row r="1480" spans="1:5" x14ac:dyDescent="0.25">
      <c r="A1480" s="7">
        <v>4.2247706473324785E-2</v>
      </c>
      <c r="B1480"/>
      <c r="C1480"/>
      <c r="D1480"/>
      <c r="E1480" s="1"/>
    </row>
    <row r="1481" spans="1:5" x14ac:dyDescent="0.25">
      <c r="A1481" s="7">
        <v>4.1829412349826518E-2</v>
      </c>
      <c r="B1481"/>
      <c r="C1481"/>
      <c r="D1481"/>
      <c r="E1481" s="1"/>
    </row>
    <row r="1482" spans="1:5" x14ac:dyDescent="0.25">
      <c r="A1482" s="7">
        <v>4.1415259752303486E-2</v>
      </c>
      <c r="B1482"/>
      <c r="C1482"/>
      <c r="D1482"/>
      <c r="E1482" s="1"/>
    </row>
    <row r="1483" spans="1:5" x14ac:dyDescent="0.25">
      <c r="A1483" s="7">
        <v>4.1005207675548008E-2</v>
      </c>
      <c r="B1483"/>
      <c r="C1483"/>
      <c r="D1483"/>
      <c r="E1483" s="1"/>
    </row>
    <row r="1484" spans="1:5" x14ac:dyDescent="0.25">
      <c r="A1484" s="7">
        <v>4.059921552034456E-2</v>
      </c>
      <c r="B1484"/>
      <c r="C1484"/>
      <c r="D1484"/>
      <c r="E1484" s="1"/>
    </row>
    <row r="1485" spans="1:5" x14ac:dyDescent="0.25">
      <c r="A1485" s="7">
        <v>4.0197243089450059E-2</v>
      </c>
      <c r="B1485"/>
      <c r="C1485"/>
      <c r="D1485"/>
      <c r="E1485" s="1"/>
    </row>
    <row r="1486" spans="1:5" x14ac:dyDescent="0.25">
      <c r="A1486" s="7">
        <v>3.9799250583613922E-2</v>
      </c>
      <c r="B1486"/>
      <c r="C1486"/>
      <c r="D1486"/>
      <c r="E1486" s="1"/>
    </row>
    <row r="1487" spans="1:5" x14ac:dyDescent="0.25">
      <c r="A1487" s="7">
        <v>3.9405198597637546E-2</v>
      </c>
      <c r="B1487"/>
      <c r="C1487"/>
      <c r="D1487"/>
      <c r="E1487" s="1"/>
    </row>
    <row r="1488" spans="1:5" x14ac:dyDescent="0.25">
      <c r="A1488" s="7">
        <v>3.9015048116472814E-2</v>
      </c>
      <c r="B1488"/>
      <c r="C1488"/>
      <c r="D1488"/>
      <c r="E1488" s="1"/>
    </row>
    <row r="1489" spans="1:5" x14ac:dyDescent="0.25">
      <c r="A1489" s="7">
        <v>3.8628760511359224E-2</v>
      </c>
      <c r="B1489"/>
      <c r="C1489"/>
      <c r="D1489"/>
      <c r="E1489" s="1"/>
    </row>
    <row r="1490" spans="1:5" x14ac:dyDescent="0.25">
      <c r="A1490" s="7">
        <v>3.824629753599923E-2</v>
      </c>
      <c r="B1490"/>
      <c r="C1490"/>
      <c r="D1490"/>
      <c r="E1490" s="1"/>
    </row>
    <row r="1491" spans="1:5" x14ac:dyDescent="0.25">
      <c r="A1491" s="7">
        <v>3.7867621322771515E-2</v>
      </c>
      <c r="B1491"/>
      <c r="C1491"/>
      <c r="D1491"/>
      <c r="E1491" s="1"/>
    </row>
    <row r="1492" spans="1:5" x14ac:dyDescent="0.25">
      <c r="A1492" s="7">
        <v>3.74926943789817E-2</v>
      </c>
      <c r="B1492"/>
      <c r="C1492"/>
      <c r="D1492"/>
      <c r="E1492" s="1"/>
    </row>
    <row r="1493" spans="1:5" x14ac:dyDescent="0.25">
      <c r="A1493" s="7">
        <v>3.7121479583150201E-2</v>
      </c>
      <c r="B1493"/>
      <c r="C1493"/>
      <c r="D1493"/>
      <c r="E1493" s="1"/>
    </row>
    <row r="1494" spans="1:5" x14ac:dyDescent="0.25">
      <c r="A1494" s="7">
        <v>3.6753940181336833E-2</v>
      </c>
      <c r="B1494"/>
      <c r="C1494"/>
      <c r="D1494"/>
      <c r="E1494" s="1"/>
    </row>
    <row r="1495" spans="1:5" x14ac:dyDescent="0.25">
      <c r="A1495" s="7">
        <v>3.6390039783501818E-2</v>
      </c>
      <c r="B1495"/>
      <c r="C1495"/>
      <c r="D1495"/>
      <c r="E1495" s="1"/>
    </row>
    <row r="1496" spans="1:5" x14ac:dyDescent="0.25">
      <c r="A1496" s="7">
        <v>3.6029742359902792E-2</v>
      </c>
      <c r="B1496"/>
      <c r="C1496"/>
      <c r="D1496"/>
      <c r="E1496" s="1"/>
    </row>
    <row r="1497" spans="1:5" x14ac:dyDescent="0.25">
      <c r="A1497" s="7">
        <v>3.5673012237527515E-2</v>
      </c>
      <c r="B1497"/>
      <c r="C1497"/>
      <c r="D1497"/>
      <c r="E1497" s="1"/>
    </row>
    <row r="1498" spans="1:5" x14ac:dyDescent="0.25">
      <c r="A1498" s="7">
        <v>3.5319814096561895E-2</v>
      </c>
      <c r="B1498"/>
      <c r="C1498"/>
      <c r="D1498"/>
      <c r="E1498" s="1"/>
    </row>
    <row r="1499" spans="1:5" x14ac:dyDescent="0.25">
      <c r="A1499" s="7">
        <v>3.4970112966892966E-2</v>
      </c>
      <c r="B1499"/>
      <c r="C1499"/>
      <c r="D1499"/>
      <c r="E1499" s="1"/>
    </row>
    <row r="1500" spans="1:5" x14ac:dyDescent="0.25">
      <c r="A1500" s="7">
        <v>3.4623874224646502E-2</v>
      </c>
      <c r="B1500"/>
      <c r="C1500"/>
      <c r="D1500"/>
      <c r="E1500" s="1"/>
    </row>
    <row r="1501" spans="1:5" x14ac:dyDescent="0.25">
      <c r="A1501" s="7">
        <v>3.428106358875891E-2</v>
      </c>
      <c r="B1501"/>
      <c r="C1501"/>
      <c r="D1501"/>
      <c r="E1501" s="1"/>
    </row>
    <row r="1502" spans="1:5" x14ac:dyDescent="0.25">
      <c r="A1502" s="7">
        <v>3.3941647117583081E-2</v>
      </c>
      <c r="B1502"/>
      <c r="C1502"/>
      <c r="D1502"/>
      <c r="E1502" s="1"/>
    </row>
    <row r="1503" spans="1:5" x14ac:dyDescent="0.25">
      <c r="A1503" s="7">
        <v>3.36055912055278E-2</v>
      </c>
      <c r="B1503"/>
      <c r="C1503"/>
      <c r="D1503"/>
      <c r="E1503" s="1"/>
    </row>
    <row r="1504" spans="1:5" x14ac:dyDescent="0.25">
      <c r="A1504" s="7">
        <v>3.3272862579730493E-2</v>
      </c>
      <c r="B1504"/>
      <c r="C1504"/>
      <c r="D1504"/>
      <c r="E1504" s="1"/>
    </row>
    <row r="1505" spans="1:5" x14ac:dyDescent="0.25">
      <c r="A1505" s="7">
        <v>3.2943428296762861E-2</v>
      </c>
      <c r="B1505"/>
      <c r="C1505"/>
      <c r="D1505"/>
      <c r="E1505" s="1"/>
    </row>
    <row r="1506" spans="1:5" x14ac:dyDescent="0.25">
      <c r="A1506" s="7">
        <v>3.2617255739369168E-2</v>
      </c>
      <c r="B1506"/>
      <c r="C1506"/>
      <c r="D1506"/>
      <c r="E1506" s="1"/>
    </row>
    <row r="1507" spans="1:5" x14ac:dyDescent="0.25">
      <c r="A1507" s="7">
        <v>3.22943126132368E-2</v>
      </c>
      <c r="B1507"/>
      <c r="C1507"/>
      <c r="D1507"/>
      <c r="E1507" s="1"/>
    </row>
    <row r="1508" spans="1:5" x14ac:dyDescent="0.25">
      <c r="A1508" s="7">
        <v>3.1974566943798813E-2</v>
      </c>
      <c r="B1508"/>
      <c r="C1508"/>
      <c r="D1508"/>
      <c r="E1508" s="1"/>
    </row>
    <row r="1509" spans="1:5" x14ac:dyDescent="0.25">
      <c r="A1509" s="7">
        <v>3.1657987073068133E-2</v>
      </c>
      <c r="B1509"/>
      <c r="C1509"/>
      <c r="D1509"/>
      <c r="E1509" s="1"/>
    </row>
    <row r="1510" spans="1:5" x14ac:dyDescent="0.25">
      <c r="A1510" s="7">
        <v>3.1344541656503105E-2</v>
      </c>
      <c r="B1510"/>
      <c r="C1510"/>
      <c r="D1510"/>
      <c r="E1510" s="1"/>
    </row>
    <row r="1511" spans="1:5" x14ac:dyDescent="0.25">
      <c r="A1511" s="7">
        <v>3.1034199659904064E-2</v>
      </c>
      <c r="B1511"/>
      <c r="C1511"/>
      <c r="D1511"/>
      <c r="E1511" s="1"/>
    </row>
    <row r="1512" spans="1:5" x14ac:dyDescent="0.25">
      <c r="A1512" s="7">
        <v>3.0726930356340658E-2</v>
      </c>
      <c r="B1512"/>
      <c r="C1512"/>
      <c r="D1512"/>
      <c r="E1512" s="1"/>
    </row>
    <row r="1513" spans="1:5" x14ac:dyDescent="0.25">
      <c r="A1513" s="7">
        <v>3.0422703323109562E-2</v>
      </c>
      <c r="B1513"/>
      <c r="C1513"/>
      <c r="D1513"/>
      <c r="E1513" s="1"/>
    </row>
    <row r="1514" spans="1:5" x14ac:dyDescent="0.25">
      <c r="A1514" s="7">
        <v>3.0121488438722338E-2</v>
      </c>
      <c r="B1514"/>
      <c r="C1514"/>
      <c r="D1514"/>
      <c r="E1514" s="1"/>
    </row>
    <row r="1515" spans="1:5" x14ac:dyDescent="0.25">
      <c r="A1515" s="7">
        <v>2.9823255879923107E-2</v>
      </c>
      <c r="B1515"/>
      <c r="C1515"/>
      <c r="D1515"/>
      <c r="E1515" s="1"/>
    </row>
    <row r="1516" spans="1:5" x14ac:dyDescent="0.25">
      <c r="A1516" s="7">
        <v>2.9527976118735748E-2</v>
      </c>
      <c r="B1516"/>
      <c r="C1516"/>
      <c r="D1516"/>
      <c r="E1516" s="1"/>
    </row>
    <row r="1517" spans="1:5" x14ac:dyDescent="0.25">
      <c r="A1517" s="7">
        <v>2.9235619919540344E-2</v>
      </c>
      <c r="B1517"/>
      <c r="C1517"/>
      <c r="D1517"/>
      <c r="E1517" s="1"/>
    </row>
    <row r="1518" spans="1:5" x14ac:dyDescent="0.25">
      <c r="A1518" s="7">
        <v>2.8946158336178557E-2</v>
      </c>
      <c r="B1518"/>
      <c r="C1518"/>
      <c r="D1518"/>
      <c r="E1518" s="1"/>
    </row>
    <row r="1519" spans="1:5" x14ac:dyDescent="0.25">
      <c r="A1519" s="7">
        <v>2.865956270908768E-2</v>
      </c>
      <c r="B1519"/>
      <c r="C1519"/>
      <c r="D1519"/>
      <c r="E1519" s="1"/>
    </row>
    <row r="1520" spans="1:5" x14ac:dyDescent="0.25">
      <c r="A1520" s="7">
        <v>2.8375804662463051E-2</v>
      </c>
      <c r="B1520"/>
      <c r="C1520"/>
      <c r="D1520"/>
      <c r="E1520" s="1"/>
    </row>
    <row r="1521" spans="1:5" x14ac:dyDescent="0.25">
      <c r="A1521" s="7">
        <v>2.8094856101448566E-2</v>
      </c>
      <c r="B1521"/>
      <c r="C1521"/>
      <c r="D1521"/>
      <c r="E1521" s="1"/>
    </row>
    <row r="1522" spans="1:5" x14ac:dyDescent="0.25">
      <c r="A1522" s="7">
        <v>2.7816689209355015E-2</v>
      </c>
      <c r="B1522"/>
      <c r="C1522"/>
      <c r="D1522"/>
      <c r="E1522" s="1"/>
    </row>
    <row r="1523" spans="1:5" x14ac:dyDescent="0.25">
      <c r="A1523" s="7">
        <v>2.7541276444905956E-2</v>
      </c>
      <c r="B1523"/>
      <c r="C1523"/>
      <c r="D1523"/>
      <c r="E1523" s="1"/>
    </row>
    <row r="1524" spans="1:5" x14ac:dyDescent="0.25">
      <c r="A1524" s="7">
        <v>2.7268590539510848E-2</v>
      </c>
      <c r="B1524"/>
      <c r="C1524"/>
      <c r="D1524"/>
      <c r="E1524" s="1"/>
    </row>
    <row r="1525" spans="1:5" x14ac:dyDescent="0.25">
      <c r="A1525" s="7">
        <v>2.6998604494565197E-2</v>
      </c>
      <c r="B1525"/>
      <c r="C1525"/>
      <c r="D1525"/>
      <c r="E1525" s="1"/>
    </row>
    <row r="1526" spans="1:5" x14ac:dyDescent="0.25">
      <c r="A1526" s="7">
        <v>2.6731291578777423E-2</v>
      </c>
      <c r="B1526"/>
      <c r="C1526"/>
      <c r="D1526"/>
      <c r="E1526" s="1"/>
    </row>
    <row r="1527" spans="1:5" x14ac:dyDescent="0.25">
      <c r="A1527" s="7">
        <v>2.64666253255222E-2</v>
      </c>
      <c r="B1527"/>
      <c r="C1527"/>
      <c r="D1527"/>
      <c r="E1527" s="1"/>
    </row>
    <row r="1528" spans="1:5" x14ac:dyDescent="0.25">
      <c r="A1528" s="7">
        <v>2.6204579530219999E-2</v>
      </c>
      <c r="B1528"/>
      <c r="C1528"/>
      <c r="D1528"/>
      <c r="E1528" s="1"/>
    </row>
    <row r="1529" spans="1:5" x14ac:dyDescent="0.25">
      <c r="A1529" s="7">
        <v>2.5945128247742571E-2</v>
      </c>
      <c r="B1529"/>
      <c r="C1529"/>
      <c r="D1529"/>
      <c r="E1529" s="1"/>
    </row>
    <row r="1530" spans="1:5" x14ac:dyDescent="0.25">
      <c r="A1530" s="7">
        <v>2.568824578984413E-2</v>
      </c>
      <c r="B1530"/>
      <c r="C1530"/>
      <c r="D1530"/>
      <c r="E1530" s="1"/>
    </row>
    <row r="1531" spans="1:5" x14ac:dyDescent="0.25">
      <c r="A1531" s="7">
        <v>2.5433906722617951E-2</v>
      </c>
      <c r="B1531"/>
      <c r="C1531"/>
      <c r="D1531"/>
      <c r="E1531" s="1"/>
    </row>
    <row r="1532" spans="1:5" x14ac:dyDescent="0.25">
      <c r="A1532" s="7">
        <v>2.518208586397817E-2</v>
      </c>
      <c r="B1532"/>
      <c r="C1532"/>
      <c r="D1532"/>
      <c r="E1532" s="1"/>
    </row>
    <row r="1533" spans="1:5" x14ac:dyDescent="0.25">
      <c r="A1533" s="7">
        <v>2.4932758281166506E-2</v>
      </c>
      <c r="B1533"/>
      <c r="C1533"/>
      <c r="D1533"/>
      <c r="E1533" s="1"/>
    </row>
    <row r="1534" spans="1:5" x14ac:dyDescent="0.25">
      <c r="A1534" s="7">
        <v>2.4685899288283669E-2</v>
      </c>
      <c r="B1534"/>
      <c r="C1534"/>
      <c r="D1534"/>
      <c r="E1534" s="1"/>
    </row>
    <row r="1535" spans="1:5" x14ac:dyDescent="0.25">
      <c r="A1535" s="7">
        <v>2.4441484443845217E-2</v>
      </c>
      <c r="B1535"/>
      <c r="C1535"/>
      <c r="D1535"/>
      <c r="E1535" s="1"/>
    </row>
    <row r="1536" spans="1:5" x14ac:dyDescent="0.25">
      <c r="A1536" s="7">
        <v>2.41994895483616E-2</v>
      </c>
      <c r="B1536"/>
      <c r="C1536"/>
      <c r="D1536"/>
      <c r="E1536" s="1"/>
    </row>
    <row r="1537" spans="1:5" x14ac:dyDescent="0.25">
      <c r="A1537" s="7">
        <v>2.3959890641942178E-2</v>
      </c>
      <c r="B1537"/>
      <c r="C1537"/>
      <c r="D1537"/>
      <c r="E1537" s="1"/>
    </row>
    <row r="1538" spans="1:5" x14ac:dyDescent="0.25">
      <c r="A1538" s="7">
        <v>2.3722664001922949E-2</v>
      </c>
      <c r="B1538"/>
      <c r="C1538"/>
      <c r="D1538"/>
      <c r="E1538" s="1"/>
    </row>
    <row r="1539" spans="1:5" x14ac:dyDescent="0.25">
      <c r="A1539" s="7">
        <v>2.3487786140517771E-2</v>
      </c>
      <c r="B1539"/>
      <c r="C1539"/>
      <c r="D1539"/>
      <c r="E1539" s="1"/>
    </row>
    <row r="1540" spans="1:5" x14ac:dyDescent="0.25">
      <c r="A1540" s="7">
        <v>2.3255233802492843E-2</v>
      </c>
      <c r="B1540"/>
      <c r="C1540"/>
      <c r="D1540"/>
      <c r="E1540" s="1"/>
    </row>
    <row r="1541" spans="1:5" x14ac:dyDescent="0.25">
      <c r="A1541" s="7">
        <v>2.30249839628642E-2</v>
      </c>
      <c r="B1541"/>
      <c r="C1541"/>
      <c r="D1541"/>
      <c r="E1541" s="1"/>
    </row>
    <row r="1542" spans="1:5" x14ac:dyDescent="0.25">
      <c r="A1542" s="7">
        <v>2.2797013824618021E-2</v>
      </c>
      <c r="B1542"/>
      <c r="C1542"/>
      <c r="D1542"/>
      <c r="E1542" s="1"/>
    </row>
    <row r="1543" spans="1:5" x14ac:dyDescent="0.25">
      <c r="A1543" s="7">
        <v>2.2571300816453487E-2</v>
      </c>
      <c r="B1543"/>
      <c r="C1543"/>
      <c r="D1543"/>
      <c r="E1543" s="1"/>
    </row>
    <row r="1544" spans="1:5" x14ac:dyDescent="0.25">
      <c r="A1544" s="7">
        <v>2.2347822590548006E-2</v>
      </c>
      <c r="B1544"/>
      <c r="C1544"/>
      <c r="D1544"/>
      <c r="E1544" s="1"/>
    </row>
    <row r="1545" spans="1:5" x14ac:dyDescent="0.25">
      <c r="A1545" s="7">
        <v>2.2126557020344561E-2</v>
      </c>
      <c r="B1545"/>
      <c r="C1545"/>
      <c r="D1545"/>
      <c r="E1545" s="1"/>
    </row>
    <row r="1546" spans="1:5" x14ac:dyDescent="0.25">
      <c r="A1546" s="7">
        <v>2.1907482198360952E-2</v>
      </c>
      <c r="B1546"/>
      <c r="C1546"/>
      <c r="D1546"/>
      <c r="E1546" s="1"/>
    </row>
    <row r="1547" spans="1:5" x14ac:dyDescent="0.25">
      <c r="A1547" s="7">
        <v>2.1690576434020743E-2</v>
      </c>
      <c r="B1547"/>
      <c r="C1547"/>
      <c r="D1547"/>
      <c r="E1547" s="1"/>
    </row>
    <row r="1548" spans="1:5" x14ac:dyDescent="0.25">
      <c r="A1548" s="7">
        <v>2.1475818251505685E-2</v>
      </c>
      <c r="B1548"/>
      <c r="C1548"/>
      <c r="D1548"/>
      <c r="E1548" s="1"/>
    </row>
    <row r="1549" spans="1:5" x14ac:dyDescent="0.25">
      <c r="A1549" s="7">
        <v>2.126318638762939E-2</v>
      </c>
      <c r="B1549"/>
      <c r="C1549"/>
      <c r="D1549"/>
      <c r="E1549" s="1"/>
    </row>
    <row r="1550" spans="1:5" x14ac:dyDescent="0.25">
      <c r="A1550" s="7">
        <v>2.1052659789732069E-2</v>
      </c>
      <c r="B1550"/>
      <c r="C1550"/>
      <c r="D1550"/>
      <c r="E1550" s="1"/>
    </row>
    <row r="1551" spans="1:5" x14ac:dyDescent="0.25">
      <c r="A1551" s="7">
        <v>2.084421761359611E-2</v>
      </c>
      <c r="B1551"/>
      <c r="C1551"/>
      <c r="D1551"/>
      <c r="E1551" s="1"/>
    </row>
    <row r="1552" spans="1:5" x14ac:dyDescent="0.25">
      <c r="A1552" s="7">
        <v>2.0637839221382286E-2</v>
      </c>
      <c r="B1552"/>
      <c r="C1552"/>
      <c r="D1552"/>
      <c r="E1552" s="1"/>
    </row>
    <row r="1553" spans="1:5" x14ac:dyDescent="0.25">
      <c r="A1553" s="7">
        <v>2.043350417958642E-2</v>
      </c>
      <c r="B1553"/>
      <c r="C1553"/>
      <c r="D1553"/>
      <c r="E1553" s="1"/>
    </row>
    <row r="1554" spans="1:5" x14ac:dyDescent="0.25">
      <c r="A1554" s="7">
        <v>2.0231192257016258E-2</v>
      </c>
      <c r="B1554"/>
      <c r="C1554"/>
      <c r="D1554"/>
      <c r="E1554" s="1"/>
    </row>
    <row r="1555" spans="1:5" x14ac:dyDescent="0.25">
      <c r="A1555" s="7">
        <v>2.0030883422788373E-2</v>
      </c>
      <c r="B1555"/>
      <c r="C1555"/>
      <c r="D1555"/>
      <c r="E1555" s="1"/>
    </row>
    <row r="1556" spans="1:5" x14ac:dyDescent="0.25">
      <c r="A1556" s="7">
        <v>1.9832557844344924E-2</v>
      </c>
      <c r="B1556"/>
      <c r="C1556"/>
      <c r="D1556"/>
      <c r="E1556" s="1"/>
    </row>
    <row r="1557" spans="1:5" x14ac:dyDescent="0.25">
      <c r="A1557" s="7">
        <v>1.9636195885490024E-2</v>
      </c>
      <c r="B1557"/>
      <c r="C1557"/>
      <c r="D1557"/>
      <c r="E1557" s="1"/>
    </row>
    <row r="1558" spans="1:5" x14ac:dyDescent="0.25">
      <c r="A1558" s="7">
        <v>1.9441778104445567E-2</v>
      </c>
      <c r="B1558"/>
      <c r="C1558"/>
      <c r="D1558"/>
      <c r="E1558" s="1"/>
    </row>
    <row r="1559" spans="1:5" x14ac:dyDescent="0.25">
      <c r="A1559" s="7">
        <v>1.9249285251926304E-2</v>
      </c>
      <c r="B1559"/>
      <c r="C1559"/>
      <c r="D1559"/>
      <c r="E1559" s="1"/>
    </row>
    <row r="1560" spans="1:5" x14ac:dyDescent="0.25">
      <c r="A1560" s="7">
        <v>1.9058698269233964E-2</v>
      </c>
      <c r="B1560"/>
      <c r="C1560"/>
      <c r="D1560"/>
      <c r="E1560" s="1"/>
    </row>
    <row r="1561" spans="1:5" x14ac:dyDescent="0.25">
      <c r="A1561" s="7">
        <v>1.886999828637026E-2</v>
      </c>
      <c r="B1561"/>
      <c r="C1561"/>
      <c r="D1561"/>
      <c r="E1561" s="1"/>
    </row>
    <row r="1562" spans="1:5" x14ac:dyDescent="0.25">
      <c r="A1562" s="7">
        <v>1.8683166620168574E-2</v>
      </c>
      <c r="B1562"/>
      <c r="C1562"/>
      <c r="D1562"/>
      <c r="E1562" s="1"/>
    </row>
    <row r="1563" spans="1:5" x14ac:dyDescent="0.25">
      <c r="A1563" s="7">
        <v>1.8498184772444134E-2</v>
      </c>
      <c r="B1563"/>
      <c r="C1563"/>
      <c r="D1563"/>
      <c r="E1563" s="1"/>
    </row>
    <row r="1564" spans="1:5" x14ac:dyDescent="0.25">
      <c r="A1564" s="7">
        <v>1.831503442816251E-2</v>
      </c>
      <c r="B1564"/>
      <c r="C1564"/>
      <c r="D1564"/>
      <c r="E1564" s="1"/>
    </row>
    <row r="1565" spans="1:5" x14ac:dyDescent="0.25">
      <c r="A1565" s="7">
        <v>1.8133697453626248E-2</v>
      </c>
      <c r="B1565"/>
      <c r="C1565"/>
      <c r="D1565"/>
      <c r="E1565" s="1"/>
    </row>
    <row r="1566" spans="1:5" x14ac:dyDescent="0.25">
      <c r="A1566" s="7">
        <v>1.7954155894679455E-2</v>
      </c>
      <c r="B1566"/>
      <c r="C1566"/>
      <c r="D1566"/>
      <c r="E1566" s="1"/>
    </row>
    <row r="1567" spans="1:5" x14ac:dyDescent="0.25">
      <c r="A1567" s="7">
        <v>1.7776391974930153E-2</v>
      </c>
      <c r="B1567"/>
      <c r="C1567"/>
      <c r="D1567"/>
      <c r="E1567" s="1"/>
    </row>
    <row r="1568" spans="1:5" x14ac:dyDescent="0.25">
      <c r="A1568" s="7">
        <v>1.7600388093990251E-2</v>
      </c>
      <c r="B1568"/>
      <c r="C1568"/>
      <c r="D1568"/>
      <c r="E1568" s="1"/>
    </row>
    <row r="1569" spans="1:5" x14ac:dyDescent="0.25">
      <c r="A1569" s="7">
        <v>1.7426126825732923E-2</v>
      </c>
      <c r="B1569"/>
      <c r="C1569"/>
      <c r="D1569"/>
      <c r="E1569" s="1"/>
    </row>
    <row r="1570" spans="1:5" x14ac:dyDescent="0.25">
      <c r="A1570" s="7">
        <v>1.7253590916567252E-2</v>
      </c>
      <c r="B1570"/>
      <c r="C1570"/>
      <c r="D1570"/>
      <c r="E1570" s="1"/>
    </row>
    <row r="1571" spans="1:5" x14ac:dyDescent="0.25">
      <c r="A1571" s="7">
        <v>1.7082763283729954E-2</v>
      </c>
      <c r="B1571"/>
      <c r="C1571"/>
      <c r="D1571"/>
      <c r="E1571" s="1"/>
    </row>
    <row r="1572" spans="1:5" x14ac:dyDescent="0.25">
      <c r="A1572" s="7">
        <v>1.6913627013594012E-2</v>
      </c>
      <c r="B1572"/>
      <c r="C1572"/>
      <c r="D1572"/>
      <c r="E1572" s="1"/>
    </row>
    <row r="1573" spans="1:5" x14ac:dyDescent="0.25">
      <c r="A1573" s="7">
        <v>1.674616535999407E-2</v>
      </c>
      <c r="B1573"/>
      <c r="C1573"/>
      <c r="D1573"/>
      <c r="E1573" s="1"/>
    </row>
    <row r="1574" spans="1:5" x14ac:dyDescent="0.25">
      <c r="A1574" s="7">
        <v>1.6580361742568387E-2</v>
      </c>
      <c r="B1574"/>
      <c r="C1574"/>
      <c r="D1574"/>
      <c r="E1574" s="1"/>
    </row>
    <row r="1575" spans="1:5" x14ac:dyDescent="0.25">
      <c r="A1575" s="7">
        <v>1.6416199745117214E-2</v>
      </c>
      <c r="B1575"/>
      <c r="C1575"/>
      <c r="D1575"/>
      <c r="E1575" s="1"/>
    </row>
    <row r="1576" spans="1:5" x14ac:dyDescent="0.25">
      <c r="A1576" s="7">
        <v>1.625366311397744E-2</v>
      </c>
      <c r="B1576"/>
      <c r="C1576"/>
      <c r="D1576"/>
      <c r="E1576" s="1"/>
    </row>
    <row r="1577" spans="1:5" x14ac:dyDescent="0.25">
      <c r="A1577" s="7">
        <v>1.6092735756413307E-2</v>
      </c>
      <c r="B1577"/>
      <c r="C1577"/>
      <c r="D1577"/>
      <c r="E1577" s="1"/>
    </row>
    <row r="1578" spans="1:5" x14ac:dyDescent="0.25">
      <c r="A1578" s="7">
        <v>1.5933401739023075E-2</v>
      </c>
      <c r="B1578"/>
      <c r="C1578"/>
      <c r="D1578"/>
      <c r="E1578" s="1"/>
    </row>
    <row r="1579" spans="1:5" x14ac:dyDescent="0.25">
      <c r="A1579" s="7">
        <v>1.577564528616146E-2</v>
      </c>
      <c r="B1579"/>
      <c r="C1579"/>
      <c r="D1579"/>
      <c r="E1579" s="1"/>
    </row>
    <row r="1580" spans="1:5" x14ac:dyDescent="0.25">
      <c r="A1580" s="7">
        <v>1.5619450778377683E-2</v>
      </c>
      <c r="B1580"/>
      <c r="C1580"/>
      <c r="D1580"/>
      <c r="E1580" s="1"/>
    </row>
    <row r="1581" spans="1:5" x14ac:dyDescent="0.25">
      <c r="A1581" s="7">
        <v>1.5464802750868993E-2</v>
      </c>
      <c r="B1581"/>
      <c r="C1581"/>
      <c r="D1581"/>
      <c r="E1581" s="1"/>
    </row>
    <row r="1582" spans="1:5" x14ac:dyDescent="0.25">
      <c r="A1582" s="7">
        <v>1.5311685891949499E-2</v>
      </c>
      <c r="B1582"/>
      <c r="C1582"/>
      <c r="D1582"/>
      <c r="E1582" s="1"/>
    </row>
    <row r="1583" spans="1:5" x14ac:dyDescent="0.25">
      <c r="A1583" s="7">
        <v>1.5160085041534157E-2</v>
      </c>
      <c r="B1583"/>
      <c r="C1583"/>
      <c r="D1583"/>
      <c r="E1583" s="1"/>
    </row>
    <row r="1584" spans="1:5" x14ac:dyDescent="0.25">
      <c r="A1584" s="7">
        <v>1.5009985189637779E-2</v>
      </c>
      <c r="B1584"/>
      <c r="C1584"/>
      <c r="D1584"/>
      <c r="E1584" s="1"/>
    </row>
    <row r="1585" spans="1:5" x14ac:dyDescent="0.25">
      <c r="A1585" s="7">
        <v>1.486137147488889E-2</v>
      </c>
      <c r="B1585"/>
      <c r="C1585"/>
      <c r="D1585"/>
      <c r="E1585" s="1"/>
    </row>
    <row r="1586" spans="1:5" x14ac:dyDescent="0.25">
      <c r="A1586" s="7">
        <v>1.4714229183058307E-2</v>
      </c>
      <c r="B1586"/>
      <c r="C1586"/>
      <c r="D1586"/>
      <c r="E1586" s="1"/>
    </row>
    <row r="1587" spans="1:5" x14ac:dyDescent="0.25">
      <c r="A1587" s="7">
        <v>1.4568543745602285E-2</v>
      </c>
      <c r="B1587"/>
      <c r="C1587"/>
      <c r="D1587"/>
      <c r="E1587" s="1"/>
    </row>
    <row r="1588" spans="1:5" x14ac:dyDescent="0.25">
      <c r="A1588" s="7">
        <v>1.4424300738220083E-2</v>
      </c>
      <c r="B1588"/>
      <c r="C1588"/>
      <c r="D1588"/>
      <c r="E1588" s="1"/>
    </row>
    <row r="1589" spans="1:5" x14ac:dyDescent="0.25">
      <c r="A1589" s="7">
        <v>1.4281485879425826E-2</v>
      </c>
      <c r="B1589"/>
      <c r="C1589"/>
      <c r="D1589"/>
      <c r="E1589" s="1"/>
    </row>
    <row r="1590" spans="1:5" x14ac:dyDescent="0.25">
      <c r="A1590" s="7">
        <v>1.4140085029134481E-2</v>
      </c>
      <c r="B1590"/>
      <c r="C1590"/>
      <c r="D1590"/>
      <c r="E1590" s="1"/>
    </row>
    <row r="1591" spans="1:5" x14ac:dyDescent="0.25">
      <c r="A1591" s="7">
        <v>1.4000084187261863E-2</v>
      </c>
      <c r="B1591"/>
      <c r="C1591"/>
      <c r="D1591"/>
      <c r="E1591" s="1"/>
    </row>
    <row r="1592" spans="1:5" x14ac:dyDescent="0.25">
      <c r="A1592" s="7">
        <v>1.3861469492338479E-2</v>
      </c>
      <c r="B1592"/>
      <c r="C1592"/>
      <c r="D1592"/>
      <c r="E1592" s="1"/>
    </row>
    <row r="1593" spans="1:5" x14ac:dyDescent="0.25">
      <c r="A1593" s="7">
        <v>1.3724227220137107E-2</v>
      </c>
      <c r="B1593"/>
      <c r="C1593"/>
      <c r="D1593"/>
      <c r="E1593" s="1"/>
    </row>
    <row r="1594" spans="1:5" x14ac:dyDescent="0.25">
      <c r="A1594" s="7">
        <v>1.3588343782313966E-2</v>
      </c>
      <c r="B1594"/>
      <c r="C1594"/>
      <c r="D1594"/>
      <c r="E1594" s="1"/>
    </row>
    <row r="1595" spans="1:5" x14ac:dyDescent="0.25">
      <c r="A1595" s="7">
        <v>1.3453805725063333E-2</v>
      </c>
      <c r="B1595"/>
      <c r="C1595"/>
      <c r="D1595"/>
      <c r="E1595" s="1"/>
    </row>
    <row r="1596" spans="1:5" x14ac:dyDescent="0.25">
      <c r="A1596" s="7">
        <v>1.3320599727785478E-2</v>
      </c>
      <c r="B1596"/>
      <c r="C1596"/>
      <c r="D1596"/>
      <c r="E1596" s="1"/>
    </row>
    <row r="1597" spans="1:5" x14ac:dyDescent="0.25">
      <c r="A1597" s="7">
        <v>1.3188712601767801E-2</v>
      </c>
      <c r="B1597"/>
      <c r="C1597"/>
      <c r="D1597"/>
      <c r="E1597" s="1"/>
    </row>
    <row r="1598" spans="1:5" x14ac:dyDescent="0.25">
      <c r="A1598" s="7">
        <v>1.305813128887901E-2</v>
      </c>
      <c r="B1598"/>
      <c r="C1598"/>
      <c r="D1598"/>
      <c r="E1598" s="1"/>
    </row>
    <row r="1599" spans="1:5" x14ac:dyDescent="0.25">
      <c r="A1599" s="7">
        <v>1.2928842860276247E-2</v>
      </c>
      <c r="B1599"/>
      <c r="C1599"/>
      <c r="D1599"/>
      <c r="E1599" s="1"/>
    </row>
    <row r="1600" spans="1:5" x14ac:dyDescent="0.25">
      <c r="A1600" s="7">
        <v>1.2800834515124997E-2</v>
      </c>
      <c r="B1600"/>
      <c r="C1600"/>
      <c r="D1600"/>
      <c r="E1600" s="1"/>
    </row>
    <row r="1601" spans="1:5" x14ac:dyDescent="0.25">
      <c r="A1601" s="7">
        <v>1.2674093579331681E-2</v>
      </c>
      <c r="B1601"/>
      <c r="C1601"/>
      <c r="D1601"/>
      <c r="E1601" s="1"/>
    </row>
    <row r="1602" spans="1:5" x14ac:dyDescent="0.25">
      <c r="A1602" s="7">
        <v>1.2548607504288793E-2</v>
      </c>
      <c r="B1602"/>
      <c r="C1602"/>
      <c r="D1602"/>
      <c r="E1602" s="1"/>
    </row>
    <row r="1603" spans="1:5" x14ac:dyDescent="0.25">
      <c r="A1603" s="7">
        <v>1.2424363865632468E-2</v>
      </c>
      <c r="B1603"/>
      <c r="C1603"/>
      <c r="D1603"/>
      <c r="E1603" s="1"/>
    </row>
    <row r="1604" spans="1:5" x14ac:dyDescent="0.25">
      <c r="A1604" s="7">
        <v>1.2301350362012345E-2</v>
      </c>
      <c r="B1604"/>
      <c r="C1604"/>
      <c r="D1604"/>
      <c r="E1604" s="1"/>
    </row>
    <row r="1605" spans="1:5" x14ac:dyDescent="0.25">
      <c r="A1605" s="7">
        <v>1.2179554813873608E-2</v>
      </c>
      <c r="B1605"/>
      <c r="C1605"/>
      <c r="D1605"/>
      <c r="E1605" s="1"/>
    </row>
    <row r="1606" spans="1:5" x14ac:dyDescent="0.25">
      <c r="A1606" s="7">
        <v>1.2058965162251098E-2</v>
      </c>
      <c r="B1606"/>
      <c r="C1606"/>
      <c r="D1606"/>
      <c r="E1606" s="1"/>
    </row>
    <row r="1607" spans="1:5" x14ac:dyDescent="0.25">
      <c r="A1607" s="7">
        <v>1.1939569467575344E-2</v>
      </c>
      <c r="B1607"/>
      <c r="C1607"/>
      <c r="D1607"/>
      <c r="E1607" s="1"/>
    </row>
    <row r="1608" spans="1:5" x14ac:dyDescent="0.25">
      <c r="A1608" s="7">
        <v>1.182135590849044E-2</v>
      </c>
      <c r="B1608"/>
      <c r="C1608"/>
      <c r="D1608"/>
      <c r="E1608" s="1"/>
    </row>
    <row r="1609" spans="1:5" x14ac:dyDescent="0.25">
      <c r="A1609" s="7">
        <v>1.1704312780683603E-2</v>
      </c>
      <c r="B1609"/>
      <c r="C1609"/>
      <c r="D1609"/>
      <c r="E1609" s="1"/>
    </row>
    <row r="1610" spans="1:5" x14ac:dyDescent="0.25">
      <c r="A1610" s="7">
        <v>1.158842849572634E-2</v>
      </c>
      <c r="B1610"/>
      <c r="C1610"/>
      <c r="D1610"/>
      <c r="E1610" s="1"/>
    </row>
    <row r="1611" spans="1:5" x14ac:dyDescent="0.25">
      <c r="A1611" s="7">
        <v>1.1473691579927069E-2</v>
      </c>
      <c r="B1611"/>
      <c r="C1611"/>
      <c r="D1611"/>
      <c r="E1611" s="1"/>
    </row>
    <row r="1612" spans="1:5" x14ac:dyDescent="0.25">
      <c r="A1612" s="7">
        <v>1.1360090673195117E-2</v>
      </c>
      <c r="B1612"/>
      <c r="C1612"/>
      <c r="D1612"/>
      <c r="E1612" s="1"/>
    </row>
    <row r="1613" spans="1:5" x14ac:dyDescent="0.25">
      <c r="A1613" s="7">
        <v>1.1247614527915957E-2</v>
      </c>
      <c r="B1613"/>
      <c r="C1613"/>
      <c r="D1613"/>
      <c r="E1613" s="1"/>
    </row>
    <row r="1614" spans="1:5" x14ac:dyDescent="0.25">
      <c r="A1614" s="7">
        <v>1.1136252007837581E-2</v>
      </c>
      <c r="B1614"/>
      <c r="C1614"/>
      <c r="D1614"/>
      <c r="E1614" s="1"/>
    </row>
    <row r="1615" spans="1:5" x14ac:dyDescent="0.25">
      <c r="A1615" s="7">
        <v>1.1025992086967902E-2</v>
      </c>
      <c r="B1615"/>
      <c r="C1615"/>
      <c r="D1615"/>
      <c r="E1615" s="1"/>
    </row>
    <row r="1616" spans="1:5" x14ac:dyDescent="0.25">
      <c r="A1616" s="7">
        <v>1.0916823848483071E-2</v>
      </c>
      <c r="B1616"/>
      <c r="C1616"/>
      <c r="D1616"/>
      <c r="E1616" s="1"/>
    </row>
    <row r="1617" spans="1:5" x14ac:dyDescent="0.25">
      <c r="A1617" s="7">
        <v>1.0808736483646605E-2</v>
      </c>
      <c r="B1617"/>
      <c r="C1617"/>
      <c r="D1617"/>
      <c r="E1617" s="1"/>
    </row>
    <row r="1618" spans="1:5" x14ac:dyDescent="0.25">
      <c r="A1618" s="7">
        <v>1.0701719290739212E-2</v>
      </c>
      <c r="B1618"/>
      <c r="C1618"/>
      <c r="D1618"/>
      <c r="E1618" s="1"/>
    </row>
    <row r="1619" spans="1:5" x14ac:dyDescent="0.25">
      <c r="A1619" s="7">
        <v>1.059576167399922E-2</v>
      </c>
      <c r="B1619"/>
      <c r="C1619"/>
      <c r="D1619"/>
      <c r="E1619" s="1"/>
    </row>
    <row r="1620" spans="1:5" x14ac:dyDescent="0.25">
      <c r="A1620" s="7">
        <v>1.0490853142573484E-2</v>
      </c>
      <c r="B1620"/>
      <c r="C1620"/>
      <c r="D1620"/>
      <c r="E1620" s="1"/>
    </row>
    <row r="1621" spans="1:5" x14ac:dyDescent="0.25">
      <c r="A1621" s="7">
        <v>1.0386983309478697E-2</v>
      </c>
      <c r="B1621"/>
      <c r="C1621"/>
      <c r="D1621"/>
      <c r="E1621" s="1"/>
    </row>
    <row r="1622" spans="1:5" x14ac:dyDescent="0.25">
      <c r="A1622" s="7">
        <v>1.0284141890572968E-2</v>
      </c>
      <c r="B1622"/>
      <c r="C1622"/>
      <c r="D1622"/>
      <c r="E1622" s="1"/>
    </row>
    <row r="1623" spans="1:5" x14ac:dyDescent="0.25">
      <c r="A1623" s="7">
        <v>1.0182318703537592E-2</v>
      </c>
      <c r="B1623"/>
      <c r="C1623"/>
      <c r="D1623"/>
      <c r="E1623" s="1"/>
    </row>
    <row r="1624" spans="1:5" x14ac:dyDescent="0.25">
      <c r="A1624" s="7">
        <v>1.0081503666868902E-2</v>
      </c>
      <c r="B1624"/>
      <c r="C1624"/>
      <c r="D1624"/>
      <c r="E1624" s="1"/>
    </row>
    <row r="1625" spans="1:5" x14ac:dyDescent="0.25">
      <c r="A1625" s="7">
        <v>9.981686798880101E-3</v>
      </c>
      <c r="B1625"/>
      <c r="C1625"/>
      <c r="D1625"/>
      <c r="E1625" s="1"/>
    </row>
    <row r="1626" spans="1:5" x14ac:dyDescent="0.25">
      <c r="A1626" s="7">
        <v>9.8828582167129718E-3</v>
      </c>
      <c r="B1626"/>
      <c r="C1626"/>
      <c r="D1626"/>
      <c r="E1626" s="1"/>
    </row>
    <row r="1627" spans="1:5" x14ac:dyDescent="0.25">
      <c r="A1627" s="7">
        <v>9.7850081353593778E-3</v>
      </c>
      <c r="B1627"/>
      <c r="C1627"/>
      <c r="D1627"/>
      <c r="E1627" s="1"/>
    </row>
    <row r="1628" spans="1:5" x14ac:dyDescent="0.25">
      <c r="A1628" s="7">
        <v>9.6881268666924539E-3</v>
      </c>
      <c r="B1628"/>
      <c r="C1628"/>
      <c r="D1628"/>
      <c r="E1628" s="1"/>
    </row>
    <row r="1629" spans="1:5" x14ac:dyDescent="0.25">
      <c r="A1629" s="7">
        <v>9.5922048185073799E-3</v>
      </c>
      <c r="B1629"/>
      <c r="C1629"/>
      <c r="D1629"/>
      <c r="E1629" s="1"/>
    </row>
    <row r="1630" spans="1:5" x14ac:dyDescent="0.25">
      <c r="A1630" s="7">
        <v>9.497232493571664E-3</v>
      </c>
      <c r="B1630"/>
      <c r="C1630"/>
      <c r="D1630"/>
      <c r="E1630" s="1"/>
    </row>
    <row r="1631" spans="1:5" x14ac:dyDescent="0.25">
      <c r="A1631" s="7">
        <v>9.4032004886848153E-3</v>
      </c>
      <c r="B1631"/>
      <c r="C1631"/>
      <c r="D1631"/>
      <c r="E1631" s="1"/>
    </row>
    <row r="1632" spans="1:5" x14ac:dyDescent="0.25">
      <c r="A1632" s="7">
        <v>9.3100994937473421E-3</v>
      </c>
      <c r="B1632"/>
      <c r="C1632"/>
      <c r="D1632"/>
      <c r="E1632" s="1"/>
    </row>
    <row r="1633" spans="1:5" x14ac:dyDescent="0.25">
      <c r="A1633" s="7">
        <v>9.2179202908389529E-3</v>
      </c>
      <c r="B1633"/>
      <c r="C1633"/>
      <c r="D1633"/>
      <c r="E1633" s="1"/>
    </row>
    <row r="1634" spans="1:5" x14ac:dyDescent="0.25">
      <c r="A1634" s="7">
        <v>9.1266537533058936E-3</v>
      </c>
      <c r="B1634"/>
      <c r="C1634"/>
      <c r="D1634"/>
      <c r="E1634" s="1"/>
    </row>
    <row r="1635" spans="1:5" x14ac:dyDescent="0.25">
      <c r="A1635" s="7">
        <v>9.0362908448573202E-3</v>
      </c>
      <c r="B1635"/>
      <c r="C1635"/>
      <c r="D1635"/>
      <c r="E1635" s="1"/>
    </row>
    <row r="1636" spans="1:5" x14ac:dyDescent="0.25">
      <c r="A1636" s="7">
        <v>8.9468226186706131E-3</v>
      </c>
      <c r="B1636"/>
      <c r="C1636"/>
      <c r="D1636"/>
      <c r="E1636" s="1"/>
    </row>
    <row r="1637" spans="1:5" x14ac:dyDescent="0.25">
      <c r="A1637" s="7">
        <v>8.8582402165055581E-3</v>
      </c>
      <c r="B1637"/>
      <c r="C1637"/>
      <c r="D1637"/>
      <c r="E1637" s="1"/>
    </row>
    <row r="1638" spans="1:5" x14ac:dyDescent="0.25">
      <c r="A1638" s="7">
        <v>8.7705348678272857E-3</v>
      </c>
      <c r="B1638"/>
      <c r="C1638"/>
      <c r="D1638"/>
      <c r="E1638" s="1"/>
    </row>
    <row r="1639" spans="1:5" x14ac:dyDescent="0.25">
      <c r="A1639" s="7">
        <v>8.6836978889379066E-3</v>
      </c>
      <c r="B1639"/>
      <c r="C1639"/>
      <c r="D1639"/>
      <c r="E1639" s="1"/>
    </row>
    <row r="1640" spans="1:5" x14ac:dyDescent="0.25">
      <c r="A1640" s="7">
        <v>8.5977206821167395E-3</v>
      </c>
      <c r="B1640"/>
      <c r="C1640"/>
      <c r="D1640"/>
      <c r="E1640" s="1"/>
    </row>
    <row r="1641" spans="1:5" x14ac:dyDescent="0.25">
      <c r="A1641" s="7">
        <v>8.5125947347690495E-3</v>
      </c>
      <c r="B1641"/>
      <c r="C1641"/>
      <c r="D1641"/>
      <c r="E1641" s="1"/>
    </row>
    <row r="1642" spans="1:5" x14ac:dyDescent="0.25">
      <c r="A1642" s="7">
        <v>8.4283116185832167E-3</v>
      </c>
      <c r="B1642"/>
      <c r="C1642"/>
      <c r="D1642"/>
      <c r="E1642" s="1"/>
    </row>
    <row r="1643" spans="1:5" x14ac:dyDescent="0.25">
      <c r="A1643" s="7">
        <v>8.3448629886962548E-3</v>
      </c>
      <c r="B1643"/>
      <c r="C1643"/>
      <c r="D1643"/>
      <c r="E1643" s="1"/>
    </row>
    <row r="1644" spans="1:5" x14ac:dyDescent="0.25">
      <c r="A1644" s="7">
        <v>8.2622405828675794E-3</v>
      </c>
      <c r="B1644"/>
      <c r="C1644"/>
      <c r="D1644"/>
      <c r="E1644" s="1"/>
    </row>
    <row r="1645" spans="1:5" x14ac:dyDescent="0.25">
      <c r="A1645" s="7">
        <v>8.1804362206609697E-3</v>
      </c>
      <c r="B1645"/>
      <c r="C1645"/>
      <c r="D1645"/>
      <c r="E1645" s="1"/>
    </row>
    <row r="1646" spans="1:5" x14ac:dyDescent="0.25">
      <c r="A1646" s="7">
        <v>8.0994418026346226E-3</v>
      </c>
      <c r="B1646"/>
      <c r="C1646"/>
      <c r="D1646"/>
      <c r="E1646" s="1"/>
    </row>
    <row r="1647" spans="1:5" x14ac:dyDescent="0.25">
      <c r="A1647" s="7">
        <v>8.0192493095392302E-3</v>
      </c>
      <c r="B1647"/>
      <c r="C1647"/>
      <c r="D1647"/>
      <c r="E1647" s="1"/>
    </row>
    <row r="1648" spans="1:5" x14ac:dyDescent="0.25">
      <c r="A1648" s="7">
        <v>7.9398508015239896E-3</v>
      </c>
      <c r="B1648"/>
      <c r="C1648"/>
      <c r="D1648"/>
      <c r="E1648" s="1"/>
    </row>
    <row r="1649" spans="1:5" x14ac:dyDescent="0.25">
      <c r="A1649" s="7">
        <v>7.8612384173504853E-3</v>
      </c>
      <c r="B1649"/>
      <c r="C1649"/>
      <c r="D1649"/>
      <c r="E1649" s="1"/>
    </row>
    <row r="1650" spans="1:5" x14ac:dyDescent="0.25">
      <c r="A1650" s="7">
        <v>7.7834043736143416E-3</v>
      </c>
      <c r="B1650"/>
      <c r="C1650"/>
      <c r="D1650"/>
      <c r="E1650" s="1"/>
    </row>
    <row r="1651" spans="1:5" x14ac:dyDescent="0.25">
      <c r="A1651" s="7">
        <v>7.7063409639745954E-3</v>
      </c>
      <c r="B1651"/>
      <c r="C1651"/>
      <c r="D1651"/>
      <c r="E1651" s="1"/>
    </row>
    <row r="1652" spans="1:5" x14ac:dyDescent="0.25">
      <c r="A1652" s="7">
        <v>7.6300405583906881E-3</v>
      </c>
      <c r="B1652"/>
      <c r="C1652"/>
      <c r="D1652"/>
      <c r="E1652" s="1"/>
    </row>
    <row r="1653" spans="1:5" x14ac:dyDescent="0.25">
      <c r="A1653" s="7">
        <v>7.5544956023670179E-3</v>
      </c>
      <c r="B1653"/>
      <c r="C1653"/>
      <c r="D1653"/>
      <c r="E1653" s="1"/>
    </row>
    <row r="1654" spans="1:5" x14ac:dyDescent="0.25">
      <c r="A1654" s="7">
        <v>7.479698616204968E-3</v>
      </c>
      <c r="B1654"/>
      <c r="C1654"/>
      <c r="D1654"/>
      <c r="E1654" s="1"/>
    </row>
    <row r="1655" spans="1:5" x14ac:dyDescent="0.25">
      <c r="A1655" s="7">
        <v>7.4056421942623445E-3</v>
      </c>
      <c r="B1655"/>
      <c r="C1655"/>
      <c r="D1655"/>
      <c r="E1655" s="1"/>
    </row>
    <row r="1656" spans="1:5" x14ac:dyDescent="0.25">
      <c r="A1656" s="7">
        <v>7.3323190042201428E-3</v>
      </c>
      <c r="B1656"/>
      <c r="C1656"/>
      <c r="D1656"/>
      <c r="E1656" s="1"/>
    </row>
    <row r="1657" spans="1:5" x14ac:dyDescent="0.25">
      <c r="A1657" s="7">
        <v>7.2597217863565773E-3</v>
      </c>
      <c r="B1657"/>
      <c r="C1657"/>
      <c r="D1657"/>
      <c r="E1657" s="1"/>
    </row>
    <row r="1658" spans="1:5" x14ac:dyDescent="0.25">
      <c r="A1658" s="7">
        <v>7.1878433528282945E-3</v>
      </c>
      <c r="B1658"/>
      <c r="C1658"/>
      <c r="D1658"/>
      <c r="E1658" s="1"/>
    </row>
    <row r="1659" spans="1:5" x14ac:dyDescent="0.25">
      <c r="A1659" s="7">
        <v>7.1166765869587071E-3</v>
      </c>
      <c r="B1659"/>
      <c r="C1659"/>
      <c r="D1659"/>
      <c r="E1659" s="1"/>
    </row>
    <row r="1660" spans="1:5" x14ac:dyDescent="0.25">
      <c r="A1660" s="7">
        <v>7.0462144425333731E-3</v>
      </c>
      <c r="B1660"/>
      <c r="C1660"/>
      <c r="D1660"/>
      <c r="E1660" s="1"/>
    </row>
    <row r="1661" spans="1:5" x14ac:dyDescent="0.25">
      <c r="A1661" s="7">
        <v>6.9764499431023497E-3</v>
      </c>
      <c r="B1661"/>
      <c r="C1661"/>
      <c r="D1661"/>
      <c r="E1661" s="1"/>
    </row>
    <row r="1662" spans="1:5" x14ac:dyDescent="0.25">
      <c r="A1662" s="7">
        <v>6.9073761812894555E-3</v>
      </c>
      <c r="B1662"/>
      <c r="C1662"/>
      <c r="D1662"/>
      <c r="E1662" s="1"/>
    </row>
    <row r="1663" spans="1:5" x14ac:dyDescent="0.25">
      <c r="A1663" s="7">
        <v>6.8389863181083713E-3</v>
      </c>
      <c r="B1663"/>
      <c r="C1663"/>
      <c r="D1663"/>
      <c r="E1663" s="1"/>
    </row>
    <row r="1664" spans="1:5" x14ac:dyDescent="0.25">
      <c r="A1664" s="7">
        <v>6.7712735822855162E-3</v>
      </c>
      <c r="B1664"/>
      <c r="C1664"/>
      <c r="D1664"/>
      <c r="E1664" s="1"/>
    </row>
    <row r="1665" spans="1:5" x14ac:dyDescent="0.25">
      <c r="A1665" s="7">
        <v>6.7042312695896203E-3</v>
      </c>
      <c r="B1665"/>
      <c r="C1665"/>
      <c r="D1665"/>
      <c r="E1665" s="1"/>
    </row>
    <row r="1666" spans="1:5" x14ac:dyDescent="0.25">
      <c r="A1666" s="7">
        <v>6.6378527421679405E-3</v>
      </c>
      <c r="B1666"/>
      <c r="C1666"/>
      <c r="D1666"/>
      <c r="E1666" s="1"/>
    </row>
    <row r="1667" spans="1:5" x14ac:dyDescent="0.25">
      <c r="A1667" s="7">
        <v>6.5721314278890499E-3</v>
      </c>
      <c r="B1667"/>
      <c r="C1667"/>
      <c r="D1667"/>
      <c r="E1667" s="1"/>
    </row>
    <row r="1668" spans="1:5" x14ac:dyDescent="0.25">
      <c r="A1668" s="7">
        <v>6.5070608196921287E-3</v>
      </c>
      <c r="B1668"/>
      <c r="C1668"/>
      <c r="D1668"/>
      <c r="E1668" s="1"/>
    </row>
    <row r="1669" spans="1:5" x14ac:dyDescent="0.25">
      <c r="A1669" s="7">
        <v>6.4426344749427015E-3</v>
      </c>
      <c r="B1669"/>
      <c r="C1669"/>
      <c r="D1669"/>
      <c r="E1669" s="1"/>
    </row>
    <row r="1670" spans="1:5" x14ac:dyDescent="0.25">
      <c r="A1670" s="7">
        <v>6.3788460147947536E-3</v>
      </c>
      <c r="B1670"/>
      <c r="C1670"/>
      <c r="D1670"/>
      <c r="E1670" s="1"/>
    </row>
    <row r="1671" spans="1:5" x14ac:dyDescent="0.25">
      <c r="A1671" s="7">
        <v>6.3156891235591622E-3</v>
      </c>
      <c r="B1671"/>
      <c r="C1671"/>
      <c r="D1671"/>
      <c r="E1671" s="1"/>
    </row>
    <row r="1672" spans="1:5" x14ac:dyDescent="0.25">
      <c r="A1672" s="7">
        <v>6.2531575480783783E-3</v>
      </c>
      <c r="B1672"/>
      <c r="C1672"/>
      <c r="D1672"/>
      <c r="E1672" s="1"/>
    </row>
    <row r="1673" spans="1:5" x14ac:dyDescent="0.25">
      <c r="A1673" s="7">
        <v>6.1912450971073054E-3</v>
      </c>
      <c r="B1673"/>
      <c r="C1673"/>
      <c r="D1673"/>
      <c r="E1673" s="1"/>
    </row>
    <row r="1674" spans="1:5" x14ac:dyDescent="0.25">
      <c r="A1674" s="7">
        <v>6.1299456407003022E-3</v>
      </c>
      <c r="B1674"/>
      <c r="C1674"/>
      <c r="D1674"/>
      <c r="E1674" s="1"/>
    </row>
    <row r="1675" spans="1:5" x14ac:dyDescent="0.25">
      <c r="A1675" s="7">
        <v>6.0692531096042598E-3</v>
      </c>
      <c r="B1675"/>
      <c r="C1675"/>
      <c r="D1675"/>
      <c r="E1675" s="1"/>
    </row>
    <row r="1676" spans="1:5" x14ac:dyDescent="0.25">
      <c r="A1676" s="7">
        <v>6.0091614946576827E-3</v>
      </c>
      <c r="B1676"/>
      <c r="C1676"/>
      <c r="D1676"/>
      <c r="E1676" s="1"/>
    </row>
    <row r="1677" spans="1:5" x14ac:dyDescent="0.25">
      <c r="A1677" s="7">
        <v>5.9496648461957258E-3</v>
      </c>
      <c r="B1677"/>
      <c r="C1677"/>
      <c r="D1677"/>
      <c r="E1677" s="1"/>
    </row>
    <row r="1678" spans="1:5" x14ac:dyDescent="0.25">
      <c r="A1678" s="7">
        <v>5.8907572734611148E-3</v>
      </c>
      <c r="B1678"/>
      <c r="C1678"/>
      <c r="D1678"/>
      <c r="E1678" s="1"/>
    </row>
    <row r="1679" spans="1:5" x14ac:dyDescent="0.25">
      <c r="A1679" s="7">
        <v>5.832432944020906E-3</v>
      </c>
      <c r="B1679"/>
      <c r="C1679"/>
      <c r="D1679"/>
      <c r="E1679" s="1"/>
    </row>
    <row r="1680" spans="1:5" x14ac:dyDescent="0.25">
      <c r="A1680" s="7">
        <v>5.7746860831890158E-3</v>
      </c>
      <c r="B1680"/>
      <c r="C1680"/>
      <c r="D1680"/>
      <c r="E1680" s="1"/>
    </row>
    <row r="1681" spans="1:5" x14ac:dyDescent="0.25">
      <c r="A1681" s="7">
        <v>5.717510973454471E-3</v>
      </c>
      <c r="B1681"/>
      <c r="C1681"/>
      <c r="D1681"/>
      <c r="E1681" s="1"/>
    </row>
    <row r="1682" spans="1:5" x14ac:dyDescent="0.25">
      <c r="A1682" s="7">
        <v>5.6609019539153177E-3</v>
      </c>
      <c r="B1682"/>
      <c r="C1682"/>
      <c r="D1682"/>
      <c r="E1682" s="1"/>
    </row>
    <row r="1683" spans="1:5" x14ac:dyDescent="0.25">
      <c r="A1683" s="7">
        <v>5.604853419718136E-3</v>
      </c>
      <c r="B1683"/>
      <c r="C1683"/>
      <c r="D1683"/>
      <c r="E1683" s="1"/>
    </row>
    <row r="1684" spans="1:5" x14ac:dyDescent="0.25">
      <c r="A1684" s="7">
        <v>5.5493598215031054E-3</v>
      </c>
      <c r="B1684"/>
      <c r="C1684"/>
      <c r="D1684"/>
      <c r="E1684" s="1"/>
    </row>
    <row r="1685" spans="1:5" x14ac:dyDescent="0.25">
      <c r="A1685" s="7">
        <v>5.4944156648545593E-3</v>
      </c>
      <c r="B1685"/>
      <c r="C1685"/>
      <c r="D1685"/>
      <c r="E1685" s="1"/>
    </row>
    <row r="1686" spans="1:5" x14ac:dyDescent="0.25">
      <c r="A1686" s="7">
        <v>5.4400155097569895E-3</v>
      </c>
      <c r="B1686"/>
      <c r="C1686"/>
      <c r="D1686"/>
      <c r="E1686" s="1"/>
    </row>
    <row r="1687" spans="1:5" x14ac:dyDescent="0.25">
      <c r="A1687" s="7">
        <v>5.3861539700564252E-3</v>
      </c>
      <c r="B1687"/>
      <c r="C1687"/>
      <c r="D1687"/>
      <c r="E1687" s="1"/>
    </row>
    <row r="1688" spans="1:5" x14ac:dyDescent="0.25">
      <c r="A1688" s="7">
        <v>5.3328257129271533E-3</v>
      </c>
      <c r="B1688"/>
      <c r="C1688"/>
      <c r="D1688"/>
      <c r="E1688" s="1"/>
    </row>
    <row r="1689" spans="1:5" x14ac:dyDescent="0.25">
      <c r="A1689" s="7">
        <v>5.2800254583437161E-3</v>
      </c>
      <c r="B1689"/>
      <c r="C1689"/>
      <c r="D1689"/>
      <c r="E1689" s="1"/>
    </row>
    <row r="1690" spans="1:5" x14ac:dyDescent="0.25">
      <c r="A1690" s="7">
        <v>5.2277479785581343E-3</v>
      </c>
      <c r="B1690"/>
      <c r="C1690"/>
      <c r="D1690"/>
      <c r="E1690" s="1"/>
    </row>
    <row r="1691" spans="1:5" x14ac:dyDescent="0.25">
      <c r="A1691" s="7">
        <v>5.1759880975823114E-3</v>
      </c>
      <c r="B1691"/>
      <c r="C1691"/>
      <c r="D1691"/>
      <c r="E1691" s="1"/>
    </row>
    <row r="1692" spans="1:5" x14ac:dyDescent="0.25">
      <c r="A1692" s="7">
        <v>5.1247406906755558E-3</v>
      </c>
      <c r="B1692"/>
      <c r="C1692"/>
      <c r="D1692"/>
      <c r="E1692" s="1"/>
    </row>
    <row r="1693" spans="1:5" x14ac:dyDescent="0.25">
      <c r="A1693" s="7">
        <v>5.0740006838371843E-3</v>
      </c>
      <c r="B1693"/>
      <c r="C1693"/>
      <c r="D1693"/>
      <c r="E1693" s="1"/>
    </row>
    <row r="1694" spans="1:5" x14ac:dyDescent="0.25">
      <c r="A1694" s="7">
        <v>5.0237630533041429E-3</v>
      </c>
      <c r="B1694"/>
      <c r="C1694"/>
      <c r="D1694"/>
      <c r="E1694" s="1"/>
    </row>
    <row r="1695" spans="1:5" x14ac:dyDescent="0.25">
      <c r="A1695" s="7">
        <v>4.9740228250536068E-3</v>
      </c>
      <c r="B1695"/>
      <c r="C1695"/>
      <c r="D1695"/>
      <c r="E1695" s="1"/>
    </row>
    <row r="1696" spans="1:5" x14ac:dyDescent="0.25">
      <c r="A1696" s="7">
        <v>4.9247750743105015E-3</v>
      </c>
      <c r="B1696"/>
      <c r="C1696"/>
      <c r="D1696"/>
      <c r="E1696" s="1"/>
    </row>
    <row r="1697" spans="1:5" x14ac:dyDescent="0.25">
      <c r="A1697" s="7">
        <v>4.8760149250599025E-3</v>
      </c>
      <c r="B1697"/>
      <c r="C1697"/>
      <c r="D1697"/>
      <c r="E1697" s="1"/>
    </row>
    <row r="1698" spans="1:5" x14ac:dyDescent="0.25">
      <c r="A1698" s="7">
        <v>4.8277375495642599E-3</v>
      </c>
      <c r="B1698"/>
      <c r="C1698"/>
      <c r="D1698"/>
      <c r="E1698" s="1"/>
    </row>
    <row r="1699" spans="1:5" x14ac:dyDescent="0.25">
      <c r="A1699" s="7">
        <v>4.7799381678854062E-3</v>
      </c>
      <c r="B1699"/>
      <c r="C1699"/>
      <c r="D1699"/>
      <c r="E1699" s="1"/>
    </row>
    <row r="1700" spans="1:5" x14ac:dyDescent="0.25">
      <c r="A1700" s="7">
        <v>4.7326120474112934E-3</v>
      </c>
      <c r="B1700"/>
      <c r="C1700"/>
      <c r="D1700"/>
      <c r="E1700" s="1"/>
    </row>
    <row r="1701" spans="1:5" x14ac:dyDescent="0.25">
      <c r="A1701" s="7">
        <v>4.6857545023874193E-3</v>
      </c>
      <c r="B1701"/>
      <c r="C1701"/>
      <c r="D1701"/>
      <c r="E1701" s="1"/>
    </row>
    <row r="1702" spans="1:5" x14ac:dyDescent="0.25">
      <c r="A1702" s="7">
        <v>4.6393608934528902E-3</v>
      </c>
      <c r="B1702"/>
      <c r="C1702"/>
      <c r="D1702"/>
      <c r="E1702" s="1"/>
    </row>
    <row r="1703" spans="1:5" x14ac:dyDescent="0.25">
      <c r="A1703" s="7">
        <v>4.5934266271810791E-3</v>
      </c>
      <c r="B1703"/>
      <c r="C1703"/>
      <c r="D1703"/>
      <c r="E1703" s="1"/>
    </row>
    <row r="1704" spans="1:5" x14ac:dyDescent="0.25">
      <c r="A1704" s="7">
        <v>4.5479471556248308E-3</v>
      </c>
      <c r="B1704"/>
      <c r="C1704"/>
      <c r="D1704"/>
      <c r="E1704" s="1"/>
    </row>
    <row r="1705" spans="1:5" x14ac:dyDescent="0.25">
      <c r="A1705" s="7">
        <v>4.5029179758661695E-3</v>
      </c>
      <c r="B1705"/>
      <c r="C1705"/>
      <c r="D1705"/>
      <c r="E1705" s="1"/>
    </row>
    <row r="1706" spans="1:5" x14ac:dyDescent="0.25">
      <c r="A1706" s="7">
        <v>4.4583346295704648E-3</v>
      </c>
      <c r="B1706"/>
      <c r="C1706"/>
      <c r="D1706"/>
      <c r="E1706" s="1"/>
    </row>
    <row r="1707" spans="1:5" x14ac:dyDescent="0.25">
      <c r="A1707" s="7">
        <v>4.4141927025450143E-3</v>
      </c>
      <c r="B1707"/>
      <c r="C1707"/>
      <c r="D1707"/>
      <c r="E1707" s="1"/>
    </row>
    <row r="1708" spans="1:5" x14ac:dyDescent="0.25">
      <c r="A1708" s="7">
        <v>4.370487824301994E-3</v>
      </c>
      <c r="B1708"/>
      <c r="C1708"/>
      <c r="D1708"/>
      <c r="E1708" s="1"/>
    </row>
    <row r="1709" spans="1:5" x14ac:dyDescent="0.25">
      <c r="A1709" s="7">
        <v>4.3272156676257365E-3</v>
      </c>
      <c r="B1709"/>
      <c r="C1709"/>
      <c r="D1709"/>
      <c r="E1709" s="1"/>
    </row>
    <row r="1710" spans="1:5" x14ac:dyDescent="0.25">
      <c r="A1710" s="7">
        <v>4.2843719481442935E-3</v>
      </c>
      <c r="B1710"/>
      <c r="C1710"/>
      <c r="D1710"/>
      <c r="E1710" s="1"/>
    </row>
    <row r="1711" spans="1:5" x14ac:dyDescent="0.25">
      <c r="A1711" s="7">
        <v>4.241952423905241E-3</v>
      </c>
      <c r="B1711"/>
      <c r="C1711"/>
      <c r="D1711"/>
      <c r="E1711" s="1"/>
    </row>
    <row r="1712" spans="1:5" x14ac:dyDescent="0.25">
      <c r="A1712" s="7">
        <v>4.1999528949556841E-3</v>
      </c>
      <c r="B1712"/>
      <c r="C1712"/>
      <c r="D1712"/>
      <c r="E1712" s="1"/>
    </row>
    <row r="1713" spans="1:5" x14ac:dyDescent="0.25">
      <c r="A1713" s="7">
        <v>4.1583692029264199E-3</v>
      </c>
      <c r="B1713"/>
      <c r="C1713"/>
      <c r="D1713"/>
      <c r="E1713" s="1"/>
    </row>
    <row r="1714" spans="1:5" x14ac:dyDescent="0.25">
      <c r="A1714" s="7">
        <v>4.1171972306202178E-3</v>
      </c>
      <c r="B1714"/>
      <c r="C1714"/>
      <c r="D1714"/>
      <c r="E1714" s="1"/>
    </row>
    <row r="1715" spans="1:5" x14ac:dyDescent="0.25">
      <c r="A1715" s="7">
        <v>4.0764329016041764E-3</v>
      </c>
      <c r="B1715"/>
      <c r="C1715"/>
      <c r="D1715"/>
      <c r="E1715" s="1"/>
    </row>
    <row r="1716" spans="1:5" x14ac:dyDescent="0.25">
      <c r="A1716" s="7">
        <v>4.0360721798061152E-3</v>
      </c>
      <c r="B1716"/>
      <c r="C1716"/>
      <c r="D1716"/>
      <c r="E1716" s="1"/>
    </row>
    <row r="1717" spans="1:5" x14ac:dyDescent="0.25">
      <c r="A1717" s="7">
        <v>3.9961110691149656E-3</v>
      </c>
      <c r="B1717"/>
      <c r="C1717"/>
      <c r="D1717"/>
      <c r="E1717" s="1"/>
    </row>
    <row r="1718" spans="1:5" x14ac:dyDescent="0.25">
      <c r="A1718" s="7">
        <v>3.9565456129851146E-3</v>
      </c>
      <c r="B1718"/>
      <c r="C1718"/>
      <c r="D1718"/>
      <c r="E1718" s="1"/>
    </row>
    <row r="1719" spans="1:5" x14ac:dyDescent="0.25">
      <c r="A1719" s="7">
        <v>3.9173718940446675E-3</v>
      </c>
      <c r="B1719"/>
      <c r="C1719"/>
      <c r="D1719"/>
      <c r="E1719" s="1"/>
    </row>
    <row r="1720" spans="1:5" x14ac:dyDescent="0.25">
      <c r="A1720" s="7">
        <v>3.8785860337075917E-3</v>
      </c>
      <c r="B1720"/>
      <c r="C1720"/>
      <c r="D1720"/>
      <c r="E1720" s="1"/>
    </row>
    <row r="1721" spans="1:5" x14ac:dyDescent="0.25">
      <c r="A1721" s="7">
        <v>3.8401841917896948E-3</v>
      </c>
      <c r="B1721"/>
      <c r="C1721"/>
      <c r="D1721"/>
      <c r="E1721" s="1"/>
    </row>
    <row r="1722" spans="1:5" x14ac:dyDescent="0.25">
      <c r="A1722" s="7">
        <v>3.8021625661284106E-3</v>
      </c>
      <c r="B1722"/>
      <c r="C1722"/>
      <c r="D1722"/>
      <c r="E1722" s="1"/>
    </row>
    <row r="1723" spans="1:5" x14ac:dyDescent="0.25">
      <c r="A1723" s="7">
        <v>3.764517392206347E-3</v>
      </c>
      <c r="B1723"/>
      <c r="C1723"/>
      <c r="D1723"/>
      <c r="E1723" s="1"/>
    </row>
    <row r="1724" spans="1:5" x14ac:dyDescent="0.25">
      <c r="A1724" s="7">
        <v>3.7272449427785616E-3</v>
      </c>
      <c r="B1724"/>
      <c r="C1724"/>
      <c r="D1724"/>
      <c r="E1724" s="1"/>
    </row>
    <row r="1725" spans="1:5" x14ac:dyDescent="0.25">
      <c r="A1725" s="7">
        <v>3.6903415275035263E-3</v>
      </c>
      <c r="B1725"/>
      <c r="C1725"/>
      <c r="D1725"/>
      <c r="E1725" s="1"/>
    </row>
    <row r="1726" spans="1:5" x14ac:dyDescent="0.25">
      <c r="A1726" s="7">
        <v>3.6538034925777487E-3</v>
      </c>
      <c r="B1726"/>
      <c r="C1726"/>
      <c r="D1726"/>
      <c r="E1726" s="1"/>
    </row>
    <row r="1727" spans="1:5" x14ac:dyDescent="0.25">
      <c r="A1727" s="7">
        <v>3.6176272203740085E-3</v>
      </c>
      <c r="B1727"/>
      <c r="C1727"/>
      <c r="D1727"/>
      <c r="E1727" s="1"/>
    </row>
    <row r="1728" spans="1:5" x14ac:dyDescent="0.25">
      <c r="A1728" s="7">
        <v>3.5818091290831769E-3</v>
      </c>
      <c r="B1728"/>
      <c r="C1728"/>
      <c r="D1728"/>
      <c r="E1728" s="1"/>
    </row>
    <row r="1729" spans="1:5" x14ac:dyDescent="0.25">
      <c r="A1729" s="7">
        <v>3.546345672359581E-3</v>
      </c>
      <c r="B1729"/>
      <c r="C1729"/>
      <c r="D1729"/>
      <c r="E1729" s="1"/>
    </row>
    <row r="1730" spans="1:5" x14ac:dyDescent="0.25">
      <c r="A1730" s="7">
        <v>3.511233338969882E-3</v>
      </c>
      <c r="B1730"/>
      <c r="C1730"/>
      <c r="D1730"/>
      <c r="E1730" s="1"/>
    </row>
    <row r="1731" spans="1:5" x14ac:dyDescent="0.25">
      <c r="A1731" s="7">
        <v>3.4764686524454279E-3</v>
      </c>
      <c r="B1731"/>
      <c r="C1731"/>
      <c r="D1731"/>
      <c r="E1731" s="1"/>
    </row>
    <row r="1732" spans="1:5" x14ac:dyDescent="0.25">
      <c r="A1732" s="7">
        <v>3.4420481707380475E-3</v>
      </c>
      <c r="B1732"/>
      <c r="C1732"/>
      <c r="D1732"/>
      <c r="E1732" s="1"/>
    </row>
    <row r="1733" spans="1:5" x14ac:dyDescent="0.25">
      <c r="A1733" s="7">
        <v>3.4079684858792547E-3</v>
      </c>
      <c r="B1733"/>
      <c r="C1733"/>
      <c r="D1733"/>
      <c r="E1733" s="1"/>
    </row>
    <row r="1734" spans="1:5" x14ac:dyDescent="0.25">
      <c r="A1734" s="7">
        <v>3.3742262236428266E-3</v>
      </c>
      <c r="B1734"/>
      <c r="C1734"/>
      <c r="D1734"/>
      <c r="E1734" s="1"/>
    </row>
    <row r="1735" spans="1:5" x14ac:dyDescent="0.25">
      <c r="A1735" s="7">
        <v>3.3408180432107195E-3</v>
      </c>
      <c r="B1735"/>
      <c r="C1735"/>
      <c r="D1735"/>
      <c r="E1735" s="1"/>
    </row>
    <row r="1736" spans="1:5" x14ac:dyDescent="0.25">
      <c r="A1736" s="7">
        <v>3.3077406368422963E-3</v>
      </c>
      <c r="B1736"/>
      <c r="C1736"/>
      <c r="D1736"/>
      <c r="E1736" s="1"/>
    </row>
    <row r="1737" spans="1:5" x14ac:dyDescent="0.25">
      <c r="A1737" s="7">
        <v>3.2749907295468281E-3</v>
      </c>
      <c r="B1737"/>
      <c r="C1737"/>
      <c r="D1737"/>
      <c r="E1737" s="1"/>
    </row>
    <row r="1738" spans="1:5" x14ac:dyDescent="0.25">
      <c r="A1738" s="7">
        <v>3.2425650787592359E-3</v>
      </c>
      <c r="B1738"/>
      <c r="C1738"/>
      <c r="D1738"/>
      <c r="E1738" s="1"/>
    </row>
    <row r="1739" spans="1:5" x14ac:dyDescent="0.25">
      <c r="A1739" s="7">
        <v>3.2104604740190454E-3</v>
      </c>
      <c r="B1739"/>
      <c r="C1739"/>
      <c r="D1739"/>
      <c r="E1739" s="1"/>
    </row>
    <row r="1740" spans="1:5" x14ac:dyDescent="0.25">
      <c r="A1740" s="7">
        <v>3.1786737366525201E-3</v>
      </c>
      <c r="B1740"/>
      <c r="C1740"/>
      <c r="D1740"/>
      <c r="E1740" s="1"/>
    </row>
    <row r="1741" spans="1:5" x14ac:dyDescent="0.25">
      <c r="A1741" s="7">
        <v>3.1472017194579408E-3</v>
      </c>
      <c r="B1741"/>
      <c r="C1741"/>
      <c r="D1741"/>
      <c r="E1741" s="1"/>
    </row>
    <row r="1742" spans="1:5" x14ac:dyDescent="0.25">
      <c r="A1742" s="7">
        <v>3.1160413063940008E-3</v>
      </c>
      <c r="B1742"/>
      <c r="C1742"/>
      <c r="D1742"/>
      <c r="E1742" s="1"/>
    </row>
    <row r="1743" spans="1:5" x14ac:dyDescent="0.25">
      <c r="A1743" s="7">
        <v>3.0851894122712878E-3</v>
      </c>
      <c r="B1743"/>
      <c r="C1743"/>
      <c r="D1743"/>
      <c r="E1743" s="1"/>
    </row>
    <row r="1744" spans="1:5" x14ac:dyDescent="0.25">
      <c r="A1744" s="7">
        <v>3.0546429824468194E-3</v>
      </c>
      <c r="B1744"/>
      <c r="C1744"/>
      <c r="D1744"/>
      <c r="E1744" s="1"/>
    </row>
    <row r="1745" spans="1:5" x14ac:dyDescent="0.25">
      <c r="A1745" s="7">
        <v>3.0243989925216033E-3</v>
      </c>
      <c r="B1745"/>
      <c r="C1745"/>
      <c r="D1745"/>
      <c r="E1745" s="1"/>
    </row>
    <row r="1746" spans="1:5" x14ac:dyDescent="0.25">
      <c r="A1746" s="7">
        <v>2.9944544480411915E-3</v>
      </c>
      <c r="B1746"/>
      <c r="C1746"/>
      <c r="D1746"/>
      <c r="E1746" s="1"/>
    </row>
    <row r="1747" spans="1:5" x14ac:dyDescent="0.25">
      <c r="A1747" s="7">
        <v>2.9648063841991993E-3</v>
      </c>
      <c r="B1747"/>
      <c r="C1747"/>
      <c r="D1747"/>
      <c r="E1747" s="1"/>
    </row>
    <row r="1748" spans="1:5" x14ac:dyDescent="0.25">
      <c r="A1748" s="7">
        <v>2.9354518655437616E-3</v>
      </c>
      <c r="B1748"/>
      <c r="C1748"/>
      <c r="D1748"/>
      <c r="E1748" s="1"/>
    </row>
    <row r="1749" spans="1:5" x14ac:dyDescent="0.25">
      <c r="A1749" s="7">
        <v>2.9063879856868926E-3</v>
      </c>
      <c r="B1749"/>
      <c r="C1749"/>
      <c r="D1749"/>
      <c r="E1749" s="1"/>
    </row>
    <row r="1750" spans="1:5" x14ac:dyDescent="0.25">
      <c r="A1750" s="7">
        <v>2.8776118670167253E-3</v>
      </c>
      <c r="B1750"/>
      <c r="C1750"/>
      <c r="D1750"/>
      <c r="E1750" s="1"/>
    </row>
    <row r="1751" spans="1:5" x14ac:dyDescent="0.25">
      <c r="A1751" s="7">
        <v>2.8491206604125993E-3</v>
      </c>
      <c r="B1751"/>
      <c r="C1751"/>
      <c r="D1751"/>
      <c r="E1751" s="1"/>
    </row>
    <row r="1752" spans="1:5" x14ac:dyDescent="0.25">
      <c r="A1752" s="7">
        <v>2.8209115449629694E-3</v>
      </c>
      <c r="B1752"/>
      <c r="C1752"/>
      <c r="D1752"/>
      <c r="E1752" s="1"/>
    </row>
    <row r="1753" spans="1:5" x14ac:dyDescent="0.25">
      <c r="A1753" s="7">
        <v>2.7929817276861084E-3</v>
      </c>
      <c r="B1753"/>
      <c r="C1753"/>
      <c r="D1753"/>
      <c r="E1753" s="1"/>
    </row>
    <row r="1754" spans="1:5" x14ac:dyDescent="0.25">
      <c r="A1754" s="7">
        <v>2.7653284432535728E-3</v>
      </c>
      <c r="B1754"/>
      <c r="C1754"/>
      <c r="D1754"/>
      <c r="E1754" s="1"/>
    </row>
    <row r="1755" spans="1:5" x14ac:dyDescent="0.25">
      <c r="A1755" s="7">
        <v>2.7379489537164088E-3</v>
      </c>
      <c r="B1755"/>
      <c r="C1755"/>
      <c r="D1755"/>
      <c r="E1755" s="1"/>
    </row>
    <row r="1756" spans="1:5" x14ac:dyDescent="0.25">
      <c r="A1756" s="7">
        <v>2.7108405482340683E-3</v>
      </c>
      <c r="B1756"/>
      <c r="C1756"/>
      <c r="D1756"/>
      <c r="E1756" s="1"/>
    </row>
    <row r="1757" spans="1:5" x14ac:dyDescent="0.25">
      <c r="A1757" s="7">
        <v>2.6840005428060082E-3</v>
      </c>
      <c r="B1757"/>
      <c r="C1757"/>
      <c r="D1757"/>
      <c r="E1757" s="1"/>
    </row>
    <row r="1758" spans="1:5" x14ac:dyDescent="0.25">
      <c r="A1758" s="7">
        <v>2.6574262800059486E-3</v>
      </c>
      <c r="B1758"/>
      <c r="C1758"/>
      <c r="D1758"/>
      <c r="E1758" s="1"/>
    </row>
    <row r="1759" spans="1:5" x14ac:dyDescent="0.25">
      <c r="A1759" s="7">
        <v>2.6311151287187612E-3</v>
      </c>
      <c r="B1759"/>
      <c r="C1759"/>
      <c r="D1759"/>
      <c r="E1759" s="1"/>
    </row>
    <row r="1760" spans="1:5" x14ac:dyDescent="0.25">
      <c r="A1760" s="7">
        <v>2.6050644838799615E-3</v>
      </c>
      <c r="B1760"/>
      <c r="C1760"/>
      <c r="D1760"/>
      <c r="E1760" s="1"/>
    </row>
    <row r="1761" spans="1:5" x14ac:dyDescent="0.25">
      <c r="A1761" s="7">
        <v>2.5792717662177838E-3</v>
      </c>
      <c r="B1761"/>
      <c r="C1761"/>
      <c r="D1761"/>
      <c r="E1761" s="1"/>
    </row>
    <row r="1762" spans="1:5" x14ac:dyDescent="0.25">
      <c r="A1762" s="7">
        <v>2.5537344219978058E-3</v>
      </c>
      <c r="B1762"/>
      <c r="C1762"/>
      <c r="D1762"/>
      <c r="E1762" s="1"/>
    </row>
    <row r="1763" spans="1:5" x14ac:dyDescent="0.25">
      <c r="A1763" s="7">
        <v>2.5284499227701046E-3</v>
      </c>
      <c r="B1763"/>
      <c r="C1763"/>
      <c r="D1763"/>
      <c r="E1763" s="1"/>
    </row>
    <row r="1764" spans="1:5" x14ac:dyDescent="0.25">
      <c r="A1764" s="7">
        <v>2.5034157651189154E-3</v>
      </c>
      <c r="B1764"/>
      <c r="C1764"/>
      <c r="D1764"/>
      <c r="E1764" s="1"/>
    </row>
    <row r="1765" spans="1:5" x14ac:dyDescent="0.25">
      <c r="A1765" s="7">
        <v>2.4786294704147679E-3</v>
      </c>
      <c r="B1765"/>
      <c r="C1765"/>
      <c r="D1765"/>
      <c r="E1765" s="1"/>
    </row>
    <row r="1766" spans="1:5" x14ac:dyDescent="0.25">
      <c r="A1766" s="7">
        <v>2.4540885845690773E-3</v>
      </c>
      <c r="B1766"/>
      <c r="C1766"/>
      <c r="D1766"/>
      <c r="E1766" s="1"/>
    </row>
    <row r="1767" spans="1:5" x14ac:dyDescent="0.25">
      <c r="A1767" s="7">
        <v>2.4297906777911655E-3</v>
      </c>
      <c r="B1767"/>
      <c r="C1767"/>
      <c r="D1767"/>
      <c r="E1767" s="1"/>
    </row>
    <row r="1768" spans="1:5" x14ac:dyDescent="0.25">
      <c r="A1768" s="7">
        <v>2.4057333443476886E-3</v>
      </c>
      <c r="B1768"/>
      <c r="C1768"/>
      <c r="D1768"/>
      <c r="E1768" s="1"/>
    </row>
    <row r="1769" spans="1:5" x14ac:dyDescent="0.25">
      <c r="A1769" s="7">
        <v>2.3819142023244443E-3</v>
      </c>
      <c r="B1769"/>
      <c r="C1769"/>
      <c r="D1769"/>
      <c r="E1769" s="1"/>
    </row>
    <row r="1770" spans="1:5" x14ac:dyDescent="0.25">
      <c r="A1770" s="7">
        <v>2.3583308933905387E-3</v>
      </c>
      <c r="B1770"/>
      <c r="C1770"/>
      <c r="D1770"/>
      <c r="E1770" s="1"/>
    </row>
    <row r="1771" spans="1:5" x14ac:dyDescent="0.25">
      <c r="A1771" s="7">
        <v>2.3349810825648897E-3</v>
      </c>
      <c r="B1771"/>
      <c r="C1771"/>
      <c r="D1771"/>
      <c r="E1771" s="1"/>
    </row>
    <row r="1772" spans="1:5" x14ac:dyDescent="0.25">
      <c r="A1772" s="7">
        <v>2.3118624579850392E-3</v>
      </c>
      <c r="B1772"/>
      <c r="C1772"/>
      <c r="D1772"/>
      <c r="E1772" s="1"/>
    </row>
    <row r="1773" spans="1:5" x14ac:dyDescent="0.25">
      <c r="A1773" s="7">
        <v>2.2889727306782568E-3</v>
      </c>
      <c r="B1773"/>
      <c r="C1773"/>
      <c r="D1773"/>
      <c r="E1773" s="1"/>
    </row>
    <row r="1774" spans="1:5" x14ac:dyDescent="0.25">
      <c r="A1774" s="7">
        <v>2.2663096343349077E-3</v>
      </c>
      <c r="B1774"/>
      <c r="C1774"/>
      <c r="D1774"/>
      <c r="E1774" s="1"/>
    </row>
    <row r="1775" spans="1:5" x14ac:dyDescent="0.25">
      <c r="A1775" s="7">
        <v>2.2438709250840669E-3</v>
      </c>
      <c r="B1775"/>
      <c r="C1775"/>
      <c r="D1775"/>
      <c r="E1775" s="1"/>
    </row>
    <row r="1776" spans="1:5" x14ac:dyDescent="0.25">
      <c r="A1776" s="7">
        <v>2.2216543812713535E-3</v>
      </c>
      <c r="B1776"/>
      <c r="C1776"/>
      <c r="D1776"/>
      <c r="E1776" s="1"/>
    </row>
    <row r="1777" spans="1:5" x14ac:dyDescent="0.25">
      <c r="A1777" s="7">
        <v>2.1996578032389639E-3</v>
      </c>
      <c r="B1777"/>
      <c r="C1777"/>
      <c r="D1777"/>
      <c r="E1777" s="1"/>
    </row>
    <row r="1778" spans="1:5" x14ac:dyDescent="0.25">
      <c r="A1778" s="7">
        <v>2.1778790131078852E-3</v>
      </c>
      <c r="B1778"/>
      <c r="C1778"/>
      <c r="D1778"/>
      <c r="E1778" s="1"/>
    </row>
    <row r="1779" spans="1:5" x14ac:dyDescent="0.25">
      <c r="A1779" s="7">
        <v>2.1563158545622628E-3</v>
      </c>
      <c r="B1779"/>
      <c r="C1779"/>
      <c r="D1779"/>
      <c r="E1779" s="1"/>
    </row>
    <row r="1780" spans="1:5" x14ac:dyDescent="0.25">
      <c r="A1780" s="7">
        <v>2.1349661926359036E-3</v>
      </c>
      <c r="B1780"/>
      <c r="C1780"/>
      <c r="D1780"/>
      <c r="E1780" s="1"/>
    </row>
    <row r="1781" spans="1:5" x14ac:dyDescent="0.25">
      <c r="A1781" s="7">
        <v>2.1138279135008947E-3</v>
      </c>
      <c r="B1781"/>
      <c r="C1781"/>
      <c r="D1781"/>
      <c r="E1781" s="1"/>
    </row>
    <row r="1782" spans="1:5" x14ac:dyDescent="0.25">
      <c r="A1782" s="7">
        <v>2.0928989242583115E-3</v>
      </c>
      <c r="B1782"/>
      <c r="C1782"/>
      <c r="D1782"/>
      <c r="E1782" s="1"/>
    </row>
    <row r="1783" spans="1:5" x14ac:dyDescent="0.25">
      <c r="A1783" s="7">
        <v>2.0721771527310016E-3</v>
      </c>
      <c r="B1783"/>
      <c r="C1783"/>
      <c r="D1783"/>
      <c r="E1783" s="1"/>
    </row>
    <row r="1784" spans="1:5" x14ac:dyDescent="0.25">
      <c r="A1784" s="7">
        <v>2.0516605472584173E-3</v>
      </c>
      <c r="B1784"/>
      <c r="C1784"/>
      <c r="D1784"/>
      <c r="E1784" s="1"/>
    </row>
    <row r="1785" spans="1:5" x14ac:dyDescent="0.25">
      <c r="A1785" s="7">
        <v>2.0313470764934823E-3</v>
      </c>
      <c r="B1785"/>
      <c r="C1785"/>
      <c r="D1785"/>
      <c r="E1785" s="1"/>
    </row>
    <row r="1786" spans="1:5" x14ac:dyDescent="0.25">
      <c r="A1786" s="7">
        <v>2.0112347292014676E-3</v>
      </c>
      <c r="B1786"/>
      <c r="C1786"/>
      <c r="D1786"/>
      <c r="E1786" s="1"/>
    </row>
    <row r="1787" spans="1:5" x14ac:dyDescent="0.25">
      <c r="A1787" s="7">
        <v>1.9913215140608589E-3</v>
      </c>
      <c r="B1787"/>
      <c r="C1787"/>
      <c r="D1787"/>
      <c r="E1787" s="1"/>
    </row>
    <row r="1788" spans="1:5" x14ac:dyDescent="0.25">
      <c r="A1788" s="7">
        <v>1.9716054594661968E-3</v>
      </c>
      <c r="B1788"/>
      <c r="C1788"/>
      <c r="D1788"/>
      <c r="E1788" s="1"/>
    </row>
    <row r="1789" spans="1:5" x14ac:dyDescent="0.25">
      <c r="A1789" s="7">
        <v>1.9520846133328682E-3</v>
      </c>
      <c r="B1789"/>
      <c r="C1789"/>
      <c r="D1789"/>
      <c r="E1789" s="1"/>
    </row>
    <row r="1790" spans="1:5" x14ac:dyDescent="0.25">
      <c r="A1790" s="7">
        <v>1.9327570429038298E-3</v>
      </c>
      <c r="B1790"/>
      <c r="C1790"/>
      <c r="D1790"/>
      <c r="E1790" s="1"/>
    </row>
    <row r="1791" spans="1:5" x14ac:dyDescent="0.25">
      <c r="A1791" s="7">
        <v>1.9136208345582474E-3</v>
      </c>
      <c r="B1791"/>
      <c r="C1791"/>
      <c r="D1791"/>
      <c r="E1791" s="1"/>
    </row>
    <row r="1792" spans="1:5" x14ac:dyDescent="0.25">
      <c r="A1792" s="7">
        <v>1.8946740936220271E-3</v>
      </c>
      <c r="B1792"/>
      <c r="C1792"/>
      <c r="D1792"/>
      <c r="E1792" s="1"/>
    </row>
    <row r="1793" spans="1:5" x14ac:dyDescent="0.25">
      <c r="A1793" s="7">
        <v>1.8759149441802249E-3</v>
      </c>
      <c r="B1793"/>
      <c r="C1793"/>
      <c r="D1793"/>
      <c r="E1793" s="1"/>
    </row>
    <row r="1794" spans="1:5" x14ac:dyDescent="0.25">
      <c r="A1794" s="7">
        <v>1.8573415288913118E-3</v>
      </c>
      <c r="B1794"/>
      <c r="C1794"/>
      <c r="D1794"/>
      <c r="E1794" s="1"/>
    </row>
    <row r="1795" spans="1:5" x14ac:dyDescent="0.25">
      <c r="A1795" s="7">
        <v>1.8389520088032791E-3</v>
      </c>
      <c r="B1795"/>
      <c r="C1795"/>
      <c r="D1795"/>
      <c r="E1795" s="1"/>
    </row>
    <row r="1796" spans="1:5" x14ac:dyDescent="0.25">
      <c r="A1796" s="7">
        <v>1.8207445631715634E-3</v>
      </c>
    </row>
    <row r="1797" spans="1:5" x14ac:dyDescent="0.25">
      <c r="A1797" s="7">
        <v>1.8027173892787756E-3</v>
      </c>
    </row>
    <row r="1798" spans="1:5" x14ac:dyDescent="0.25">
      <c r="A1798" s="7">
        <v>1.7848687022562135E-3</v>
      </c>
    </row>
    <row r="1799" spans="1:5" x14ac:dyDescent="0.25">
      <c r="A1799" s="7">
        <v>1.767196734907142E-3</v>
      </c>
    </row>
    <row r="1800" spans="1:5" x14ac:dyDescent="0.25">
      <c r="A1800" s="7">
        <v>1.7496997375318238E-3</v>
      </c>
    </row>
    <row r="1801" spans="1:5" x14ac:dyDescent="0.25">
      <c r="A1801" s="7">
        <v>1.7323759777542809E-3</v>
      </c>
    </row>
    <row r="1802" spans="1:5" x14ac:dyDescent="0.25">
      <c r="A1802" s="7">
        <v>1.7152237403507732E-3</v>
      </c>
    </row>
    <row r="1803" spans="1:5" x14ac:dyDescent="0.25">
      <c r="A1803" s="7">
        <v>1.6982413270799734E-3</v>
      </c>
    </row>
    <row r="1804" spans="1:5" x14ac:dyDescent="0.25">
      <c r="A1804" s="7">
        <v>1.6814270565148252E-3</v>
      </c>
    </row>
    <row r="1805" spans="1:5" x14ac:dyDescent="0.25">
      <c r="A1805" s="7">
        <v>1.6647792638760646E-3</v>
      </c>
    </row>
    <row r="1806" spans="1:5" x14ac:dyDescent="0.25">
      <c r="A1806" s="7">
        <v>1.6482963008673907E-3</v>
      </c>
    </row>
    <row r="1807" spans="1:5" x14ac:dyDescent="0.25">
      <c r="A1807" s="7">
        <v>1.631976535512268E-3</v>
      </c>
    </row>
    <row r="1808" spans="1:5" x14ac:dyDescent="0.25">
      <c r="A1808" s="7">
        <v>1.6158183519923445E-3</v>
      </c>
    </row>
    <row r="1809" spans="1:1" x14ac:dyDescent="0.25">
      <c r="A1809" s="7">
        <v>1.5998201504874698E-3</v>
      </c>
    </row>
    <row r="1810" spans="1:1" x14ac:dyDescent="0.25">
      <c r="A1810" s="7">
        <v>1.5839803470172969E-3</v>
      </c>
    </row>
    <row r="1811" spans="1:1" x14ac:dyDescent="0.25">
      <c r="A1811" s="7">
        <v>1.5682973732844524E-3</v>
      </c>
    </row>
    <row r="1812" spans="1:1" x14ac:dyDescent="0.25">
      <c r="A1812" s="7">
        <v>1.5527696765192597E-3</v>
      </c>
    </row>
    <row r="1813" spans="1:1" x14ac:dyDescent="0.25">
      <c r="A1813" s="7">
        <v>1.5373957193259998E-3</v>
      </c>
    </row>
    <row r="1814" spans="1:1" x14ac:dyDescent="0.25">
      <c r="A1814" s="7">
        <v>1.5221739795306928E-3</v>
      </c>
    </row>
    <row r="1815" spans="1:1" x14ac:dyDescent="0.25">
      <c r="A1815" s="7">
        <v>1.507102950030389E-3</v>
      </c>
    </row>
    <row r="1816" spans="1:1" x14ac:dyDescent="0.25">
      <c r="A1816" s="7">
        <v>1.4921811386439494E-3</v>
      </c>
    </row>
    <row r="1817" spans="1:1" x14ac:dyDescent="0.25">
      <c r="A1817" s="7">
        <v>1.4774070679643063E-3</v>
      </c>
    </row>
    <row r="1818" spans="1:1" x14ac:dyDescent="0.25">
      <c r="A1818" s="7">
        <v>1.4627792752121844E-3</v>
      </c>
    </row>
    <row r="1819" spans="1:1" x14ac:dyDescent="0.25">
      <c r="A1819" s="7">
        <v>1.4482963120912716E-3</v>
      </c>
    </row>
    <row r="1820" spans="1:1" x14ac:dyDescent="0.25">
      <c r="A1820" s="7">
        <v>1.4339567446448234E-3</v>
      </c>
    </row>
    <row r="1821" spans="1:1" x14ac:dyDescent="0.25">
      <c r="A1821" s="7">
        <v>1.4197591531136865E-3</v>
      </c>
    </row>
    <row r="1822" spans="1:1" x14ac:dyDescent="0.25">
      <c r="A1822" s="7">
        <v>1.4057021317957293E-3</v>
      </c>
    </row>
    <row r="1823" spans="1:1" x14ac:dyDescent="0.25">
      <c r="A1823" s="7">
        <v>1.3917842889066626E-3</v>
      </c>
    </row>
    <row r="1824" spans="1:1" x14ac:dyDescent="0.25">
      <c r="A1824" s="7">
        <v>1.37800424644224E-3</v>
      </c>
    </row>
    <row r="1825" spans="1:1" x14ac:dyDescent="0.25">
      <c r="A1825" s="7">
        <v>1.3643606400418219E-3</v>
      </c>
    </row>
    <row r="1826" spans="1:1" x14ac:dyDescent="0.25">
      <c r="A1826" s="7">
        <v>1.350852118853289E-3</v>
      </c>
    </row>
    <row r="1827" spans="1:1" x14ac:dyDescent="0.25">
      <c r="A1827" s="7">
        <v>1.3374773453992961E-3</v>
      </c>
    </row>
    <row r="1828" spans="1:1" x14ac:dyDescent="0.25">
      <c r="A1828" s="7">
        <v>1.3242349954448475E-3</v>
      </c>
    </row>
    <row r="1829" spans="1:1" x14ac:dyDescent="0.25">
      <c r="A1829" s="7">
        <v>1.3111237578661856E-3</v>
      </c>
    </row>
    <row r="1830" spans="1:1" x14ac:dyDescent="0.25">
      <c r="A1830" s="7">
        <v>1.2981423345209758E-3</v>
      </c>
    </row>
    <row r="1831" spans="1:1" x14ac:dyDescent="0.25">
      <c r="A1831" s="7">
        <v>1.2852894401197779E-3</v>
      </c>
    </row>
    <row r="1832" spans="1:1" x14ac:dyDescent="0.25">
      <c r="A1832" s="7">
        <v>1.2725638020987899E-3</v>
      </c>
    </row>
    <row r="1833" spans="1:1" x14ac:dyDescent="0.25">
      <c r="A1833" s="7">
        <v>1.2599641604938514E-3</v>
      </c>
    </row>
    <row r="1834" spans="1:1" x14ac:dyDescent="0.25">
      <c r="A1834" s="7">
        <v>1.2474892678156944E-3</v>
      </c>
    </row>
    <row r="1835" spans="1:1" x14ac:dyDescent="0.25">
      <c r="A1835" s="7">
        <v>1.2351378889264302E-3</v>
      </c>
    </row>
    <row r="1836" spans="1:1" x14ac:dyDescent="0.25">
      <c r="A1836" s="7">
        <v>1.2229088009172576E-3</v>
      </c>
    </row>
    <row r="1837" spans="1:1" x14ac:dyDescent="0.25">
      <c r="A1837" s="7">
        <v>1.2108007929873838E-3</v>
      </c>
    </row>
    <row r="1838" spans="1:1" x14ac:dyDescent="0.25">
      <c r="A1838" s="7">
        <v>1.1988126663241424E-3</v>
      </c>
    </row>
    <row r="1839" spans="1:1" x14ac:dyDescent="0.25">
      <c r="A1839" s="7">
        <v>1.1869432339842994E-3</v>
      </c>
    </row>
    <row r="1840" spans="1:1" x14ac:dyDescent="0.25">
      <c r="A1840" s="7">
        <v>1.1751913207765339E-3</v>
      </c>
    </row>
    <row r="1841" spans="1:1" x14ac:dyDescent="0.25">
      <c r="A1841" s="7">
        <v>1.1635557631450831E-3</v>
      </c>
    </row>
    <row r="1842" spans="1:1" x14ac:dyDescent="0.25">
      <c r="A1842" s="7">
        <v>1.1520354090545377E-3</v>
      </c>
    </row>
    <row r="1843" spans="1:1" x14ac:dyDescent="0.25">
      <c r="A1843" s="7">
        <v>1.1406291178757799E-3</v>
      </c>
    </row>
    <row r="1844" spans="1:1" x14ac:dyDescent="0.25">
      <c r="A1844" s="7">
        <v>1.1293357602730494E-3</v>
      </c>
    </row>
    <row r="1845" spans="1:1" x14ac:dyDescent="0.25">
      <c r="A1845" s="7">
        <v>1.118154218092128E-3</v>
      </c>
    </row>
    <row r="1846" spans="1:1" x14ac:dyDescent="0.25">
      <c r="A1846" s="7">
        <v>1.1070833842496317E-3</v>
      </c>
    </row>
    <row r="1847" spans="1:1" x14ac:dyDescent="0.25">
      <c r="A1847" s="7">
        <v>1.0961221626233978E-3</v>
      </c>
    </row>
    <row r="1848" spans="1:1" x14ac:dyDescent="0.25">
      <c r="A1848" s="7">
        <v>1.0852694679439581E-3</v>
      </c>
    </row>
    <row r="1849" spans="1:1" x14ac:dyDescent="0.25">
      <c r="A1849" s="7">
        <v>1.0745242256870872E-3</v>
      </c>
    </row>
    <row r="1850" spans="1:1" x14ac:dyDescent="0.25">
      <c r="A1850" s="7">
        <v>1.0638853719674131E-3</v>
      </c>
    </row>
    <row r="1851" spans="1:1" x14ac:dyDescent="0.25">
      <c r="A1851" s="7">
        <v>1.0533518534330823E-3</v>
      </c>
    </row>
    <row r="1852" spans="1:1" x14ac:dyDescent="0.25">
      <c r="A1852" s="7">
        <v>1.0429226271614677E-3</v>
      </c>
    </row>
    <row r="1853" spans="1:1" x14ac:dyDescent="0.25">
      <c r="A1853" s="7">
        <v>1.0325966605559086E-3</v>
      </c>
    </row>
    <row r="1854" spans="1:1" x14ac:dyDescent="0.25">
      <c r="A1854" s="7">
        <v>1.0223729312434737E-3</v>
      </c>
    </row>
    <row r="1855" spans="1:1" x14ac:dyDescent="0.25">
      <c r="A1855" s="7">
        <v>1.0122504269737364E-3</v>
      </c>
    </row>
    <row r="1856" spans="1:1" x14ac:dyDescent="0.25">
      <c r="A1856" s="7">
        <v>1.002228145518551E-3</v>
      </c>
    </row>
    <row r="1857" spans="1:1" x14ac:dyDescent="0.25">
      <c r="A1857" s="7">
        <v>9.9230509457282263E-4</v>
      </c>
    </row>
    <row r="1858" spans="1:1" x14ac:dyDescent="0.25">
      <c r="A1858" s="7">
        <v>9.8248029165626011E-4</v>
      </c>
    </row>
    <row r="1859" spans="1:1" x14ac:dyDescent="0.25">
      <c r="A1859" s="7">
        <v>9.727527640160991E-4</v>
      </c>
    </row>
    <row r="1860" spans="1:1" x14ac:dyDescent="0.25">
      <c r="A1860" s="7">
        <v>9.6312154853079115E-4</v>
      </c>
    </row>
    <row r="1861" spans="1:1" x14ac:dyDescent="0.25">
      <c r="A1861" s="7">
        <v>9.5358569161464474E-4</v>
      </c>
    </row>
    <row r="1862" spans="1:1" x14ac:dyDescent="0.25">
      <c r="A1862" s="7">
        <v>9.4414424912341065E-4</v>
      </c>
    </row>
    <row r="1863" spans="1:1" x14ac:dyDescent="0.25">
      <c r="A1863" s="7">
        <v>9.347962862608026E-4</v>
      </c>
    </row>
    <row r="1864" spans="1:1" x14ac:dyDescent="0.25">
      <c r="A1864" s="7">
        <v>9.2554087748594315E-4</v>
      </c>
    </row>
    <row r="1865" spans="1:1" x14ac:dyDescent="0.25">
      <c r="A1865" s="29"/>
    </row>
  </sheetData>
  <conditionalFormatting sqref="C136">
    <cfRule type="cellIs" dxfId="94" priority="3" operator="equal">
      <formula>$U$1</formula>
    </cfRule>
    <cfRule type="cellIs" dxfId="93" priority="4" operator="equal">
      <formula>$S$1</formula>
    </cfRule>
  </conditionalFormatting>
  <conditionalFormatting sqref="D136">
    <cfRule type="cellIs" dxfId="92" priority="1" operator="equal">
      <formula>$S$1</formula>
    </cfRule>
    <cfRule type="cellIs" dxfId="91" priority="2" operator="equal">
      <formula>$U$1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F0"/>
  </sheetPr>
  <dimension ref="A1:AZZ936"/>
  <sheetViews>
    <sheetView topLeftCell="A896" zoomScale="90" zoomScaleNormal="90" workbookViewId="0">
      <pane xSplit="4" topLeftCell="E1" activePane="topRight" state="frozen"/>
      <selection activeCell="A109" sqref="A109"/>
      <selection pane="topRight" activeCell="JV571" sqref="JV571"/>
    </sheetView>
  </sheetViews>
  <sheetFormatPr defaultRowHeight="15" x14ac:dyDescent="0.25"/>
  <cols>
    <col min="1" max="1" width="10.7109375" style="17" customWidth="1"/>
    <col min="2" max="5" width="10.7109375" style="1" hidden="1" customWidth="1"/>
    <col min="6" max="6" width="10.7109375" style="27" hidden="1" customWidth="1"/>
    <col min="7" max="1378" width="3" style="27" customWidth="1"/>
  </cols>
  <sheetData>
    <row r="1" spans="1:21" x14ac:dyDescent="0.25">
      <c r="A1" s="15"/>
      <c r="B1"/>
      <c r="C1"/>
      <c r="D1" s="16"/>
      <c r="E1" s="16"/>
      <c r="S1" s="27" t="s">
        <v>7</v>
      </c>
      <c r="U1" s="27" t="s">
        <v>8</v>
      </c>
    </row>
    <row r="2" spans="1:21" x14ac:dyDescent="0.25">
      <c r="A2" s="15"/>
      <c r="B2" s="16"/>
      <c r="C2" s="16" t="s">
        <v>11</v>
      </c>
      <c r="D2" s="16" t="s">
        <v>12</v>
      </c>
      <c r="E2" s="16"/>
    </row>
    <row r="3" spans="1:21" x14ac:dyDescent="0.25">
      <c r="A3" s="15"/>
      <c r="B3" s="16"/>
      <c r="C3" s="15"/>
      <c r="D3" s="15"/>
      <c r="E3" s="16"/>
    </row>
    <row r="4" spans="1:21" x14ac:dyDescent="0.25">
      <c r="E4" s="16"/>
    </row>
    <row r="5" spans="1:21" x14ac:dyDescent="0.25">
      <c r="A5" s="7">
        <v>101227.83894314201</v>
      </c>
      <c r="E5" s="16"/>
    </row>
    <row r="6" spans="1:21" x14ac:dyDescent="0.25">
      <c r="A6" s="7">
        <v>99242.979356021577</v>
      </c>
      <c r="E6" s="16"/>
    </row>
    <row r="7" spans="1:21" x14ac:dyDescent="0.25">
      <c r="A7" s="7">
        <v>97297.038584334878</v>
      </c>
      <c r="E7" s="16"/>
    </row>
    <row r="8" spans="1:21" x14ac:dyDescent="0.25">
      <c r="A8" s="7">
        <v>95389.253514053795</v>
      </c>
    </row>
    <row r="9" spans="1:21" x14ac:dyDescent="0.25">
      <c r="A9" s="7">
        <v>93518.87599417039</v>
      </c>
    </row>
    <row r="10" spans="1:21" x14ac:dyDescent="0.25">
      <c r="A10" s="7">
        <v>91685.172543304303</v>
      </c>
    </row>
    <row r="11" spans="1:21" x14ac:dyDescent="0.25">
      <c r="A11" s="7">
        <v>89887.424062063044</v>
      </c>
    </row>
    <row r="12" spans="1:21" x14ac:dyDescent="0.25">
      <c r="A12" s="7">
        <v>88124.925551042194</v>
      </c>
    </row>
    <row r="13" spans="1:21" x14ac:dyDescent="0.25">
      <c r="A13" s="7">
        <v>86396.985834355088</v>
      </c>
    </row>
    <row r="14" spans="1:21" x14ac:dyDescent="0.25">
      <c r="A14" s="7">
        <v>84702.927288583422</v>
      </c>
    </row>
    <row r="15" spans="1:21" x14ac:dyDescent="0.25">
      <c r="A15" s="7">
        <v>83042.08557704257</v>
      </c>
    </row>
    <row r="16" spans="1:21" x14ac:dyDescent="0.25">
      <c r="A16" s="7">
        <v>81413.809389257425</v>
      </c>
    </row>
    <row r="17" spans="1:5" x14ac:dyDescent="0.25">
      <c r="A17" s="7">
        <v>79817.460185546501</v>
      </c>
      <c r="C17" s="1" t="s">
        <v>15</v>
      </c>
      <c r="E17"/>
    </row>
    <row r="18" spans="1:5" x14ac:dyDescent="0.25">
      <c r="A18" s="7">
        <v>78252.411946614215</v>
      </c>
      <c r="C18" s="7">
        <v>0.41019680250993112</v>
      </c>
      <c r="D18"/>
      <c r="E18"/>
    </row>
    <row r="19" spans="1:5" x14ac:dyDescent="0.25">
      <c r="A19" s="7">
        <v>76718.050928053155</v>
      </c>
      <c r="E19"/>
    </row>
    <row r="20" spans="1:5" x14ac:dyDescent="0.25">
      <c r="A20" s="7">
        <v>75213.775419659956</v>
      </c>
      <c r="C20" s="1" t="s">
        <v>11</v>
      </c>
      <c r="D20" s="1" t="s">
        <v>12</v>
      </c>
      <c r="E20"/>
    </row>
    <row r="21" spans="1:5" x14ac:dyDescent="0.25">
      <c r="A21" s="7">
        <v>73738.995509470551</v>
      </c>
      <c r="C21" s="7">
        <v>0.35910999999999998</v>
      </c>
      <c r="D21" s="7">
        <v>0.32918999999999998</v>
      </c>
      <c r="E21"/>
    </row>
    <row r="22" spans="1:5" x14ac:dyDescent="0.25">
      <c r="A22" s="7">
        <v>72293.132852422103</v>
      </c>
      <c r="E22"/>
    </row>
    <row r="23" spans="1:5" x14ac:dyDescent="0.25">
      <c r="A23" s="7">
        <v>70875.620443551074</v>
      </c>
      <c r="C23" s="1" t="s">
        <v>13</v>
      </c>
      <c r="E23"/>
    </row>
    <row r="24" spans="1:5" x14ac:dyDescent="0.25">
      <c r="A24" s="7">
        <v>69485.902395638303</v>
      </c>
      <c r="C24" s="1" t="s">
        <v>8</v>
      </c>
      <c r="E24"/>
    </row>
    <row r="25" spans="1:5" x14ac:dyDescent="0.25">
      <c r="A25" s="7">
        <v>68123.433721214024</v>
      </c>
      <c r="E25"/>
    </row>
    <row r="26" spans="1:5" x14ac:dyDescent="0.25">
      <c r="A26" s="7">
        <v>66787.680118837277</v>
      </c>
      <c r="C26" s="1" t="s">
        <v>14</v>
      </c>
      <c r="E26"/>
    </row>
    <row r="27" spans="1:5" x14ac:dyDescent="0.25">
      <c r="A27" s="7">
        <v>65478.117763565962</v>
      </c>
      <c r="C27" s="1" t="str">
        <f>IF(C24=$S$1,IF(D21&lt;(C18*0.980392156862745),$S$1,IF(C21&gt;(C18*1.061208),$U$1,"")),"")</f>
        <v/>
      </c>
      <c r="D27" s="1" t="str">
        <f>IF(C24=$U$1,IF(C21&gt;(C18*1.02),$U$1,IF(D21&lt;(C18*0.942322334547044),$S$1,"")),"")</f>
        <v>O</v>
      </c>
      <c r="E27"/>
    </row>
    <row r="28" spans="1:5" x14ac:dyDescent="0.25">
      <c r="A28" s="7">
        <v>64194.233101535254</v>
      </c>
      <c r="E28"/>
    </row>
    <row r="29" spans="1:5" x14ac:dyDescent="0.25">
      <c r="A29" s="7">
        <v>62935.522648563972</v>
      </c>
      <c r="E29"/>
    </row>
    <row r="30" spans="1:5" x14ac:dyDescent="0.25">
      <c r="A30" s="7">
        <v>61701.492792709774</v>
      </c>
      <c r="E30"/>
    </row>
    <row r="31" spans="1:5" x14ac:dyDescent="0.25">
      <c r="A31" s="7">
        <v>60491.659600695857</v>
      </c>
      <c r="E31"/>
    </row>
    <row r="32" spans="1:5" x14ac:dyDescent="0.25">
      <c r="A32" s="7">
        <v>59305.548628133191</v>
      </c>
      <c r="E32"/>
    </row>
    <row r="33" spans="1:5" x14ac:dyDescent="0.25">
      <c r="A33" s="7">
        <v>58142.694733463912</v>
      </c>
      <c r="E33"/>
    </row>
    <row r="34" spans="1:5" x14ac:dyDescent="0.25">
      <c r="A34" s="7">
        <v>57002.641895552857</v>
      </c>
      <c r="E34"/>
    </row>
    <row r="35" spans="1:5" x14ac:dyDescent="0.25">
      <c r="A35" s="7">
        <v>55884.943034855743</v>
      </c>
      <c r="E35"/>
    </row>
    <row r="36" spans="1:5" x14ac:dyDescent="0.25">
      <c r="A36" s="7">
        <v>54789.159838093867</v>
      </c>
      <c r="E36"/>
    </row>
    <row r="37" spans="1:5" x14ac:dyDescent="0.25">
      <c r="A37" s="7">
        <v>53714.862586366537</v>
      </c>
      <c r="E37"/>
    </row>
    <row r="38" spans="1:5" x14ac:dyDescent="0.25">
      <c r="A38" s="7">
        <v>52661.62998663386</v>
      </c>
      <c r="E38"/>
    </row>
    <row r="39" spans="1:5" x14ac:dyDescent="0.25">
      <c r="A39" s="7">
        <v>51629.049006503781</v>
      </c>
      <c r="E39"/>
    </row>
    <row r="40" spans="1:5" x14ac:dyDescent="0.25">
      <c r="A40" s="7">
        <v>50616.71471225861</v>
      </c>
      <c r="E40"/>
    </row>
    <row r="41" spans="1:5" x14ac:dyDescent="0.25">
      <c r="A41" s="7">
        <v>49624.230110057462</v>
      </c>
      <c r="E41"/>
    </row>
    <row r="42" spans="1:5" x14ac:dyDescent="0.25">
      <c r="A42" s="7">
        <v>48651.205990252412</v>
      </c>
      <c r="E42"/>
    </row>
    <row r="43" spans="1:5" x14ac:dyDescent="0.25">
      <c r="A43" s="7">
        <v>47697.260774757269</v>
      </c>
      <c r="E43"/>
    </row>
    <row r="44" spans="1:5" x14ac:dyDescent="0.25">
      <c r="A44" s="7">
        <v>46762.020367409088</v>
      </c>
      <c r="E44"/>
    </row>
    <row r="45" spans="1:5" x14ac:dyDescent="0.25">
      <c r="A45" s="7">
        <v>45845.118007263809</v>
      </c>
      <c r="C45" s="1" t="s">
        <v>15</v>
      </c>
      <c r="E45"/>
    </row>
    <row r="46" spans="1:5" x14ac:dyDescent="0.25">
      <c r="A46" s="7">
        <v>44946.194124768437</v>
      </c>
      <c r="C46" s="7">
        <v>0.16172762090481685</v>
      </c>
      <c r="D46"/>
      <c r="E46"/>
    </row>
    <row r="47" spans="1:5" x14ac:dyDescent="0.25">
      <c r="A47" s="7">
        <v>44064.89620075337</v>
      </c>
      <c r="E47"/>
    </row>
    <row r="48" spans="1:5" x14ac:dyDescent="0.25">
      <c r="A48" s="7">
        <v>43200.878628189581</v>
      </c>
      <c r="C48" s="1" t="s">
        <v>11</v>
      </c>
      <c r="D48" s="1" t="s">
        <v>12</v>
      </c>
      <c r="E48"/>
    </row>
    <row r="49" spans="1:5" x14ac:dyDescent="0.25">
      <c r="A49" s="7">
        <v>42353.802576656453</v>
      </c>
      <c r="C49">
        <v>0.11</v>
      </c>
      <c r="D49">
        <v>0.1</v>
      </c>
      <c r="E49"/>
    </row>
    <row r="50" spans="1:5" x14ac:dyDescent="0.25">
      <c r="A50" s="7">
        <v>41523.335859467108</v>
      </c>
      <c r="E50"/>
    </row>
    <row r="51" spans="1:5" x14ac:dyDescent="0.25">
      <c r="A51" s="7">
        <v>40709.152803399127</v>
      </c>
      <c r="C51" s="1" t="s">
        <v>13</v>
      </c>
      <c r="E51"/>
    </row>
    <row r="52" spans="1:5" x14ac:dyDescent="0.25">
      <c r="A52" s="7">
        <v>39910.934120979538</v>
      </c>
      <c r="C52" s="1" t="s">
        <v>8</v>
      </c>
      <c r="E52"/>
    </row>
    <row r="53" spans="1:5" x14ac:dyDescent="0.25">
      <c r="A53" s="7">
        <v>39128.366785274055</v>
      </c>
      <c r="E53"/>
    </row>
    <row r="54" spans="1:5" x14ac:dyDescent="0.25">
      <c r="A54" s="7">
        <v>38361.143907131423</v>
      </c>
      <c r="C54" s="1" t="s">
        <v>14</v>
      </c>
      <c r="E54"/>
    </row>
    <row r="55" spans="1:5" x14ac:dyDescent="0.25">
      <c r="A55" s="7">
        <v>37608.964614834731</v>
      </c>
      <c r="C55" s="1" t="str">
        <f>IF(C52=$S$1,IF(D49&lt;(C46*0.980392156862745),$S$1,IF(C49&gt;(C46*1.061208),$U$1,"")),"")</f>
        <v/>
      </c>
      <c r="D55" s="1" t="str">
        <f>IF(C52=$U$1,IF(C49&gt;(C46*1.02),$U$1,IF(D49&lt;(C46*0.942322334547044),$S$1,"")),"")</f>
        <v>O</v>
      </c>
      <c r="E55"/>
    </row>
    <row r="56" spans="1:5" x14ac:dyDescent="0.25">
      <c r="A56" s="7">
        <v>36871.533936112479</v>
      </c>
      <c r="E56"/>
    </row>
    <row r="57" spans="1:5" x14ac:dyDescent="0.25">
      <c r="A57" s="7">
        <v>36148.562682463213</v>
      </c>
      <c r="E57"/>
    </row>
    <row r="58" spans="1:5" x14ac:dyDescent="0.25">
      <c r="A58" s="7">
        <v>35439.767335748249</v>
      </c>
      <c r="E58"/>
    </row>
    <row r="59" spans="1:5" x14ac:dyDescent="0.25">
      <c r="A59" s="7">
        <v>34744.869937008087</v>
      </c>
      <c r="E59"/>
    </row>
    <row r="60" spans="1:5" x14ac:dyDescent="0.25">
      <c r="A60" s="7">
        <v>34063.597977458907</v>
      </c>
      <c r="E60"/>
    </row>
    <row r="61" spans="1:5" x14ac:dyDescent="0.25">
      <c r="A61" s="7">
        <v>33395.684291626378</v>
      </c>
      <c r="E61"/>
    </row>
    <row r="62" spans="1:5" x14ac:dyDescent="0.25">
      <c r="A62" s="7">
        <v>32740.866952574877</v>
      </c>
      <c r="E62"/>
    </row>
    <row r="63" spans="1:5" x14ac:dyDescent="0.25">
      <c r="A63" s="7">
        <v>32098.889169191054</v>
      </c>
      <c r="E63"/>
    </row>
    <row r="64" spans="1:5" x14ac:dyDescent="0.25">
      <c r="A64" s="7">
        <v>31469.499185481425</v>
      </c>
      <c r="E64"/>
    </row>
    <row r="65" spans="1:5" x14ac:dyDescent="0.25">
      <c r="A65" s="7">
        <v>30852.450181844535</v>
      </c>
      <c r="E65"/>
    </row>
    <row r="66" spans="1:5" x14ac:dyDescent="0.25">
      <c r="A66" s="7">
        <v>30247.500178278955</v>
      </c>
      <c r="E66"/>
    </row>
    <row r="67" spans="1:5" x14ac:dyDescent="0.25">
      <c r="A67" s="7">
        <v>29654.411939489171</v>
      </c>
      <c r="E67"/>
    </row>
    <row r="68" spans="1:5" x14ac:dyDescent="0.25">
      <c r="A68" s="7">
        <v>29072.952881852128</v>
      </c>
      <c r="E68"/>
    </row>
    <row r="69" spans="1:5" x14ac:dyDescent="0.25">
      <c r="A69" s="7">
        <v>28502.89498220797</v>
      </c>
      <c r="E69"/>
    </row>
    <row r="70" spans="1:5" x14ac:dyDescent="0.25">
      <c r="A70" s="7">
        <v>27944.014688439187</v>
      </c>
      <c r="E70"/>
    </row>
    <row r="71" spans="1:5" x14ac:dyDescent="0.25">
      <c r="A71" s="7">
        <v>27396.092831803126</v>
      </c>
      <c r="E71"/>
    </row>
    <row r="72" spans="1:5" x14ac:dyDescent="0.25">
      <c r="A72" s="7">
        <v>26858.914540983456</v>
      </c>
      <c r="E72"/>
    </row>
    <row r="73" spans="1:5" x14ac:dyDescent="0.25">
      <c r="A73" s="7">
        <v>26332.269157826919</v>
      </c>
      <c r="E73"/>
    </row>
    <row r="74" spans="1:5" x14ac:dyDescent="0.25">
      <c r="A74" s="7">
        <v>25815.950154732272</v>
      </c>
      <c r="E74"/>
    </row>
    <row r="75" spans="1:5" x14ac:dyDescent="0.25">
      <c r="A75" s="7">
        <v>25309.75505365909</v>
      </c>
      <c r="E75"/>
    </row>
    <row r="76" spans="1:5" x14ac:dyDescent="0.25">
      <c r="A76" s="7">
        <v>24813.485346724596</v>
      </c>
      <c r="E76"/>
    </row>
    <row r="77" spans="1:5" x14ac:dyDescent="0.25">
      <c r="A77" s="7">
        <v>24326.946418357446</v>
      </c>
      <c r="E77"/>
    </row>
    <row r="78" spans="1:5" x14ac:dyDescent="0.25">
      <c r="A78" s="7">
        <v>23849.947468977887</v>
      </c>
      <c r="E78"/>
    </row>
    <row r="79" spans="1:5" x14ac:dyDescent="0.25">
      <c r="A79" s="7">
        <v>23382.3014401744</v>
      </c>
      <c r="C79" s="1" t="s">
        <v>15</v>
      </c>
      <c r="E79"/>
    </row>
    <row r="80" spans="1:5" x14ac:dyDescent="0.25">
      <c r="A80" s="7">
        <v>22923.824941347451</v>
      </c>
      <c r="C80" s="7">
        <v>9.6645076037824032E-2</v>
      </c>
      <c r="D80"/>
      <c r="E80"/>
    </row>
    <row r="81" spans="1:5" x14ac:dyDescent="0.25">
      <c r="A81" s="7">
        <v>22474.338177791618</v>
      </c>
      <c r="E81"/>
    </row>
    <row r="82" spans="1:5" x14ac:dyDescent="0.25">
      <c r="A82" s="7">
        <v>22033.664880187862</v>
      </c>
      <c r="C82" s="1" t="s">
        <v>11</v>
      </c>
      <c r="D82" s="1" t="s">
        <v>12</v>
      </c>
      <c r="E82"/>
    </row>
    <row r="83" spans="1:5" x14ac:dyDescent="0.25">
      <c r="A83" s="7">
        <v>21601.632235478297</v>
      </c>
      <c r="C83">
        <v>0.11</v>
      </c>
      <c r="D83">
        <v>9.5000000000000001E-2</v>
      </c>
      <c r="E83"/>
    </row>
    <row r="84" spans="1:5" x14ac:dyDescent="0.25">
      <c r="A84" s="7">
        <v>21178.070819096371</v>
      </c>
      <c r="E84"/>
    </row>
    <row r="85" spans="1:5" x14ac:dyDescent="0.25">
      <c r="A85" s="7">
        <v>20762.814528525854</v>
      </c>
      <c r="C85" s="1" t="s">
        <v>13</v>
      </c>
      <c r="E85"/>
    </row>
    <row r="86" spans="1:5" x14ac:dyDescent="0.25">
      <c r="A86" s="7">
        <v>20355.700518162601</v>
      </c>
      <c r="C86" s="1" t="s">
        <v>7</v>
      </c>
      <c r="E86"/>
    </row>
    <row r="87" spans="1:5" x14ac:dyDescent="0.25">
      <c r="A87" s="7">
        <v>19956.56913545353</v>
      </c>
      <c r="E87"/>
    </row>
    <row r="88" spans="1:5" x14ac:dyDescent="0.25">
      <c r="A88" s="7">
        <v>19565.263858287773</v>
      </c>
      <c r="C88" s="1" t="s">
        <v>14</v>
      </c>
      <c r="E88"/>
    </row>
    <row r="89" spans="1:5" x14ac:dyDescent="0.25">
      <c r="A89" s="7">
        <v>19181.631233615462</v>
      </c>
      <c r="C89" s="1" t="str">
        <f>IF(C86=$S$1,IF(D83&lt;(C80*0.980392156862745),$S$1,IF(C83&gt;(C80*1.061208),$U$1,"")),"")</f>
        <v>X</v>
      </c>
      <c r="D89" s="1" t="str">
        <f>IF(C86=$U$1,IF(C83&gt;(C80*1.02),$U$1,IF(D83&lt;(C80*0.942322334547044),$S$1,"")),"")</f>
        <v/>
      </c>
      <c r="E89"/>
    </row>
    <row r="90" spans="1:5" x14ac:dyDescent="0.25">
      <c r="A90" s="7">
        <v>18805.520817270062</v>
      </c>
      <c r="E90"/>
    </row>
    <row r="91" spans="1:5" x14ac:dyDescent="0.25">
      <c r="A91" s="7">
        <v>18436.785114970648</v>
      </c>
      <c r="E91"/>
    </row>
    <row r="92" spans="1:5" x14ac:dyDescent="0.25">
      <c r="A92" s="7">
        <v>18075.279524481026</v>
      </c>
      <c r="E92"/>
    </row>
    <row r="93" spans="1:5" x14ac:dyDescent="0.25">
      <c r="A93" s="7">
        <v>17720.862278902965</v>
      </c>
      <c r="E93"/>
    </row>
    <row r="94" spans="1:5" x14ac:dyDescent="0.25">
      <c r="A94" s="7">
        <v>17373.39439108134</v>
      </c>
      <c r="E94"/>
    </row>
    <row r="95" spans="1:5" x14ac:dyDescent="0.25">
      <c r="A95" s="7">
        <v>17032.739599099354</v>
      </c>
      <c r="E95"/>
    </row>
    <row r="96" spans="1:5" x14ac:dyDescent="0.25">
      <c r="A96" s="7">
        <v>16698.764312842504</v>
      </c>
      <c r="E96"/>
    </row>
    <row r="97" spans="1:5" x14ac:dyDescent="0.25">
      <c r="A97" s="7">
        <v>16371.337561610297</v>
      </c>
      <c r="E97"/>
    </row>
    <row r="98" spans="1:5" x14ac:dyDescent="0.25">
      <c r="A98" s="7">
        <v>16050.330942755192</v>
      </c>
      <c r="E98"/>
    </row>
    <row r="99" spans="1:5" x14ac:dyDescent="0.25">
      <c r="A99" s="7">
        <v>15735.61857132862</v>
      </c>
      <c r="E99"/>
    </row>
    <row r="100" spans="1:5" x14ac:dyDescent="0.25">
      <c r="A100" s="7">
        <v>15427.077030714332</v>
      </c>
      <c r="E100"/>
    </row>
    <row r="101" spans="1:5" x14ac:dyDescent="0.25">
      <c r="A101" s="7">
        <v>15124.585324229736</v>
      </c>
      <c r="E101"/>
    </row>
    <row r="102" spans="1:5" x14ac:dyDescent="0.25">
      <c r="A102" s="7">
        <v>14828.024827676212</v>
      </c>
      <c r="E102"/>
    </row>
    <row r="103" spans="1:5" x14ac:dyDescent="0.25">
      <c r="A103" s="7">
        <v>14537.279242819815</v>
      </c>
      <c r="E103"/>
    </row>
    <row r="104" spans="1:5" x14ac:dyDescent="0.25">
      <c r="A104" s="7">
        <v>14252.234551784133</v>
      </c>
      <c r="E104"/>
    </row>
    <row r="105" spans="1:5" x14ac:dyDescent="0.25">
      <c r="A105" s="7">
        <v>13972.778972337384</v>
      </c>
      <c r="E105"/>
    </row>
    <row r="106" spans="1:5" x14ac:dyDescent="0.25">
      <c r="A106" s="7">
        <v>13698.802914056259</v>
      </c>
      <c r="E106"/>
    </row>
    <row r="107" spans="1:5" x14ac:dyDescent="0.25">
      <c r="A107" s="7">
        <v>13430.198935349274</v>
      </c>
      <c r="E107"/>
    </row>
    <row r="108" spans="1:5" x14ac:dyDescent="0.25">
      <c r="A108" s="7">
        <v>13166.861701322818</v>
      </c>
      <c r="E108"/>
    </row>
    <row r="109" spans="1:5" x14ac:dyDescent="0.25">
      <c r="A109" s="7">
        <v>12908.687942473351</v>
      </c>
      <c r="E109"/>
    </row>
    <row r="110" spans="1:5" x14ac:dyDescent="0.25">
      <c r="A110" s="7">
        <v>12655.57641418956</v>
      </c>
      <c r="E110"/>
    </row>
    <row r="111" spans="1:5" x14ac:dyDescent="0.25">
      <c r="A111" s="7">
        <v>12407.427857048588</v>
      </c>
      <c r="C111" s="1" t="str">
        <f>ADDRESS(C121-1,1,1,1)</f>
        <v>$A$570</v>
      </c>
      <c r="D111" s="1" t="str">
        <f>ADDRESS(C121-1,D121,1,1)</f>
        <v>$JV$570</v>
      </c>
      <c r="E111"/>
    </row>
    <row r="112" spans="1:5" x14ac:dyDescent="0.25">
      <c r="A112" s="7">
        <v>12164.144957890772</v>
      </c>
      <c r="C112" s="1" t="str">
        <f>ADDRESS(C121,1,1,1)</f>
        <v>$A$571</v>
      </c>
      <c r="D112" s="1" t="str">
        <f>ADDRESS(C121,D121-1,1,1)</f>
        <v>$JU$571</v>
      </c>
      <c r="E112"/>
    </row>
    <row r="113" spans="1:5" x14ac:dyDescent="0.25">
      <c r="A113" s="7">
        <v>11925.63231165762</v>
      </c>
      <c r="C113" s="1" t="str">
        <f>ADDRESS(C121+1,1,1,1)</f>
        <v>$A$572</v>
      </c>
      <c r="D113" s="1" t="str">
        <f>ADDRESS(C121-1,D121+1,1,1)</f>
        <v>$JW$570</v>
      </c>
    </row>
    <row r="114" spans="1:5" x14ac:dyDescent="0.25">
      <c r="A114" s="7">
        <v>11691.796383978059</v>
      </c>
      <c r="C114" s="1" t="str">
        <f>ADDRESS(C121,D121,1,1)</f>
        <v>$JV$571</v>
      </c>
      <c r="D114" s="1" t="str">
        <f>ADDRESS(C121+1,D121+1,1,1)</f>
        <v>$JW$572</v>
      </c>
    </row>
    <row r="115" spans="1:5" x14ac:dyDescent="0.25">
      <c r="A115" s="7">
        <v>11462.545474488292</v>
      </c>
      <c r="C115" s="1" t="str">
        <f>ADDRESS(C121+1,D121,1,1)</f>
        <v>$JV$572</v>
      </c>
    </row>
    <row r="116" spans="1:5" x14ac:dyDescent="0.25">
      <c r="A116" s="7">
        <v>11237.789680870874</v>
      </c>
      <c r="C116" s="1">
        <f>C117-1</f>
        <v>570</v>
      </c>
    </row>
    <row r="117" spans="1:5" x14ac:dyDescent="0.25">
      <c r="A117" s="7">
        <v>11017.440863598895</v>
      </c>
      <c r="C117" s="1">
        <f>C121</f>
        <v>571</v>
      </c>
      <c r="D117" s="1">
        <f>D121</f>
        <v>282</v>
      </c>
    </row>
    <row r="118" spans="1:5" x14ac:dyDescent="0.25">
      <c r="A118" s="7">
        <v>10801.412611371465</v>
      </c>
      <c r="C118" s="1">
        <f>C117+1</f>
        <v>572</v>
      </c>
      <c r="D118" s="1">
        <f>D117+1</f>
        <v>283</v>
      </c>
    </row>
    <row r="119" spans="1:5" x14ac:dyDescent="0.25">
      <c r="A119" s="7">
        <v>10589.620207226926</v>
      </c>
    </row>
    <row r="120" spans="1:5" x14ac:dyDescent="0.25">
      <c r="A120" s="7">
        <v>10381.980595320516</v>
      </c>
      <c r="C120" s="1" t="s">
        <v>9</v>
      </c>
    </row>
    <row r="121" spans="1:5" x14ac:dyDescent="0.25">
      <c r="A121" s="7">
        <v>10178.412348353448</v>
      </c>
      <c r="C121" s="18">
        <v>571</v>
      </c>
      <c r="D121" s="19">
        <v>282</v>
      </c>
      <c r="E121" s="19"/>
    </row>
    <row r="122" spans="1:5" x14ac:dyDescent="0.25">
      <c r="A122" s="7">
        <v>9978.8356356406348</v>
      </c>
      <c r="C122" s="1" t="str">
        <f>INDEX(1:1048576,C117,D117)</f>
        <v>O</v>
      </c>
    </row>
    <row r="123" spans="1:5" x14ac:dyDescent="0.25">
      <c r="A123" s="7">
        <v>9783.1721918045441</v>
      </c>
      <c r="C123" s="1" t="str">
        <f>"R"&amp;C121</f>
        <v>R571</v>
      </c>
      <c r="D123" s="1" t="str">
        <f>"C"&amp;D121</f>
        <v>C282</v>
      </c>
    </row>
    <row r="124" spans="1:5" x14ac:dyDescent="0.25">
      <c r="A124" s="7">
        <v>9591.3452860828857</v>
      </c>
      <c r="C124" s="1">
        <f>SUM(C130:D130)</f>
        <v>0</v>
      </c>
      <c r="D124" s="1">
        <f>IF(C124=0,0,1)</f>
        <v>0</v>
      </c>
    </row>
    <row r="125" spans="1:5" x14ac:dyDescent="0.25">
      <c r="A125" s="7">
        <v>9403.2796922381222</v>
      </c>
    </row>
    <row r="126" spans="1:5" x14ac:dyDescent="0.25">
      <c r="A126" s="7">
        <v>9218.9016590569827</v>
      </c>
      <c r="C126" s="1" t="s">
        <v>10</v>
      </c>
    </row>
    <row r="127" spans="1:5" x14ac:dyDescent="0.25">
      <c r="A127" s="7">
        <v>9038.1388814284146</v>
      </c>
      <c r="C127" s="7">
        <v>1.3727857050906125</v>
      </c>
      <c r="D127"/>
    </row>
    <row r="128" spans="1:5" x14ac:dyDescent="0.25">
      <c r="A128" s="7">
        <v>8860.920471988642</v>
      </c>
    </row>
    <row r="129" spans="1:5" x14ac:dyDescent="0.25">
      <c r="A129" s="7">
        <v>8687.1769333221982</v>
      </c>
      <c r="C129" s="1" t="s">
        <v>11</v>
      </c>
      <c r="D129" s="1" t="s">
        <v>12</v>
      </c>
      <c r="E129"/>
    </row>
    <row r="130" spans="1:5" x14ac:dyDescent="0.25">
      <c r="A130" s="7">
        <v>8516.8401307080367</v>
      </c>
      <c r="C130" s="6"/>
      <c r="D130" s="6"/>
      <c r="E130"/>
    </row>
    <row r="131" spans="1:5" x14ac:dyDescent="0.25">
      <c r="A131" s="7">
        <v>8349.8432654000353</v>
      </c>
      <c r="E131"/>
    </row>
    <row r="132" spans="1:5" x14ac:dyDescent="0.25">
      <c r="A132" s="7">
        <v>8186.1208484314075</v>
      </c>
      <c r="C132" s="1" t="s">
        <v>13</v>
      </c>
      <c r="E132"/>
    </row>
    <row r="133" spans="1:5" x14ac:dyDescent="0.25">
      <c r="A133" s="7">
        <v>8025.6086749327524</v>
      </c>
      <c r="C133" s="1" t="str">
        <f>C122</f>
        <v>O</v>
      </c>
      <c r="E133"/>
    </row>
    <row r="134" spans="1:5" x14ac:dyDescent="0.25">
      <c r="A134" s="7">
        <v>7868.2437989536784</v>
      </c>
      <c r="E134"/>
    </row>
    <row r="135" spans="1:5" x14ac:dyDescent="0.25">
      <c r="A135" s="7">
        <v>7713.9645087781155</v>
      </c>
      <c r="C135" s="1" t="s">
        <v>14</v>
      </c>
      <c r="E135"/>
    </row>
    <row r="136" spans="1:5" x14ac:dyDescent="0.25">
      <c r="A136" s="7">
        <v>7562.7103027236426</v>
      </c>
      <c r="C136" s="1" t="str">
        <f>IF(C133=$S$1,IF(D130&lt;(C127*0.980392156862745),$S$1,IF(C130&gt;(C127*1.061208),$U$1,"")),"")</f>
        <v>O</v>
      </c>
      <c r="D136" s="1" t="str">
        <f>IF(C133=$U$1,IF(C130&gt;(C127*1.02),$U$1,IF(D130&lt;(C127*0.942322334547044),$S$1,"")),"")</f>
        <v/>
      </c>
      <c r="E136"/>
    </row>
    <row r="137" spans="1:5" x14ac:dyDescent="0.25">
      <c r="A137" s="7">
        <v>7414.4218654153356</v>
      </c>
      <c r="E137"/>
    </row>
    <row r="138" spans="1:5" x14ac:dyDescent="0.25">
      <c r="A138" s="7">
        <v>7269.041044524839</v>
      </c>
      <c r="C138" s="1">
        <f>IF(AND(C136="",D136=""),0,IF(AND(C133="X",D136="X"),1,IF(AND(C133="O",C136="O"),2,(IF(AND(C133="X",D136="O"),3,4)))))</f>
        <v>2</v>
      </c>
      <c r="E138"/>
    </row>
    <row r="139" spans="1:5" x14ac:dyDescent="0.25">
      <c r="A139" s="7">
        <v>7126.5108279655287</v>
      </c>
      <c r="E139"/>
    </row>
    <row r="140" spans="1:5" x14ac:dyDescent="0.25">
      <c r="A140" s="7">
        <v>6986.7753215348321</v>
      </c>
      <c r="C140" s="1">
        <v>0</v>
      </c>
      <c r="E140"/>
    </row>
    <row r="141" spans="1:5" x14ac:dyDescent="0.25">
      <c r="A141" s="7">
        <v>6849.7797269949333</v>
      </c>
      <c r="C141" s="1">
        <v>1</v>
      </c>
      <c r="E141"/>
    </row>
    <row r="142" spans="1:5" x14ac:dyDescent="0.25">
      <c r="A142" s="7">
        <v>6715.4703205832675</v>
      </c>
      <c r="C142" s="1">
        <v>2</v>
      </c>
      <c r="E142"/>
    </row>
    <row r="143" spans="1:5" x14ac:dyDescent="0.25">
      <c r="A143" s="7">
        <v>6583.7944319443795</v>
      </c>
      <c r="C143" s="1">
        <v>3</v>
      </c>
      <c r="E143"/>
    </row>
    <row r="144" spans="1:5" x14ac:dyDescent="0.25">
      <c r="A144" s="7">
        <v>6454.700423474882</v>
      </c>
      <c r="C144" s="1">
        <v>4</v>
      </c>
      <c r="E144"/>
    </row>
    <row r="145" spans="1:5" x14ac:dyDescent="0.25">
      <c r="A145" s="7">
        <v>6328.1376700734136</v>
      </c>
      <c r="E145"/>
    </row>
    <row r="146" spans="1:5" x14ac:dyDescent="0.25">
      <c r="A146" s="7">
        <v>6204.0565392876606</v>
      </c>
      <c r="E146"/>
    </row>
    <row r="147" spans="1:5" x14ac:dyDescent="0.25">
      <c r="A147" s="7">
        <v>6082.4083718506472</v>
      </c>
      <c r="E147"/>
    </row>
    <row r="148" spans="1:5" x14ac:dyDescent="0.25">
      <c r="A148" s="7">
        <v>5963.1454625986735</v>
      </c>
      <c r="E148"/>
    </row>
    <row r="149" spans="1:5" x14ac:dyDescent="0.25">
      <c r="A149" s="7">
        <v>5846.2210417634051</v>
      </c>
      <c r="E149"/>
    </row>
    <row r="150" spans="1:5" x14ac:dyDescent="0.25">
      <c r="A150" s="7">
        <v>5731.5892566307894</v>
      </c>
      <c r="E150"/>
    </row>
    <row r="151" spans="1:5" x14ac:dyDescent="0.25">
      <c r="A151" s="7">
        <v>5619.2051535595974</v>
      </c>
      <c r="E151"/>
    </row>
    <row r="152" spans="1:5" x14ac:dyDescent="0.25">
      <c r="A152" s="7">
        <v>5509.0246603525466</v>
      </c>
      <c r="E152"/>
    </row>
    <row r="153" spans="1:5" x14ac:dyDescent="0.25">
      <c r="A153" s="7">
        <v>5401.004568973085</v>
      </c>
      <c r="E153"/>
    </row>
    <row r="154" spans="1:5" x14ac:dyDescent="0.25">
      <c r="A154" s="7">
        <v>5295.1025186010638</v>
      </c>
      <c r="C154" s="1" t="s">
        <v>15</v>
      </c>
      <c r="E154"/>
    </row>
    <row r="155" spans="1:5" x14ac:dyDescent="0.25">
      <c r="A155" s="7">
        <v>5191.2769790206503</v>
      </c>
      <c r="C155" s="7">
        <v>3.2521478785124451E-2</v>
      </c>
      <c r="D155"/>
      <c r="E155"/>
    </row>
    <row r="156" spans="1:5" x14ac:dyDescent="0.25">
      <c r="A156" s="7">
        <v>5089.4872343339712</v>
      </c>
      <c r="E156"/>
    </row>
    <row r="157" spans="1:5" x14ac:dyDescent="0.25">
      <c r="A157" s="7">
        <v>4989.693366994089</v>
      </c>
      <c r="C157" s="1" t="s">
        <v>11</v>
      </c>
      <c r="D157" s="1" t="s">
        <v>12</v>
      </c>
      <c r="E157"/>
    </row>
    <row r="158" spans="1:5" x14ac:dyDescent="0.25">
      <c r="A158" s="7">
        <v>4891.8562421510678</v>
      </c>
      <c r="C158">
        <v>3.6999999999999998E-2</v>
      </c>
      <c r="D158">
        <v>3.3000000000000002E-2</v>
      </c>
      <c r="E158"/>
    </row>
    <row r="159" spans="1:5" x14ac:dyDescent="0.25">
      <c r="A159" s="7">
        <v>4795.9374923049681</v>
      </c>
      <c r="E159"/>
    </row>
    <row r="160" spans="1:5" x14ac:dyDescent="0.25">
      <c r="A160" s="7">
        <v>4701.8995022597728</v>
      </c>
      <c r="C160" s="1" t="s">
        <v>13</v>
      </c>
      <c r="E160"/>
    </row>
    <row r="161" spans="1:5" x14ac:dyDescent="0.25">
      <c r="A161" s="7">
        <v>4609.7053943723258</v>
      </c>
      <c r="C161" s="1" t="s">
        <v>8</v>
      </c>
      <c r="E161"/>
    </row>
    <row r="162" spans="1:5" x14ac:dyDescent="0.25">
      <c r="A162" s="7">
        <v>4519.3190140905153</v>
      </c>
      <c r="E162"/>
    </row>
    <row r="163" spans="1:5" x14ac:dyDescent="0.25">
      <c r="A163" s="7">
        <v>4430.7049157750153</v>
      </c>
      <c r="C163" s="1" t="s">
        <v>14</v>
      </c>
      <c r="E163"/>
    </row>
    <row r="164" spans="1:5" x14ac:dyDescent="0.25">
      <c r="A164" s="7">
        <v>4343.8283487990348</v>
      </c>
      <c r="C164" s="1" t="str">
        <f>IF(C161=$S$1,IF(D158&lt;(C155*0.980392156862745),$S$1,IF(C158&gt;(C155*1.061208),$U$1,"")),"")</f>
        <v/>
      </c>
      <c r="D164" s="1" t="str">
        <f>IF(C161=$U$1,IF(C158&gt;(C155*1.02),$U$1,IF(D158&lt;(C155*0.942322334547044),$S$1,"")),"")</f>
        <v>X</v>
      </c>
      <c r="E164"/>
    </row>
    <row r="165" spans="1:5" x14ac:dyDescent="0.25">
      <c r="A165" s="7">
        <v>4258.6552439206225</v>
      </c>
      <c r="E165"/>
    </row>
    <row r="166" spans="1:5" x14ac:dyDescent="0.25">
      <c r="A166" s="7">
        <v>4175.1521999221786</v>
      </c>
      <c r="E166"/>
    </row>
    <row r="167" spans="1:5" x14ac:dyDescent="0.25">
      <c r="A167" s="7">
        <v>4093.2864705119396</v>
      </c>
      <c r="E167"/>
    </row>
    <row r="168" spans="1:5" x14ac:dyDescent="0.25">
      <c r="A168" s="7">
        <v>4013.0259514822937</v>
      </c>
      <c r="E168"/>
    </row>
    <row r="169" spans="1:5" x14ac:dyDescent="0.25">
      <c r="A169" s="7">
        <v>3934.3391681198959</v>
      </c>
      <c r="E169"/>
    </row>
    <row r="170" spans="1:5" x14ac:dyDescent="0.25">
      <c r="A170" s="7">
        <v>3857.1952628626432</v>
      </c>
      <c r="E170"/>
    </row>
    <row r="171" spans="1:5" x14ac:dyDescent="0.25">
      <c r="A171" s="7">
        <v>3781.5639831986696</v>
      </c>
      <c r="E171"/>
    </row>
    <row r="172" spans="1:5" x14ac:dyDescent="0.25">
      <c r="A172" s="7">
        <v>3707.4156698026172</v>
      </c>
      <c r="E172"/>
    </row>
    <row r="173" spans="1:5" x14ac:dyDescent="0.25">
      <c r="A173" s="7">
        <v>3634.7212449045264</v>
      </c>
      <c r="E173"/>
    </row>
    <row r="174" spans="1:5" x14ac:dyDescent="0.25">
      <c r="A174" s="7">
        <v>3563.4522008867907</v>
      </c>
      <c r="E174"/>
    </row>
    <row r="175" spans="1:5" x14ac:dyDescent="0.25">
      <c r="A175" s="7">
        <v>3493.5805891046966</v>
      </c>
      <c r="E175"/>
    </row>
    <row r="176" spans="1:5" x14ac:dyDescent="0.25">
      <c r="A176" s="7">
        <v>3425.0790089261732</v>
      </c>
      <c r="E176"/>
    </row>
    <row r="177" spans="1:5" x14ac:dyDescent="0.25">
      <c r="A177" s="7">
        <v>3357.9205969864443</v>
      </c>
      <c r="B177"/>
      <c r="C177"/>
      <c r="D177"/>
      <c r="E177"/>
    </row>
    <row r="178" spans="1:5" x14ac:dyDescent="0.25">
      <c r="A178" s="7">
        <v>3292.0790166533766</v>
      </c>
      <c r="B178"/>
      <c r="C178"/>
      <c r="D178"/>
      <c r="E178"/>
    </row>
    <row r="179" spans="1:5" x14ac:dyDescent="0.25">
      <c r="A179" s="7">
        <v>3227.5284476993888</v>
      </c>
      <c r="B179"/>
      <c r="C179"/>
      <c r="D179"/>
      <c r="E179"/>
    </row>
    <row r="180" spans="1:5" x14ac:dyDescent="0.25">
      <c r="A180" s="7">
        <v>3164.2435761758716</v>
      </c>
      <c r="B180"/>
      <c r="C180"/>
      <c r="D180"/>
      <c r="E180"/>
    </row>
    <row r="181" spans="1:5" x14ac:dyDescent="0.25">
      <c r="A181" s="7">
        <v>3102.1995844861485</v>
      </c>
      <c r="B181"/>
      <c r="C181"/>
      <c r="D181"/>
      <c r="E181"/>
    </row>
    <row r="182" spans="1:5" x14ac:dyDescent="0.25">
      <c r="A182" s="7">
        <v>3041.3721416530866</v>
      </c>
      <c r="B182"/>
      <c r="C182"/>
      <c r="D182"/>
      <c r="E182"/>
    </row>
    <row r="183" spans="1:5" x14ac:dyDescent="0.25">
      <c r="A183" s="7">
        <v>2981.737393777536</v>
      </c>
      <c r="B183"/>
      <c r="C183"/>
      <c r="D183"/>
      <c r="E183"/>
    </row>
    <row r="184" spans="1:5" x14ac:dyDescent="0.25">
      <c r="A184" s="7">
        <v>2923.2719546838589</v>
      </c>
      <c r="B184"/>
      <c r="C184"/>
      <c r="D184"/>
      <c r="E184"/>
    </row>
    <row r="185" spans="1:5" x14ac:dyDescent="0.25">
      <c r="A185" s="7">
        <v>2865.9528967488814</v>
      </c>
      <c r="B185"/>
      <c r="C185"/>
      <c r="D185"/>
      <c r="E185"/>
    </row>
    <row r="186" spans="1:5" x14ac:dyDescent="0.25">
      <c r="A186" s="7">
        <v>2809.7577419106678</v>
      </c>
      <c r="B186"/>
      <c r="C186"/>
      <c r="D186"/>
      <c r="E186"/>
    </row>
    <row r="187" spans="1:5" x14ac:dyDescent="0.25">
      <c r="A187" s="7">
        <v>2754.6644528535958</v>
      </c>
      <c r="B187"/>
      <c r="C187"/>
      <c r="D187"/>
      <c r="E187"/>
    </row>
    <row r="188" spans="1:5" x14ac:dyDescent="0.25">
      <c r="A188" s="7">
        <v>2700.6514243662705</v>
      </c>
      <c r="B188"/>
      <c r="C188"/>
      <c r="D188"/>
      <c r="E188"/>
    </row>
    <row r="189" spans="1:5" x14ac:dyDescent="0.25">
      <c r="A189" s="7">
        <v>2647.6974748688926</v>
      </c>
      <c r="B189"/>
      <c r="C189"/>
      <c r="D189"/>
      <c r="E189"/>
    </row>
    <row r="190" spans="1:5" x14ac:dyDescent="0.25">
      <c r="A190" s="7">
        <v>2595.7818381067573</v>
      </c>
      <c r="B190"/>
      <c r="C190"/>
      <c r="D190"/>
      <c r="E190"/>
    </row>
    <row r="191" spans="1:5" x14ac:dyDescent="0.25">
      <c r="A191" s="7">
        <v>2544.884155006625</v>
      </c>
      <c r="B191"/>
      <c r="C191"/>
      <c r="D191"/>
      <c r="E191"/>
    </row>
    <row r="192" spans="1:5" x14ac:dyDescent="0.25">
      <c r="A192" s="7">
        <v>2494.9844656927694</v>
      </c>
      <c r="B192"/>
      <c r="C192"/>
      <c r="D192"/>
      <c r="E192"/>
    </row>
    <row r="193" spans="1:5" x14ac:dyDescent="0.25">
      <c r="A193" s="7">
        <v>2446.0632016595778</v>
      </c>
      <c r="B193"/>
      <c r="C193"/>
      <c r="D193"/>
      <c r="E193"/>
    </row>
    <row r="194" spans="1:5" x14ac:dyDescent="0.25">
      <c r="A194" s="7">
        <v>2398.1011780976251</v>
      </c>
      <c r="B194"/>
      <c r="C194"/>
      <c r="D194"/>
      <c r="E194"/>
    </row>
    <row r="195" spans="1:5" x14ac:dyDescent="0.25">
      <c r="A195" s="7">
        <v>2351.0795863702206</v>
      </c>
      <c r="B195"/>
      <c r="C195"/>
      <c r="D195"/>
      <c r="E195"/>
    </row>
    <row r="196" spans="1:5" x14ac:dyDescent="0.25">
      <c r="A196" s="7">
        <v>2304.979986637471</v>
      </c>
      <c r="B196"/>
      <c r="C196"/>
      <c r="D196"/>
      <c r="E196"/>
    </row>
    <row r="197" spans="1:5" x14ac:dyDescent="0.25">
      <c r="A197" s="7">
        <v>2259.7843006249714</v>
      </c>
      <c r="B197"/>
      <c r="C197"/>
      <c r="D197"/>
      <c r="E197"/>
    </row>
    <row r="198" spans="1:5" x14ac:dyDescent="0.25">
      <c r="A198" s="7">
        <v>2215.4748045342858</v>
      </c>
      <c r="B198"/>
      <c r="C198"/>
      <c r="D198"/>
      <c r="E198"/>
    </row>
    <row r="199" spans="1:5" x14ac:dyDescent="0.25">
      <c r="A199" s="7">
        <v>2172.034122092437</v>
      </c>
      <c r="B199"/>
      <c r="C199"/>
      <c r="D199"/>
      <c r="E199"/>
    </row>
    <row r="200" spans="1:5" x14ac:dyDescent="0.25">
      <c r="A200" s="7">
        <v>2129.4452177376834</v>
      </c>
      <c r="B200"/>
      <c r="C200"/>
      <c r="D200"/>
      <c r="E200"/>
    </row>
    <row r="201" spans="1:5" x14ac:dyDescent="0.25">
      <c r="A201" s="7">
        <v>2087.6913899389051</v>
      </c>
      <c r="B201"/>
      <c r="C201"/>
      <c r="D201"/>
      <c r="E201"/>
    </row>
    <row r="202" spans="1:5" x14ac:dyDescent="0.25">
      <c r="A202" s="7">
        <v>2046.7562646459853</v>
      </c>
      <c r="B202"/>
      <c r="C202"/>
      <c r="D202"/>
      <c r="E202"/>
    </row>
    <row r="203" spans="1:5" x14ac:dyDescent="0.25">
      <c r="A203" s="7">
        <v>2006.623788868613</v>
      </c>
      <c r="B203"/>
      <c r="C203"/>
      <c r="D203"/>
      <c r="E203"/>
    </row>
    <row r="204" spans="1:5" x14ac:dyDescent="0.25">
      <c r="A204" s="7">
        <v>1967.2782243809932</v>
      </c>
      <c r="B204"/>
      <c r="C204"/>
      <c r="D204"/>
      <c r="E204"/>
    </row>
    <row r="205" spans="1:5" x14ac:dyDescent="0.25">
      <c r="A205" s="7">
        <v>1928.7041415499932</v>
      </c>
      <c r="B205"/>
      <c r="C205"/>
      <c r="D205"/>
      <c r="E205"/>
    </row>
    <row r="206" spans="1:5" x14ac:dyDescent="0.25">
      <c r="A206" s="7">
        <v>1890.8864132843071</v>
      </c>
      <c r="B206"/>
      <c r="C206"/>
      <c r="D206"/>
      <c r="E206"/>
    </row>
    <row r="207" spans="1:5" x14ac:dyDescent="0.25">
      <c r="A207" s="7">
        <v>1853.8102091022618</v>
      </c>
      <c r="B207"/>
      <c r="C207"/>
      <c r="D207"/>
      <c r="E207"/>
    </row>
    <row r="208" spans="1:5" x14ac:dyDescent="0.25">
      <c r="A208" s="7">
        <v>1817.4609893159429</v>
      </c>
      <c r="B208"/>
      <c r="C208"/>
      <c r="D208"/>
      <c r="E208"/>
    </row>
    <row r="209" spans="1:5" x14ac:dyDescent="0.25">
      <c r="A209" s="7">
        <v>1781.8244993293558</v>
      </c>
      <c r="B209"/>
      <c r="C209"/>
      <c r="D209"/>
      <c r="E209"/>
    </row>
    <row r="210" spans="1:5" x14ac:dyDescent="0.25">
      <c r="A210" s="7">
        <v>1746.8867640483879</v>
      </c>
      <c r="B210"/>
      <c r="C210"/>
      <c r="D210"/>
      <c r="E210"/>
    </row>
    <row r="211" spans="1:5" x14ac:dyDescent="0.25">
      <c r="A211" s="7">
        <v>1712.6340824003803</v>
      </c>
      <c r="B211"/>
      <c r="C211"/>
      <c r="D211"/>
      <c r="E211"/>
    </row>
    <row r="212" spans="1:5" x14ac:dyDescent="0.25">
      <c r="A212" s="7">
        <v>1679.0530219611571</v>
      </c>
      <c r="B212"/>
      <c r="C212"/>
      <c r="D212"/>
      <c r="E212"/>
    </row>
    <row r="213" spans="1:5" x14ac:dyDescent="0.25">
      <c r="A213" s="7">
        <v>1646.1304136874089</v>
      </c>
      <c r="B213"/>
      <c r="C213"/>
      <c r="D213"/>
      <c r="E213"/>
    </row>
    <row r="214" spans="1:5" x14ac:dyDescent="0.25">
      <c r="A214" s="7">
        <v>1613.8533467523616</v>
      </c>
      <c r="B214"/>
      <c r="C214"/>
      <c r="D214"/>
      <c r="E214"/>
    </row>
    <row r="215" spans="1:5" x14ac:dyDescent="0.25">
      <c r="A215" s="7">
        <v>1582.2091634827075</v>
      </c>
      <c r="B215"/>
      <c r="C215"/>
      <c r="D215"/>
      <c r="E215"/>
    </row>
    <row r="216" spans="1:5" x14ac:dyDescent="0.25">
      <c r="A216" s="7">
        <v>1551.1854543948111</v>
      </c>
      <c r="B216"/>
      <c r="C216"/>
      <c r="D216"/>
      <c r="E216"/>
    </row>
    <row r="217" spans="1:5" x14ac:dyDescent="0.25">
      <c r="A217" s="7">
        <v>1520.7700533282461</v>
      </c>
      <c r="B217"/>
      <c r="C217"/>
      <c r="D217"/>
      <c r="E217"/>
    </row>
    <row r="218" spans="1:5" x14ac:dyDescent="0.25">
      <c r="A218" s="7">
        <v>1490.9510326747511</v>
      </c>
      <c r="B218"/>
      <c r="C218"/>
      <c r="D218"/>
      <c r="E218"/>
    </row>
    <row r="219" spans="1:5" x14ac:dyDescent="0.25">
      <c r="A219" s="7">
        <v>1461.7166987007363</v>
      </c>
      <c r="B219"/>
      <c r="C219"/>
      <c r="D219"/>
      <c r="E219"/>
    </row>
    <row r="220" spans="1:5" x14ac:dyDescent="0.25">
      <c r="A220" s="7">
        <v>1433.0555869615062</v>
      </c>
      <c r="B220"/>
      <c r="C220"/>
      <c r="D220"/>
      <c r="E220"/>
    </row>
    <row r="221" spans="1:5" x14ac:dyDescent="0.25">
      <c r="A221" s="7">
        <v>1404.9564578053983</v>
      </c>
      <c r="B221"/>
      <c r="C221"/>
      <c r="D221"/>
      <c r="E221"/>
    </row>
    <row r="222" spans="1:5" x14ac:dyDescent="0.25">
      <c r="A222" s="7">
        <v>1377.4082919660766</v>
      </c>
      <c r="B222"/>
      <c r="C222"/>
      <c r="D222"/>
      <c r="E222"/>
    </row>
    <row r="223" spans="1:5" x14ac:dyDescent="0.25">
      <c r="A223" s="7">
        <v>1350.4002862412515</v>
      </c>
      <c r="B223"/>
      <c r="C223"/>
      <c r="D223"/>
      <c r="E223"/>
    </row>
    <row r="224" spans="1:5" x14ac:dyDescent="0.25">
      <c r="A224" s="7">
        <v>1323.9218492561288</v>
      </c>
      <c r="B224"/>
      <c r="C224"/>
      <c r="D224"/>
      <c r="E224"/>
    </row>
    <row r="225" spans="1:5" x14ac:dyDescent="0.25">
      <c r="A225" s="7">
        <v>1297.9625973099301</v>
      </c>
      <c r="B225"/>
      <c r="C225"/>
      <c r="D225"/>
      <c r="E225"/>
    </row>
    <row r="226" spans="1:5" x14ac:dyDescent="0.25">
      <c r="A226" s="7">
        <v>1272.5123503038531</v>
      </c>
      <c r="B226"/>
      <c r="C226"/>
      <c r="D226"/>
      <c r="E226"/>
    </row>
    <row r="227" spans="1:5" x14ac:dyDescent="0.25">
      <c r="A227" s="7">
        <v>1247.5611277488756</v>
      </c>
      <c r="B227"/>
      <c r="C227"/>
      <c r="D227"/>
      <c r="E227"/>
    </row>
    <row r="228" spans="1:5" x14ac:dyDescent="0.25">
      <c r="A228" s="7">
        <v>1223.0991448518389</v>
      </c>
      <c r="B228"/>
      <c r="C228"/>
      <c r="D228"/>
      <c r="E228"/>
    </row>
    <row r="229" spans="1:5" x14ac:dyDescent="0.25">
      <c r="A229" s="7">
        <v>1199.1168086782734</v>
      </c>
      <c r="B229"/>
      <c r="C229"/>
      <c r="D229"/>
      <c r="E229"/>
    </row>
    <row r="230" spans="1:5" x14ac:dyDescent="0.25">
      <c r="A230" s="7">
        <v>1175.6047143904641</v>
      </c>
      <c r="B230"/>
      <c r="C230"/>
      <c r="D230"/>
      <c r="E230"/>
    </row>
    <row r="231" spans="1:5" x14ac:dyDescent="0.25">
      <c r="A231" s="7">
        <v>1152.5536415592785</v>
      </c>
      <c r="B231"/>
      <c r="C231"/>
      <c r="D231"/>
      <c r="E231"/>
    </row>
    <row r="232" spans="1:5" x14ac:dyDescent="0.25">
      <c r="A232" s="7">
        <v>1129.9545505483122</v>
      </c>
      <c r="B232"/>
      <c r="C232"/>
      <c r="D232"/>
      <c r="E232"/>
    </row>
    <row r="233" spans="1:5" x14ac:dyDescent="0.25">
      <c r="A233" s="7">
        <v>1107.7985789689335</v>
      </c>
      <c r="B233"/>
      <c r="C233"/>
      <c r="D233"/>
      <c r="E233"/>
    </row>
    <row r="234" spans="1:5" x14ac:dyDescent="0.25">
      <c r="A234" s="7">
        <v>1086.0770382048368</v>
      </c>
      <c r="B234"/>
      <c r="C234"/>
      <c r="D234"/>
      <c r="E234"/>
    </row>
    <row r="235" spans="1:5" x14ac:dyDescent="0.25">
      <c r="A235" s="7">
        <v>1064.7814100047419</v>
      </c>
      <c r="B235"/>
      <c r="C235"/>
      <c r="D235"/>
      <c r="E235"/>
    </row>
    <row r="236" spans="1:5" x14ac:dyDescent="0.25">
      <c r="A236" s="7">
        <v>1043.9033431419039</v>
      </c>
      <c r="B236"/>
      <c r="C236"/>
      <c r="D236"/>
      <c r="E236"/>
    </row>
    <row r="237" spans="1:5" x14ac:dyDescent="0.25">
      <c r="A237" s="7">
        <v>1023.4346501391215</v>
      </c>
      <c r="B237"/>
      <c r="C237"/>
      <c r="D237"/>
      <c r="E237"/>
    </row>
    <row r="238" spans="1:5" x14ac:dyDescent="0.25">
      <c r="A238" s="7">
        <v>1003.3673040579622</v>
      </c>
      <c r="B238"/>
      <c r="C238"/>
      <c r="D238"/>
      <c r="E238"/>
    </row>
    <row r="239" spans="1:5" x14ac:dyDescent="0.25">
      <c r="A239" s="7">
        <v>983.69343535094333</v>
      </c>
      <c r="B239"/>
      <c r="C239"/>
      <c r="D239"/>
      <c r="E239"/>
    </row>
    <row r="240" spans="1:5" x14ac:dyDescent="0.25">
      <c r="A240" s="7">
        <v>964.40532877543467</v>
      </c>
      <c r="B240"/>
      <c r="C240"/>
      <c r="D240"/>
      <c r="E240"/>
    </row>
    <row r="241" spans="1:5" x14ac:dyDescent="0.25">
      <c r="A241" s="7">
        <v>945.49542036807316</v>
      </c>
      <c r="B241"/>
      <c r="C241"/>
      <c r="D241"/>
      <c r="E241"/>
    </row>
    <row r="242" spans="1:5" x14ac:dyDescent="0.25">
      <c r="A242" s="7">
        <v>926.95629447850308</v>
      </c>
      <c r="B242"/>
      <c r="C242"/>
      <c r="D242"/>
      <c r="E242"/>
    </row>
    <row r="243" spans="1:5" x14ac:dyDescent="0.25">
      <c r="A243" s="7">
        <v>908.78068086127746</v>
      </c>
      <c r="B243"/>
      <c r="C243"/>
      <c r="D243"/>
      <c r="E243"/>
    </row>
    <row r="244" spans="1:5" x14ac:dyDescent="0.25">
      <c r="A244" s="7">
        <v>890.96145182478176</v>
      </c>
      <c r="B244"/>
      <c r="C244"/>
      <c r="D244"/>
      <c r="E244"/>
    </row>
    <row r="245" spans="1:5" x14ac:dyDescent="0.25">
      <c r="A245" s="7">
        <v>873.49161943606055</v>
      </c>
      <c r="B245"/>
      <c r="C245"/>
      <c r="D245"/>
      <c r="E245"/>
    </row>
    <row r="246" spans="1:5" x14ac:dyDescent="0.25">
      <c r="A246" s="7">
        <v>856.36433278045149</v>
      </c>
      <c r="B246"/>
      <c r="C246"/>
      <c r="D246"/>
      <c r="E246"/>
    </row>
    <row r="247" spans="1:5" x14ac:dyDescent="0.25">
      <c r="A247" s="7">
        <v>839.57287527495248</v>
      </c>
      <c r="B247"/>
      <c r="C247"/>
      <c r="D247"/>
      <c r="E247"/>
    </row>
    <row r="248" spans="1:5" x14ac:dyDescent="0.25">
      <c r="A248" s="7">
        <v>823.11066203426708</v>
      </c>
      <c r="B248"/>
      <c r="C248"/>
      <c r="D248"/>
      <c r="E248"/>
    </row>
    <row r="249" spans="1:5" x14ac:dyDescent="0.25">
      <c r="A249" s="7">
        <v>806.97123728849715</v>
      </c>
      <c r="B249"/>
      <c r="C249"/>
      <c r="D249"/>
      <c r="E249"/>
    </row>
    <row r="250" spans="1:5" x14ac:dyDescent="0.25">
      <c r="A250" s="7">
        <v>791.14827185146783</v>
      </c>
      <c r="B250"/>
      <c r="C250"/>
      <c r="D250"/>
      <c r="E250"/>
    </row>
    <row r="251" spans="1:5" x14ac:dyDescent="0.25">
      <c r="A251" s="7">
        <v>775.63556063869396</v>
      </c>
      <c r="B251"/>
      <c r="C251"/>
      <c r="D251"/>
      <c r="E251"/>
    </row>
    <row r="252" spans="1:5" x14ac:dyDescent="0.25">
      <c r="A252" s="7">
        <v>760.42702023401364</v>
      </c>
      <c r="B252"/>
      <c r="C252"/>
      <c r="D252"/>
      <c r="E252"/>
    </row>
    <row r="253" spans="1:5" x14ac:dyDescent="0.25">
      <c r="A253" s="7">
        <v>745.51668650393492</v>
      </c>
      <c r="B253"/>
      <c r="C253"/>
      <c r="D253"/>
      <c r="E253"/>
    </row>
    <row r="254" spans="1:5" x14ac:dyDescent="0.25">
      <c r="A254" s="7">
        <v>730.8987122587597</v>
      </c>
      <c r="B254"/>
      <c r="C254"/>
      <c r="D254"/>
      <c r="E254"/>
    </row>
    <row r="255" spans="1:5" x14ac:dyDescent="0.25">
      <c r="A255" s="7">
        <v>716.56736495956829</v>
      </c>
      <c r="B255"/>
      <c r="C255"/>
      <c r="D255"/>
      <c r="E255"/>
    </row>
    <row r="256" spans="1:5" x14ac:dyDescent="0.25">
      <c r="A256" s="7">
        <v>702.51702447016498</v>
      </c>
      <c r="B256"/>
      <c r="C256"/>
      <c r="D256"/>
      <c r="E256"/>
    </row>
    <row r="257" spans="1:5" x14ac:dyDescent="0.25">
      <c r="A257" s="7">
        <v>688.74218085310292</v>
      </c>
      <c r="B257"/>
      <c r="C257"/>
      <c r="D257"/>
      <c r="E257"/>
    </row>
    <row r="258" spans="1:5" x14ac:dyDescent="0.25">
      <c r="A258" s="7">
        <v>675.23743220892447</v>
      </c>
      <c r="B258"/>
      <c r="C258"/>
      <c r="D258"/>
      <c r="E258"/>
    </row>
    <row r="259" spans="1:5" x14ac:dyDescent="0.25">
      <c r="A259" s="7">
        <v>661.9974825577691</v>
      </c>
      <c r="B259"/>
      <c r="C259"/>
      <c r="D259"/>
      <c r="E259"/>
    </row>
    <row r="260" spans="1:5" x14ac:dyDescent="0.25">
      <c r="A260" s="7">
        <v>649.0171397625187</v>
      </c>
      <c r="B260"/>
      <c r="C260"/>
      <c r="D260"/>
      <c r="E260"/>
    </row>
    <row r="261" spans="1:5" x14ac:dyDescent="0.25">
      <c r="A261" s="7">
        <v>636.29131349266538</v>
      </c>
      <c r="B261"/>
      <c r="C261"/>
      <c r="D261"/>
      <c r="E261"/>
    </row>
    <row r="262" spans="1:5" x14ac:dyDescent="0.25">
      <c r="A262" s="7">
        <v>623.81501322810334</v>
      </c>
      <c r="B262"/>
      <c r="C262"/>
      <c r="D262"/>
      <c r="E262"/>
    </row>
    <row r="263" spans="1:5" x14ac:dyDescent="0.25">
      <c r="A263" s="7">
        <v>611.58334630206207</v>
      </c>
      <c r="B263"/>
      <c r="C263"/>
      <c r="D263"/>
      <c r="E263"/>
    </row>
    <row r="264" spans="1:5" x14ac:dyDescent="0.25">
      <c r="A264" s="7">
        <v>599.59151598241374</v>
      </c>
      <c r="B264"/>
      <c r="C264"/>
      <c r="D264"/>
      <c r="E264"/>
    </row>
    <row r="265" spans="1:5" x14ac:dyDescent="0.25">
      <c r="A265" s="7">
        <v>587.83481959060168</v>
      </c>
      <c r="B265"/>
      <c r="C265"/>
      <c r="D265"/>
      <c r="E265"/>
    </row>
    <row r="266" spans="1:5" x14ac:dyDescent="0.25">
      <c r="A266" s="7">
        <v>576.30864665745264</v>
      </c>
      <c r="B266"/>
      <c r="C266"/>
      <c r="D266"/>
      <c r="E266"/>
    </row>
    <row r="267" spans="1:5" x14ac:dyDescent="0.25">
      <c r="A267" s="7">
        <v>565.00847711514962</v>
      </c>
      <c r="B267"/>
      <c r="C267"/>
      <c r="D267"/>
      <c r="E267"/>
    </row>
    <row r="268" spans="1:5" x14ac:dyDescent="0.25">
      <c r="A268" s="7">
        <v>553.92987952465649</v>
      </c>
      <c r="B268"/>
      <c r="C268"/>
      <c r="D268"/>
      <c r="E268"/>
    </row>
    <row r="269" spans="1:5" x14ac:dyDescent="0.25">
      <c r="A269" s="7">
        <v>543.06850933789849</v>
      </c>
      <c r="B269"/>
      <c r="C269"/>
      <c r="D269"/>
      <c r="E269"/>
    </row>
    <row r="270" spans="1:5" x14ac:dyDescent="0.25">
      <c r="A270" s="7">
        <v>532.4201071940181</v>
      </c>
      <c r="B270"/>
      <c r="C270"/>
      <c r="D270"/>
      <c r="E270"/>
    </row>
    <row r="271" spans="1:5" x14ac:dyDescent="0.25">
      <c r="A271" s="7">
        <v>521.9804972490374</v>
      </c>
      <c r="B271"/>
      <c r="C271"/>
      <c r="D271"/>
      <c r="E271"/>
    </row>
    <row r="272" spans="1:5" x14ac:dyDescent="0.25">
      <c r="A272" s="7">
        <v>511.74558553827194</v>
      </c>
      <c r="B272"/>
      <c r="C272"/>
      <c r="D272"/>
      <c r="E272"/>
    </row>
    <row r="273" spans="1:5" x14ac:dyDescent="0.25">
      <c r="A273" s="7">
        <v>501.71135837085484</v>
      </c>
      <c r="B273"/>
      <c r="C273"/>
      <c r="D273"/>
      <c r="E273"/>
    </row>
    <row r="274" spans="1:5" x14ac:dyDescent="0.25">
      <c r="A274" s="7">
        <v>491.87388075574</v>
      </c>
      <c r="B274"/>
      <c r="C274"/>
      <c r="D274"/>
      <c r="E274"/>
    </row>
    <row r="275" spans="1:5" x14ac:dyDescent="0.25">
      <c r="A275" s="7">
        <v>482.22929485856861</v>
      </c>
      <c r="B275"/>
      <c r="C275"/>
      <c r="D275"/>
      <c r="E275"/>
    </row>
    <row r="276" spans="1:5" x14ac:dyDescent="0.25">
      <c r="A276" s="7">
        <v>472.77381848879276</v>
      </c>
      <c r="B276"/>
      <c r="C276"/>
      <c r="D276"/>
      <c r="E276"/>
    </row>
    <row r="277" spans="1:5" x14ac:dyDescent="0.25">
      <c r="A277" s="7">
        <v>463.50374361646345</v>
      </c>
      <c r="B277"/>
      <c r="C277"/>
      <c r="D277"/>
      <c r="E277"/>
    </row>
    <row r="278" spans="1:5" x14ac:dyDescent="0.25">
      <c r="A278" s="7">
        <v>454.41543491810143</v>
      </c>
      <c r="B278"/>
      <c r="C278"/>
      <c r="D278"/>
      <c r="E278"/>
    </row>
    <row r="279" spans="1:5" x14ac:dyDescent="0.25">
      <c r="A279" s="7">
        <v>445.50532835107981</v>
      </c>
      <c r="B279"/>
      <c r="C279"/>
      <c r="D279"/>
      <c r="E279"/>
    </row>
    <row r="280" spans="1:5" x14ac:dyDescent="0.25">
      <c r="A280" s="7">
        <v>436.76992975596062</v>
      </c>
      <c r="B280"/>
      <c r="C280"/>
      <c r="D280"/>
      <c r="E280"/>
    </row>
    <row r="281" spans="1:5" x14ac:dyDescent="0.25">
      <c r="A281" s="7">
        <v>428.20581348623591</v>
      </c>
      <c r="B281"/>
      <c r="C281"/>
      <c r="D281"/>
      <c r="E281"/>
    </row>
    <row r="282" spans="1:5" x14ac:dyDescent="0.25">
      <c r="A282" s="7">
        <v>419.80962106493718</v>
      </c>
      <c r="B282"/>
      <c r="C282"/>
      <c r="D282"/>
      <c r="E282"/>
    </row>
    <row r="283" spans="1:5" x14ac:dyDescent="0.25">
      <c r="A283" s="7">
        <v>411.57805986758547</v>
      </c>
      <c r="B283"/>
      <c r="C283"/>
      <c r="D283"/>
      <c r="E283"/>
    </row>
    <row r="284" spans="1:5" x14ac:dyDescent="0.25">
      <c r="A284" s="7">
        <v>403.50790183096615</v>
      </c>
      <c r="B284"/>
      <c r="C284"/>
      <c r="D284"/>
      <c r="E284"/>
    </row>
    <row r="285" spans="1:5" x14ac:dyDescent="0.25">
      <c r="A285" s="7">
        <v>395.59598218722169</v>
      </c>
      <c r="B285"/>
      <c r="C285"/>
      <c r="D285"/>
      <c r="E285"/>
    </row>
    <row r="286" spans="1:5" x14ac:dyDescent="0.25">
      <c r="A286" s="7">
        <v>387.83919822276636</v>
      </c>
      <c r="B286"/>
      <c r="C286"/>
      <c r="D286"/>
      <c r="E286"/>
    </row>
    <row r="287" spans="1:5" x14ac:dyDescent="0.25">
      <c r="A287" s="7">
        <v>380.23450806153562</v>
      </c>
      <c r="B287"/>
      <c r="C287"/>
      <c r="D287"/>
      <c r="E287"/>
    </row>
    <row r="288" spans="1:5" x14ac:dyDescent="0.25">
      <c r="A288" s="7">
        <v>372.77892947209375</v>
      </c>
      <c r="B288"/>
      <c r="C288"/>
      <c r="D288"/>
      <c r="E288"/>
    </row>
    <row r="289" spans="1:5" x14ac:dyDescent="0.25">
      <c r="A289" s="7">
        <v>365.46953869813115</v>
      </c>
      <c r="B289"/>
      <c r="C289"/>
      <c r="D289"/>
      <c r="E289"/>
    </row>
    <row r="290" spans="1:5" x14ac:dyDescent="0.25">
      <c r="A290" s="7">
        <v>358.30346931189325</v>
      </c>
      <c r="B290"/>
      <c r="C290"/>
      <c r="D290"/>
      <c r="E290"/>
    </row>
    <row r="291" spans="1:5" x14ac:dyDescent="0.25">
      <c r="A291" s="7">
        <v>351.27791109009144</v>
      </c>
      <c r="B291"/>
      <c r="C291"/>
      <c r="D291"/>
      <c r="E291"/>
    </row>
    <row r="292" spans="1:5" x14ac:dyDescent="0.25">
      <c r="A292" s="7">
        <v>344.39010891185433</v>
      </c>
      <c r="B292"/>
      <c r="C292"/>
      <c r="D292"/>
      <c r="E292"/>
    </row>
    <row r="293" spans="1:5" x14ac:dyDescent="0.25">
      <c r="A293" s="7">
        <v>337.63736167828853</v>
      </c>
      <c r="B293"/>
      <c r="C293"/>
      <c r="D293"/>
      <c r="E293"/>
    </row>
    <row r="294" spans="1:5" x14ac:dyDescent="0.25">
      <c r="A294" s="7">
        <v>331.01702125322402</v>
      </c>
      <c r="B294"/>
      <c r="C294"/>
      <c r="D294"/>
      <c r="E294"/>
    </row>
    <row r="295" spans="1:5" x14ac:dyDescent="0.25">
      <c r="A295" s="7">
        <v>324.52649142472944</v>
      </c>
      <c r="B295"/>
      <c r="C295"/>
      <c r="D295"/>
      <c r="E295"/>
    </row>
    <row r="296" spans="1:5" x14ac:dyDescent="0.25">
      <c r="A296" s="7">
        <v>318.16322688698966</v>
      </c>
      <c r="B296"/>
      <c r="C296"/>
      <c r="D296"/>
      <c r="E296"/>
    </row>
    <row r="297" spans="1:5" x14ac:dyDescent="0.25">
      <c r="A297" s="7">
        <v>311.92473224214672</v>
      </c>
      <c r="B297"/>
      <c r="C297"/>
      <c r="D297"/>
      <c r="E297"/>
    </row>
    <row r="298" spans="1:5" x14ac:dyDescent="0.25">
      <c r="A298" s="7">
        <v>305.80856102171248</v>
      </c>
      <c r="B298"/>
      <c r="C298"/>
      <c r="D298"/>
      <c r="E298"/>
    </row>
    <row r="299" spans="1:5" x14ac:dyDescent="0.25">
      <c r="A299" s="7">
        <v>299.81231472716911</v>
      </c>
      <c r="B299"/>
      <c r="C299"/>
      <c r="D299"/>
      <c r="E299"/>
    </row>
    <row r="300" spans="1:5" x14ac:dyDescent="0.25">
      <c r="A300" s="7">
        <v>293.93364188938148</v>
      </c>
      <c r="B300"/>
      <c r="C300"/>
      <c r="D300"/>
      <c r="E300"/>
    </row>
    <row r="301" spans="1:5" x14ac:dyDescent="0.25">
      <c r="A301" s="7">
        <v>288.17023714645245</v>
      </c>
      <c r="B301"/>
      <c r="C301"/>
      <c r="D301"/>
      <c r="E301"/>
    </row>
    <row r="302" spans="1:5" x14ac:dyDescent="0.25">
      <c r="A302" s="7">
        <v>282.51984033965925</v>
      </c>
      <c r="B302"/>
      <c r="C302"/>
      <c r="D302"/>
      <c r="E302"/>
    </row>
    <row r="303" spans="1:5" x14ac:dyDescent="0.25">
      <c r="A303" s="7">
        <v>276.98023562711688</v>
      </c>
      <c r="B303"/>
      <c r="C303"/>
      <c r="D303"/>
      <c r="E303"/>
    </row>
    <row r="304" spans="1:5" x14ac:dyDescent="0.25">
      <c r="A304" s="7">
        <v>271.54925061482049</v>
      </c>
      <c r="B304"/>
      <c r="C304"/>
      <c r="D304"/>
      <c r="E304"/>
    </row>
    <row r="305" spans="1:5" x14ac:dyDescent="0.25">
      <c r="A305" s="7">
        <v>266.22475550472598</v>
      </c>
      <c r="B305"/>
      <c r="C305"/>
      <c r="D305"/>
      <c r="E305"/>
    </row>
    <row r="306" spans="1:5" x14ac:dyDescent="0.25">
      <c r="A306" s="7">
        <v>261.00466225953528</v>
      </c>
      <c r="B306"/>
      <c r="C306"/>
      <c r="D306"/>
      <c r="E306"/>
    </row>
    <row r="307" spans="1:5" x14ac:dyDescent="0.25">
      <c r="A307" s="7">
        <v>255.88692378385809</v>
      </c>
      <c r="B307"/>
      <c r="C307"/>
      <c r="D307"/>
      <c r="E307"/>
    </row>
    <row r="308" spans="1:5" x14ac:dyDescent="0.25">
      <c r="A308" s="7">
        <v>250.8695331214295</v>
      </c>
      <c r="B308"/>
      <c r="C308"/>
      <c r="D308"/>
      <c r="E308"/>
    </row>
    <row r="309" spans="1:5" x14ac:dyDescent="0.25">
      <c r="A309" s="7">
        <v>245.95052266806812</v>
      </c>
      <c r="B309"/>
      <c r="C309"/>
      <c r="D309"/>
      <c r="E309"/>
    </row>
    <row r="310" spans="1:5" x14ac:dyDescent="0.25">
      <c r="A310" s="7">
        <v>241.12796340006679</v>
      </c>
      <c r="B310"/>
      <c r="C310"/>
      <c r="D310"/>
      <c r="E310"/>
    </row>
    <row r="311" spans="1:5" x14ac:dyDescent="0.25">
      <c r="A311" s="7">
        <v>236.39996411771253</v>
      </c>
      <c r="B311"/>
      <c r="C311"/>
      <c r="D311"/>
      <c r="E311"/>
    </row>
    <row r="312" spans="1:5" x14ac:dyDescent="0.25">
      <c r="A312" s="7">
        <v>231.76467070363972</v>
      </c>
      <c r="B312"/>
      <c r="C312"/>
      <c r="D312"/>
      <c r="E312"/>
    </row>
    <row r="313" spans="1:5" x14ac:dyDescent="0.25">
      <c r="A313" s="7">
        <v>227.22026539572522</v>
      </c>
      <c r="B313"/>
      <c r="C313"/>
      <c r="D313"/>
      <c r="E313"/>
    </row>
    <row r="314" spans="1:5" x14ac:dyDescent="0.25">
      <c r="A314" s="7">
        <v>222.76496607424042</v>
      </c>
      <c r="B314"/>
      <c r="C314"/>
      <c r="D314"/>
      <c r="E314"/>
    </row>
    <row r="315" spans="1:5" x14ac:dyDescent="0.25">
      <c r="A315" s="7">
        <v>218.39702556298079</v>
      </c>
      <c r="B315"/>
      <c r="C315"/>
      <c r="D315"/>
      <c r="E315"/>
    </row>
    <row r="316" spans="1:5" x14ac:dyDescent="0.25">
      <c r="A316" s="7">
        <v>214.1147309440988</v>
      </c>
      <c r="B316"/>
      <c r="C316"/>
      <c r="D316"/>
      <c r="E316"/>
    </row>
    <row r="317" spans="1:5" x14ac:dyDescent="0.25">
      <c r="A317" s="7">
        <v>209.91640288637137</v>
      </c>
      <c r="B317"/>
      <c r="C317"/>
      <c r="D317"/>
      <c r="E317"/>
    </row>
    <row r="318" spans="1:5" x14ac:dyDescent="0.25">
      <c r="A318" s="7">
        <v>205.80039498663859</v>
      </c>
      <c r="B318"/>
      <c r="C318"/>
      <c r="D318"/>
      <c r="E318"/>
    </row>
    <row r="319" spans="1:5" x14ac:dyDescent="0.25">
      <c r="A319" s="7">
        <v>201.76509312415547</v>
      </c>
      <c r="B319"/>
      <c r="C319"/>
      <c r="D319"/>
      <c r="E319"/>
    </row>
    <row r="320" spans="1:5" x14ac:dyDescent="0.25">
      <c r="A320" s="7">
        <v>197.80891482760339</v>
      </c>
      <c r="B320"/>
      <c r="C320"/>
      <c r="D320"/>
      <c r="E320"/>
    </row>
    <row r="321" spans="1:5" x14ac:dyDescent="0.25">
      <c r="A321" s="7">
        <v>193.93030865451311</v>
      </c>
      <c r="B321"/>
      <c r="C321"/>
      <c r="D321"/>
      <c r="E321"/>
    </row>
    <row r="322" spans="1:5" x14ac:dyDescent="0.25">
      <c r="A322" s="7">
        <v>190.127753582856</v>
      </c>
      <c r="B322"/>
      <c r="C322"/>
      <c r="D322"/>
      <c r="E322"/>
    </row>
    <row r="323" spans="1:5" x14ac:dyDescent="0.25">
      <c r="A323" s="7">
        <v>186.3997584145647</v>
      </c>
      <c r="B323"/>
      <c r="C323"/>
      <c r="D323"/>
      <c r="E323"/>
    </row>
    <row r="324" spans="1:5" x14ac:dyDescent="0.25">
      <c r="A324" s="7">
        <v>182.7448611907497</v>
      </c>
      <c r="B324"/>
      <c r="C324"/>
      <c r="D324"/>
      <c r="E324"/>
    </row>
    <row r="325" spans="1:5" x14ac:dyDescent="0.25">
      <c r="A325" s="7">
        <v>179.16162861838205</v>
      </c>
      <c r="B325"/>
      <c r="C325"/>
      <c r="D325"/>
      <c r="E325"/>
    </row>
    <row r="326" spans="1:5" x14ac:dyDescent="0.25">
      <c r="A326" s="7">
        <v>175.6486555082177</v>
      </c>
      <c r="B326"/>
      <c r="C326"/>
      <c r="D326"/>
      <c r="E326"/>
    </row>
    <row r="327" spans="1:5" x14ac:dyDescent="0.25">
      <c r="A327" s="7">
        <v>172.20456422374284</v>
      </c>
      <c r="B327"/>
      <c r="C327"/>
      <c r="D327"/>
      <c r="E327"/>
    </row>
    <row r="328" spans="1:5" x14ac:dyDescent="0.25">
      <c r="A328" s="7">
        <v>168.82800414092435</v>
      </c>
      <c r="B328"/>
      <c r="C328"/>
      <c r="D328"/>
      <c r="E328"/>
    </row>
    <row r="329" spans="1:5" x14ac:dyDescent="0.25">
      <c r="A329" s="7">
        <v>165.51765111855329</v>
      </c>
      <c r="B329"/>
      <c r="C329"/>
      <c r="D329"/>
      <c r="E329"/>
    </row>
    <row r="330" spans="1:5" x14ac:dyDescent="0.25">
      <c r="A330" s="7">
        <v>162.2722069789738</v>
      </c>
      <c r="B330"/>
      <c r="C330"/>
      <c r="D330"/>
      <c r="E330"/>
    </row>
    <row r="331" spans="1:5" x14ac:dyDescent="0.25">
      <c r="A331" s="7">
        <v>159.09039899899392</v>
      </c>
      <c r="B331"/>
      <c r="C331"/>
      <c r="D331"/>
      <c r="E331"/>
    </row>
    <row r="332" spans="1:5" x14ac:dyDescent="0.25">
      <c r="A332" s="7">
        <v>155.97097941077834</v>
      </c>
      <c r="B332"/>
      <c r="C332"/>
      <c r="D332"/>
      <c r="E332"/>
    </row>
    <row r="333" spans="1:5" x14ac:dyDescent="0.25">
      <c r="A333" s="7">
        <v>152.91272491252778</v>
      </c>
      <c r="B333"/>
      <c r="C333"/>
      <c r="D333"/>
      <c r="E333"/>
    </row>
    <row r="334" spans="1:5" x14ac:dyDescent="0.25">
      <c r="A334" s="7">
        <v>149.91443618875272</v>
      </c>
      <c r="B334"/>
      <c r="C334"/>
      <c r="D334"/>
      <c r="E334"/>
    </row>
    <row r="335" spans="1:5" x14ac:dyDescent="0.25">
      <c r="A335" s="7">
        <v>146.97493743995364</v>
      </c>
      <c r="B335"/>
      <c r="C335"/>
      <c r="D335"/>
      <c r="E335"/>
    </row>
    <row r="336" spans="1:5" x14ac:dyDescent="0.25">
      <c r="A336" s="7">
        <v>144.09307592152317</v>
      </c>
      <c r="B336"/>
      <c r="C336"/>
      <c r="D336"/>
      <c r="E336"/>
    </row>
    <row r="337" spans="1:5" x14ac:dyDescent="0.25">
      <c r="A337" s="7">
        <v>141.26772149168937</v>
      </c>
      <c r="B337"/>
      <c r="C337"/>
      <c r="D337"/>
      <c r="E337"/>
    </row>
    <row r="338" spans="1:5" x14ac:dyDescent="0.25">
      <c r="A338" s="7">
        <v>138.4977661683229</v>
      </c>
      <c r="B338"/>
      <c r="C338"/>
      <c r="D338"/>
      <c r="E338"/>
    </row>
    <row r="339" spans="1:5" x14ac:dyDescent="0.25">
      <c r="A339" s="7">
        <v>135.7821236944342</v>
      </c>
      <c r="B339"/>
      <c r="C339"/>
      <c r="D339"/>
      <c r="E339"/>
    </row>
    <row r="340" spans="1:5" x14ac:dyDescent="0.25">
      <c r="A340" s="7">
        <v>133.11972911219038</v>
      </c>
      <c r="B340"/>
      <c r="C340"/>
      <c r="D340"/>
      <c r="E340"/>
    </row>
    <row r="341" spans="1:5" x14ac:dyDescent="0.25">
      <c r="A341" s="7">
        <v>130.50953834528468</v>
      </c>
      <c r="B341"/>
      <c r="C341"/>
      <c r="D341"/>
      <c r="E341"/>
    </row>
    <row r="342" spans="1:5" x14ac:dyDescent="0.25">
      <c r="A342" s="7">
        <v>127.95052778949477</v>
      </c>
      <c r="B342"/>
      <c r="C342"/>
      <c r="D342"/>
      <c r="E342"/>
    </row>
    <row r="343" spans="1:5" x14ac:dyDescent="0.25">
      <c r="A343" s="7">
        <v>125.44169391126938</v>
      </c>
      <c r="B343"/>
      <c r="C343"/>
      <c r="D343"/>
      <c r="E343"/>
    </row>
    <row r="344" spans="1:5" x14ac:dyDescent="0.25">
      <c r="A344" s="7">
        <v>122.98205285418567</v>
      </c>
      <c r="B344"/>
      <c r="C344"/>
      <c r="D344"/>
      <c r="E344"/>
    </row>
    <row r="345" spans="1:5" x14ac:dyDescent="0.25">
      <c r="A345" s="7">
        <v>120.5706400531232</v>
      </c>
      <c r="B345"/>
      <c r="C345"/>
      <c r="D345"/>
      <c r="E345"/>
    </row>
    <row r="346" spans="1:5" x14ac:dyDescent="0.25">
      <c r="A346" s="7">
        <v>118.20650985600314</v>
      </c>
      <c r="B346"/>
      <c r="C346"/>
      <c r="D346"/>
      <c r="E346"/>
    </row>
    <row r="347" spans="1:5" x14ac:dyDescent="0.25">
      <c r="A347" s="7">
        <v>115.88873515294425</v>
      </c>
      <c r="B347"/>
      <c r="C347"/>
      <c r="D347"/>
      <c r="E347"/>
    </row>
    <row r="348" spans="1:5" x14ac:dyDescent="0.25">
      <c r="A348" s="7">
        <v>113.61640701269044</v>
      </c>
      <c r="B348"/>
      <c r="C348"/>
      <c r="D348"/>
      <c r="E348"/>
    </row>
    <row r="349" spans="1:5" x14ac:dyDescent="0.25">
      <c r="A349" s="7">
        <v>111.38863432616711</v>
      </c>
      <c r="B349"/>
      <c r="C349"/>
      <c r="D349"/>
      <c r="E349"/>
    </row>
    <row r="350" spans="1:5" x14ac:dyDescent="0.25">
      <c r="A350" s="7">
        <v>109.20454345702657</v>
      </c>
      <c r="B350"/>
      <c r="C350"/>
      <c r="D350"/>
      <c r="E350"/>
    </row>
    <row r="351" spans="1:5" x14ac:dyDescent="0.25">
      <c r="A351" s="7">
        <v>107.06327789904566</v>
      </c>
      <c r="B351"/>
      <c r="C351"/>
      <c r="D351"/>
      <c r="E351"/>
    </row>
    <row r="352" spans="1:5" x14ac:dyDescent="0.25">
      <c r="A352" s="7">
        <v>104.96399794024084</v>
      </c>
      <c r="B352"/>
      <c r="C352"/>
      <c r="D352"/>
      <c r="E352"/>
    </row>
    <row r="353" spans="1:5" x14ac:dyDescent="0.25">
      <c r="A353" s="7">
        <v>102.90588033356946</v>
      </c>
      <c r="B353"/>
      <c r="C353"/>
      <c r="D353"/>
      <c r="E353"/>
    </row>
    <row r="354" spans="1:5" x14ac:dyDescent="0.25">
      <c r="A354" s="7">
        <v>100.88811797408771</v>
      </c>
      <c r="B354"/>
      <c r="C354"/>
      <c r="D354"/>
      <c r="E354"/>
    </row>
    <row r="355" spans="1:5" x14ac:dyDescent="0.25">
      <c r="A355" s="7">
        <v>98.909919582438931</v>
      </c>
      <c r="B355"/>
      <c r="C355"/>
      <c r="D355"/>
      <c r="E355"/>
    </row>
    <row r="356" spans="1:5" x14ac:dyDescent="0.25">
      <c r="A356" s="7">
        <v>96.970509394547975</v>
      </c>
      <c r="B356"/>
      <c r="C356"/>
      <c r="D356"/>
      <c r="E356"/>
    </row>
    <row r="357" spans="1:5" x14ac:dyDescent="0.25">
      <c r="A357" s="7">
        <v>95.069126857399979</v>
      </c>
      <c r="B357"/>
      <c r="C357"/>
      <c r="D357"/>
      <c r="E357"/>
    </row>
    <row r="358" spans="1:5" x14ac:dyDescent="0.25">
      <c r="A358" s="7">
        <v>93.205026330784293</v>
      </c>
      <c r="B358"/>
      <c r="C358"/>
      <c r="D358"/>
      <c r="E358"/>
    </row>
    <row r="359" spans="1:5" x14ac:dyDescent="0.25">
      <c r="A359" s="7">
        <v>91.377476794886562</v>
      </c>
      <c r="B359"/>
      <c r="C359"/>
      <c r="D359"/>
      <c r="E359"/>
    </row>
    <row r="360" spans="1:5" x14ac:dyDescent="0.25">
      <c r="A360" s="7">
        <v>89.58576156361427</v>
      </c>
      <c r="B360"/>
      <c r="C360"/>
      <c r="D360"/>
      <c r="E360"/>
    </row>
    <row r="361" spans="1:5" x14ac:dyDescent="0.25">
      <c r="A361" s="7">
        <v>87.829178003543404</v>
      </c>
      <c r="B361"/>
      <c r="C361"/>
      <c r="D361"/>
      <c r="E361"/>
    </row>
    <row r="362" spans="1:5" x14ac:dyDescent="0.25">
      <c r="A362" s="7">
        <v>86.107037258375883</v>
      </c>
      <c r="B362"/>
      <c r="C362"/>
      <c r="D362"/>
      <c r="E362"/>
    </row>
    <row r="363" spans="1:5" x14ac:dyDescent="0.25">
      <c r="A363" s="7">
        <v>84.418663978799884</v>
      </c>
      <c r="B363"/>
      <c r="C363"/>
      <c r="D363"/>
      <c r="E363"/>
    </row>
    <row r="364" spans="1:5" x14ac:dyDescent="0.25">
      <c r="A364" s="7">
        <v>82.763396057646943</v>
      </c>
      <c r="B364"/>
      <c r="C364"/>
      <c r="D364"/>
      <c r="E364"/>
    </row>
    <row r="365" spans="1:5" x14ac:dyDescent="0.25">
      <c r="A365" s="7">
        <v>81.140584370242095</v>
      </c>
      <c r="B365"/>
      <c r="C365"/>
      <c r="D365"/>
      <c r="E365"/>
    </row>
    <row r="366" spans="1:5" x14ac:dyDescent="0.25">
      <c r="A366" s="7">
        <v>79.549592519845191</v>
      </c>
      <c r="B366"/>
      <c r="C366"/>
      <c r="D366"/>
      <c r="E366"/>
    </row>
    <row r="367" spans="1:5" x14ac:dyDescent="0.25">
      <c r="A367" s="7">
        <v>77.989796588083522</v>
      </c>
      <c r="B367"/>
      <c r="C367"/>
      <c r="D367"/>
      <c r="E367"/>
    </row>
    <row r="368" spans="1:5" x14ac:dyDescent="0.25">
      <c r="A368" s="7">
        <v>76.460584890277957</v>
      </c>
      <c r="B368"/>
      <c r="C368"/>
      <c r="D368"/>
      <c r="E368"/>
    </row>
    <row r="369" spans="1:5" x14ac:dyDescent="0.25">
      <c r="A369" s="7">
        <v>74.961357735566622</v>
      </c>
      <c r="B369"/>
      <c r="C369"/>
      <c r="D369"/>
      <c r="E369"/>
    </row>
    <row r="370" spans="1:5" x14ac:dyDescent="0.25">
      <c r="A370" s="7">
        <v>73.491527191731976</v>
      </c>
      <c r="B370"/>
      <c r="C370"/>
      <c r="D370"/>
      <c r="E370"/>
    </row>
    <row r="371" spans="1:5" x14ac:dyDescent="0.25">
      <c r="A371" s="7">
        <v>72.050516854639184</v>
      </c>
      <c r="B371"/>
      <c r="C371"/>
      <c r="D371"/>
      <c r="E371"/>
    </row>
    <row r="372" spans="1:5" x14ac:dyDescent="0.25">
      <c r="A372" s="7">
        <v>70.637761622195271</v>
      </c>
      <c r="B372"/>
      <c r="C372"/>
      <c r="D372"/>
      <c r="E372"/>
    </row>
    <row r="373" spans="1:5" x14ac:dyDescent="0.25">
      <c r="A373" s="7">
        <v>69.252707472740454</v>
      </c>
      <c r="B373"/>
      <c r="C373"/>
      <c r="D373"/>
      <c r="E373"/>
    </row>
    <row r="374" spans="1:5" x14ac:dyDescent="0.25">
      <c r="A374" s="7">
        <v>67.894811247784759</v>
      </c>
      <c r="B374"/>
      <c r="C374"/>
      <c r="D374"/>
      <c r="E374"/>
    </row>
    <row r="375" spans="1:5" x14ac:dyDescent="0.25">
      <c r="A375" s="7">
        <v>66.563540439004669</v>
      </c>
      <c r="B375"/>
      <c r="C375"/>
      <c r="D375"/>
      <c r="E375"/>
    </row>
    <row r="376" spans="1:5" x14ac:dyDescent="0.25">
      <c r="A376" s="7">
        <v>65.258372979416336</v>
      </c>
      <c r="B376"/>
      <c r="C376"/>
      <c r="D376"/>
      <c r="E376"/>
    </row>
    <row r="377" spans="1:5" x14ac:dyDescent="0.25">
      <c r="A377" s="7">
        <v>63.978797038643471</v>
      </c>
      <c r="B377"/>
      <c r="C377"/>
      <c r="D377"/>
      <c r="E377"/>
    </row>
    <row r="378" spans="1:5" x14ac:dyDescent="0.25">
      <c r="A378" s="7">
        <v>62.724310822199477</v>
      </c>
      <c r="B378"/>
      <c r="C378"/>
      <c r="D378"/>
      <c r="E378"/>
    </row>
    <row r="379" spans="1:5" x14ac:dyDescent="0.25">
      <c r="A379" s="7">
        <v>61.494422374705366</v>
      </c>
      <c r="B379"/>
      <c r="C379"/>
      <c r="D379"/>
      <c r="E379"/>
    </row>
    <row r="380" spans="1:5" x14ac:dyDescent="0.25">
      <c r="A380" s="7">
        <v>60.288649386966043</v>
      </c>
      <c r="B380"/>
      <c r="C380"/>
      <c r="D380"/>
      <c r="E380"/>
    </row>
    <row r="381" spans="1:5" x14ac:dyDescent="0.25">
      <c r="A381" s="7">
        <v>59.106519006829451</v>
      </c>
      <c r="B381"/>
      <c r="C381"/>
      <c r="D381"/>
      <c r="E381"/>
    </row>
    <row r="382" spans="1:5" x14ac:dyDescent="0.25">
      <c r="A382" s="7">
        <v>57.947567653754362</v>
      </c>
      <c r="B382"/>
      <c r="C382"/>
      <c r="D382"/>
      <c r="E382"/>
    </row>
    <row r="383" spans="1:5" x14ac:dyDescent="0.25">
      <c r="A383" s="7">
        <v>56.811340837014079</v>
      </c>
      <c r="B383"/>
      <c r="C383"/>
      <c r="D383"/>
      <c r="E383"/>
    </row>
    <row r="384" spans="1:5" x14ac:dyDescent="0.25">
      <c r="A384" s="7">
        <v>55.69739297746478</v>
      </c>
      <c r="B384"/>
      <c r="C384"/>
      <c r="D384"/>
      <c r="E384"/>
    </row>
    <row r="385" spans="1:5" x14ac:dyDescent="0.25">
      <c r="A385" s="7">
        <v>54.605287232808607</v>
      </c>
      <c r="B385"/>
      <c r="C385"/>
      <c r="D385"/>
      <c r="E385"/>
    </row>
    <row r="386" spans="1:5" x14ac:dyDescent="0.25">
      <c r="A386" s="7">
        <v>53.534595326282947</v>
      </c>
      <c r="B386"/>
      <c r="C386"/>
      <c r="D386"/>
      <c r="E386"/>
    </row>
    <row r="387" spans="1:5" x14ac:dyDescent="0.25">
      <c r="A387" s="7">
        <v>52.484897378708773</v>
      </c>
      <c r="B387"/>
      <c r="C387"/>
      <c r="D387"/>
      <c r="E387"/>
    </row>
    <row r="388" spans="1:5" x14ac:dyDescent="0.25">
      <c r="A388" s="7">
        <v>51.455781743832127</v>
      </c>
      <c r="B388"/>
      <c r="C388"/>
      <c r="D388"/>
      <c r="E388"/>
    </row>
    <row r="389" spans="1:5" x14ac:dyDescent="0.25">
      <c r="A389" s="7">
        <v>50.446844846894244</v>
      </c>
      <c r="B389"/>
      <c r="C389"/>
      <c r="D389"/>
      <c r="E389"/>
    </row>
    <row r="390" spans="1:5" x14ac:dyDescent="0.25">
      <c r="A390" s="7">
        <v>49.457691026366902</v>
      </c>
      <c r="B390"/>
      <c r="C390"/>
      <c r="D390"/>
      <c r="E390"/>
    </row>
    <row r="391" spans="1:5" x14ac:dyDescent="0.25">
      <c r="A391" s="7">
        <v>48.487932378791079</v>
      </c>
      <c r="B391"/>
      <c r="C391"/>
      <c r="D391"/>
      <c r="E391"/>
    </row>
    <row r="392" spans="1:5" x14ac:dyDescent="0.25">
      <c r="A392" s="7">
        <v>47.537188606657921</v>
      </c>
      <c r="B392"/>
      <c r="C392"/>
      <c r="D392"/>
      <c r="E392"/>
    </row>
    <row r="393" spans="1:5" x14ac:dyDescent="0.25">
      <c r="A393" s="7">
        <v>46.605086869272469</v>
      </c>
      <c r="B393"/>
      <c r="C393"/>
      <c r="D393"/>
      <c r="E393"/>
    </row>
    <row r="394" spans="1:5" x14ac:dyDescent="0.25">
      <c r="A394" s="7">
        <v>45.691261636541633</v>
      </c>
      <c r="B394"/>
      <c r="C394"/>
      <c r="D394"/>
      <c r="E394"/>
    </row>
    <row r="395" spans="1:5" x14ac:dyDescent="0.25">
      <c r="A395" s="7">
        <v>44.795354545629053</v>
      </c>
      <c r="B395"/>
      <c r="C395"/>
      <c r="D395"/>
      <c r="E395"/>
    </row>
    <row r="396" spans="1:5" x14ac:dyDescent="0.25">
      <c r="A396" s="7">
        <v>43.917014260420636</v>
      </c>
      <c r="B396"/>
      <c r="C396"/>
      <c r="D396"/>
      <c r="E396"/>
    </row>
    <row r="397" spans="1:5" x14ac:dyDescent="0.25">
      <c r="A397" s="7">
        <v>43.055896333745721</v>
      </c>
      <c r="B397"/>
      <c r="C397"/>
      <c r="D397"/>
      <c r="E397"/>
    </row>
    <row r="398" spans="1:5" x14ac:dyDescent="0.25">
      <c r="A398" s="7">
        <v>42.211663072299729</v>
      </c>
      <c r="B398"/>
      <c r="C398"/>
      <c r="D398"/>
      <c r="E398"/>
    </row>
    <row r="399" spans="1:5" x14ac:dyDescent="0.25">
      <c r="A399" s="7">
        <v>41.383983404215421</v>
      </c>
      <c r="B399"/>
      <c r="C399"/>
      <c r="D399"/>
      <c r="E399"/>
    </row>
    <row r="400" spans="1:5" x14ac:dyDescent="0.25">
      <c r="A400" s="7">
        <v>40.572532749230803</v>
      </c>
      <c r="B400"/>
      <c r="C400"/>
      <c r="D400"/>
      <c r="E400"/>
    </row>
    <row r="401" spans="1:5" x14ac:dyDescent="0.25">
      <c r="A401" s="7">
        <v>39.776992891402749</v>
      </c>
      <c r="B401"/>
      <c r="C401"/>
      <c r="D401"/>
      <c r="E401"/>
    </row>
    <row r="402" spans="1:5" x14ac:dyDescent="0.25">
      <c r="A402" s="7">
        <v>38.997051854316418</v>
      </c>
      <c r="B402"/>
      <c r="C402"/>
      <c r="D402"/>
      <c r="E402"/>
    </row>
    <row r="403" spans="1:5" x14ac:dyDescent="0.25">
      <c r="A403" s="7">
        <v>38.232403778741585</v>
      </c>
      <c r="B403"/>
      <c r="C403"/>
      <c r="D403"/>
      <c r="E403"/>
    </row>
    <row r="404" spans="1:5" x14ac:dyDescent="0.25">
      <c r="A404" s="7">
        <v>37.48274880268783</v>
      </c>
      <c r="B404"/>
      <c r="C404"/>
      <c r="D404"/>
      <c r="E404"/>
    </row>
    <row r="405" spans="1:5" x14ac:dyDescent="0.25">
      <c r="A405" s="7">
        <v>36.747792943811596</v>
      </c>
      <c r="B405"/>
      <c r="C405"/>
      <c r="D405"/>
      <c r="E405"/>
    </row>
    <row r="406" spans="1:5" x14ac:dyDescent="0.25">
      <c r="A406" s="7">
        <v>36.027247984129012</v>
      </c>
      <c r="B406"/>
      <c r="C406"/>
      <c r="D406"/>
      <c r="E406"/>
    </row>
    <row r="407" spans="1:5" x14ac:dyDescent="0.25">
      <c r="A407" s="7">
        <v>35.320831356989224</v>
      </c>
      <c r="B407"/>
      <c r="C407"/>
      <c r="D407"/>
      <c r="E407"/>
    </row>
    <row r="408" spans="1:5" x14ac:dyDescent="0.25">
      <c r="A408" s="7">
        <v>34.628266036263945</v>
      </c>
      <c r="B408"/>
      <c r="C408"/>
      <c r="D408"/>
      <c r="E408"/>
    </row>
    <row r="409" spans="1:5" x14ac:dyDescent="0.25">
      <c r="A409" s="7">
        <v>33.949280427709752</v>
      </c>
      <c r="B409"/>
      <c r="C409"/>
      <c r="D409"/>
      <c r="E409"/>
    </row>
    <row r="410" spans="1:5" x14ac:dyDescent="0.25">
      <c r="A410" s="7">
        <v>33.28360826246054</v>
      </c>
      <c r="B410"/>
      <c r="C410"/>
      <c r="D410"/>
      <c r="E410"/>
    </row>
    <row r="411" spans="1:5" x14ac:dyDescent="0.25">
      <c r="A411" s="7">
        <v>32.630988492608374</v>
      </c>
      <c r="B411"/>
      <c r="C411"/>
      <c r="D411"/>
      <c r="E411"/>
    </row>
    <row r="412" spans="1:5" x14ac:dyDescent="0.25">
      <c r="A412" s="7">
        <v>31.99116518883174</v>
      </c>
      <c r="B412"/>
      <c r="C412"/>
      <c r="D412"/>
      <c r="E412"/>
    </row>
    <row r="413" spans="1:5" x14ac:dyDescent="0.25">
      <c r="A413" s="7">
        <v>31.363887440031117</v>
      </c>
      <c r="B413"/>
      <c r="C413"/>
      <c r="D413"/>
      <c r="E413"/>
    </row>
    <row r="414" spans="1:5" x14ac:dyDescent="0.25">
      <c r="A414" s="7">
        <v>30.748909254932467</v>
      </c>
      <c r="B414"/>
      <c r="C414"/>
      <c r="D414"/>
      <c r="E414"/>
    </row>
    <row r="415" spans="1:5" x14ac:dyDescent="0.25">
      <c r="A415" s="7">
        <v>30.145989465620065</v>
      </c>
      <c r="B415"/>
      <c r="C415"/>
      <c r="D415"/>
      <c r="E415"/>
    </row>
    <row r="416" spans="1:5" x14ac:dyDescent="0.25">
      <c r="A416" s="7">
        <v>29.55489163296085</v>
      </c>
      <c r="B416"/>
      <c r="C416"/>
      <c r="D416"/>
      <c r="E416"/>
    </row>
    <row r="417" spans="1:5" x14ac:dyDescent="0.25">
      <c r="A417" s="7">
        <v>28.975383953883185</v>
      </c>
      <c r="B417"/>
      <c r="C417"/>
      <c r="D417"/>
      <c r="E417"/>
    </row>
    <row r="418" spans="1:5" x14ac:dyDescent="0.25">
      <c r="A418" s="7">
        <v>28.407239170473709</v>
      </c>
      <c r="B418"/>
      <c r="C418"/>
      <c r="D418"/>
      <c r="E418"/>
    </row>
    <row r="419" spans="1:5" x14ac:dyDescent="0.25">
      <c r="A419" s="7">
        <v>27.850234480856578</v>
      </c>
      <c r="B419"/>
      <c r="C419"/>
      <c r="D419"/>
      <c r="E419"/>
    </row>
    <row r="420" spans="1:5" x14ac:dyDescent="0.25">
      <c r="A420" s="7">
        <v>27.304151451820175</v>
      </c>
      <c r="B420"/>
      <c r="C420"/>
      <c r="D420"/>
      <c r="E420"/>
    </row>
    <row r="421" spans="1:5" x14ac:dyDescent="0.25">
      <c r="A421" s="7">
        <v>26.768775933157034</v>
      </c>
      <c r="B421"/>
      <c r="C421"/>
      <c r="D421"/>
      <c r="E421"/>
    </row>
    <row r="422" spans="1:5" x14ac:dyDescent="0.25">
      <c r="A422" s="7">
        <v>26.243897973683367</v>
      </c>
      <c r="B422"/>
      <c r="C422"/>
      <c r="D422"/>
      <c r="E422"/>
    </row>
    <row r="423" spans="1:5" x14ac:dyDescent="0.25">
      <c r="A423" s="7">
        <v>25.729311738905263</v>
      </c>
      <c r="B423"/>
      <c r="C423"/>
      <c r="D423"/>
      <c r="E423"/>
    </row>
    <row r="424" spans="1:5" x14ac:dyDescent="0.25">
      <c r="A424" s="7">
        <v>25.224815430299277</v>
      </c>
      <c r="B424"/>
      <c r="C424"/>
      <c r="D424"/>
      <c r="E424"/>
    </row>
    <row r="425" spans="1:5" x14ac:dyDescent="0.25">
      <c r="A425" s="7">
        <v>24.73021120617576</v>
      </c>
      <c r="B425"/>
      <c r="C425"/>
      <c r="D425"/>
      <c r="E425"/>
    </row>
    <row r="426" spans="1:5" x14ac:dyDescent="0.25">
      <c r="A426" s="7">
        <v>24.24530510409388</v>
      </c>
      <c r="B426"/>
      <c r="C426"/>
      <c r="D426"/>
      <c r="E426"/>
    </row>
    <row r="427" spans="1:5" x14ac:dyDescent="0.25">
      <c r="A427" s="7">
        <v>23.769906964797922</v>
      </c>
      <c r="B427"/>
      <c r="C427"/>
      <c r="D427"/>
      <c r="E427"/>
    </row>
    <row r="428" spans="1:5" x14ac:dyDescent="0.25">
      <c r="A428" s="7">
        <v>23.303830357645023</v>
      </c>
      <c r="B428"/>
      <c r="C428"/>
      <c r="D428"/>
      <c r="E428"/>
    </row>
    <row r="429" spans="1:5" x14ac:dyDescent="0.25">
      <c r="A429" s="7">
        <v>22.84689250749512</v>
      </c>
      <c r="B429"/>
      <c r="C429"/>
      <c r="D429"/>
      <c r="E429"/>
    </row>
    <row r="430" spans="1:5" x14ac:dyDescent="0.25">
      <c r="A430" s="7">
        <v>22.398914223034431</v>
      </c>
      <c r="B430"/>
      <c r="C430"/>
      <c r="D430"/>
      <c r="E430"/>
    </row>
    <row r="431" spans="1:5" x14ac:dyDescent="0.25">
      <c r="A431" s="7">
        <v>21.959719826504344</v>
      </c>
      <c r="B431"/>
      <c r="C431"/>
      <c r="D431"/>
      <c r="E431"/>
    </row>
    <row r="432" spans="1:5" x14ac:dyDescent="0.25">
      <c r="A432" s="7">
        <v>21.52913708480818</v>
      </c>
      <c r="B432"/>
      <c r="C432"/>
      <c r="D432"/>
      <c r="E432"/>
    </row>
    <row r="433" spans="1:5" x14ac:dyDescent="0.25">
      <c r="A433" s="7">
        <v>21.106997141968804</v>
      </c>
      <c r="B433"/>
      <c r="C433"/>
      <c r="D433"/>
      <c r="E433"/>
    </row>
    <row r="434" spans="1:5" x14ac:dyDescent="0.25">
      <c r="A434" s="7">
        <v>20.693134452910591</v>
      </c>
      <c r="B434"/>
      <c r="C434"/>
      <c r="D434"/>
      <c r="E434"/>
    </row>
    <row r="435" spans="1:5" x14ac:dyDescent="0.25">
      <c r="A435" s="7">
        <v>20.287386718539796</v>
      </c>
      <c r="B435"/>
      <c r="C435"/>
      <c r="D435"/>
      <c r="E435"/>
    </row>
    <row r="436" spans="1:5" x14ac:dyDescent="0.25">
      <c r="A436" s="7">
        <v>19.889594822097838</v>
      </c>
      <c r="B436"/>
      <c r="C436"/>
      <c r="D436"/>
      <c r="E436"/>
    </row>
    <row r="437" spans="1:5" x14ac:dyDescent="0.25">
      <c r="A437" s="7">
        <v>19.499602766762585</v>
      </c>
      <c r="B437"/>
      <c r="C437"/>
      <c r="D437"/>
      <c r="E437"/>
    </row>
    <row r="438" spans="1:5" x14ac:dyDescent="0.25">
      <c r="A438" s="7">
        <v>19.117257614473122</v>
      </c>
      <c r="B438"/>
      <c r="C438"/>
      <c r="D438"/>
      <c r="E438"/>
    </row>
    <row r="439" spans="1:5" x14ac:dyDescent="0.25">
      <c r="A439" s="7">
        <v>18.74240942595404</v>
      </c>
      <c r="B439"/>
      <c r="C439"/>
      <c r="D439"/>
      <c r="E439"/>
    </row>
    <row r="440" spans="1:5" x14ac:dyDescent="0.25">
      <c r="A440" s="7">
        <v>18.374911201915726</v>
      </c>
      <c r="B440"/>
      <c r="C440"/>
      <c r="D440"/>
      <c r="E440"/>
    </row>
    <row r="441" spans="1:5" x14ac:dyDescent="0.25">
      <c r="A441" s="7">
        <v>18.014618825407574</v>
      </c>
      <c r="B441"/>
      <c r="C441"/>
      <c r="D441"/>
      <c r="E441"/>
    </row>
    <row r="442" spans="1:5" x14ac:dyDescent="0.25">
      <c r="A442" s="7">
        <v>17.661391005301542</v>
      </c>
      <c r="B442"/>
      <c r="C442"/>
      <c r="D442"/>
      <c r="E442"/>
    </row>
    <row r="443" spans="1:5" x14ac:dyDescent="0.25">
      <c r="A443" s="7">
        <v>17.315089220883866</v>
      </c>
      <c r="B443"/>
      <c r="C443"/>
      <c r="D443"/>
      <c r="E443"/>
    </row>
    <row r="444" spans="1:5" x14ac:dyDescent="0.25">
      <c r="A444" s="7">
        <v>16.975577667533202</v>
      </c>
      <c r="B444"/>
      <c r="C444"/>
      <c r="D444"/>
      <c r="E444"/>
    </row>
    <row r="445" spans="1:5" x14ac:dyDescent="0.25">
      <c r="A445" s="7">
        <v>16.642723203463923</v>
      </c>
      <c r="B445"/>
      <c r="C445"/>
      <c r="D445"/>
      <c r="E445"/>
    </row>
    <row r="446" spans="1:5" x14ac:dyDescent="0.25">
      <c r="A446" s="7">
        <v>16.316395297513651</v>
      </c>
      <c r="B446"/>
      <c r="C446"/>
      <c r="D446"/>
      <c r="E446"/>
    </row>
    <row r="447" spans="1:5" x14ac:dyDescent="0.25">
      <c r="A447" s="7">
        <v>15.996465977954561</v>
      </c>
      <c r="B447"/>
      <c r="C447"/>
      <c r="D447"/>
      <c r="E447"/>
    </row>
    <row r="448" spans="1:5" x14ac:dyDescent="0.25">
      <c r="A448" s="7">
        <v>15.682809782308393</v>
      </c>
      <c r="B448"/>
      <c r="C448"/>
      <c r="D448"/>
      <c r="E448"/>
    </row>
    <row r="449" spans="1:5" x14ac:dyDescent="0.25">
      <c r="A449" s="7">
        <v>15.375303708145482</v>
      </c>
      <c r="B449"/>
      <c r="C449"/>
      <c r="D449"/>
      <c r="E449"/>
    </row>
    <row r="450" spans="1:5" x14ac:dyDescent="0.25">
      <c r="A450" s="7">
        <v>15.073827164848511</v>
      </c>
      <c r="B450"/>
      <c r="C450"/>
      <c r="D450"/>
      <c r="E450"/>
    </row>
    <row r="451" spans="1:5" x14ac:dyDescent="0.25">
      <c r="A451" s="7">
        <v>14.77826192632207</v>
      </c>
      <c r="B451"/>
      <c r="C451"/>
      <c r="D451"/>
      <c r="E451"/>
    </row>
    <row r="452" spans="1:5" x14ac:dyDescent="0.25">
      <c r="A452" s="7">
        <v>14.488492084629481</v>
      </c>
      <c r="B452"/>
      <c r="C452"/>
      <c r="D452"/>
      <c r="E452"/>
    </row>
    <row r="453" spans="1:5" x14ac:dyDescent="0.25">
      <c r="A453" s="7">
        <v>14.204404004538707</v>
      </c>
      <c r="B453"/>
      <c r="C453"/>
      <c r="D453"/>
      <c r="E453"/>
    </row>
    <row r="454" spans="1:5" x14ac:dyDescent="0.25">
      <c r="A454" s="7">
        <v>13.925886278959517</v>
      </c>
      <c r="B454"/>
      <c r="C454"/>
      <c r="D454"/>
      <c r="E454"/>
    </row>
    <row r="455" spans="1:5" x14ac:dyDescent="0.25">
      <c r="A455" s="7">
        <v>13.652829685254428</v>
      </c>
      <c r="B455"/>
      <c r="C455"/>
      <c r="D455"/>
      <c r="E455"/>
    </row>
    <row r="456" spans="1:5" x14ac:dyDescent="0.25">
      <c r="A456" s="7">
        <v>13.385127142406303</v>
      </c>
      <c r="B456"/>
      <c r="C456"/>
      <c r="D456"/>
      <c r="E456"/>
    </row>
    <row r="457" spans="1:5" x14ac:dyDescent="0.25">
      <c r="A457" s="7">
        <v>13.122673669025787</v>
      </c>
      <c r="B457"/>
      <c r="C457"/>
      <c r="D457"/>
      <c r="E457"/>
    </row>
    <row r="458" spans="1:5" x14ac:dyDescent="0.25">
      <c r="A458" s="7">
        <v>12.865366342182144</v>
      </c>
      <c r="B458"/>
      <c r="C458"/>
      <c r="D458"/>
      <c r="E458"/>
    </row>
    <row r="459" spans="1:5" x14ac:dyDescent="0.25">
      <c r="A459" s="7">
        <v>12.613104257041318</v>
      </c>
      <c r="B459"/>
      <c r="C459"/>
      <c r="D459"/>
      <c r="E459"/>
    </row>
    <row r="460" spans="1:5" x14ac:dyDescent="0.25">
      <c r="A460" s="7">
        <v>12.36578848729541</v>
      </c>
      <c r="B460"/>
      <c r="C460"/>
      <c r="D460"/>
      <c r="E460"/>
    </row>
    <row r="461" spans="1:5" x14ac:dyDescent="0.25">
      <c r="A461" s="7">
        <v>12.123322046368049</v>
      </c>
      <c r="B461"/>
      <c r="C461"/>
      <c r="D461"/>
      <c r="E461"/>
    </row>
    <row r="462" spans="1:5" x14ac:dyDescent="0.25">
      <c r="A462" s="7">
        <v>11.88560984938044</v>
      </c>
      <c r="B462"/>
      <c r="C462"/>
      <c r="D462"/>
      <c r="E462"/>
    </row>
    <row r="463" spans="1:5" x14ac:dyDescent="0.25">
      <c r="A463" s="7">
        <v>11.652558675863176</v>
      </c>
      <c r="B463"/>
      <c r="C463"/>
      <c r="D463"/>
      <c r="E463"/>
    </row>
    <row r="464" spans="1:5" x14ac:dyDescent="0.25">
      <c r="A464" s="7">
        <v>11.424077133199193</v>
      </c>
      <c r="B464"/>
      <c r="C464"/>
      <c r="D464"/>
      <c r="E464"/>
    </row>
    <row r="465" spans="1:5" x14ac:dyDescent="0.25">
      <c r="A465" s="7">
        <v>11.200075620783522</v>
      </c>
      <c r="B465"/>
      <c r="C465"/>
      <c r="D465"/>
      <c r="E465"/>
    </row>
    <row r="466" spans="1:5" x14ac:dyDescent="0.25">
      <c r="A466" s="7">
        <v>10.980466294885806</v>
      </c>
      <c r="B466"/>
      <c r="C466"/>
      <c r="D466"/>
      <c r="E466"/>
    </row>
    <row r="467" spans="1:5" x14ac:dyDescent="0.25">
      <c r="A467" s="7">
        <v>10.765163034201771</v>
      </c>
      <c r="B467"/>
      <c r="C467"/>
      <c r="D467"/>
      <c r="E467"/>
    </row>
    <row r="468" spans="1:5" x14ac:dyDescent="0.25">
      <c r="A468" s="7">
        <v>10.554081406080169</v>
      </c>
      <c r="B468"/>
      <c r="C468"/>
      <c r="D468"/>
      <c r="E468"/>
    </row>
    <row r="469" spans="1:5" x14ac:dyDescent="0.25">
      <c r="A469" s="7">
        <v>10.34713863341193</v>
      </c>
      <c r="B469"/>
      <c r="C469"/>
      <c r="D469"/>
      <c r="E469"/>
    </row>
    <row r="470" spans="1:5" x14ac:dyDescent="0.25">
      <c r="A470" s="7">
        <v>10.14425356216856</v>
      </c>
      <c r="B470"/>
      <c r="C470"/>
      <c r="D470"/>
      <c r="E470"/>
    </row>
    <row r="471" spans="1:5" x14ac:dyDescent="0.25">
      <c r="A471" s="7">
        <v>9.9453466295770188</v>
      </c>
      <c r="B471"/>
      <c r="C471"/>
      <c r="D471"/>
      <c r="E471"/>
    </row>
    <row r="472" spans="1:5" x14ac:dyDescent="0.25">
      <c r="A472" s="7">
        <v>9.7503398329186464</v>
      </c>
      <c r="B472"/>
      <c r="C472"/>
      <c r="D472"/>
      <c r="E472"/>
    </row>
    <row r="473" spans="1:5" x14ac:dyDescent="0.25">
      <c r="A473" s="7">
        <v>9.5591566989398498</v>
      </c>
      <c r="B473"/>
      <c r="C473"/>
      <c r="D473"/>
      <c r="E473"/>
    </row>
    <row r="474" spans="1:5" x14ac:dyDescent="0.25">
      <c r="A474" s="7">
        <v>9.3717222538625968</v>
      </c>
      <c r="B474"/>
      <c r="C474"/>
      <c r="D474"/>
      <c r="E474"/>
    </row>
    <row r="475" spans="1:5" x14ac:dyDescent="0.25">
      <c r="A475" s="7">
        <v>9.1879629939829375</v>
      </c>
      <c r="B475"/>
      <c r="C475"/>
      <c r="D475"/>
      <c r="E475"/>
    </row>
    <row r="476" spans="1:5" x14ac:dyDescent="0.25">
      <c r="A476" s="7">
        <v>9.0078068568460168</v>
      </c>
      <c r="B476"/>
      <c r="C476"/>
      <c r="D476"/>
      <c r="E476"/>
    </row>
    <row r="477" spans="1:5" x14ac:dyDescent="0.25">
      <c r="A477" s="7">
        <v>8.8311831929862912</v>
      </c>
      <c r="B477"/>
      <c r="C477"/>
      <c r="D477"/>
      <c r="E477"/>
    </row>
    <row r="478" spans="1:5" x14ac:dyDescent="0.25">
      <c r="A478" s="7">
        <v>8.6580227382218542</v>
      </c>
      <c r="B478"/>
      <c r="C478"/>
      <c r="D478"/>
      <c r="E478"/>
    </row>
    <row r="479" spans="1:5" x14ac:dyDescent="0.25">
      <c r="A479" s="7">
        <v>8.4882575864920131</v>
      </c>
      <c r="B479"/>
      <c r="C479"/>
      <c r="D479"/>
      <c r="E479"/>
    </row>
    <row r="480" spans="1:5" x14ac:dyDescent="0.25">
      <c r="A480" s="7">
        <v>8.3218211632274635</v>
      </c>
      <c r="B480"/>
      <c r="C480"/>
      <c r="D480"/>
      <c r="E480"/>
    </row>
    <row r="481" spans="1:5" x14ac:dyDescent="0.25">
      <c r="A481" s="7">
        <v>8.1586481992426112</v>
      </c>
      <c r="B481"/>
      <c r="C481"/>
      <c r="D481"/>
      <c r="E481"/>
    </row>
    <row r="482" spans="1:5" x14ac:dyDescent="0.25">
      <c r="A482" s="7">
        <v>7.9986747051398144</v>
      </c>
      <c r="B482"/>
      <c r="C482"/>
      <c r="D482"/>
      <c r="E482"/>
    </row>
    <row r="483" spans="1:5" x14ac:dyDescent="0.25">
      <c r="A483" s="7">
        <v>7.8418379462155041</v>
      </c>
      <c r="B483"/>
      <c r="C483"/>
      <c r="D483"/>
      <c r="E483"/>
    </row>
    <row r="484" spans="1:5" x14ac:dyDescent="0.25">
      <c r="A484" s="7">
        <v>7.688076417858337</v>
      </c>
      <c r="B484"/>
      <c r="C484"/>
      <c r="D484"/>
      <c r="E484"/>
    </row>
    <row r="485" spans="1:5" x14ac:dyDescent="0.25">
      <c r="A485" s="7">
        <v>7.5373298214297417</v>
      </c>
      <c r="B485"/>
      <c r="C485"/>
      <c r="D485"/>
      <c r="E485"/>
    </row>
    <row r="486" spans="1:5" x14ac:dyDescent="0.25">
      <c r="A486" s="7">
        <v>7.389539040617394</v>
      </c>
      <c r="B486"/>
      <c r="C486"/>
      <c r="D486"/>
      <c r="E486"/>
    </row>
    <row r="487" spans="1:5" x14ac:dyDescent="0.25">
      <c r="A487" s="7">
        <v>7.2446461182523469</v>
      </c>
      <c r="B487"/>
      <c r="C487"/>
      <c r="D487"/>
      <c r="E487"/>
    </row>
    <row r="488" spans="1:5" x14ac:dyDescent="0.25">
      <c r="A488" s="7">
        <v>7.1025942335807324</v>
      </c>
      <c r="B488"/>
      <c r="C488"/>
      <c r="D488"/>
      <c r="E488"/>
    </row>
    <row r="489" spans="1:5" x14ac:dyDescent="0.25">
      <c r="A489" s="7">
        <v>6.9633276799811101</v>
      </c>
      <c r="B489"/>
      <c r="C489"/>
      <c r="D489"/>
      <c r="E489"/>
    </row>
    <row r="490" spans="1:5" x14ac:dyDescent="0.25">
      <c r="A490" s="7">
        <v>6.8267918431187349</v>
      </c>
      <c r="B490"/>
      <c r="C490"/>
      <c r="D490"/>
      <c r="E490"/>
    </row>
    <row r="491" spans="1:5" x14ac:dyDescent="0.25">
      <c r="A491" s="7">
        <v>6.692933179528171</v>
      </c>
      <c r="B491"/>
      <c r="C491"/>
      <c r="D491"/>
      <c r="E491"/>
    </row>
    <row r="492" spans="1:5" x14ac:dyDescent="0.25">
      <c r="A492" s="7">
        <v>6.5616991956158541</v>
      </c>
      <c r="B492"/>
      <c r="C492"/>
      <c r="D492"/>
      <c r="E492"/>
    </row>
    <row r="493" spans="1:5" x14ac:dyDescent="0.25">
      <c r="A493" s="7">
        <v>6.4330384270743668</v>
      </c>
      <c r="B493"/>
      <c r="C493"/>
      <c r="D493"/>
      <c r="E493"/>
    </row>
    <row r="494" spans="1:5" x14ac:dyDescent="0.25">
      <c r="A494" s="7">
        <v>6.3069004187003594</v>
      </c>
      <c r="B494"/>
      <c r="C494"/>
      <c r="D494"/>
      <c r="E494"/>
    </row>
    <row r="495" spans="1:5" x14ac:dyDescent="0.25">
      <c r="A495" s="7">
        <v>6.1832357046081956</v>
      </c>
      <c r="B495"/>
      <c r="C495"/>
      <c r="D495"/>
      <c r="E495"/>
    </row>
    <row r="496" spans="1:5" x14ac:dyDescent="0.25">
      <c r="A496" s="7">
        <v>6.0619957888315641</v>
      </c>
      <c r="B496"/>
      <c r="C496"/>
      <c r="D496"/>
      <c r="E496"/>
    </row>
    <row r="497" spans="1:254" x14ac:dyDescent="0.25">
      <c r="A497" s="7">
        <v>5.9431331263054545</v>
      </c>
      <c r="B497"/>
      <c r="C497"/>
      <c r="D497"/>
      <c r="E497"/>
    </row>
    <row r="498" spans="1:254" x14ac:dyDescent="0.25">
      <c r="A498" s="7">
        <v>5.8266011042210337</v>
      </c>
      <c r="B498"/>
      <c r="C498"/>
      <c r="D498"/>
      <c r="E498"/>
    </row>
    <row r="499" spans="1:254" x14ac:dyDescent="0.25">
      <c r="A499" s="7">
        <v>5.7123540237461112</v>
      </c>
      <c r="B499"/>
      <c r="C499"/>
      <c r="D499"/>
      <c r="E499"/>
    </row>
    <row r="500" spans="1:254" x14ac:dyDescent="0.25">
      <c r="A500" s="7">
        <v>5.6003470821040304</v>
      </c>
      <c r="B500"/>
      <c r="C500"/>
      <c r="D500"/>
      <c r="E500"/>
      <c r="IS500" s="27" t="s">
        <v>8</v>
      </c>
    </row>
    <row r="501" spans="1:254" x14ac:dyDescent="0.25">
      <c r="A501" s="7">
        <v>5.4905363550039512</v>
      </c>
      <c r="B501"/>
      <c r="C501"/>
      <c r="D501"/>
      <c r="E501"/>
      <c r="IS501" s="27" t="s">
        <v>8</v>
      </c>
      <c r="IT501" s="27" t="s">
        <v>7</v>
      </c>
    </row>
    <row r="502" spans="1:254" x14ac:dyDescent="0.25">
      <c r="A502" s="7">
        <v>5.3828787794156385</v>
      </c>
      <c r="B502"/>
      <c r="C502"/>
      <c r="D502"/>
      <c r="E502"/>
      <c r="IS502" s="27" t="s">
        <v>8</v>
      </c>
      <c r="IT502" s="27" t="s">
        <v>7</v>
      </c>
    </row>
    <row r="503" spans="1:254" x14ac:dyDescent="0.25">
      <c r="A503" s="7">
        <v>5.2773321366819985</v>
      </c>
      <c r="B503"/>
      <c r="C503"/>
      <c r="D503"/>
      <c r="E503"/>
      <c r="IS503" s="27" t="s">
        <v>8</v>
      </c>
      <c r="IT503" s="27" t="s">
        <v>7</v>
      </c>
    </row>
    <row r="504" spans="1:254" x14ac:dyDescent="0.25">
      <c r="A504" s="7">
        <v>5.1738550359627435</v>
      </c>
      <c r="B504"/>
      <c r="C504"/>
      <c r="D504"/>
      <c r="E504"/>
      <c r="IS504" s="27" t="s">
        <v>8</v>
      </c>
      <c r="IT504" s="27" t="s">
        <v>7</v>
      </c>
    </row>
    <row r="505" spans="1:254" x14ac:dyDescent="0.25">
      <c r="A505" s="7">
        <v>5.07240689800269</v>
      </c>
      <c r="B505"/>
      <c r="C505"/>
      <c r="D505"/>
      <c r="E505"/>
      <c r="IS505" s="27" t="s">
        <v>8</v>
      </c>
      <c r="IT505" s="27" t="s">
        <v>7</v>
      </c>
    </row>
    <row r="506" spans="1:254" x14ac:dyDescent="0.25">
      <c r="A506" s="7">
        <v>4.9729479392183231</v>
      </c>
      <c r="B506"/>
      <c r="C506"/>
      <c r="D506"/>
      <c r="E506"/>
      <c r="IS506" s="27" t="s">
        <v>8</v>
      </c>
      <c r="IT506" s="27" t="s">
        <v>7</v>
      </c>
    </row>
    <row r="507" spans="1:254" x14ac:dyDescent="0.25">
      <c r="A507" s="7">
        <v>4.8754391560963954</v>
      </c>
      <c r="B507"/>
      <c r="C507"/>
      <c r="D507"/>
      <c r="E507"/>
      <c r="IS507" s="27" t="s">
        <v>8</v>
      </c>
      <c r="IT507" s="27" t="s">
        <v>7</v>
      </c>
    </row>
    <row r="508" spans="1:254" x14ac:dyDescent="0.25">
      <c r="A508" s="7">
        <v>4.7798423098984264</v>
      </c>
      <c r="B508"/>
      <c r="C508"/>
      <c r="D508"/>
      <c r="E508"/>
      <c r="IS508" s="27" t="s">
        <v>8</v>
      </c>
      <c r="IT508" s="27" t="s">
        <v>7</v>
      </c>
    </row>
    <row r="509" spans="1:254" x14ac:dyDescent="0.25">
      <c r="A509" s="7">
        <v>4.6861199116651235</v>
      </c>
      <c r="B509"/>
      <c r="C509"/>
      <c r="D509"/>
      <c r="E509"/>
      <c r="IS509" s="27" t="s">
        <v>8</v>
      </c>
      <c r="IT509" s="27" t="s">
        <v>7</v>
      </c>
    </row>
    <row r="510" spans="1:254" x14ac:dyDescent="0.25">
      <c r="A510" s="7">
        <v>4.5942352075148269</v>
      </c>
      <c r="B510"/>
      <c r="C510"/>
      <c r="D510"/>
      <c r="E510"/>
      <c r="IS510" s="27" t="s">
        <v>8</v>
      </c>
      <c r="IT510" s="27" t="s">
        <v>7</v>
      </c>
    </row>
    <row r="511" spans="1:254" x14ac:dyDescent="0.25">
      <c r="A511" s="7">
        <v>4.5041521642302227</v>
      </c>
      <c r="B511"/>
      <c r="C511"/>
      <c r="D511"/>
      <c r="E511"/>
      <c r="IS511" s="27" t="s">
        <v>8</v>
      </c>
      <c r="IT511" s="27" t="s">
        <v>7</v>
      </c>
    </row>
    <row r="512" spans="1:254" x14ac:dyDescent="0.25">
      <c r="A512" s="7">
        <v>4.4158354551276693</v>
      </c>
      <c r="B512"/>
      <c r="C512"/>
      <c r="D512"/>
      <c r="E512"/>
      <c r="IS512" s="27" t="s">
        <v>8</v>
      </c>
      <c r="IT512" s="27" t="s">
        <v>7</v>
      </c>
    </row>
    <row r="513" spans="1:256" x14ac:dyDescent="0.25">
      <c r="A513" s="7">
        <v>4.3292504462035977</v>
      </c>
      <c r="B513"/>
      <c r="C513"/>
      <c r="D513"/>
      <c r="E513"/>
      <c r="IS513" s="27" t="s">
        <v>8</v>
      </c>
      <c r="IT513" s="27" t="s">
        <v>7</v>
      </c>
    </row>
    <row r="514" spans="1:256" x14ac:dyDescent="0.25">
      <c r="A514" s="7">
        <v>4.2443631825525463</v>
      </c>
      <c r="B514"/>
      <c r="C514"/>
      <c r="D514"/>
      <c r="E514"/>
      <c r="IS514" s="27" t="s">
        <v>8</v>
      </c>
      <c r="IT514" s="27" t="s">
        <v>7</v>
      </c>
    </row>
    <row r="515" spans="1:256" x14ac:dyDescent="0.25">
      <c r="A515" s="7">
        <v>4.1611403750515157</v>
      </c>
      <c r="B515"/>
      <c r="C515"/>
      <c r="D515"/>
      <c r="E515"/>
      <c r="IS515" s="27" t="s">
        <v>8</v>
      </c>
      <c r="IT515" s="27" t="s">
        <v>7</v>
      </c>
    </row>
    <row r="516" spans="1:256" x14ac:dyDescent="0.25">
      <c r="A516" s="7">
        <v>4.0795493873054074</v>
      </c>
      <c r="B516"/>
      <c r="C516"/>
      <c r="D516"/>
      <c r="E516"/>
      <c r="IS516" s="27" t="s">
        <v>8</v>
      </c>
      <c r="IT516" s="27" t="s">
        <v>7</v>
      </c>
    </row>
    <row r="517" spans="1:256" x14ac:dyDescent="0.25">
      <c r="A517" s="7">
        <v>3.9995582228484383</v>
      </c>
      <c r="B517"/>
      <c r="C517"/>
      <c r="D517"/>
      <c r="E517"/>
      <c r="IS517" s="27" t="s">
        <v>8</v>
      </c>
      <c r="IT517" s="27" t="s">
        <v>7</v>
      </c>
    </row>
    <row r="518" spans="1:256" x14ac:dyDescent="0.25">
      <c r="A518" s="7">
        <v>3.9211355125965079</v>
      </c>
      <c r="B518"/>
      <c r="C518"/>
      <c r="D518"/>
      <c r="E518"/>
      <c r="IS518" s="27" t="s">
        <v>8</v>
      </c>
      <c r="IT518" s="27" t="s">
        <v>7</v>
      </c>
    </row>
    <row r="519" spans="1:256" x14ac:dyDescent="0.25">
      <c r="A519" s="7">
        <v>3.844250502545596</v>
      </c>
      <c r="B519"/>
      <c r="C519"/>
      <c r="D519"/>
      <c r="E519"/>
      <c r="IS519" s="27" t="s">
        <v>8</v>
      </c>
      <c r="IT519" s="27" t="s">
        <v>7</v>
      </c>
    </row>
    <row r="520" spans="1:256" x14ac:dyDescent="0.25">
      <c r="A520" s="7">
        <v>3.7688730417113687</v>
      </c>
      <c r="B520"/>
      <c r="C520"/>
      <c r="D520"/>
      <c r="E520"/>
      <c r="IS520" s="27" t="s">
        <v>8</v>
      </c>
      <c r="IT520" s="27" t="s">
        <v>7</v>
      </c>
    </row>
    <row r="521" spans="1:256" x14ac:dyDescent="0.25">
      <c r="A521" s="7">
        <v>3.6949735703052635</v>
      </c>
      <c r="B521"/>
      <c r="C521"/>
      <c r="D521"/>
      <c r="E521"/>
      <c r="IS521" s="27" t="s">
        <v>8</v>
      </c>
      <c r="IT521" s="27" t="s">
        <v>7</v>
      </c>
    </row>
    <row r="522" spans="1:256" x14ac:dyDescent="0.25">
      <c r="A522" s="7">
        <v>3.6225231081424152</v>
      </c>
      <c r="B522"/>
      <c r="C522"/>
      <c r="D522"/>
      <c r="E522"/>
      <c r="IS522" s="27" t="s">
        <v>8</v>
      </c>
      <c r="IT522" s="27" t="s">
        <v>7</v>
      </c>
    </row>
    <row r="523" spans="1:256" x14ac:dyDescent="0.25">
      <c r="A523" s="7">
        <v>3.5514932432768775</v>
      </c>
      <c r="B523"/>
      <c r="C523"/>
      <c r="D523"/>
      <c r="E523"/>
      <c r="IS523" s="27" t="s">
        <v>8</v>
      </c>
      <c r="IT523" s="27" t="s">
        <v>7</v>
      </c>
    </row>
    <row r="524" spans="1:256" x14ac:dyDescent="0.25">
      <c r="A524" s="7">
        <v>3.4818561208596837</v>
      </c>
      <c r="B524"/>
      <c r="C524"/>
      <c r="D524"/>
      <c r="E524"/>
      <c r="IS524" s="27" t="s">
        <v>8</v>
      </c>
      <c r="IT524" s="27" t="s">
        <v>7</v>
      </c>
      <c r="IU524" s="27" t="s">
        <v>8</v>
      </c>
    </row>
    <row r="525" spans="1:256" x14ac:dyDescent="0.25">
      <c r="A525" s="7">
        <v>3.4135844322153761</v>
      </c>
      <c r="B525"/>
      <c r="C525"/>
      <c r="D525"/>
      <c r="E525"/>
      <c r="IS525" s="27" t="s">
        <v>8</v>
      </c>
      <c r="IT525" s="27" t="s">
        <v>7</v>
      </c>
      <c r="IU525" s="27" t="s">
        <v>8</v>
      </c>
      <c r="IV525" s="27" t="s">
        <v>7</v>
      </c>
    </row>
    <row r="526" spans="1:256" x14ac:dyDescent="0.25">
      <c r="A526" s="7">
        <v>3.3466514041327216</v>
      </c>
      <c r="B526"/>
      <c r="C526"/>
      <c r="D526"/>
      <c r="E526"/>
      <c r="IS526" s="27" t="s">
        <v>8</v>
      </c>
      <c r="IT526" s="27" t="s">
        <v>7</v>
      </c>
      <c r="IU526" s="27" t="s">
        <v>8</v>
      </c>
      <c r="IV526" s="27" t="s">
        <v>7</v>
      </c>
    </row>
    <row r="527" spans="1:256" x14ac:dyDescent="0.25">
      <c r="A527" s="7">
        <v>3.2810307883654133</v>
      </c>
      <c r="B527"/>
      <c r="C527"/>
      <c r="D527"/>
      <c r="E527"/>
      <c r="IS527" s="27" t="s">
        <v>8</v>
      </c>
      <c r="IT527" s="27" t="s">
        <v>7</v>
      </c>
      <c r="IU527" s="27" t="s">
        <v>8</v>
      </c>
      <c r="IV527" s="27" t="s">
        <v>7</v>
      </c>
    </row>
    <row r="528" spans="1:256" x14ac:dyDescent="0.25">
      <c r="A528" s="7">
        <v>3.2166968513386403</v>
      </c>
      <c r="B528"/>
      <c r="C528"/>
      <c r="D528"/>
      <c r="E528"/>
      <c r="IS528" s="27" t="s">
        <v>8</v>
      </c>
      <c r="IT528" s="27" t="s">
        <v>7</v>
      </c>
      <c r="IU528" s="27" t="s">
        <v>8</v>
      </c>
      <c r="IV528" s="27" t="s">
        <v>7</v>
      </c>
    </row>
    <row r="529" spans="1:277" x14ac:dyDescent="0.25">
      <c r="A529" s="7">
        <v>3.1536243640574906</v>
      </c>
      <c r="B529"/>
      <c r="C529"/>
      <c r="D529"/>
      <c r="E529"/>
      <c r="IS529" s="27" t="s">
        <v>8</v>
      </c>
      <c r="IT529" s="27" t="s">
        <v>7</v>
      </c>
      <c r="IU529" s="27" t="s">
        <v>8</v>
      </c>
      <c r="IV529" s="27" t="s">
        <v>7</v>
      </c>
    </row>
    <row r="530" spans="1:277" x14ac:dyDescent="0.25">
      <c r="A530" s="7">
        <v>3.0917885922132262</v>
      </c>
      <c r="B530"/>
      <c r="C530"/>
      <c r="D530"/>
      <c r="E530"/>
      <c r="IS530" s="27" t="s">
        <v>8</v>
      </c>
      <c r="IT530" s="27" t="s">
        <v>7</v>
      </c>
      <c r="IU530" s="27" t="s">
        <v>8</v>
      </c>
      <c r="IV530" s="27" t="s">
        <v>7</v>
      </c>
    </row>
    <row r="531" spans="1:277" x14ac:dyDescent="0.25">
      <c r="A531" s="7">
        <v>3.0311652864835552</v>
      </c>
      <c r="B531"/>
      <c r="C531"/>
      <c r="D531"/>
      <c r="E531"/>
      <c r="IS531" s="27" t="s">
        <v>8</v>
      </c>
      <c r="IT531" s="27" t="s">
        <v>7</v>
      </c>
      <c r="IU531" s="27" t="s">
        <v>8</v>
      </c>
      <c r="IV531" s="27" t="s">
        <v>7</v>
      </c>
      <c r="JG531" s="27" t="s">
        <v>8</v>
      </c>
    </row>
    <row r="532" spans="1:277" x14ac:dyDescent="0.25">
      <c r="A532" s="7">
        <v>2.9717306730230932</v>
      </c>
      <c r="B532"/>
      <c r="C532"/>
      <c r="D532"/>
      <c r="E532"/>
      <c r="IS532" s="27" t="s">
        <v>8</v>
      </c>
      <c r="IT532" s="27" t="s">
        <v>7</v>
      </c>
      <c r="IU532" s="27" t="s">
        <v>8</v>
      </c>
      <c r="IV532" s="27" t="s">
        <v>7</v>
      </c>
      <c r="JG532" s="27" t="s">
        <v>8</v>
      </c>
      <c r="JH532" s="27" t="s">
        <v>7</v>
      </c>
    </row>
    <row r="533" spans="1:277" x14ac:dyDescent="0.25">
      <c r="A533" s="7">
        <v>2.9134614441402875</v>
      </c>
      <c r="B533"/>
      <c r="C533"/>
      <c r="D533"/>
      <c r="E533"/>
      <c r="IS533" s="27" t="s">
        <v>8</v>
      </c>
      <c r="IT533" s="27" t="s">
        <v>7</v>
      </c>
      <c r="IU533" s="27" t="s">
        <v>8</v>
      </c>
      <c r="IV533" s="27" t="s">
        <v>7</v>
      </c>
      <c r="JG533" s="27" t="s">
        <v>8</v>
      </c>
      <c r="JH533" s="27" t="s">
        <v>7</v>
      </c>
    </row>
    <row r="534" spans="1:277" x14ac:dyDescent="0.25">
      <c r="A534" s="7">
        <v>2.8563347491571447</v>
      </c>
      <c r="B534"/>
      <c r="C534"/>
      <c r="D534"/>
      <c r="E534"/>
      <c r="IS534" s="27" t="s">
        <v>8</v>
      </c>
      <c r="IT534" s="27" t="s">
        <v>7</v>
      </c>
      <c r="IU534" s="27" t="s">
        <v>8</v>
      </c>
      <c r="IV534" s="27" t="s">
        <v>7</v>
      </c>
      <c r="IY534" s="27" t="s">
        <v>8</v>
      </c>
      <c r="JG534" s="27" t="s">
        <v>8</v>
      </c>
      <c r="JH534" s="27" t="s">
        <v>7</v>
      </c>
    </row>
    <row r="535" spans="1:277" x14ac:dyDescent="0.25">
      <c r="A535" s="7">
        <v>2.8003281854481812</v>
      </c>
      <c r="B535"/>
      <c r="C535"/>
      <c r="D535"/>
      <c r="E535"/>
      <c r="IS535" s="27" t="s">
        <v>8</v>
      </c>
      <c r="IT535" s="27" t="s">
        <v>7</v>
      </c>
      <c r="IU535" s="27" t="s">
        <v>8</v>
      </c>
      <c r="IV535" s="27" t="s">
        <v>7</v>
      </c>
      <c r="IY535" s="27" t="s">
        <v>8</v>
      </c>
      <c r="IZ535" s="27" t="s">
        <v>7</v>
      </c>
      <c r="JG535" s="27" t="s">
        <v>8</v>
      </c>
      <c r="JH535" s="27" t="s">
        <v>7</v>
      </c>
    </row>
    <row r="536" spans="1:277" x14ac:dyDescent="0.25">
      <c r="A536" s="7">
        <v>2.7454197896550796</v>
      </c>
      <c r="B536"/>
      <c r="C536"/>
      <c r="D536"/>
      <c r="E536"/>
      <c r="IS536" s="27" t="s">
        <v>8</v>
      </c>
      <c r="IT536" s="27" t="s">
        <v>7</v>
      </c>
      <c r="IU536" s="27" t="s">
        <v>8</v>
      </c>
      <c r="IV536" s="27" t="s">
        <v>7</v>
      </c>
      <c r="IY536" s="27" t="s">
        <v>8</v>
      </c>
      <c r="IZ536" s="27" t="s">
        <v>7</v>
      </c>
      <c r="JG536" s="27" t="s">
        <v>8</v>
      </c>
      <c r="JH536" s="27" t="s">
        <v>7</v>
      </c>
    </row>
    <row r="537" spans="1:277" x14ac:dyDescent="0.25">
      <c r="A537" s="7">
        <v>2.6915880290736074</v>
      </c>
      <c r="B537"/>
      <c r="C537"/>
      <c r="D537"/>
      <c r="E537"/>
      <c r="IS537" s="27" t="s">
        <v>8</v>
      </c>
      <c r="IT537" s="27" t="s">
        <v>7</v>
      </c>
      <c r="IU537" s="27" t="s">
        <v>8</v>
      </c>
      <c r="IV537" s="27" t="s">
        <v>7</v>
      </c>
      <c r="IY537" s="27" t="s">
        <v>8</v>
      </c>
      <c r="IZ537" s="27" t="s">
        <v>7</v>
      </c>
      <c r="JG537" s="27" t="s">
        <v>8</v>
      </c>
      <c r="JH537" s="27" t="s">
        <v>7</v>
      </c>
    </row>
    <row r="538" spans="1:277" x14ac:dyDescent="0.25">
      <c r="A538" s="7">
        <v>2.6388117932094191</v>
      </c>
      <c r="B538"/>
      <c r="C538"/>
      <c r="D538"/>
      <c r="E538"/>
      <c r="IS538" s="27" t="s">
        <v>8</v>
      </c>
      <c r="IT538" s="27" t="s">
        <v>7</v>
      </c>
      <c r="IU538" s="27" t="s">
        <v>8</v>
      </c>
      <c r="IV538" s="27" t="s">
        <v>7</v>
      </c>
      <c r="IY538" s="27" t="s">
        <v>8</v>
      </c>
      <c r="IZ538" s="27" t="s">
        <v>7</v>
      </c>
      <c r="JG538" s="27" t="s">
        <v>8</v>
      </c>
      <c r="JH538" s="27" t="s">
        <v>7</v>
      </c>
      <c r="JK538" s="27" t="s">
        <v>8</v>
      </c>
    </row>
    <row r="539" spans="1:277" x14ac:dyDescent="0.25">
      <c r="A539" s="7">
        <v>2.5870703854994304</v>
      </c>
      <c r="B539"/>
      <c r="C539"/>
      <c r="D539"/>
      <c r="E539"/>
      <c r="IS539" s="27" t="s">
        <v>8</v>
      </c>
      <c r="IT539" s="27" t="s">
        <v>7</v>
      </c>
      <c r="IU539" s="27" t="s">
        <v>8</v>
      </c>
      <c r="IV539" s="27" t="s">
        <v>7</v>
      </c>
      <c r="IY539" s="27" t="s">
        <v>8</v>
      </c>
      <c r="IZ539" s="27" t="s">
        <v>7</v>
      </c>
      <c r="JG539" s="27" t="s">
        <v>8</v>
      </c>
      <c r="JH539" s="27" t="s">
        <v>7</v>
      </c>
      <c r="JK539" s="27" t="s">
        <v>8</v>
      </c>
      <c r="JL539" s="27" t="s">
        <v>7</v>
      </c>
    </row>
    <row r="540" spans="1:277" x14ac:dyDescent="0.25">
      <c r="A540" s="7">
        <v>2.53634351519552</v>
      </c>
      <c r="B540"/>
      <c r="C540"/>
      <c r="D540"/>
      <c r="E540"/>
      <c r="IS540" s="27" t="s">
        <v>8</v>
      </c>
      <c r="IT540" s="27" t="s">
        <v>7</v>
      </c>
      <c r="IU540" s="27" t="s">
        <v>8</v>
      </c>
      <c r="IV540" s="27" t="s">
        <v>7</v>
      </c>
      <c r="IY540" s="27" t="s">
        <v>8</v>
      </c>
      <c r="IZ540" s="27" t="s">
        <v>7</v>
      </c>
      <c r="JG540" s="27" t="s">
        <v>8</v>
      </c>
      <c r="JH540" s="27" t="s">
        <v>7</v>
      </c>
      <c r="JK540" s="27" t="s">
        <v>8</v>
      </c>
      <c r="JL540" s="27" t="s">
        <v>7</v>
      </c>
    </row>
    <row r="541" spans="1:277" x14ac:dyDescent="0.25">
      <c r="A541" s="7">
        <v>2.4866112894073726</v>
      </c>
      <c r="B541"/>
      <c r="C541"/>
      <c r="D541"/>
      <c r="E541"/>
      <c r="IS541" s="27" t="s">
        <v>8</v>
      </c>
      <c r="IT541" s="27" t="s">
        <v>7</v>
      </c>
      <c r="IU541" s="27" t="s">
        <v>8</v>
      </c>
      <c r="IV541" s="27" t="s">
        <v>7</v>
      </c>
      <c r="IY541" s="27" t="s">
        <v>8</v>
      </c>
      <c r="IZ541" s="27" t="s">
        <v>7</v>
      </c>
      <c r="JG541" s="27" t="s">
        <v>8</v>
      </c>
      <c r="JH541" s="27" t="s">
        <v>7</v>
      </c>
      <c r="JK541" s="27" t="s">
        <v>8</v>
      </c>
      <c r="JL541" s="27" t="s">
        <v>7</v>
      </c>
    </row>
    <row r="542" spans="1:277" x14ac:dyDescent="0.25">
      <c r="A542" s="7">
        <v>2.4378542053013459</v>
      </c>
      <c r="B542"/>
      <c r="C542"/>
      <c r="D542"/>
      <c r="E542"/>
      <c r="IS542" s="27" t="s">
        <v>8</v>
      </c>
      <c r="IT542" s="27" t="s">
        <v>7</v>
      </c>
      <c r="IU542" s="27" t="s">
        <v>8</v>
      </c>
      <c r="IV542" s="27" t="s">
        <v>7</v>
      </c>
      <c r="IY542" s="27" t="s">
        <v>8</v>
      </c>
      <c r="IZ542" s="27" t="s">
        <v>7</v>
      </c>
      <c r="JG542" s="27" t="s">
        <v>8</v>
      </c>
      <c r="JH542" s="27" t="s">
        <v>7</v>
      </c>
      <c r="JK542" s="27" t="s">
        <v>8</v>
      </c>
      <c r="JL542" s="27" t="s">
        <v>7</v>
      </c>
    </row>
    <row r="543" spans="1:277" x14ac:dyDescent="0.25">
      <c r="A543" s="7">
        <v>2.3900531424522997</v>
      </c>
      <c r="B543"/>
      <c r="C543"/>
      <c r="D543"/>
      <c r="E543"/>
      <c r="IS543" s="27" t="s">
        <v>8</v>
      </c>
      <c r="IT543" s="27" t="s">
        <v>7</v>
      </c>
      <c r="IU543" s="27" t="s">
        <v>8</v>
      </c>
      <c r="IV543" s="27" t="s">
        <v>7</v>
      </c>
      <c r="IY543" s="27" t="s">
        <v>8</v>
      </c>
      <c r="IZ543" s="27" t="s">
        <v>7</v>
      </c>
      <c r="JG543" s="27" t="s">
        <v>8</v>
      </c>
      <c r="JH543" s="27" t="s">
        <v>7</v>
      </c>
      <c r="JK543" s="27" t="s">
        <v>8</v>
      </c>
      <c r="JL543" s="27" t="s">
        <v>7</v>
      </c>
    </row>
    <row r="544" spans="1:277" x14ac:dyDescent="0.25">
      <c r="A544" s="7">
        <v>2.343189355345392</v>
      </c>
      <c r="B544"/>
      <c r="C544"/>
      <c r="D544"/>
      <c r="E544"/>
      <c r="IS544" s="27" t="s">
        <v>8</v>
      </c>
      <c r="IT544" s="27" t="s">
        <v>7</v>
      </c>
      <c r="IU544" s="27" t="s">
        <v>8</v>
      </c>
      <c r="IV544" s="27" t="s">
        <v>7</v>
      </c>
      <c r="IY544" s="27" t="s">
        <v>8</v>
      </c>
      <c r="IZ544" s="27" t="s">
        <v>7</v>
      </c>
      <c r="JG544" s="27" t="s">
        <v>8</v>
      </c>
      <c r="JH544" s="27" t="s">
        <v>7</v>
      </c>
      <c r="JK544" s="27" t="s">
        <v>8</v>
      </c>
      <c r="JL544" s="27" t="s">
        <v>7</v>
      </c>
      <c r="JQ544" s="27" t="s">
        <v>8</v>
      </c>
    </row>
    <row r="545" spans="1:278" x14ac:dyDescent="0.25">
      <c r="A545" s="7">
        <v>2.2972444660248938</v>
      </c>
      <c r="B545"/>
      <c r="C545"/>
      <c r="D545"/>
      <c r="E545"/>
      <c r="IS545" s="27" t="s">
        <v>8</v>
      </c>
      <c r="IT545" s="27" t="s">
        <v>7</v>
      </c>
      <c r="IU545" s="27" t="s">
        <v>8</v>
      </c>
      <c r="IV545" s="27" t="s">
        <v>7</v>
      </c>
      <c r="IY545" s="27" t="s">
        <v>8</v>
      </c>
      <c r="IZ545" s="27" t="s">
        <v>7</v>
      </c>
      <c r="JA545" s="27" t="s">
        <v>8</v>
      </c>
      <c r="JG545" s="27" t="s">
        <v>8</v>
      </c>
      <c r="JH545" s="27" t="s">
        <v>7</v>
      </c>
      <c r="JK545" s="27" t="s">
        <v>8</v>
      </c>
      <c r="JL545" s="27" t="s">
        <v>7</v>
      </c>
      <c r="JM545" s="27" t="s">
        <v>8</v>
      </c>
      <c r="JO545" s="27" t="s">
        <v>8</v>
      </c>
      <c r="JQ545" s="27" t="s">
        <v>8</v>
      </c>
      <c r="JR545" s="27" t="s">
        <v>7</v>
      </c>
    </row>
    <row r="546" spans="1:278" x14ac:dyDescent="0.25">
      <c r="A546" s="7">
        <v>2.252200456887151</v>
      </c>
      <c r="B546"/>
      <c r="C546"/>
      <c r="D546"/>
      <c r="E546"/>
      <c r="IS546" s="27" t="s">
        <v>8</v>
      </c>
      <c r="IT546" s="27" t="s">
        <v>7</v>
      </c>
      <c r="IU546" s="27" t="s">
        <v>8</v>
      </c>
      <c r="IV546" s="27" t="s">
        <v>7</v>
      </c>
      <c r="IY546" s="27" t="s">
        <v>8</v>
      </c>
      <c r="IZ546" s="27" t="s">
        <v>7</v>
      </c>
      <c r="JA546" s="27" t="s">
        <v>8</v>
      </c>
      <c r="JB546" s="27" t="s">
        <v>7</v>
      </c>
      <c r="JG546" s="27" t="s">
        <v>8</v>
      </c>
      <c r="JH546" s="27" t="s">
        <v>7</v>
      </c>
      <c r="JK546" s="27" t="s">
        <v>8</v>
      </c>
      <c r="JL546" s="27" t="s">
        <v>7</v>
      </c>
      <c r="JM546" s="27" t="s">
        <v>8</v>
      </c>
      <c r="JN546" s="27" t="s">
        <v>7</v>
      </c>
      <c r="JO546" s="27" t="s">
        <v>8</v>
      </c>
      <c r="JP546" s="27" t="s">
        <v>7</v>
      </c>
      <c r="JQ546" s="27" t="s">
        <v>8</v>
      </c>
      <c r="JR546" s="27" t="s">
        <v>7</v>
      </c>
    </row>
    <row r="547" spans="1:278" x14ac:dyDescent="0.25">
      <c r="A547" s="7">
        <v>2.208039663614854</v>
      </c>
      <c r="B547"/>
      <c r="C547"/>
      <c r="D547"/>
      <c r="E547"/>
      <c r="IS547" s="27" t="s">
        <v>8</v>
      </c>
      <c r="IT547" s="27" t="s">
        <v>7</v>
      </c>
      <c r="IU547" s="27" t="s">
        <v>8</v>
      </c>
      <c r="IV547" s="27" t="s">
        <v>7</v>
      </c>
      <c r="IY547" s="27" t="s">
        <v>8</v>
      </c>
      <c r="IZ547" s="27" t="s">
        <v>7</v>
      </c>
      <c r="JA547" s="27" t="s">
        <v>8</v>
      </c>
      <c r="JB547" s="27" t="s">
        <v>7</v>
      </c>
      <c r="JG547" s="27" t="s">
        <v>8</v>
      </c>
      <c r="JH547" s="27" t="s">
        <v>7</v>
      </c>
      <c r="JK547" s="27" t="s">
        <v>8</v>
      </c>
      <c r="JL547" s="27" t="s">
        <v>7</v>
      </c>
      <c r="JM547" s="27" t="s">
        <v>8</v>
      </c>
      <c r="JN547" s="27" t="s">
        <v>7</v>
      </c>
      <c r="JO547" s="27" t="s">
        <v>8</v>
      </c>
      <c r="JP547" s="27" t="s">
        <v>7</v>
      </c>
      <c r="JQ547" s="27" t="s">
        <v>8</v>
      </c>
      <c r="JR547" s="27" t="s">
        <v>7</v>
      </c>
    </row>
    <row r="548" spans="1:278" x14ac:dyDescent="0.25">
      <c r="A548" s="7">
        <v>2.1647447682498568</v>
      </c>
      <c r="B548"/>
      <c r="C548"/>
      <c r="D548"/>
      <c r="E548"/>
      <c r="IS548" s="27" t="s">
        <v>8</v>
      </c>
      <c r="IT548" s="27" t="s">
        <v>7</v>
      </c>
      <c r="IV548" s="27" t="s">
        <v>7</v>
      </c>
      <c r="IY548" s="27" t="s">
        <v>8</v>
      </c>
      <c r="IZ548" s="27" t="s">
        <v>7</v>
      </c>
      <c r="JA548" s="27" t="s">
        <v>8</v>
      </c>
      <c r="JB548" s="27" t="s">
        <v>7</v>
      </c>
      <c r="JC548" s="27" t="s">
        <v>8</v>
      </c>
      <c r="JG548" s="27" t="s">
        <v>8</v>
      </c>
      <c r="JH548" s="27" t="s">
        <v>7</v>
      </c>
      <c r="JK548" s="27" t="s">
        <v>8</v>
      </c>
      <c r="JL548" s="27" t="s">
        <v>7</v>
      </c>
      <c r="JM548" s="27" t="s">
        <v>8</v>
      </c>
      <c r="JN548" s="27" t="s">
        <v>7</v>
      </c>
      <c r="JO548" s="27" t="s">
        <v>8</v>
      </c>
      <c r="JP548" s="27" t="s">
        <v>7</v>
      </c>
      <c r="JQ548" s="27" t="s">
        <v>8</v>
      </c>
      <c r="JR548" s="27" t="s">
        <v>7</v>
      </c>
    </row>
    <row r="549" spans="1:278" x14ac:dyDescent="0.25">
      <c r="A549" s="7">
        <v>2.1222987924018204</v>
      </c>
      <c r="B549"/>
      <c r="C549"/>
      <c r="D549"/>
      <c r="E549"/>
      <c r="IS549" s="27" t="s">
        <v>8</v>
      </c>
      <c r="IV549" s="27" t="s">
        <v>7</v>
      </c>
      <c r="IY549" s="27" t="s">
        <v>8</v>
      </c>
      <c r="IZ549" s="27" t="s">
        <v>7</v>
      </c>
      <c r="JA549" s="27" t="s">
        <v>8</v>
      </c>
      <c r="JB549" s="27" t="s">
        <v>7</v>
      </c>
      <c r="JC549" s="27" t="s">
        <v>8</v>
      </c>
      <c r="JD549" s="27" t="s">
        <v>7</v>
      </c>
      <c r="JG549" s="27" t="s">
        <v>8</v>
      </c>
      <c r="JH549" s="27" t="s">
        <v>7</v>
      </c>
      <c r="JK549" s="27" t="s">
        <v>8</v>
      </c>
      <c r="JL549" s="27" t="s">
        <v>7</v>
      </c>
      <c r="JN549" s="27" t="s">
        <v>7</v>
      </c>
      <c r="JO549" s="27" t="s">
        <v>8</v>
      </c>
      <c r="JP549" s="27" t="s">
        <v>7</v>
      </c>
      <c r="JR549" s="27" t="s">
        <v>7</v>
      </c>
    </row>
    <row r="550" spans="1:278" x14ac:dyDescent="0.25">
      <c r="A550" s="7">
        <v>2.0806850905900198</v>
      </c>
      <c r="B550"/>
      <c r="C550"/>
      <c r="D550"/>
      <c r="E550"/>
      <c r="IS550" s="27" t="s">
        <v>8</v>
      </c>
      <c r="IV550" s="27" t="s">
        <v>7</v>
      </c>
      <c r="IY550" s="27" t="s">
        <v>8</v>
      </c>
      <c r="IZ550" s="27" t="s">
        <v>7</v>
      </c>
      <c r="JA550" s="27" t="s">
        <v>8</v>
      </c>
      <c r="JB550" s="27" t="s">
        <v>7</v>
      </c>
      <c r="JC550" s="27" t="s">
        <v>8</v>
      </c>
      <c r="JD550" s="27" t="s">
        <v>7</v>
      </c>
      <c r="JG550" s="27" t="s">
        <v>8</v>
      </c>
      <c r="JH550" s="27" t="s">
        <v>7</v>
      </c>
      <c r="JI550" s="27" t="s">
        <v>8</v>
      </c>
      <c r="JK550" s="27" t="s">
        <v>8</v>
      </c>
      <c r="JN550" s="27" t="s">
        <v>7</v>
      </c>
      <c r="JO550" s="27" t="s">
        <v>8</v>
      </c>
      <c r="JR550" s="27" t="s">
        <v>7</v>
      </c>
    </row>
    <row r="551" spans="1:278" x14ac:dyDescent="0.25">
      <c r="A551" s="7">
        <v>2.0398873437157055</v>
      </c>
      <c r="B551"/>
      <c r="C551"/>
      <c r="D551"/>
      <c r="E551"/>
      <c r="IS551" s="27" t="s">
        <v>8</v>
      </c>
      <c r="IV551" s="27" t="s">
        <v>7</v>
      </c>
      <c r="IY551" s="27" t="s">
        <v>8</v>
      </c>
      <c r="IZ551" s="27" t="s">
        <v>7</v>
      </c>
      <c r="JA551" s="27" t="s">
        <v>8</v>
      </c>
      <c r="JB551" s="27" t="s">
        <v>7</v>
      </c>
      <c r="JC551" s="27" t="s">
        <v>8</v>
      </c>
      <c r="JD551" s="27" t="s">
        <v>7</v>
      </c>
      <c r="JE551" s="27" t="s">
        <v>8</v>
      </c>
      <c r="JG551" s="27" t="s">
        <v>8</v>
      </c>
      <c r="JH551" s="27" t="s">
        <v>7</v>
      </c>
      <c r="JI551" s="27" t="s">
        <v>8</v>
      </c>
      <c r="JJ551" s="27" t="s">
        <v>7</v>
      </c>
      <c r="JK551" s="27" t="s">
        <v>8</v>
      </c>
      <c r="JN551" s="27" t="s">
        <v>7</v>
      </c>
      <c r="JO551" s="27" t="s">
        <v>8</v>
      </c>
      <c r="JR551" s="27" t="s">
        <v>7</v>
      </c>
    </row>
    <row r="552" spans="1:278" x14ac:dyDescent="0.25">
      <c r="A552" s="7">
        <v>1.9998895526624565</v>
      </c>
      <c r="B552"/>
      <c r="C552"/>
      <c r="D552"/>
      <c r="E552"/>
      <c r="IS552" s="27" t="s">
        <v>8</v>
      </c>
      <c r="IV552" s="27" t="s">
        <v>7</v>
      </c>
      <c r="IY552" s="27" t="s">
        <v>8</v>
      </c>
      <c r="IZ552" s="27" t="s">
        <v>7</v>
      </c>
      <c r="JA552" s="27" t="s">
        <v>8</v>
      </c>
      <c r="JB552" s="27" t="s">
        <v>7</v>
      </c>
      <c r="JC552" s="27" t="s">
        <v>8</v>
      </c>
      <c r="JD552" s="27" t="s">
        <v>7</v>
      </c>
      <c r="JE552" s="27" t="s">
        <v>8</v>
      </c>
      <c r="JF552" s="27" t="s">
        <v>7</v>
      </c>
      <c r="JG552" s="27" t="s">
        <v>8</v>
      </c>
      <c r="JH552" s="27" t="s">
        <v>7</v>
      </c>
      <c r="JI552" s="27" t="s">
        <v>8</v>
      </c>
      <c r="JJ552" s="27" t="s">
        <v>7</v>
      </c>
      <c r="JK552" s="27" t="s">
        <v>8</v>
      </c>
      <c r="JN552" s="27" t="s">
        <v>7</v>
      </c>
      <c r="JO552" s="27" t="s">
        <v>8</v>
      </c>
      <c r="JR552" s="27" t="s">
        <v>7</v>
      </c>
    </row>
    <row r="553" spans="1:278" x14ac:dyDescent="0.25">
      <c r="A553" s="7">
        <v>1.9606760320220162</v>
      </c>
      <c r="B553"/>
      <c r="C553"/>
      <c r="D553"/>
      <c r="E553"/>
      <c r="EY553" s="27" t="s">
        <v>8</v>
      </c>
      <c r="IS553" s="27" t="s">
        <v>8</v>
      </c>
      <c r="IV553" s="27" t="s">
        <v>7</v>
      </c>
      <c r="IY553" s="27" t="s">
        <v>8</v>
      </c>
      <c r="IZ553" s="27" t="s">
        <v>7</v>
      </c>
      <c r="JA553" s="27" t="s">
        <v>8</v>
      </c>
      <c r="JB553" s="27" t="s">
        <v>7</v>
      </c>
      <c r="JC553" s="27" t="s">
        <v>8</v>
      </c>
      <c r="JD553" s="27" t="s">
        <v>7</v>
      </c>
      <c r="JE553" s="27" t="s">
        <v>8</v>
      </c>
      <c r="JF553" s="27" t="s">
        <v>7</v>
      </c>
      <c r="JG553" s="27" t="s">
        <v>8</v>
      </c>
      <c r="JH553" s="27" t="s">
        <v>7</v>
      </c>
      <c r="JI553" s="27" t="s">
        <v>8</v>
      </c>
      <c r="JJ553" s="27" t="s">
        <v>7</v>
      </c>
      <c r="JK553" s="27" t="s">
        <v>8</v>
      </c>
      <c r="JN553" s="27" t="s">
        <v>7</v>
      </c>
      <c r="JR553" s="27" t="s">
        <v>7</v>
      </c>
    </row>
    <row r="554" spans="1:278" x14ac:dyDescent="0.25">
      <c r="A554" s="7">
        <v>1.9222314039431532</v>
      </c>
      <c r="B554"/>
      <c r="C554"/>
      <c r="D554"/>
      <c r="E554"/>
      <c r="EY554" s="27" t="s">
        <v>8</v>
      </c>
      <c r="EZ554" s="27" t="s">
        <v>7</v>
      </c>
      <c r="IS554" s="27" t="s">
        <v>8</v>
      </c>
      <c r="IV554" s="27" t="s">
        <v>7</v>
      </c>
      <c r="IY554" s="27" t="s">
        <v>8</v>
      </c>
      <c r="IZ554" s="27" t="s">
        <v>7</v>
      </c>
      <c r="JA554" s="27" t="s">
        <v>8</v>
      </c>
      <c r="JB554" s="27" t="s">
        <v>7</v>
      </c>
      <c r="JC554" s="27" t="s">
        <v>8</v>
      </c>
      <c r="JD554" s="27" t="s">
        <v>7</v>
      </c>
      <c r="JE554" s="27" t="s">
        <v>8</v>
      </c>
      <c r="JF554" s="27" t="s">
        <v>7</v>
      </c>
      <c r="JG554" s="27" t="s">
        <v>8</v>
      </c>
      <c r="JH554" s="27" t="s">
        <v>7</v>
      </c>
      <c r="JJ554" s="27" t="s">
        <v>7</v>
      </c>
      <c r="JK554" s="27" t="s">
        <v>8</v>
      </c>
      <c r="JR554" s="27" t="s">
        <v>7</v>
      </c>
    </row>
    <row r="555" spans="1:278" x14ac:dyDescent="0.25">
      <c r="A555" s="7">
        <v>1.8845405921011305</v>
      </c>
      <c r="B555"/>
      <c r="C555"/>
      <c r="D555"/>
      <c r="E555"/>
      <c r="EY555" s="27" t="s">
        <v>8</v>
      </c>
      <c r="EZ555" s="27" t="s">
        <v>7</v>
      </c>
      <c r="IS555" s="27" t="s">
        <v>8</v>
      </c>
      <c r="IV555" s="27" t="s">
        <v>7</v>
      </c>
      <c r="IY555" s="27" t="s">
        <v>8</v>
      </c>
      <c r="IZ555" s="27" t="s">
        <v>7</v>
      </c>
      <c r="JA555" s="27" t="s">
        <v>8</v>
      </c>
      <c r="JB555" s="27" t="s">
        <v>7</v>
      </c>
      <c r="JD555" s="27" t="s">
        <v>7</v>
      </c>
      <c r="JE555" s="27" t="s">
        <v>8</v>
      </c>
      <c r="JF555" s="27" t="s">
        <v>7</v>
      </c>
      <c r="JG555" s="27" t="s">
        <v>8</v>
      </c>
      <c r="JJ555" s="27" t="s">
        <v>7</v>
      </c>
      <c r="JK555" s="27" t="s">
        <v>8</v>
      </c>
      <c r="JR555" s="27" t="s">
        <v>7</v>
      </c>
    </row>
    <row r="556" spans="1:278" x14ac:dyDescent="0.25">
      <c r="A556" s="7">
        <v>1.8475888157854219</v>
      </c>
      <c r="B556"/>
      <c r="C556"/>
      <c r="D556"/>
      <c r="E556"/>
      <c r="EY556" s="27" t="s">
        <v>8</v>
      </c>
      <c r="EZ556" s="27" t="s">
        <v>7</v>
      </c>
      <c r="IS556" s="27" t="s">
        <v>8</v>
      </c>
      <c r="IV556" s="27" t="s">
        <v>7</v>
      </c>
      <c r="IY556" s="27" t="s">
        <v>8</v>
      </c>
      <c r="IZ556" s="27" t="s">
        <v>7</v>
      </c>
      <c r="JA556" s="27" t="s">
        <v>8</v>
      </c>
      <c r="JD556" s="27" t="s">
        <v>7</v>
      </c>
      <c r="JE556" s="27" t="s">
        <v>8</v>
      </c>
      <c r="JF556" s="27" t="s">
        <v>7</v>
      </c>
      <c r="JG556" s="27" t="s">
        <v>8</v>
      </c>
      <c r="JJ556" s="27" t="s">
        <v>7</v>
      </c>
      <c r="JR556" s="27" t="s">
        <v>7</v>
      </c>
    </row>
    <row r="557" spans="1:278" x14ac:dyDescent="0.25">
      <c r="A557" s="7">
        <v>1.8113615841033548</v>
      </c>
      <c r="B557"/>
      <c r="C557"/>
      <c r="D557"/>
      <c r="E557"/>
      <c r="EY557" s="27" t="s">
        <v>8</v>
      </c>
      <c r="EZ557" s="27" t="s">
        <v>7</v>
      </c>
      <c r="IS557" s="27" t="s">
        <v>8</v>
      </c>
      <c r="IV557" s="27" t="s">
        <v>7</v>
      </c>
      <c r="IY557" s="27" t="s">
        <v>8</v>
      </c>
      <c r="IZ557" s="27" t="s">
        <v>7</v>
      </c>
      <c r="JA557" s="27" t="s">
        <v>8</v>
      </c>
      <c r="JD557" s="27" t="s">
        <v>7</v>
      </c>
      <c r="JF557" s="27" t="s">
        <v>7</v>
      </c>
      <c r="JG557" s="27" t="s">
        <v>8</v>
      </c>
      <c r="JR557" s="27" t="s">
        <v>7</v>
      </c>
    </row>
    <row r="558" spans="1:278" x14ac:dyDescent="0.25">
      <c r="A558" s="7">
        <v>1.7758446902974065</v>
      </c>
      <c r="B558"/>
      <c r="C558"/>
      <c r="D558"/>
      <c r="E558"/>
      <c r="EY558" s="27" t="s">
        <v>8</v>
      </c>
      <c r="EZ558" s="27" t="s">
        <v>7</v>
      </c>
      <c r="IS558" s="27" t="s">
        <v>8</v>
      </c>
      <c r="IV558" s="27" t="s">
        <v>7</v>
      </c>
      <c r="IY558" s="27" t="s">
        <v>8</v>
      </c>
      <c r="IZ558" s="27" t="s">
        <v>7</v>
      </c>
      <c r="JA558" s="27" t="s">
        <v>8</v>
      </c>
      <c r="JF558" s="27" t="s">
        <v>7</v>
      </c>
      <c r="JG558" s="27" t="s">
        <v>8</v>
      </c>
      <c r="JR558" s="27" t="s">
        <v>7</v>
      </c>
    </row>
    <row r="559" spans="1:278" x14ac:dyDescent="0.25">
      <c r="A559" s="7">
        <v>1.7410242061739281</v>
      </c>
      <c r="B559"/>
      <c r="C559"/>
      <c r="D559"/>
      <c r="E559"/>
      <c r="EY559" s="27" t="s">
        <v>8</v>
      </c>
      <c r="EZ559" s="27" t="s">
        <v>7</v>
      </c>
      <c r="IS559" s="27" t="s">
        <v>8</v>
      </c>
      <c r="IV559" s="27" t="s">
        <v>7</v>
      </c>
      <c r="IY559" s="27" t="s">
        <v>8</v>
      </c>
      <c r="IZ559" s="27" t="s">
        <v>7</v>
      </c>
      <c r="JA559" s="27" t="s">
        <v>8</v>
      </c>
      <c r="JF559" s="27" t="s">
        <v>7</v>
      </c>
      <c r="JG559" s="27" t="s">
        <v>8</v>
      </c>
      <c r="JR559" s="27" t="s">
        <v>7</v>
      </c>
    </row>
    <row r="560" spans="1:278" x14ac:dyDescent="0.25">
      <c r="A560" s="7">
        <v>1.7068864766411058</v>
      </c>
      <c r="B560"/>
      <c r="C560"/>
      <c r="D560"/>
      <c r="E560"/>
      <c r="EY560" s="27" t="s">
        <v>8</v>
      </c>
      <c r="EZ560" s="27" t="s">
        <v>7</v>
      </c>
      <c r="IS560" s="27" t="s">
        <v>8</v>
      </c>
      <c r="IV560" s="27" t="s">
        <v>7</v>
      </c>
      <c r="IY560" s="27" t="s">
        <v>8</v>
      </c>
      <c r="IZ560" s="27" t="s">
        <v>7</v>
      </c>
      <c r="JA560" s="27" t="s">
        <v>8</v>
      </c>
      <c r="JF560" s="27" t="s">
        <v>7</v>
      </c>
      <c r="JG560" s="27" t="s">
        <v>8</v>
      </c>
      <c r="JR560" s="27" t="s">
        <v>7</v>
      </c>
    </row>
    <row r="561" spans="1:282" x14ac:dyDescent="0.25">
      <c r="A561" s="7">
        <v>1.6734181143540252</v>
      </c>
      <c r="B561"/>
      <c r="C561"/>
      <c r="D561"/>
      <c r="E561"/>
      <c r="EY561" s="27" t="s">
        <v>8</v>
      </c>
      <c r="EZ561" s="27" t="s">
        <v>7</v>
      </c>
      <c r="IS561" s="27" t="s">
        <v>8</v>
      </c>
      <c r="IV561" s="27" t="s">
        <v>7</v>
      </c>
      <c r="IY561" s="27" t="s">
        <v>8</v>
      </c>
      <c r="IZ561" s="27" t="s">
        <v>7</v>
      </c>
      <c r="JF561" s="27" t="s">
        <v>7</v>
      </c>
      <c r="JR561" s="27" t="s">
        <v>7</v>
      </c>
    </row>
    <row r="562" spans="1:282" x14ac:dyDescent="0.25">
      <c r="A562" s="7">
        <v>1.6406059944647307</v>
      </c>
      <c r="B562"/>
      <c r="C562"/>
      <c r="D562"/>
      <c r="E562"/>
      <c r="EY562" s="27" t="s">
        <v>8</v>
      </c>
      <c r="EZ562" s="27" t="s">
        <v>7</v>
      </c>
      <c r="IS562" s="27" t="s">
        <v>8</v>
      </c>
      <c r="IV562" s="27" t="s">
        <v>7</v>
      </c>
      <c r="IY562" s="27" t="s">
        <v>8</v>
      </c>
      <c r="JR562" s="27" t="s">
        <v>7</v>
      </c>
    </row>
    <row r="563" spans="1:282" x14ac:dyDescent="0.25">
      <c r="A563" s="7">
        <v>1.6084372494752261</v>
      </c>
      <c r="B563"/>
      <c r="C563"/>
      <c r="D563"/>
      <c r="E563"/>
      <c r="EY563" s="27" t="s">
        <v>8</v>
      </c>
      <c r="EZ563" s="27" t="s">
        <v>7</v>
      </c>
      <c r="IS563" s="27" t="s">
        <v>8</v>
      </c>
      <c r="IV563" s="27" t="s">
        <v>7</v>
      </c>
      <c r="IY563" s="27" t="s">
        <v>8</v>
      </c>
      <c r="JR563" s="27" t="s">
        <v>7</v>
      </c>
    </row>
    <row r="564" spans="1:282" x14ac:dyDescent="0.25">
      <c r="A564" s="7">
        <v>1.5768992641913981</v>
      </c>
      <c r="B564"/>
      <c r="C564"/>
      <c r="D564"/>
      <c r="E564"/>
      <c r="EY564" s="27" t="s">
        <v>8</v>
      </c>
      <c r="EZ564" s="27" t="s">
        <v>7</v>
      </c>
      <c r="IS564" s="27" t="s">
        <v>8</v>
      </c>
      <c r="IV564" s="27" t="s">
        <v>7</v>
      </c>
      <c r="IY564" s="27" t="s">
        <v>8</v>
      </c>
      <c r="JR564" s="27" t="s">
        <v>7</v>
      </c>
      <c r="JS564" s="27" t="s">
        <v>8</v>
      </c>
    </row>
    <row r="565" spans="1:282" x14ac:dyDescent="0.25">
      <c r="A565" s="7">
        <v>1.5459796707758806</v>
      </c>
      <c r="B565"/>
      <c r="C565"/>
      <c r="D565"/>
      <c r="E565"/>
      <c r="EY565" s="27" t="s">
        <v>8</v>
      </c>
      <c r="EZ565" s="27" t="s">
        <v>7</v>
      </c>
      <c r="FA565" s="27" t="s">
        <v>8</v>
      </c>
      <c r="IS565" s="27" t="s">
        <v>8</v>
      </c>
      <c r="IV565" s="27" t="s">
        <v>7</v>
      </c>
      <c r="IY565" s="27" t="s">
        <v>8</v>
      </c>
      <c r="JR565" s="27" t="s">
        <v>7</v>
      </c>
      <c r="JS565" s="27" t="s">
        <v>8</v>
      </c>
      <c r="JT565" s="27" t="s">
        <v>7</v>
      </c>
    </row>
    <row r="566" spans="1:282" x14ac:dyDescent="0.25">
      <c r="A566" s="7">
        <v>1.5156663438979221</v>
      </c>
      <c r="B566"/>
      <c r="C566"/>
      <c r="D566"/>
      <c r="E566"/>
      <c r="EY566" s="27" t="s">
        <v>8</v>
      </c>
      <c r="EZ566" s="27" t="s">
        <v>7</v>
      </c>
      <c r="FA566" s="27" t="s">
        <v>8</v>
      </c>
      <c r="FB566" s="27" t="s">
        <v>7</v>
      </c>
      <c r="IS566" s="27" t="s">
        <v>8</v>
      </c>
      <c r="IV566" s="27" t="s">
        <v>7</v>
      </c>
      <c r="IY566" s="27" t="s">
        <v>8</v>
      </c>
      <c r="JR566" s="27" t="s">
        <v>7</v>
      </c>
      <c r="JS566" s="27" t="s">
        <v>8</v>
      </c>
      <c r="JT566" s="27" t="s">
        <v>7</v>
      </c>
    </row>
    <row r="567" spans="1:282" x14ac:dyDescent="0.25">
      <c r="A567" s="7">
        <v>1.4859473959783549</v>
      </c>
      <c r="B567"/>
      <c r="C567"/>
      <c r="D567"/>
      <c r="E567"/>
      <c r="EY567" s="27" t="s">
        <v>8</v>
      </c>
      <c r="EZ567" s="27" t="s">
        <v>7</v>
      </c>
      <c r="FA567" s="27" t="s">
        <v>8</v>
      </c>
      <c r="FB567" s="27" t="s">
        <v>7</v>
      </c>
      <c r="IS567" s="27" t="s">
        <v>8</v>
      </c>
      <c r="IV567" s="27" t="s">
        <v>7</v>
      </c>
      <c r="IY567" s="27" t="s">
        <v>8</v>
      </c>
      <c r="JR567" s="27" t="s">
        <v>7</v>
      </c>
      <c r="JS567" s="27" t="s">
        <v>8</v>
      </c>
      <c r="JT567" s="27" t="s">
        <v>7</v>
      </c>
      <c r="JU567" s="27" t="s">
        <v>8</v>
      </c>
    </row>
    <row r="568" spans="1:282" x14ac:dyDescent="0.25">
      <c r="A568" s="7">
        <v>1.4568111725277988</v>
      </c>
      <c r="B568"/>
      <c r="C568"/>
      <c r="D568"/>
      <c r="E568"/>
      <c r="EY568" s="27" t="s">
        <v>8</v>
      </c>
      <c r="EZ568" s="27" t="s">
        <v>7</v>
      </c>
      <c r="FA568" s="27" t="s">
        <v>8</v>
      </c>
      <c r="FB568" s="27" t="s">
        <v>7</v>
      </c>
      <c r="IS568" s="27" t="s">
        <v>8</v>
      </c>
      <c r="IV568" s="27" t="s">
        <v>7</v>
      </c>
      <c r="IW568" s="27" t="s">
        <v>8</v>
      </c>
      <c r="IY568" s="27" t="s">
        <v>8</v>
      </c>
      <c r="JR568" s="27" t="s">
        <v>7</v>
      </c>
      <c r="JS568" s="27" t="s">
        <v>8</v>
      </c>
      <c r="JT568" s="27" t="s">
        <v>7</v>
      </c>
      <c r="JU568" s="27" t="s">
        <v>8</v>
      </c>
      <c r="JV568" s="27" t="s">
        <v>7</v>
      </c>
    </row>
    <row r="569" spans="1:282" x14ac:dyDescent="0.25">
      <c r="A569" s="7">
        <v>1.4282462475762734</v>
      </c>
      <c r="B569"/>
      <c r="C569"/>
      <c r="D569"/>
      <c r="E569"/>
      <c r="EY569" s="27" t="s">
        <v>8</v>
      </c>
      <c r="EZ569" s="27" t="s">
        <v>7</v>
      </c>
      <c r="FA569" s="27" t="s">
        <v>8</v>
      </c>
      <c r="FB569" s="27" t="s">
        <v>7</v>
      </c>
      <c r="IS569" s="27" t="s">
        <v>8</v>
      </c>
      <c r="IV569" s="27" t="s">
        <v>7</v>
      </c>
      <c r="IW569" s="27" t="s">
        <v>8</v>
      </c>
      <c r="IX569" s="27" t="s">
        <v>7</v>
      </c>
      <c r="IY569" s="27" t="s">
        <v>8</v>
      </c>
      <c r="JR569" s="27" t="s">
        <v>7</v>
      </c>
      <c r="JS569" s="27" t="s">
        <v>8</v>
      </c>
      <c r="JT569" s="27" t="s">
        <v>7</v>
      </c>
      <c r="JU569" s="27" t="s">
        <v>8</v>
      </c>
      <c r="JV569" s="27" t="s">
        <v>7</v>
      </c>
    </row>
    <row r="570" spans="1:282" x14ac:dyDescent="0.25">
      <c r="A570" s="7">
        <v>1.4002414191924248</v>
      </c>
      <c r="B570"/>
      <c r="C570"/>
      <c r="D570"/>
      <c r="E570"/>
      <c r="EW570" s="27" t="s">
        <v>8</v>
      </c>
      <c r="EY570" s="27" t="s">
        <v>8</v>
      </c>
      <c r="EZ570" s="27" t="s">
        <v>7</v>
      </c>
      <c r="FA570" s="27" t="s">
        <v>8</v>
      </c>
      <c r="FB570" s="27" t="s">
        <v>7</v>
      </c>
      <c r="IS570" s="27" t="s">
        <v>8</v>
      </c>
      <c r="IV570" s="27" t="s">
        <v>7</v>
      </c>
      <c r="IW570" s="27" t="s">
        <v>8</v>
      </c>
      <c r="IX570" s="27" t="s">
        <v>7</v>
      </c>
      <c r="IY570" s="27" t="s">
        <v>8</v>
      </c>
      <c r="JR570" s="27" t="s">
        <v>7</v>
      </c>
      <c r="JS570" s="27" t="s">
        <v>8</v>
      </c>
      <c r="JT570" s="27" t="s">
        <v>7</v>
      </c>
      <c r="JU570" s="27" t="s">
        <v>8</v>
      </c>
      <c r="JV570" s="27" t="s">
        <v>7</v>
      </c>
    </row>
    <row r="571" spans="1:282" x14ac:dyDescent="0.25">
      <c r="A571" s="7">
        <v>1.3727857050906125</v>
      </c>
      <c r="B571"/>
      <c r="C571"/>
      <c r="D571"/>
      <c r="E571"/>
      <c r="EE571" s="27" t="s">
        <v>8</v>
      </c>
      <c r="EW571" s="27" t="s">
        <v>8</v>
      </c>
      <c r="EX571" s="27" t="s">
        <v>7</v>
      </c>
      <c r="EY571" s="27" t="s">
        <v>8</v>
      </c>
      <c r="EZ571" s="27" t="s">
        <v>7</v>
      </c>
      <c r="FA571" s="27" t="s">
        <v>8</v>
      </c>
      <c r="FB571" s="27" t="s">
        <v>7</v>
      </c>
      <c r="IS571" s="27" t="s">
        <v>8</v>
      </c>
      <c r="IV571" s="27" t="s">
        <v>7</v>
      </c>
      <c r="IW571" s="27" t="s">
        <v>8</v>
      </c>
      <c r="IX571" s="27" t="s">
        <v>7</v>
      </c>
      <c r="IY571" s="27" t="s">
        <v>8</v>
      </c>
      <c r="JR571" s="27" t="s">
        <v>7</v>
      </c>
      <c r="JS571" s="27" t="s">
        <v>8</v>
      </c>
      <c r="JT571" s="27" t="s">
        <v>7</v>
      </c>
      <c r="JU571" s="27" t="s">
        <v>8</v>
      </c>
      <c r="JV571" s="27" t="s">
        <v>7</v>
      </c>
    </row>
    <row r="572" spans="1:282" x14ac:dyDescent="0.25">
      <c r="A572" s="7">
        <v>1.3458683383241299</v>
      </c>
      <c r="B572"/>
      <c r="C572"/>
      <c r="D572"/>
      <c r="E572"/>
      <c r="EE572" s="27" t="s">
        <v>8</v>
      </c>
      <c r="EF572" s="27" t="s">
        <v>7</v>
      </c>
      <c r="EW572" s="27" t="s">
        <v>8</v>
      </c>
      <c r="EX572" s="27" t="s">
        <v>7</v>
      </c>
      <c r="EY572" s="27" t="s">
        <v>8</v>
      </c>
      <c r="EZ572" s="27" t="s">
        <v>7</v>
      </c>
      <c r="FA572" s="27" t="s">
        <v>8</v>
      </c>
      <c r="FB572" s="27" t="s">
        <v>7</v>
      </c>
      <c r="IS572" s="27" t="s">
        <v>8</v>
      </c>
      <c r="IV572" s="27" t="s">
        <v>7</v>
      </c>
      <c r="IW572" s="27" t="s">
        <v>8</v>
      </c>
      <c r="IX572" s="27" t="s">
        <v>7</v>
      </c>
      <c r="IY572" s="27" t="s">
        <v>8</v>
      </c>
      <c r="JR572" s="27" t="s">
        <v>7</v>
      </c>
      <c r="JS572" s="27" t="s">
        <v>8</v>
      </c>
      <c r="JT572" s="27" t="s">
        <v>7</v>
      </c>
      <c r="JU572" s="27" t="s">
        <v>8</v>
      </c>
    </row>
    <row r="573" spans="1:282" x14ac:dyDescent="0.25">
      <c r="A573" s="7">
        <v>1.3194787630628724</v>
      </c>
      <c r="B573"/>
      <c r="C573"/>
      <c r="D573"/>
      <c r="E573"/>
      <c r="EE573" s="27" t="s">
        <v>8</v>
      </c>
      <c r="EF573" s="27" t="s">
        <v>7</v>
      </c>
      <c r="EW573" s="27" t="s">
        <v>8</v>
      </c>
      <c r="EX573" s="27" t="s">
        <v>7</v>
      </c>
      <c r="EY573" s="27" t="s">
        <v>8</v>
      </c>
      <c r="EZ573" s="27" t="s">
        <v>7</v>
      </c>
      <c r="FA573" s="27" t="s">
        <v>8</v>
      </c>
      <c r="FB573" s="27" t="s">
        <v>7</v>
      </c>
      <c r="IS573" s="27" t="s">
        <v>8</v>
      </c>
      <c r="IV573" s="27" t="s">
        <v>7</v>
      </c>
      <c r="IW573" s="27" t="s">
        <v>8</v>
      </c>
      <c r="IX573" s="27" t="s">
        <v>7</v>
      </c>
      <c r="IY573" s="27" t="s">
        <v>8</v>
      </c>
      <c r="JR573" s="27" t="s">
        <v>7</v>
      </c>
      <c r="JS573" s="27" t="s">
        <v>8</v>
      </c>
      <c r="JT573" s="27" t="s">
        <v>7</v>
      </c>
      <c r="JU573" s="27" t="s">
        <v>8</v>
      </c>
    </row>
    <row r="574" spans="1:282" x14ac:dyDescent="0.25">
      <c r="A574" s="7">
        <v>1.2936066304537963</v>
      </c>
      <c r="B574"/>
      <c r="C574"/>
      <c r="D574"/>
      <c r="E574"/>
      <c r="EE574" s="27" t="s">
        <v>8</v>
      </c>
      <c r="EF574" s="27" t="s">
        <v>7</v>
      </c>
      <c r="EW574" s="27" t="s">
        <v>8</v>
      </c>
      <c r="EX574" s="27" t="s">
        <v>7</v>
      </c>
      <c r="EY574" s="27" t="s">
        <v>8</v>
      </c>
      <c r="EZ574" s="27" t="s">
        <v>7</v>
      </c>
      <c r="FA574" s="27" t="s">
        <v>8</v>
      </c>
      <c r="FB574" s="27" t="s">
        <v>7</v>
      </c>
      <c r="IS574" s="27" t="s">
        <v>8</v>
      </c>
      <c r="IV574" s="27" t="s">
        <v>7</v>
      </c>
      <c r="IW574" s="27" t="s">
        <v>8</v>
      </c>
      <c r="IX574" s="27" t="s">
        <v>7</v>
      </c>
      <c r="IY574" s="27" t="s">
        <v>8</v>
      </c>
      <c r="JR574" s="27" t="s">
        <v>7</v>
      </c>
      <c r="JS574" s="27" t="s">
        <v>8</v>
      </c>
      <c r="JT574" s="27" t="s">
        <v>7</v>
      </c>
      <c r="JU574" s="27" t="s">
        <v>8</v>
      </c>
    </row>
    <row r="575" spans="1:282" x14ac:dyDescent="0.25">
      <c r="A575" s="7">
        <v>1.2682417945625455</v>
      </c>
      <c r="B575"/>
      <c r="C575"/>
      <c r="D575"/>
      <c r="E575"/>
      <c r="EE575" s="27" t="s">
        <v>8</v>
      </c>
      <c r="EF575" s="27" t="s">
        <v>7</v>
      </c>
      <c r="EW575" s="27" t="s">
        <v>8</v>
      </c>
      <c r="EX575" s="27" t="s">
        <v>7</v>
      </c>
      <c r="EY575" s="27" t="s">
        <v>8</v>
      </c>
      <c r="EZ575" s="27" t="s">
        <v>7</v>
      </c>
      <c r="FA575" s="27" t="s">
        <v>8</v>
      </c>
      <c r="FB575" s="27" t="s">
        <v>7</v>
      </c>
      <c r="IS575" s="27" t="s">
        <v>8</v>
      </c>
      <c r="IV575" s="27" t="s">
        <v>7</v>
      </c>
      <c r="IW575" s="27" t="s">
        <v>8</v>
      </c>
      <c r="IX575" s="27" t="s">
        <v>7</v>
      </c>
      <c r="IY575" s="27" t="s">
        <v>8</v>
      </c>
      <c r="JR575" s="27" t="s">
        <v>7</v>
      </c>
      <c r="JS575" s="27" t="s">
        <v>8</v>
      </c>
      <c r="JT575" s="27" t="s">
        <v>7</v>
      </c>
      <c r="JU575" s="27" t="s">
        <v>8</v>
      </c>
    </row>
    <row r="576" spans="1:282" x14ac:dyDescent="0.25">
      <c r="A576" s="7">
        <v>1.2433743083946525</v>
      </c>
      <c r="B576"/>
      <c r="C576"/>
      <c r="D576"/>
      <c r="E576"/>
      <c r="EE576" s="27" t="s">
        <v>8</v>
      </c>
      <c r="EF576" s="27" t="s">
        <v>7</v>
      </c>
      <c r="EI576" s="27" t="s">
        <v>8</v>
      </c>
      <c r="EU576" s="27" t="s">
        <v>8</v>
      </c>
      <c r="EW576" s="27" t="s">
        <v>8</v>
      </c>
      <c r="EX576" s="27" t="s">
        <v>7</v>
      </c>
      <c r="EY576" s="27" t="s">
        <v>8</v>
      </c>
      <c r="EZ576" s="27" t="s">
        <v>7</v>
      </c>
      <c r="FA576" s="27" t="s">
        <v>8</v>
      </c>
      <c r="FB576" s="27" t="s">
        <v>7</v>
      </c>
      <c r="FM576" s="27" t="s">
        <v>8</v>
      </c>
      <c r="IS576" s="27" t="s">
        <v>8</v>
      </c>
      <c r="IV576" s="27" t="s">
        <v>7</v>
      </c>
      <c r="IW576" s="27" t="s">
        <v>8</v>
      </c>
      <c r="IX576" s="27" t="s">
        <v>7</v>
      </c>
      <c r="IY576" s="27" t="s">
        <v>8</v>
      </c>
      <c r="JR576" s="27" t="s">
        <v>7</v>
      </c>
      <c r="JS576" s="27" t="s">
        <v>8</v>
      </c>
      <c r="JT576" s="27" t="s">
        <v>7</v>
      </c>
      <c r="JU576" s="27" t="s">
        <v>8</v>
      </c>
    </row>
    <row r="577" spans="1:280" x14ac:dyDescent="0.25">
      <c r="A577" s="7">
        <v>1.2189944199947573</v>
      </c>
      <c r="B577"/>
      <c r="C577"/>
      <c r="D577"/>
      <c r="E577"/>
      <c r="EC577" s="27" t="s">
        <v>8</v>
      </c>
      <c r="EE577" s="27" t="s">
        <v>8</v>
      </c>
      <c r="EF577" s="27" t="s">
        <v>7</v>
      </c>
      <c r="EI577" s="27" t="s">
        <v>8</v>
      </c>
      <c r="EJ577" s="27" t="s">
        <v>7</v>
      </c>
      <c r="EU577" s="27" t="s">
        <v>8</v>
      </c>
      <c r="EV577" s="27" t="s">
        <v>7</v>
      </c>
      <c r="EW577" s="27" t="s">
        <v>8</v>
      </c>
      <c r="EX577" s="27" t="s">
        <v>7</v>
      </c>
      <c r="EY577" s="27" t="s">
        <v>8</v>
      </c>
      <c r="EZ577" s="27" t="s">
        <v>7</v>
      </c>
      <c r="FA577" s="27" t="s">
        <v>8</v>
      </c>
      <c r="FB577" s="27" t="s">
        <v>7</v>
      </c>
      <c r="FM577" s="27" t="s">
        <v>8</v>
      </c>
      <c r="FN577" s="27" t="s">
        <v>7</v>
      </c>
      <c r="IS577" s="27" t="s">
        <v>8</v>
      </c>
      <c r="IV577" s="27" t="s">
        <v>7</v>
      </c>
      <c r="IX577" s="27" t="s">
        <v>7</v>
      </c>
      <c r="IY577" s="27" t="s">
        <v>8</v>
      </c>
      <c r="JR577" s="27" t="s">
        <v>7</v>
      </c>
      <c r="JS577" s="27" t="s">
        <v>8</v>
      </c>
      <c r="JT577" s="27" t="s">
        <v>7</v>
      </c>
    </row>
    <row r="578" spans="1:280" x14ac:dyDescent="0.25">
      <c r="A578" s="7">
        <v>1.1950925686223111</v>
      </c>
      <c r="B578"/>
      <c r="C578"/>
      <c r="D578"/>
      <c r="E578"/>
      <c r="EC578" s="27" t="s">
        <v>8</v>
      </c>
      <c r="ED578" s="27" t="s">
        <v>7</v>
      </c>
      <c r="EE578" s="27" t="s">
        <v>8</v>
      </c>
      <c r="EF578" s="27" t="s">
        <v>7</v>
      </c>
      <c r="EG578" s="27" t="s">
        <v>8</v>
      </c>
      <c r="EI578" s="27" t="s">
        <v>8</v>
      </c>
      <c r="EJ578" s="27" t="s">
        <v>7</v>
      </c>
      <c r="EU578" s="27" t="s">
        <v>8</v>
      </c>
      <c r="EV578" s="27" t="s">
        <v>7</v>
      </c>
      <c r="EW578" s="27" t="s">
        <v>8</v>
      </c>
      <c r="EX578" s="27" t="s">
        <v>7</v>
      </c>
      <c r="EY578" s="27" t="s">
        <v>8</v>
      </c>
      <c r="EZ578" s="27" t="s">
        <v>7</v>
      </c>
      <c r="FA578" s="27" t="s">
        <v>8</v>
      </c>
      <c r="FB578" s="27" t="s">
        <v>7</v>
      </c>
      <c r="FM578" s="27" t="s">
        <v>8</v>
      </c>
      <c r="FN578" s="27" t="s">
        <v>7</v>
      </c>
      <c r="IS578" s="27" t="s">
        <v>8</v>
      </c>
      <c r="IX578" s="27" t="s">
        <v>7</v>
      </c>
      <c r="IY578" s="27" t="s">
        <v>8</v>
      </c>
      <c r="JR578" s="27" t="s">
        <v>7</v>
      </c>
      <c r="JS578" s="27" t="s">
        <v>8</v>
      </c>
    </row>
    <row r="579" spans="1:280" x14ac:dyDescent="0.25">
      <c r="A579" s="7">
        <v>1.1716593810022657</v>
      </c>
      <c r="B579"/>
      <c r="C579"/>
      <c r="D579"/>
      <c r="E579"/>
      <c r="EC579" s="27" t="s">
        <v>8</v>
      </c>
      <c r="ED579" s="27" t="s">
        <v>7</v>
      </c>
      <c r="EE579" s="27" t="s">
        <v>8</v>
      </c>
      <c r="EF579" s="27" t="s">
        <v>7</v>
      </c>
      <c r="EG579" s="27" t="s">
        <v>8</v>
      </c>
      <c r="EH579" s="27" t="s">
        <v>7</v>
      </c>
      <c r="EI579" s="27" t="s">
        <v>8</v>
      </c>
      <c r="EJ579" s="27" t="s">
        <v>7</v>
      </c>
      <c r="EK579" s="27" t="s">
        <v>8</v>
      </c>
      <c r="EU579" s="27" t="s">
        <v>8</v>
      </c>
      <c r="EV579" s="27" t="s">
        <v>7</v>
      </c>
      <c r="EW579" s="27" t="s">
        <v>8</v>
      </c>
      <c r="EX579" s="27" t="s">
        <v>7</v>
      </c>
      <c r="EY579" s="27" t="s">
        <v>8</v>
      </c>
      <c r="EZ579" s="27" t="s">
        <v>7</v>
      </c>
      <c r="FA579" s="27" t="s">
        <v>8</v>
      </c>
      <c r="FB579" s="27" t="s">
        <v>7</v>
      </c>
      <c r="FM579" s="27" t="s">
        <v>8</v>
      </c>
      <c r="FN579" s="27" t="s">
        <v>7</v>
      </c>
      <c r="IS579" s="27" t="s">
        <v>8</v>
      </c>
      <c r="IX579" s="27" t="s">
        <v>7</v>
      </c>
      <c r="IY579" s="27" t="s">
        <v>8</v>
      </c>
      <c r="JR579" s="27" t="s">
        <v>7</v>
      </c>
      <c r="JS579" s="27" t="s">
        <v>8</v>
      </c>
    </row>
    <row r="580" spans="1:280" x14ac:dyDescent="0.25">
      <c r="A580" s="7">
        <v>1.14868566764928</v>
      </c>
      <c r="B580"/>
      <c r="C580"/>
      <c r="D580"/>
      <c r="E580"/>
      <c r="EC580" s="27" t="s">
        <v>8</v>
      </c>
      <c r="ED580" s="27" t="s">
        <v>7</v>
      </c>
      <c r="EE580" s="27" t="s">
        <v>8</v>
      </c>
      <c r="EF580" s="27" t="s">
        <v>7</v>
      </c>
      <c r="EG580" s="27" t="s">
        <v>8</v>
      </c>
      <c r="EH580" s="27" t="s">
        <v>7</v>
      </c>
      <c r="EI580" s="27" t="s">
        <v>8</v>
      </c>
      <c r="EJ580" s="27" t="s">
        <v>7</v>
      </c>
      <c r="EK580" s="27" t="s">
        <v>8</v>
      </c>
      <c r="EL580" s="27" t="s">
        <v>7</v>
      </c>
      <c r="EU580" s="27" t="s">
        <v>8</v>
      </c>
      <c r="EV580" s="27" t="s">
        <v>7</v>
      </c>
      <c r="EW580" s="27" t="s">
        <v>8</v>
      </c>
      <c r="EX580" s="27" t="s">
        <v>7</v>
      </c>
      <c r="EY580" s="27" t="s">
        <v>8</v>
      </c>
      <c r="EZ580" s="27" t="s">
        <v>7</v>
      </c>
      <c r="FA580" s="27" t="s">
        <v>8</v>
      </c>
      <c r="FB580" s="27" t="s">
        <v>7</v>
      </c>
      <c r="FM580" s="27" t="s">
        <v>8</v>
      </c>
      <c r="FN580" s="27" t="s">
        <v>7</v>
      </c>
      <c r="IS580" s="27" t="s">
        <v>8</v>
      </c>
      <c r="IX580" s="27" t="s">
        <v>7</v>
      </c>
      <c r="IY580" s="27" t="s">
        <v>8</v>
      </c>
      <c r="JR580" s="27" t="s">
        <v>7</v>
      </c>
    </row>
    <row r="581" spans="1:280" x14ac:dyDescent="0.25">
      <c r="A581" s="7">
        <v>1.1261624192640001</v>
      </c>
      <c r="B581"/>
      <c r="C581"/>
      <c r="D581"/>
      <c r="E581"/>
      <c r="DY581" s="27" t="s">
        <v>8</v>
      </c>
      <c r="EA581" s="27" t="s">
        <v>8</v>
      </c>
      <c r="EC581" s="27" t="s">
        <v>8</v>
      </c>
      <c r="ED581" s="27" t="s">
        <v>7</v>
      </c>
      <c r="EE581" s="27" t="s">
        <v>8</v>
      </c>
      <c r="EF581" s="27" t="s">
        <v>7</v>
      </c>
      <c r="EH581" s="27" t="s">
        <v>7</v>
      </c>
      <c r="EI581" s="27" t="s">
        <v>8</v>
      </c>
      <c r="EJ581" s="27" t="s">
        <v>7</v>
      </c>
      <c r="EK581" s="27" t="s">
        <v>8</v>
      </c>
      <c r="EL581" s="27" t="s">
        <v>7</v>
      </c>
      <c r="ES581" s="27" t="s">
        <v>8</v>
      </c>
      <c r="EU581" s="27" t="s">
        <v>8</v>
      </c>
      <c r="EV581" s="27" t="s">
        <v>7</v>
      </c>
      <c r="EW581" s="27" t="s">
        <v>8</v>
      </c>
      <c r="EX581" s="27" t="s">
        <v>7</v>
      </c>
      <c r="EY581" s="27" t="s">
        <v>8</v>
      </c>
      <c r="EZ581" s="27" t="s">
        <v>7</v>
      </c>
      <c r="FA581" s="27" t="s">
        <v>8</v>
      </c>
      <c r="FB581" s="27" t="s">
        <v>7</v>
      </c>
      <c r="FM581" s="27" t="s">
        <v>8</v>
      </c>
      <c r="FN581" s="27" t="s">
        <v>7</v>
      </c>
      <c r="IS581" s="27" t="s">
        <v>8</v>
      </c>
      <c r="IX581" s="27" t="s">
        <v>7</v>
      </c>
    </row>
    <row r="582" spans="1:280" x14ac:dyDescent="0.25">
      <c r="A582" s="7">
        <v>1.1040808032</v>
      </c>
      <c r="B582"/>
      <c r="C582"/>
      <c r="D582"/>
      <c r="E582"/>
      <c r="DY582" s="27" t="s">
        <v>8</v>
      </c>
      <c r="DZ582" s="27" t="s">
        <v>7</v>
      </c>
      <c r="EA582" s="27" t="s">
        <v>8</v>
      </c>
      <c r="EB582" s="27" t="s">
        <v>7</v>
      </c>
      <c r="EC582" s="27" t="s">
        <v>8</v>
      </c>
      <c r="ED582" s="27" t="s">
        <v>7</v>
      </c>
      <c r="EE582" s="27" t="s">
        <v>8</v>
      </c>
      <c r="EH582" s="27" t="s">
        <v>7</v>
      </c>
      <c r="EI582" s="27" t="s">
        <v>8</v>
      </c>
      <c r="EJ582" s="27" t="s">
        <v>7</v>
      </c>
      <c r="EK582" s="27" t="s">
        <v>8</v>
      </c>
      <c r="EL582" s="27" t="s">
        <v>7</v>
      </c>
      <c r="ES582" s="27" t="s">
        <v>8</v>
      </c>
      <c r="ET582" s="27" t="s">
        <v>7</v>
      </c>
      <c r="EU582" s="27" t="s">
        <v>8</v>
      </c>
      <c r="EV582" s="27" t="s">
        <v>7</v>
      </c>
      <c r="EW582" s="27" t="s">
        <v>8</v>
      </c>
      <c r="EX582" s="27" t="s">
        <v>7</v>
      </c>
      <c r="EY582" s="27" t="s">
        <v>8</v>
      </c>
      <c r="EZ582" s="27" t="s">
        <v>7</v>
      </c>
      <c r="FA582" s="27" t="s">
        <v>8</v>
      </c>
      <c r="FB582" s="27" t="s">
        <v>7</v>
      </c>
      <c r="FC582" s="27" t="s">
        <v>8</v>
      </c>
      <c r="FM582" s="27" t="s">
        <v>8</v>
      </c>
      <c r="FN582" s="27" t="s">
        <v>7</v>
      </c>
      <c r="FO582" s="27" t="s">
        <v>8</v>
      </c>
      <c r="IS582" s="27" t="s">
        <v>8</v>
      </c>
    </row>
    <row r="583" spans="1:280" x14ac:dyDescent="0.25">
      <c r="A583" s="7">
        <v>1.08243216</v>
      </c>
      <c r="B583"/>
      <c r="C583"/>
      <c r="D583"/>
      <c r="E583"/>
      <c r="DY583" s="27" t="s">
        <v>8</v>
      </c>
      <c r="DZ583" s="27" t="s">
        <v>7</v>
      </c>
      <c r="EA583" s="27" t="s">
        <v>8</v>
      </c>
      <c r="EB583" s="27" t="s">
        <v>7</v>
      </c>
      <c r="EC583" s="27" t="s">
        <v>8</v>
      </c>
      <c r="ED583" s="27" t="s">
        <v>7</v>
      </c>
      <c r="EE583" s="27" t="s">
        <v>8</v>
      </c>
      <c r="EH583" s="27" t="s">
        <v>7</v>
      </c>
      <c r="EI583" s="27" t="s">
        <v>8</v>
      </c>
      <c r="EJ583" s="27" t="s">
        <v>7</v>
      </c>
      <c r="EK583" s="27" t="s">
        <v>8</v>
      </c>
      <c r="EL583" s="27" t="s">
        <v>7</v>
      </c>
      <c r="EO583" s="27" t="s">
        <v>8</v>
      </c>
      <c r="ES583" s="27" t="s">
        <v>8</v>
      </c>
      <c r="ET583" s="27" t="s">
        <v>7</v>
      </c>
      <c r="EU583" s="27" t="s">
        <v>8</v>
      </c>
      <c r="EV583" s="27" t="s">
        <v>7</v>
      </c>
      <c r="EW583" s="27" t="s">
        <v>8</v>
      </c>
      <c r="EX583" s="27" t="s">
        <v>7</v>
      </c>
      <c r="EY583" s="27" t="s">
        <v>8</v>
      </c>
      <c r="EZ583" s="27" t="s">
        <v>7</v>
      </c>
      <c r="FA583" s="27" t="s">
        <v>8</v>
      </c>
      <c r="FB583" s="27" t="s">
        <v>7</v>
      </c>
      <c r="FC583" s="27" t="s">
        <v>8</v>
      </c>
      <c r="FD583" s="27" t="s">
        <v>7</v>
      </c>
      <c r="FM583" s="27" t="s">
        <v>8</v>
      </c>
      <c r="FN583" s="27" t="s">
        <v>7</v>
      </c>
      <c r="FO583" s="27" t="s">
        <v>8</v>
      </c>
      <c r="FP583" s="27" t="s">
        <v>7</v>
      </c>
      <c r="IS583" s="27" t="s">
        <v>8</v>
      </c>
    </row>
    <row r="584" spans="1:280" x14ac:dyDescent="0.25">
      <c r="A584" s="7">
        <v>1.0612079999999999</v>
      </c>
      <c r="B584"/>
      <c r="C584"/>
      <c r="D584"/>
      <c r="E584"/>
      <c r="DY584" s="27" t="s">
        <v>8</v>
      </c>
      <c r="DZ584" s="27" t="s">
        <v>7</v>
      </c>
      <c r="EA584" s="27" t="s">
        <v>8</v>
      </c>
      <c r="EB584" s="27" t="s">
        <v>7</v>
      </c>
      <c r="EC584" s="27" t="s">
        <v>8</v>
      </c>
      <c r="ED584" s="27" t="s">
        <v>7</v>
      </c>
      <c r="EE584" s="27" t="s">
        <v>8</v>
      </c>
      <c r="EH584" s="27" t="s">
        <v>7</v>
      </c>
      <c r="EJ584" s="27" t="s">
        <v>7</v>
      </c>
      <c r="EK584" s="27" t="s">
        <v>8</v>
      </c>
      <c r="EL584" s="27" t="s">
        <v>7</v>
      </c>
      <c r="EO584" s="27" t="s">
        <v>8</v>
      </c>
      <c r="EP584" s="27" t="s">
        <v>7</v>
      </c>
      <c r="ES584" s="27" t="s">
        <v>8</v>
      </c>
      <c r="ET584" s="27" t="s">
        <v>7</v>
      </c>
      <c r="EU584" s="27" t="s">
        <v>8</v>
      </c>
      <c r="EV584" s="27" t="s">
        <v>7</v>
      </c>
      <c r="EW584" s="27" t="s">
        <v>8</v>
      </c>
      <c r="EX584" s="27" t="s">
        <v>7</v>
      </c>
      <c r="EY584" s="27" t="s">
        <v>8</v>
      </c>
      <c r="EZ584" s="27" t="s">
        <v>7</v>
      </c>
      <c r="FA584" s="27" t="s">
        <v>8</v>
      </c>
      <c r="FB584" s="27" t="s">
        <v>7</v>
      </c>
      <c r="FC584" s="27" t="s">
        <v>8</v>
      </c>
      <c r="FD584" s="27" t="s">
        <v>7</v>
      </c>
      <c r="FM584" s="27" t="s">
        <v>8</v>
      </c>
      <c r="FN584" s="27" t="s">
        <v>7</v>
      </c>
      <c r="FO584" s="27" t="s">
        <v>8</v>
      </c>
      <c r="FP584" s="27" t="s">
        <v>7</v>
      </c>
      <c r="IS584" s="27" t="s">
        <v>8</v>
      </c>
    </row>
    <row r="585" spans="1:280" x14ac:dyDescent="0.25">
      <c r="A585" s="7">
        <v>1.0404</v>
      </c>
      <c r="B585"/>
      <c r="C585"/>
      <c r="D585"/>
      <c r="E585"/>
      <c r="DY585" s="27" t="s">
        <v>8</v>
      </c>
      <c r="DZ585" s="27" t="s">
        <v>7</v>
      </c>
      <c r="EA585" s="27" t="s">
        <v>8</v>
      </c>
      <c r="EB585" s="27" t="s">
        <v>7</v>
      </c>
      <c r="EC585" s="27" t="s">
        <v>8</v>
      </c>
      <c r="ED585" s="27" t="s">
        <v>7</v>
      </c>
      <c r="EE585" s="27" t="s">
        <v>8</v>
      </c>
      <c r="EJ585" s="27" t="s">
        <v>7</v>
      </c>
      <c r="EK585" s="27" t="s">
        <v>8</v>
      </c>
      <c r="EL585" s="27" t="s">
        <v>7</v>
      </c>
      <c r="EO585" s="27" t="s">
        <v>8</v>
      </c>
      <c r="EP585" s="27" t="s">
        <v>7</v>
      </c>
      <c r="ES585" s="27" t="s">
        <v>8</v>
      </c>
      <c r="ET585" s="27" t="s">
        <v>7</v>
      </c>
      <c r="EU585" s="27" t="s">
        <v>8</v>
      </c>
      <c r="EV585" s="27" t="s">
        <v>7</v>
      </c>
      <c r="EW585" s="27" t="s">
        <v>8</v>
      </c>
      <c r="EX585" s="27" t="s">
        <v>7</v>
      </c>
      <c r="EY585" s="27" t="s">
        <v>8</v>
      </c>
      <c r="EZ585" s="27" t="s">
        <v>7</v>
      </c>
      <c r="FA585" s="27" t="s">
        <v>8</v>
      </c>
      <c r="FB585" s="27" t="s">
        <v>7</v>
      </c>
      <c r="FC585" s="27" t="s">
        <v>8</v>
      </c>
      <c r="FD585" s="27" t="s">
        <v>7</v>
      </c>
      <c r="FM585" s="27" t="s">
        <v>8</v>
      </c>
      <c r="FN585" s="27" t="s">
        <v>7</v>
      </c>
      <c r="FO585" s="27" t="s">
        <v>8</v>
      </c>
      <c r="FP585" s="27" t="s">
        <v>7</v>
      </c>
      <c r="IS585" s="27" t="s">
        <v>8</v>
      </c>
    </row>
    <row r="586" spans="1:280" x14ac:dyDescent="0.25">
      <c r="A586" s="7">
        <v>1.02</v>
      </c>
      <c r="B586"/>
      <c r="C586"/>
      <c r="D586"/>
      <c r="E586"/>
      <c r="DY586" s="27" t="s">
        <v>8</v>
      </c>
      <c r="DZ586" s="27" t="s">
        <v>7</v>
      </c>
      <c r="EB586" s="27" t="s">
        <v>7</v>
      </c>
      <c r="EC586" s="27" t="s">
        <v>8</v>
      </c>
      <c r="ED586" s="27" t="s">
        <v>7</v>
      </c>
      <c r="EE586" s="27" t="s">
        <v>8</v>
      </c>
      <c r="EJ586" s="27" t="s">
        <v>7</v>
      </c>
      <c r="EK586" s="27" t="s">
        <v>8</v>
      </c>
      <c r="EL586" s="27" t="s">
        <v>7</v>
      </c>
      <c r="EO586" s="27" t="s">
        <v>8</v>
      </c>
      <c r="EP586" s="27" t="s">
        <v>7</v>
      </c>
      <c r="ES586" s="27" t="s">
        <v>8</v>
      </c>
      <c r="ET586" s="27" t="s">
        <v>7</v>
      </c>
      <c r="EV586" s="27" t="s">
        <v>7</v>
      </c>
      <c r="EW586" s="27" t="s">
        <v>8</v>
      </c>
      <c r="EX586" s="27" t="s">
        <v>7</v>
      </c>
      <c r="EY586" s="27" t="s">
        <v>8</v>
      </c>
      <c r="EZ586" s="27" t="s">
        <v>7</v>
      </c>
      <c r="FA586" s="27" t="s">
        <v>8</v>
      </c>
      <c r="FB586" s="27" t="s">
        <v>7</v>
      </c>
      <c r="FC586" s="27" t="s">
        <v>8</v>
      </c>
      <c r="FD586" s="27" t="s">
        <v>7</v>
      </c>
      <c r="FM586" s="27" t="s">
        <v>8</v>
      </c>
      <c r="FN586" s="27" t="s">
        <v>7</v>
      </c>
      <c r="FO586" s="27" t="s">
        <v>8</v>
      </c>
      <c r="FP586" s="27" t="s">
        <v>7</v>
      </c>
      <c r="IS586" s="27" t="s">
        <v>8</v>
      </c>
    </row>
    <row r="587" spans="1:280" x14ac:dyDescent="0.25">
      <c r="A587" s="7">
        <v>1</v>
      </c>
      <c r="B587"/>
      <c r="C587"/>
      <c r="D587"/>
      <c r="E587" s="29" t="s">
        <v>8</v>
      </c>
      <c r="AM587" s="27" t="s">
        <v>8</v>
      </c>
      <c r="DY587" s="27" t="s">
        <v>8</v>
      </c>
      <c r="EB587" s="27" t="s">
        <v>7</v>
      </c>
      <c r="EC587" s="27" t="s">
        <v>8</v>
      </c>
      <c r="ED587" s="27" t="s">
        <v>7</v>
      </c>
      <c r="EE587" s="27" t="s">
        <v>8</v>
      </c>
      <c r="EJ587" s="27" t="s">
        <v>7</v>
      </c>
      <c r="EK587" s="27" t="s">
        <v>8</v>
      </c>
      <c r="EL587" s="27" t="s">
        <v>7</v>
      </c>
      <c r="EM587" s="27" t="s">
        <v>8</v>
      </c>
      <c r="EO587" s="27" t="s">
        <v>8</v>
      </c>
      <c r="EP587" s="27" t="s">
        <v>7</v>
      </c>
      <c r="ES587" s="27" t="s">
        <v>8</v>
      </c>
      <c r="EV587" s="27" t="s">
        <v>7</v>
      </c>
      <c r="EW587" s="27" t="s">
        <v>8</v>
      </c>
      <c r="EX587" s="27" t="s">
        <v>7</v>
      </c>
      <c r="EY587" s="27" t="s">
        <v>8</v>
      </c>
      <c r="EZ587" s="27" t="s">
        <v>7</v>
      </c>
      <c r="FA587" s="27" t="s">
        <v>8</v>
      </c>
      <c r="FB587" s="27" t="s">
        <v>7</v>
      </c>
      <c r="FC587" s="27" t="s">
        <v>8</v>
      </c>
      <c r="FD587" s="27" t="s">
        <v>7</v>
      </c>
      <c r="FM587" s="27" t="s">
        <v>8</v>
      </c>
      <c r="FN587" s="27" t="s">
        <v>7</v>
      </c>
      <c r="FO587" s="27" t="s">
        <v>8</v>
      </c>
      <c r="FP587" s="27" t="s">
        <v>7</v>
      </c>
      <c r="IS587" s="27" t="s">
        <v>8</v>
      </c>
    </row>
    <row r="588" spans="1:280" x14ac:dyDescent="0.25">
      <c r="A588" s="7">
        <v>0.98039215686274506</v>
      </c>
      <c r="B588"/>
      <c r="C588"/>
      <c r="D588"/>
      <c r="E588"/>
      <c r="F588" s="27" t="s">
        <v>7</v>
      </c>
      <c r="AM588" s="27" t="s">
        <v>8</v>
      </c>
      <c r="AN588" s="27" t="s">
        <v>7</v>
      </c>
      <c r="DW588" s="27" t="s">
        <v>8</v>
      </c>
      <c r="DY588" s="27" t="s">
        <v>8</v>
      </c>
      <c r="EB588" s="27" t="s">
        <v>7</v>
      </c>
      <c r="EC588" s="27" t="s">
        <v>8</v>
      </c>
      <c r="ED588" s="27" t="s">
        <v>7</v>
      </c>
      <c r="EE588" s="27" t="s">
        <v>8</v>
      </c>
      <c r="EJ588" s="27" t="s">
        <v>7</v>
      </c>
      <c r="EK588" s="27" t="s">
        <v>8</v>
      </c>
      <c r="EL588" s="27" t="s">
        <v>7</v>
      </c>
      <c r="EM588" s="27" t="s">
        <v>8</v>
      </c>
      <c r="EN588" s="27" t="s">
        <v>7</v>
      </c>
      <c r="EO588" s="27" t="s">
        <v>8</v>
      </c>
      <c r="EP588" s="27" t="s">
        <v>7</v>
      </c>
      <c r="ES588" s="27" t="s">
        <v>8</v>
      </c>
      <c r="EV588" s="27" t="s">
        <v>7</v>
      </c>
      <c r="EW588" s="27" t="s">
        <v>8</v>
      </c>
      <c r="EX588" s="27" t="s">
        <v>7</v>
      </c>
      <c r="EY588" s="27" t="s">
        <v>8</v>
      </c>
      <c r="EZ588" s="27" t="s">
        <v>7</v>
      </c>
      <c r="FB588" s="27" t="s">
        <v>7</v>
      </c>
      <c r="FD588" s="27" t="s">
        <v>7</v>
      </c>
      <c r="FM588" s="27" t="s">
        <v>8</v>
      </c>
      <c r="FN588" s="27" t="s">
        <v>7</v>
      </c>
      <c r="FO588" s="27" t="s">
        <v>8</v>
      </c>
      <c r="FP588" s="27" t="s">
        <v>7</v>
      </c>
      <c r="IS588" s="27" t="s">
        <v>8</v>
      </c>
    </row>
    <row r="589" spans="1:280" x14ac:dyDescent="0.25">
      <c r="A589" s="7">
        <v>0.96116878123798544</v>
      </c>
      <c r="B589"/>
      <c r="C589"/>
      <c r="D589"/>
      <c r="E589"/>
      <c r="F589" s="27" t="s">
        <v>7</v>
      </c>
      <c r="AM589" s="27" t="s">
        <v>8</v>
      </c>
      <c r="AN589" s="27" t="s">
        <v>7</v>
      </c>
      <c r="DU589" s="27" t="s">
        <v>8</v>
      </c>
      <c r="DW589" s="27" t="s">
        <v>8</v>
      </c>
      <c r="DX589" s="27" t="s">
        <v>7</v>
      </c>
      <c r="DY589" s="27" t="s">
        <v>8</v>
      </c>
      <c r="EB589" s="27" t="s">
        <v>7</v>
      </c>
      <c r="EC589" s="27" t="s">
        <v>8</v>
      </c>
      <c r="ED589" s="27" t="s">
        <v>7</v>
      </c>
      <c r="EE589" s="27" t="s">
        <v>8</v>
      </c>
      <c r="EJ589" s="27" t="s">
        <v>7</v>
      </c>
      <c r="EK589" s="27" t="s">
        <v>8</v>
      </c>
      <c r="EL589" s="27" t="s">
        <v>7</v>
      </c>
      <c r="EM589" s="27" t="s">
        <v>8</v>
      </c>
      <c r="EN589" s="27" t="s">
        <v>7</v>
      </c>
      <c r="EO589" s="27" t="s">
        <v>8</v>
      </c>
      <c r="EP589" s="27" t="s">
        <v>7</v>
      </c>
      <c r="ES589" s="27" t="s">
        <v>8</v>
      </c>
      <c r="EV589" s="27" t="s">
        <v>7</v>
      </c>
      <c r="EW589" s="27" t="s">
        <v>8</v>
      </c>
      <c r="EX589" s="27" t="s">
        <v>7</v>
      </c>
      <c r="FD589" s="27" t="s">
        <v>7</v>
      </c>
      <c r="FE589" s="27" t="s">
        <v>8</v>
      </c>
      <c r="FK589" s="27" t="s">
        <v>8</v>
      </c>
      <c r="FM589" s="27" t="s">
        <v>8</v>
      </c>
      <c r="FN589" s="27" t="s">
        <v>7</v>
      </c>
      <c r="FO589" s="27" t="s">
        <v>8</v>
      </c>
      <c r="FP589" s="27" t="s">
        <v>7</v>
      </c>
      <c r="IS589" s="27" t="s">
        <v>8</v>
      </c>
    </row>
    <row r="590" spans="1:280" x14ac:dyDescent="0.25">
      <c r="A590" s="7">
        <v>0.94232233454704462</v>
      </c>
      <c r="B590"/>
      <c r="C590"/>
      <c r="D590"/>
      <c r="E590"/>
      <c r="F590" s="27" t="s">
        <v>7</v>
      </c>
      <c r="AM590" s="27" t="s">
        <v>8</v>
      </c>
      <c r="AN590" s="27" t="s">
        <v>7</v>
      </c>
      <c r="DU590" s="27" t="s">
        <v>8</v>
      </c>
      <c r="DV590" s="27" t="s">
        <v>7</v>
      </c>
      <c r="DW590" s="27" t="s">
        <v>8</v>
      </c>
      <c r="DX590" s="27" t="s">
        <v>7</v>
      </c>
      <c r="DY590" s="27" t="s">
        <v>8</v>
      </c>
      <c r="EB590" s="27" t="s">
        <v>7</v>
      </c>
      <c r="EC590" s="27" t="s">
        <v>8</v>
      </c>
      <c r="ED590" s="27" t="s">
        <v>7</v>
      </c>
      <c r="EE590" s="27" t="s">
        <v>8</v>
      </c>
      <c r="EJ590" s="27" t="s">
        <v>7</v>
      </c>
      <c r="EK590" s="27" t="s">
        <v>8</v>
      </c>
      <c r="EL590" s="27" t="s">
        <v>7</v>
      </c>
      <c r="EM590" s="27" t="s">
        <v>8</v>
      </c>
      <c r="EN590" s="27" t="s">
        <v>7</v>
      </c>
      <c r="EO590" s="27" t="s">
        <v>8</v>
      </c>
      <c r="EP590" s="27" t="s">
        <v>7</v>
      </c>
      <c r="ES590" s="27" t="s">
        <v>8</v>
      </c>
      <c r="EV590" s="27" t="s">
        <v>7</v>
      </c>
      <c r="EW590" s="27" t="s">
        <v>8</v>
      </c>
      <c r="FD590" s="27" t="s">
        <v>7</v>
      </c>
      <c r="FE590" s="27" t="s">
        <v>8</v>
      </c>
      <c r="FF590" s="27" t="s">
        <v>7</v>
      </c>
      <c r="FK590" s="27" t="s">
        <v>8</v>
      </c>
      <c r="FL590" s="27" t="s">
        <v>7</v>
      </c>
      <c r="FM590" s="27" t="s">
        <v>8</v>
      </c>
      <c r="FN590" s="27" t="s">
        <v>7</v>
      </c>
      <c r="FO590" s="27" t="s">
        <v>8</v>
      </c>
      <c r="FP590" s="27" t="s">
        <v>7</v>
      </c>
      <c r="IS590" s="27" t="s">
        <v>8</v>
      </c>
    </row>
    <row r="591" spans="1:280" x14ac:dyDescent="0.25">
      <c r="A591" s="7">
        <v>0.92384542602651432</v>
      </c>
      <c r="B591"/>
      <c r="C591"/>
      <c r="D591"/>
      <c r="E591"/>
      <c r="F591" s="27" t="s">
        <v>7</v>
      </c>
      <c r="AM591" s="27" t="s">
        <v>8</v>
      </c>
      <c r="AN591" s="27" t="s">
        <v>7</v>
      </c>
      <c r="DU591" s="27" t="s">
        <v>8</v>
      </c>
      <c r="DV591" s="27" t="s">
        <v>7</v>
      </c>
      <c r="DW591" s="27" t="s">
        <v>8</v>
      </c>
      <c r="DX591" s="27" t="s">
        <v>7</v>
      </c>
      <c r="DY591" s="27" t="s">
        <v>8</v>
      </c>
      <c r="EB591" s="27" t="s">
        <v>7</v>
      </c>
      <c r="EC591" s="27" t="s">
        <v>8</v>
      </c>
      <c r="ED591" s="27" t="s">
        <v>7</v>
      </c>
      <c r="EJ591" s="27" t="s">
        <v>7</v>
      </c>
      <c r="EK591" s="27" t="s">
        <v>8</v>
      </c>
      <c r="EL591" s="27" t="s">
        <v>7</v>
      </c>
      <c r="EM591" s="27" t="s">
        <v>8</v>
      </c>
      <c r="EN591" s="27" t="s">
        <v>7</v>
      </c>
      <c r="EO591" s="27" t="s">
        <v>8</v>
      </c>
      <c r="EP591" s="27" t="s">
        <v>7</v>
      </c>
      <c r="ES591" s="27" t="s">
        <v>8</v>
      </c>
      <c r="EV591" s="27" t="s">
        <v>7</v>
      </c>
      <c r="FD591" s="27" t="s">
        <v>7</v>
      </c>
      <c r="FE591" s="27" t="s">
        <v>8</v>
      </c>
      <c r="FF591" s="27" t="s">
        <v>7</v>
      </c>
      <c r="FK591" s="27" t="s">
        <v>8</v>
      </c>
      <c r="FL591" s="27" t="s">
        <v>7</v>
      </c>
      <c r="FM591" s="27" t="s">
        <v>8</v>
      </c>
      <c r="FN591" s="27" t="s">
        <v>7</v>
      </c>
      <c r="FO591" s="27" t="s">
        <v>8</v>
      </c>
      <c r="FP591" s="27" t="s">
        <v>7</v>
      </c>
      <c r="IS591" s="27" t="s">
        <v>8</v>
      </c>
    </row>
    <row r="592" spans="1:280" x14ac:dyDescent="0.25">
      <c r="A592" s="7">
        <v>0.90573080982991594</v>
      </c>
      <c r="B592"/>
      <c r="C592"/>
      <c r="D592"/>
      <c r="E592"/>
      <c r="F592" s="27" t="s">
        <v>7</v>
      </c>
      <c r="AM592" s="27" t="s">
        <v>8</v>
      </c>
      <c r="AN592" s="27" t="s">
        <v>7</v>
      </c>
      <c r="DU592" s="27" t="s">
        <v>8</v>
      </c>
      <c r="DV592" s="27" t="s">
        <v>7</v>
      </c>
      <c r="DW592" s="27" t="s">
        <v>8</v>
      </c>
      <c r="DX592" s="27" t="s">
        <v>7</v>
      </c>
      <c r="DY592" s="27" t="s">
        <v>8</v>
      </c>
      <c r="EB592" s="27" t="s">
        <v>7</v>
      </c>
      <c r="EC592" s="27" t="s">
        <v>8</v>
      </c>
      <c r="EJ592" s="27" t="s">
        <v>7</v>
      </c>
      <c r="EK592" s="27" t="s">
        <v>8</v>
      </c>
      <c r="EL592" s="27" t="s">
        <v>7</v>
      </c>
      <c r="EM592" s="27" t="s">
        <v>8</v>
      </c>
      <c r="EN592" s="27" t="s">
        <v>7</v>
      </c>
      <c r="EO592" s="27" t="s">
        <v>8</v>
      </c>
      <c r="EP592" s="27" t="s">
        <v>7</v>
      </c>
      <c r="EQ592" s="27" t="s">
        <v>8</v>
      </c>
      <c r="ES592" s="27" t="s">
        <v>8</v>
      </c>
      <c r="FD592" s="27" t="s">
        <v>7</v>
      </c>
      <c r="FE592" s="27" t="s">
        <v>8</v>
      </c>
      <c r="FF592" s="27" t="s">
        <v>7</v>
      </c>
      <c r="FK592" s="27" t="s">
        <v>8</v>
      </c>
      <c r="FL592" s="27" t="s">
        <v>7</v>
      </c>
      <c r="FM592" s="27" t="s">
        <v>8</v>
      </c>
      <c r="FN592" s="27" t="s">
        <v>7</v>
      </c>
      <c r="FO592" s="27" t="s">
        <v>8</v>
      </c>
      <c r="FP592" s="27" t="s">
        <v>7</v>
      </c>
      <c r="IS592" s="27" t="s">
        <v>8</v>
      </c>
    </row>
    <row r="593" spans="1:253" x14ac:dyDescent="0.25">
      <c r="A593" s="7">
        <v>0.8879713821861922</v>
      </c>
      <c r="B593"/>
      <c r="C593"/>
      <c r="D593"/>
      <c r="E593"/>
      <c r="F593" s="27" t="s">
        <v>7</v>
      </c>
      <c r="AM593" s="27" t="s">
        <v>8</v>
      </c>
      <c r="AN593" s="27" t="s">
        <v>7</v>
      </c>
      <c r="DU593" s="27" t="s">
        <v>8</v>
      </c>
      <c r="DV593" s="27" t="s">
        <v>7</v>
      </c>
      <c r="DW593" s="27" t="s">
        <v>8</v>
      </c>
      <c r="DX593" s="27" t="s">
        <v>7</v>
      </c>
      <c r="DY593" s="27" t="s">
        <v>8</v>
      </c>
      <c r="EB593" s="27" t="s">
        <v>7</v>
      </c>
      <c r="EJ593" s="27" t="s">
        <v>7</v>
      </c>
      <c r="EK593" s="27" t="s">
        <v>8</v>
      </c>
      <c r="EL593" s="27" t="s">
        <v>7</v>
      </c>
      <c r="EM593" s="27" t="s">
        <v>8</v>
      </c>
      <c r="EN593" s="27" t="s">
        <v>7</v>
      </c>
      <c r="EO593" s="27" t="s">
        <v>8</v>
      </c>
      <c r="EP593" s="27" t="s">
        <v>7</v>
      </c>
      <c r="EQ593" s="27" t="s">
        <v>8</v>
      </c>
      <c r="ER593" s="27" t="s">
        <v>7</v>
      </c>
      <c r="ES593" s="27" t="s">
        <v>8</v>
      </c>
      <c r="FD593" s="27" t="s">
        <v>7</v>
      </c>
      <c r="FE593" s="27" t="s">
        <v>8</v>
      </c>
      <c r="FF593" s="27" t="s">
        <v>7</v>
      </c>
      <c r="FK593" s="27" t="s">
        <v>8</v>
      </c>
      <c r="FL593" s="27" t="s">
        <v>7</v>
      </c>
      <c r="FM593" s="27" t="s">
        <v>8</v>
      </c>
      <c r="FN593" s="27" t="s">
        <v>7</v>
      </c>
      <c r="FP593" s="27" t="s">
        <v>7</v>
      </c>
      <c r="GO593" s="27" t="s">
        <v>8</v>
      </c>
      <c r="IS593" s="27" t="s">
        <v>8</v>
      </c>
    </row>
    <row r="594" spans="1:253" x14ac:dyDescent="0.25">
      <c r="A594" s="7">
        <v>0.87056017861391399</v>
      </c>
      <c r="B594"/>
      <c r="C594"/>
      <c r="D594"/>
      <c r="E594"/>
      <c r="F594" s="27" t="s">
        <v>7</v>
      </c>
      <c r="AM594" s="27" t="s">
        <v>8</v>
      </c>
      <c r="AN594" s="27" t="s">
        <v>7</v>
      </c>
      <c r="DU594" s="27" t="s">
        <v>8</v>
      </c>
      <c r="DV594" s="27" t="s">
        <v>7</v>
      </c>
      <c r="DW594" s="27" t="s">
        <v>8</v>
      </c>
      <c r="DX594" s="27" t="s">
        <v>7</v>
      </c>
      <c r="DY594" s="27" t="s">
        <v>8</v>
      </c>
      <c r="EJ594" s="27" t="s">
        <v>7</v>
      </c>
      <c r="EK594" s="27" t="s">
        <v>8</v>
      </c>
      <c r="EL594" s="27" t="s">
        <v>7</v>
      </c>
      <c r="EN594" s="27" t="s">
        <v>7</v>
      </c>
      <c r="EO594" s="27" t="s">
        <v>8</v>
      </c>
      <c r="EP594" s="27" t="s">
        <v>7</v>
      </c>
      <c r="EQ594" s="27" t="s">
        <v>8</v>
      </c>
      <c r="ER594" s="27" t="s">
        <v>7</v>
      </c>
      <c r="ES594" s="27" t="s">
        <v>8</v>
      </c>
      <c r="FD594" s="27" t="s">
        <v>7</v>
      </c>
      <c r="FE594" s="27" t="s">
        <v>8</v>
      </c>
      <c r="FF594" s="27" t="s">
        <v>7</v>
      </c>
      <c r="FK594" s="27" t="s">
        <v>8</v>
      </c>
      <c r="FL594" s="27" t="s">
        <v>7</v>
      </c>
      <c r="FM594" s="27" t="s">
        <v>8</v>
      </c>
      <c r="FP594" s="27" t="s">
        <v>7</v>
      </c>
      <c r="GO594" s="27" t="s">
        <v>8</v>
      </c>
      <c r="GP594" s="27" t="s">
        <v>7</v>
      </c>
      <c r="IS594" s="27" t="s">
        <v>8</v>
      </c>
    </row>
    <row r="595" spans="1:253" x14ac:dyDescent="0.25">
      <c r="A595" s="7">
        <v>0.85349037119011173</v>
      </c>
      <c r="B595"/>
      <c r="C595"/>
      <c r="D595"/>
      <c r="E595"/>
      <c r="F595" s="27" t="s">
        <v>7</v>
      </c>
      <c r="AE595" s="27" t="s">
        <v>8</v>
      </c>
      <c r="AM595" s="27" t="s">
        <v>8</v>
      </c>
      <c r="AN595" s="27" t="s">
        <v>7</v>
      </c>
      <c r="DC595" s="27" t="s">
        <v>8</v>
      </c>
      <c r="DS595" s="27" t="s">
        <v>8</v>
      </c>
      <c r="DU595" s="27" t="s">
        <v>8</v>
      </c>
      <c r="DV595" s="27" t="s">
        <v>7</v>
      </c>
      <c r="DW595" s="27" t="s">
        <v>8</v>
      </c>
      <c r="DX595" s="27" t="s">
        <v>7</v>
      </c>
      <c r="EJ595" s="27" t="s">
        <v>7</v>
      </c>
      <c r="EK595" s="27" t="s">
        <v>8</v>
      </c>
      <c r="EN595" s="27" t="s">
        <v>7</v>
      </c>
      <c r="EO595" s="27" t="s">
        <v>8</v>
      </c>
      <c r="EP595" s="27" t="s">
        <v>7</v>
      </c>
      <c r="EQ595" s="27" t="s">
        <v>8</v>
      </c>
      <c r="ER595" s="27" t="s">
        <v>7</v>
      </c>
      <c r="ES595" s="27" t="s">
        <v>8</v>
      </c>
      <c r="FD595" s="27" t="s">
        <v>7</v>
      </c>
      <c r="FE595" s="27" t="s">
        <v>8</v>
      </c>
      <c r="FF595" s="27" t="s">
        <v>7</v>
      </c>
      <c r="FK595" s="27" t="s">
        <v>8</v>
      </c>
      <c r="FL595" s="27" t="s">
        <v>7</v>
      </c>
      <c r="FM595" s="27" t="s">
        <v>8</v>
      </c>
      <c r="FP595" s="27" t="s">
        <v>7</v>
      </c>
      <c r="GO595" s="27" t="s">
        <v>8</v>
      </c>
      <c r="GP595" s="27" t="s">
        <v>7</v>
      </c>
      <c r="GW595" s="27" t="s">
        <v>8</v>
      </c>
      <c r="IA595" s="27" t="s">
        <v>8</v>
      </c>
      <c r="IS595" s="27" t="s">
        <v>8</v>
      </c>
    </row>
    <row r="596" spans="1:253" x14ac:dyDescent="0.25">
      <c r="A596" s="7">
        <v>0.83675526587265858</v>
      </c>
      <c r="B596"/>
      <c r="C596"/>
      <c r="D596"/>
      <c r="E596"/>
      <c r="F596" s="27" t="s">
        <v>7</v>
      </c>
      <c r="AE596" s="27" t="s">
        <v>8</v>
      </c>
      <c r="AF596" s="27" t="s">
        <v>7</v>
      </c>
      <c r="AM596" s="27" t="s">
        <v>8</v>
      </c>
      <c r="AN596" s="27" t="s">
        <v>7</v>
      </c>
      <c r="DC596" s="27" t="s">
        <v>8</v>
      </c>
      <c r="DD596" s="27" t="s">
        <v>7</v>
      </c>
      <c r="DQ596" s="27" t="s">
        <v>8</v>
      </c>
      <c r="DS596" s="27" t="s">
        <v>8</v>
      </c>
      <c r="DT596" s="27" t="s">
        <v>7</v>
      </c>
      <c r="DU596" s="27" t="s">
        <v>8</v>
      </c>
      <c r="DV596" s="27" t="s">
        <v>7</v>
      </c>
      <c r="DW596" s="27" t="s">
        <v>8</v>
      </c>
      <c r="EJ596" s="27" t="s">
        <v>7</v>
      </c>
      <c r="EK596" s="27" t="s">
        <v>8</v>
      </c>
      <c r="EN596" s="27" t="s">
        <v>7</v>
      </c>
      <c r="EO596" s="27" t="s">
        <v>8</v>
      </c>
      <c r="EP596" s="27" t="s">
        <v>7</v>
      </c>
      <c r="EQ596" s="27" t="s">
        <v>8</v>
      </c>
      <c r="ER596" s="27" t="s">
        <v>7</v>
      </c>
      <c r="ES596" s="27" t="s">
        <v>8</v>
      </c>
      <c r="FD596" s="27" t="s">
        <v>7</v>
      </c>
      <c r="FE596" s="27" t="s">
        <v>8</v>
      </c>
      <c r="FF596" s="27" t="s">
        <v>7</v>
      </c>
      <c r="FK596" s="27" t="s">
        <v>8</v>
      </c>
      <c r="FL596" s="27" t="s">
        <v>7</v>
      </c>
      <c r="FM596" s="27" t="s">
        <v>8</v>
      </c>
      <c r="FP596" s="27" t="s">
        <v>7</v>
      </c>
      <c r="GO596" s="27" t="s">
        <v>8</v>
      </c>
      <c r="GP596" s="27" t="s">
        <v>7</v>
      </c>
      <c r="GW596" s="27" t="s">
        <v>8</v>
      </c>
      <c r="GX596" s="27" t="s">
        <v>7</v>
      </c>
      <c r="IA596" s="27" t="s">
        <v>8</v>
      </c>
      <c r="IB596" s="27" t="s">
        <v>7</v>
      </c>
      <c r="IS596" s="27" t="s">
        <v>8</v>
      </c>
    </row>
    <row r="597" spans="1:253" x14ac:dyDescent="0.25">
      <c r="A597" s="7">
        <v>0.82034829987515545</v>
      </c>
      <c r="B597"/>
      <c r="C597"/>
      <c r="D597"/>
      <c r="E597"/>
      <c r="F597" s="27" t="s">
        <v>7</v>
      </c>
      <c r="AE597" s="27" t="s">
        <v>8</v>
      </c>
      <c r="AF597" s="27" t="s">
        <v>7</v>
      </c>
      <c r="AM597" s="27" t="s">
        <v>8</v>
      </c>
      <c r="AN597" s="27" t="s">
        <v>7</v>
      </c>
      <c r="DC597" s="27" t="s">
        <v>8</v>
      </c>
      <c r="DD597" s="27" t="s">
        <v>7</v>
      </c>
      <c r="DQ597" s="27" t="s">
        <v>8</v>
      </c>
      <c r="DR597" s="27" t="s">
        <v>7</v>
      </c>
      <c r="DS597" s="27" t="s">
        <v>8</v>
      </c>
      <c r="DT597" s="27" t="s">
        <v>7</v>
      </c>
      <c r="DU597" s="27" t="s">
        <v>8</v>
      </c>
      <c r="DV597" s="27" t="s">
        <v>7</v>
      </c>
      <c r="DW597" s="27" t="s">
        <v>8</v>
      </c>
      <c r="EJ597" s="27" t="s">
        <v>7</v>
      </c>
      <c r="EK597" s="27" t="s">
        <v>8</v>
      </c>
      <c r="EN597" s="27" t="s">
        <v>7</v>
      </c>
      <c r="EO597" s="27" t="s">
        <v>8</v>
      </c>
      <c r="EP597" s="27" t="s">
        <v>7</v>
      </c>
      <c r="EQ597" s="27" t="s">
        <v>8</v>
      </c>
      <c r="ER597" s="27" t="s">
        <v>7</v>
      </c>
      <c r="ES597" s="27" t="s">
        <v>8</v>
      </c>
      <c r="FD597" s="27" t="s">
        <v>7</v>
      </c>
      <c r="FE597" s="27" t="s">
        <v>8</v>
      </c>
      <c r="FF597" s="27" t="s">
        <v>7</v>
      </c>
      <c r="FK597" s="27" t="s">
        <v>8</v>
      </c>
      <c r="FL597" s="27" t="s">
        <v>7</v>
      </c>
      <c r="FM597" s="27" t="s">
        <v>8</v>
      </c>
      <c r="FP597" s="27" t="s">
        <v>7</v>
      </c>
      <c r="FQ597" s="27" t="s">
        <v>8</v>
      </c>
      <c r="GO597" s="27" t="s">
        <v>8</v>
      </c>
      <c r="GP597" s="27" t="s">
        <v>7</v>
      </c>
      <c r="GW597" s="27" t="s">
        <v>8</v>
      </c>
      <c r="GX597" s="27" t="s">
        <v>7</v>
      </c>
      <c r="HA597" s="27" t="s">
        <v>8</v>
      </c>
      <c r="IA597" s="27" t="s">
        <v>8</v>
      </c>
      <c r="IB597" s="27" t="s">
        <v>7</v>
      </c>
      <c r="IS597" s="27" t="s">
        <v>8</v>
      </c>
    </row>
    <row r="598" spans="1:253" x14ac:dyDescent="0.25">
      <c r="A598" s="7">
        <v>0.80426303909328967</v>
      </c>
      <c r="B598"/>
      <c r="C598"/>
      <c r="D598"/>
      <c r="E598"/>
      <c r="F598" s="27" t="s">
        <v>7</v>
      </c>
      <c r="AE598" s="27" t="s">
        <v>8</v>
      </c>
      <c r="AF598" s="27" t="s">
        <v>7</v>
      </c>
      <c r="AM598" s="27" t="s">
        <v>8</v>
      </c>
      <c r="AN598" s="27" t="s">
        <v>7</v>
      </c>
      <c r="DC598" s="27" t="s">
        <v>8</v>
      </c>
      <c r="DD598" s="27" t="s">
        <v>7</v>
      </c>
      <c r="DQ598" s="27" t="s">
        <v>8</v>
      </c>
      <c r="DR598" s="27" t="s">
        <v>7</v>
      </c>
      <c r="DS598" s="27" t="s">
        <v>8</v>
      </c>
      <c r="DT598" s="27" t="s">
        <v>7</v>
      </c>
      <c r="DU598" s="27" t="s">
        <v>8</v>
      </c>
      <c r="DV598" s="27" t="s">
        <v>7</v>
      </c>
      <c r="DW598" s="27" t="s">
        <v>8</v>
      </c>
      <c r="EJ598" s="27" t="s">
        <v>7</v>
      </c>
      <c r="EK598" s="27" t="s">
        <v>8</v>
      </c>
      <c r="EN598" s="27" t="s">
        <v>7</v>
      </c>
      <c r="EO598" s="27" t="s">
        <v>8</v>
      </c>
      <c r="EP598" s="27" t="s">
        <v>7</v>
      </c>
      <c r="EQ598" s="27" t="s">
        <v>8</v>
      </c>
      <c r="ER598" s="27" t="s">
        <v>7</v>
      </c>
      <c r="FD598" s="27" t="s">
        <v>7</v>
      </c>
      <c r="FE598" s="27" t="s">
        <v>8</v>
      </c>
      <c r="FF598" s="27" t="s">
        <v>7</v>
      </c>
      <c r="FK598" s="27" t="s">
        <v>8</v>
      </c>
      <c r="FL598" s="27" t="s">
        <v>7</v>
      </c>
      <c r="FM598" s="27" t="s">
        <v>8</v>
      </c>
      <c r="FP598" s="27" t="s">
        <v>7</v>
      </c>
      <c r="FQ598" s="27" t="s">
        <v>8</v>
      </c>
      <c r="FR598" s="27" t="s">
        <v>7</v>
      </c>
      <c r="GO598" s="27" t="s">
        <v>8</v>
      </c>
      <c r="GP598" s="27" t="s">
        <v>7</v>
      </c>
      <c r="GW598" s="27" t="s">
        <v>8</v>
      </c>
      <c r="GX598" s="27" t="s">
        <v>7</v>
      </c>
      <c r="GY598" s="27" t="s">
        <v>8</v>
      </c>
      <c r="HA598" s="27" t="s">
        <v>8</v>
      </c>
      <c r="HB598" s="27" t="s">
        <v>7</v>
      </c>
      <c r="IA598" s="27" t="s">
        <v>8</v>
      </c>
      <c r="IB598" s="27" t="s">
        <v>7</v>
      </c>
      <c r="IS598" s="27" t="s">
        <v>8</v>
      </c>
    </row>
    <row r="599" spans="1:253" x14ac:dyDescent="0.25">
      <c r="A599" s="7">
        <v>0.78849317558165644</v>
      </c>
      <c r="B599"/>
      <c r="C599"/>
      <c r="D599"/>
      <c r="E599"/>
      <c r="F599" s="27" t="s">
        <v>7</v>
      </c>
      <c r="AE599" s="27" t="s">
        <v>8</v>
      </c>
      <c r="AF599" s="27" t="s">
        <v>7</v>
      </c>
      <c r="AI599" s="27" t="s">
        <v>8</v>
      </c>
      <c r="AM599" s="27" t="s">
        <v>8</v>
      </c>
      <c r="AN599" s="27" t="s">
        <v>7</v>
      </c>
      <c r="AO599" s="27" t="s">
        <v>8</v>
      </c>
      <c r="DC599" s="27" t="s">
        <v>8</v>
      </c>
      <c r="DD599" s="27" t="s">
        <v>7</v>
      </c>
      <c r="DQ599" s="27" t="s">
        <v>8</v>
      </c>
      <c r="DR599" s="27" t="s">
        <v>7</v>
      </c>
      <c r="DS599" s="27" t="s">
        <v>8</v>
      </c>
      <c r="DT599" s="27" t="s">
        <v>7</v>
      </c>
      <c r="DU599" s="27" t="s">
        <v>8</v>
      </c>
      <c r="DV599" s="27" t="s">
        <v>7</v>
      </c>
      <c r="DW599" s="27" t="s">
        <v>8</v>
      </c>
      <c r="EJ599" s="27" t="s">
        <v>7</v>
      </c>
      <c r="EN599" s="27" t="s">
        <v>7</v>
      </c>
      <c r="EO599" s="27" t="s">
        <v>8</v>
      </c>
      <c r="EP599" s="27" t="s">
        <v>7</v>
      </c>
      <c r="EQ599" s="27" t="s">
        <v>8</v>
      </c>
      <c r="FD599" s="27" t="s">
        <v>7</v>
      </c>
      <c r="FE599" s="27" t="s">
        <v>8</v>
      </c>
      <c r="FF599" s="27" t="s">
        <v>7</v>
      </c>
      <c r="FK599" s="27" t="s">
        <v>8</v>
      </c>
      <c r="FL599" s="27" t="s">
        <v>7</v>
      </c>
      <c r="FM599" s="27" t="s">
        <v>8</v>
      </c>
      <c r="FP599" s="27" t="s">
        <v>7</v>
      </c>
      <c r="FQ599" s="27" t="s">
        <v>8</v>
      </c>
      <c r="FR599" s="27" t="s">
        <v>7</v>
      </c>
      <c r="FS599" s="27" t="s">
        <v>8</v>
      </c>
      <c r="GO599" s="27" t="s">
        <v>8</v>
      </c>
      <c r="GP599" s="27" t="s">
        <v>7</v>
      </c>
      <c r="GS599" s="27" t="s">
        <v>8</v>
      </c>
      <c r="GU599" s="27" t="s">
        <v>8</v>
      </c>
      <c r="GW599" s="27" t="s">
        <v>8</v>
      </c>
      <c r="GX599" s="27" t="s">
        <v>7</v>
      </c>
      <c r="GY599" s="27" t="s">
        <v>8</v>
      </c>
      <c r="GZ599" s="27" t="s">
        <v>7</v>
      </c>
      <c r="HA599" s="27" t="s">
        <v>8</v>
      </c>
      <c r="HB599" s="27" t="s">
        <v>7</v>
      </c>
      <c r="HY599" s="27" t="s">
        <v>8</v>
      </c>
      <c r="IA599" s="27" t="s">
        <v>8</v>
      </c>
      <c r="IB599" s="27" t="s">
        <v>7</v>
      </c>
      <c r="IS599" s="27" t="s">
        <v>8</v>
      </c>
    </row>
    <row r="600" spans="1:253" x14ac:dyDescent="0.25">
      <c r="A600" s="7">
        <v>0.77303252508005538</v>
      </c>
      <c r="B600"/>
      <c r="C600"/>
      <c r="D600"/>
      <c r="E600"/>
      <c r="F600" s="27" t="s">
        <v>7</v>
      </c>
      <c r="AE600" s="27" t="s">
        <v>8</v>
      </c>
      <c r="AF600" s="27" t="s">
        <v>7</v>
      </c>
      <c r="AI600" s="27" t="s">
        <v>8</v>
      </c>
      <c r="AJ600" s="27" t="s">
        <v>7</v>
      </c>
      <c r="AM600" s="27" t="s">
        <v>8</v>
      </c>
      <c r="AN600" s="27" t="s">
        <v>7</v>
      </c>
      <c r="AO600" s="27" t="s">
        <v>8</v>
      </c>
      <c r="AP600" s="27" t="s">
        <v>7</v>
      </c>
      <c r="DC600" s="27" t="s">
        <v>8</v>
      </c>
      <c r="DD600" s="27" t="s">
        <v>7</v>
      </c>
      <c r="DQ600" s="27" t="s">
        <v>8</v>
      </c>
      <c r="DR600" s="27" t="s">
        <v>7</v>
      </c>
      <c r="DS600" s="27" t="s">
        <v>8</v>
      </c>
      <c r="DT600" s="27" t="s">
        <v>7</v>
      </c>
      <c r="DU600" s="27" t="s">
        <v>8</v>
      </c>
      <c r="DV600" s="27" t="s">
        <v>7</v>
      </c>
      <c r="DW600" s="27" t="s">
        <v>8</v>
      </c>
      <c r="EN600" s="27" t="s">
        <v>7</v>
      </c>
      <c r="EO600" s="27" t="s">
        <v>8</v>
      </c>
      <c r="EP600" s="27" t="s">
        <v>7</v>
      </c>
      <c r="EQ600" s="27" t="s">
        <v>8</v>
      </c>
      <c r="FD600" s="27" t="s">
        <v>7</v>
      </c>
      <c r="FE600" s="27" t="s">
        <v>8</v>
      </c>
      <c r="FF600" s="27" t="s">
        <v>7</v>
      </c>
      <c r="FK600" s="27" t="s">
        <v>8</v>
      </c>
      <c r="FL600" s="27" t="s">
        <v>7</v>
      </c>
      <c r="FM600" s="27" t="s">
        <v>8</v>
      </c>
      <c r="FP600" s="27" t="s">
        <v>7</v>
      </c>
      <c r="FQ600" s="27" t="s">
        <v>8</v>
      </c>
      <c r="FR600" s="27" t="s">
        <v>7</v>
      </c>
      <c r="FS600" s="27" t="s">
        <v>8</v>
      </c>
      <c r="FT600" s="27" t="s">
        <v>7</v>
      </c>
      <c r="GO600" s="27" t="s">
        <v>8</v>
      </c>
      <c r="GP600" s="27" t="s">
        <v>7</v>
      </c>
      <c r="GS600" s="27" t="s">
        <v>8</v>
      </c>
      <c r="GT600" s="27" t="s">
        <v>7</v>
      </c>
      <c r="GU600" s="27" t="s">
        <v>8</v>
      </c>
      <c r="GV600" s="27" t="s">
        <v>7</v>
      </c>
      <c r="GW600" s="27" t="s">
        <v>8</v>
      </c>
      <c r="GX600" s="27" t="s">
        <v>7</v>
      </c>
      <c r="GY600" s="27" t="s">
        <v>8</v>
      </c>
      <c r="GZ600" s="27" t="s">
        <v>7</v>
      </c>
      <c r="HA600" s="27" t="s">
        <v>8</v>
      </c>
      <c r="HB600" s="27" t="s">
        <v>7</v>
      </c>
      <c r="HQ600" s="27" t="s">
        <v>8</v>
      </c>
      <c r="HY600" s="27" t="s">
        <v>8</v>
      </c>
      <c r="HZ600" s="27" t="s">
        <v>7</v>
      </c>
      <c r="IA600" s="27" t="s">
        <v>8</v>
      </c>
      <c r="IB600" s="27" t="s">
        <v>7</v>
      </c>
      <c r="IS600" s="27" t="s">
        <v>8</v>
      </c>
    </row>
    <row r="601" spans="1:253" x14ac:dyDescent="0.25">
      <c r="A601" s="7">
        <v>0.75787502458828959</v>
      </c>
      <c r="B601"/>
      <c r="C601"/>
      <c r="D601"/>
      <c r="E601"/>
      <c r="F601" s="27" t="s">
        <v>7</v>
      </c>
      <c r="AE601" s="27" t="s">
        <v>8</v>
      </c>
      <c r="AF601" s="27" t="s">
        <v>7</v>
      </c>
      <c r="AG601" s="27" t="s">
        <v>8</v>
      </c>
      <c r="AI601" s="27" t="s">
        <v>8</v>
      </c>
      <c r="AJ601" s="27" t="s">
        <v>7</v>
      </c>
      <c r="AK601" s="27" t="s">
        <v>8</v>
      </c>
      <c r="AM601" s="27" t="s">
        <v>8</v>
      </c>
      <c r="AN601" s="27" t="s">
        <v>7</v>
      </c>
      <c r="AO601" s="27" t="s">
        <v>8</v>
      </c>
      <c r="AP601" s="27" t="s">
        <v>7</v>
      </c>
      <c r="DC601" s="27" t="s">
        <v>8</v>
      </c>
      <c r="DD601" s="27" t="s">
        <v>7</v>
      </c>
      <c r="DE601" s="27" t="s">
        <v>8</v>
      </c>
      <c r="DQ601" s="27" t="s">
        <v>8</v>
      </c>
      <c r="DR601" s="27" t="s">
        <v>7</v>
      </c>
      <c r="DS601" s="27" t="s">
        <v>8</v>
      </c>
      <c r="DT601" s="27" t="s">
        <v>7</v>
      </c>
      <c r="DU601" s="27" t="s">
        <v>8</v>
      </c>
      <c r="DV601" s="27" t="s">
        <v>7</v>
      </c>
      <c r="DW601" s="27" t="s">
        <v>8</v>
      </c>
      <c r="EN601" s="27" t="s">
        <v>7</v>
      </c>
      <c r="EO601" s="27" t="s">
        <v>8</v>
      </c>
      <c r="EP601" s="27" t="s">
        <v>7</v>
      </c>
      <c r="EQ601" s="27" t="s">
        <v>8</v>
      </c>
      <c r="FD601" s="27" t="s">
        <v>7</v>
      </c>
      <c r="FE601" s="27" t="s">
        <v>8</v>
      </c>
      <c r="FF601" s="27" t="s">
        <v>7</v>
      </c>
      <c r="FK601" s="27" t="s">
        <v>8</v>
      </c>
      <c r="FL601" s="27" t="s">
        <v>7</v>
      </c>
      <c r="FM601" s="27" t="s">
        <v>8</v>
      </c>
      <c r="FP601" s="27" t="s">
        <v>7</v>
      </c>
      <c r="FQ601" s="27" t="s">
        <v>8</v>
      </c>
      <c r="FR601" s="27" t="s">
        <v>7</v>
      </c>
      <c r="FS601" s="27" t="s">
        <v>8</v>
      </c>
      <c r="FT601" s="27" t="s">
        <v>7</v>
      </c>
      <c r="FU601" s="27" t="s">
        <v>8</v>
      </c>
      <c r="GO601" s="27" t="s">
        <v>8</v>
      </c>
      <c r="GP601" s="27" t="s">
        <v>7</v>
      </c>
      <c r="GS601" s="27" t="s">
        <v>8</v>
      </c>
      <c r="GT601" s="27" t="s">
        <v>7</v>
      </c>
      <c r="GU601" s="27" t="s">
        <v>8</v>
      </c>
      <c r="GV601" s="27" t="s">
        <v>7</v>
      </c>
      <c r="GW601" s="27" t="s">
        <v>8</v>
      </c>
      <c r="GX601" s="27" t="s">
        <v>7</v>
      </c>
      <c r="GY601" s="27" t="s">
        <v>8</v>
      </c>
      <c r="GZ601" s="27" t="s">
        <v>7</v>
      </c>
      <c r="HA601" s="27" t="s">
        <v>8</v>
      </c>
      <c r="HB601" s="27" t="s">
        <v>7</v>
      </c>
      <c r="HG601" s="27" t="s">
        <v>8</v>
      </c>
      <c r="HQ601" s="27" t="s">
        <v>8</v>
      </c>
      <c r="HR601" s="27" t="s">
        <v>7</v>
      </c>
      <c r="HY601" s="27" t="s">
        <v>8</v>
      </c>
      <c r="HZ601" s="27" t="s">
        <v>7</v>
      </c>
      <c r="IA601" s="27" t="s">
        <v>8</v>
      </c>
      <c r="IB601" s="27" t="s">
        <v>7</v>
      </c>
      <c r="IE601" s="27" t="s">
        <v>8</v>
      </c>
      <c r="IS601" s="27" t="s">
        <v>8</v>
      </c>
    </row>
    <row r="602" spans="1:253" x14ac:dyDescent="0.25">
      <c r="A602" s="7">
        <v>0.74301472998851925</v>
      </c>
      <c r="B602"/>
      <c r="C602"/>
      <c r="D602"/>
      <c r="E602"/>
      <c r="F602" s="27" t="s">
        <v>7</v>
      </c>
      <c r="AE602" s="27" t="s">
        <v>8</v>
      </c>
      <c r="AF602" s="27" t="s">
        <v>7</v>
      </c>
      <c r="AG602" s="27" t="s">
        <v>8</v>
      </c>
      <c r="AH602" s="27" t="s">
        <v>7</v>
      </c>
      <c r="AI602" s="27" t="s">
        <v>8</v>
      </c>
      <c r="AJ602" s="27" t="s">
        <v>7</v>
      </c>
      <c r="AK602" s="27" t="s">
        <v>8</v>
      </c>
      <c r="AL602" s="27" t="s">
        <v>7</v>
      </c>
      <c r="AM602" s="27" t="s">
        <v>8</v>
      </c>
      <c r="AN602" s="27" t="s">
        <v>7</v>
      </c>
      <c r="AO602" s="27" t="s">
        <v>8</v>
      </c>
      <c r="AP602" s="27" t="s">
        <v>7</v>
      </c>
      <c r="DC602" s="27" t="s">
        <v>8</v>
      </c>
      <c r="DD602" s="27" t="s">
        <v>7</v>
      </c>
      <c r="DE602" s="27" t="s">
        <v>8</v>
      </c>
      <c r="DF602" s="27" t="s">
        <v>7</v>
      </c>
      <c r="DQ602" s="27" t="s">
        <v>8</v>
      </c>
      <c r="DR602" s="27" t="s">
        <v>7</v>
      </c>
      <c r="DS602" s="27" t="s">
        <v>8</v>
      </c>
      <c r="DT602" s="27" t="s">
        <v>7</v>
      </c>
      <c r="DU602" s="27" t="s">
        <v>8</v>
      </c>
      <c r="DV602" s="27" t="s">
        <v>7</v>
      </c>
      <c r="EN602" s="27" t="s">
        <v>7</v>
      </c>
      <c r="EO602" s="27" t="s">
        <v>8</v>
      </c>
      <c r="EP602" s="27" t="s">
        <v>7</v>
      </c>
      <c r="FD602" s="27" t="s">
        <v>7</v>
      </c>
      <c r="FE602" s="27" t="s">
        <v>8</v>
      </c>
      <c r="FF602" s="27" t="s">
        <v>7</v>
      </c>
      <c r="FK602" s="27" t="s">
        <v>8</v>
      </c>
      <c r="FL602" s="27" t="s">
        <v>7</v>
      </c>
      <c r="FM602" s="27" t="s">
        <v>8</v>
      </c>
      <c r="FP602" s="27" t="s">
        <v>7</v>
      </c>
      <c r="FQ602" s="27" t="s">
        <v>8</v>
      </c>
      <c r="FR602" s="27" t="s">
        <v>7</v>
      </c>
      <c r="FS602" s="27" t="s">
        <v>8</v>
      </c>
      <c r="FT602" s="27" t="s">
        <v>7</v>
      </c>
      <c r="FU602" s="27" t="s">
        <v>8</v>
      </c>
      <c r="FV602" s="27" t="s">
        <v>7</v>
      </c>
      <c r="GO602" s="27" t="s">
        <v>8</v>
      </c>
      <c r="GP602" s="27" t="s">
        <v>7</v>
      </c>
      <c r="GS602" s="27" t="s">
        <v>8</v>
      </c>
      <c r="GT602" s="27" t="s">
        <v>7</v>
      </c>
      <c r="GU602" s="27" t="s">
        <v>8</v>
      </c>
      <c r="GV602" s="27" t="s">
        <v>7</v>
      </c>
      <c r="GW602" s="27" t="s">
        <v>8</v>
      </c>
      <c r="GX602" s="27" t="s">
        <v>7</v>
      </c>
      <c r="GY602" s="27" t="s">
        <v>8</v>
      </c>
      <c r="GZ602" s="27" t="s">
        <v>7</v>
      </c>
      <c r="HA602" s="27" t="s">
        <v>8</v>
      </c>
      <c r="HB602" s="27" t="s">
        <v>7</v>
      </c>
      <c r="HG602" s="27" t="s">
        <v>8</v>
      </c>
      <c r="HH602" s="27" t="s">
        <v>7</v>
      </c>
      <c r="HQ602" s="27" t="s">
        <v>8</v>
      </c>
      <c r="HR602" s="27" t="s">
        <v>7</v>
      </c>
      <c r="HY602" s="27" t="s">
        <v>8</v>
      </c>
      <c r="HZ602" s="27" t="s">
        <v>7</v>
      </c>
      <c r="IA602" s="27" t="s">
        <v>8</v>
      </c>
      <c r="IB602" s="27" t="s">
        <v>7</v>
      </c>
      <c r="IE602" s="27" t="s">
        <v>8</v>
      </c>
      <c r="IF602" s="27" t="s">
        <v>7</v>
      </c>
      <c r="IS602" s="27" t="s">
        <v>8</v>
      </c>
    </row>
    <row r="603" spans="1:253" x14ac:dyDescent="0.25">
      <c r="A603" s="7">
        <v>0.72844581371423456</v>
      </c>
      <c r="B603"/>
      <c r="C603"/>
      <c r="D603"/>
      <c r="E603"/>
      <c r="F603" s="27" t="s">
        <v>7</v>
      </c>
      <c r="AE603" s="27" t="s">
        <v>8</v>
      </c>
      <c r="AF603" s="27" t="s">
        <v>7</v>
      </c>
      <c r="AG603" s="27" t="s">
        <v>8</v>
      </c>
      <c r="AH603" s="27" t="s">
        <v>7</v>
      </c>
      <c r="AI603" s="27" t="s">
        <v>8</v>
      </c>
      <c r="AJ603" s="27" t="s">
        <v>7</v>
      </c>
      <c r="AK603" s="27" t="s">
        <v>8</v>
      </c>
      <c r="AL603" s="27" t="s">
        <v>7</v>
      </c>
      <c r="AM603" s="27" t="s">
        <v>8</v>
      </c>
      <c r="AN603" s="27" t="s">
        <v>7</v>
      </c>
      <c r="AP603" s="27" t="s">
        <v>7</v>
      </c>
      <c r="AS603" s="27" t="s">
        <v>8</v>
      </c>
      <c r="DC603" s="27" t="s">
        <v>8</v>
      </c>
      <c r="DD603" s="27" t="s">
        <v>7</v>
      </c>
      <c r="DE603" s="27" t="s">
        <v>8</v>
      </c>
      <c r="DF603" s="27" t="s">
        <v>7</v>
      </c>
      <c r="DQ603" s="27" t="s">
        <v>8</v>
      </c>
      <c r="DR603" s="27" t="s">
        <v>7</v>
      </c>
      <c r="DS603" s="27" t="s">
        <v>8</v>
      </c>
      <c r="DT603" s="27" t="s">
        <v>7</v>
      </c>
      <c r="EN603" s="27" t="s">
        <v>7</v>
      </c>
      <c r="EO603" s="27" t="s">
        <v>8</v>
      </c>
      <c r="FD603" s="27" t="s">
        <v>7</v>
      </c>
      <c r="FE603" s="27" t="s">
        <v>8</v>
      </c>
      <c r="FF603" s="27" t="s">
        <v>7</v>
      </c>
      <c r="FK603" s="27" t="s">
        <v>8</v>
      </c>
      <c r="FL603" s="27" t="s">
        <v>7</v>
      </c>
      <c r="FP603" s="27" t="s">
        <v>7</v>
      </c>
      <c r="FR603" s="27" t="s">
        <v>7</v>
      </c>
      <c r="FS603" s="27" t="s">
        <v>8</v>
      </c>
      <c r="FT603" s="27" t="s">
        <v>7</v>
      </c>
      <c r="FU603" s="27" t="s">
        <v>8</v>
      </c>
      <c r="FV603" s="27" t="s">
        <v>7</v>
      </c>
      <c r="GO603" s="27" t="s">
        <v>8</v>
      </c>
      <c r="GP603" s="27" t="s">
        <v>7</v>
      </c>
      <c r="GS603" s="27" t="s">
        <v>8</v>
      </c>
      <c r="GT603" s="27" t="s">
        <v>7</v>
      </c>
      <c r="GU603" s="27" t="s">
        <v>8</v>
      </c>
      <c r="GV603" s="27" t="s">
        <v>7</v>
      </c>
      <c r="GW603" s="27" t="s">
        <v>8</v>
      </c>
      <c r="GX603" s="27" t="s">
        <v>7</v>
      </c>
      <c r="GY603" s="27" t="s">
        <v>8</v>
      </c>
      <c r="GZ603" s="27" t="s">
        <v>7</v>
      </c>
      <c r="HA603" s="27" t="s">
        <v>8</v>
      </c>
      <c r="HB603" s="27" t="s">
        <v>7</v>
      </c>
      <c r="HG603" s="27" t="s">
        <v>8</v>
      </c>
      <c r="HH603" s="27" t="s">
        <v>7</v>
      </c>
      <c r="HQ603" s="27" t="s">
        <v>8</v>
      </c>
      <c r="HR603" s="27" t="s">
        <v>7</v>
      </c>
      <c r="HY603" s="27" t="s">
        <v>8</v>
      </c>
      <c r="HZ603" s="27" t="s">
        <v>7</v>
      </c>
      <c r="IA603" s="27" t="s">
        <v>8</v>
      </c>
      <c r="IB603" s="27" t="s">
        <v>7</v>
      </c>
      <c r="IE603" s="27" t="s">
        <v>8</v>
      </c>
      <c r="IF603" s="27" t="s">
        <v>7</v>
      </c>
      <c r="IG603" s="27" t="s">
        <v>8</v>
      </c>
      <c r="IK603" s="27" t="s">
        <v>8</v>
      </c>
      <c r="IS603" s="27" t="s">
        <v>8</v>
      </c>
    </row>
    <row r="604" spans="1:253" x14ac:dyDescent="0.25">
      <c r="A604" s="7">
        <v>0.71416256246493581</v>
      </c>
      <c r="B604"/>
      <c r="C604"/>
      <c r="D604"/>
      <c r="E604"/>
      <c r="F604" s="27" t="s">
        <v>7</v>
      </c>
      <c r="AE604" s="27" t="s">
        <v>8</v>
      </c>
      <c r="AF604" s="27" t="s">
        <v>7</v>
      </c>
      <c r="AG604" s="27" t="s">
        <v>8</v>
      </c>
      <c r="AH604" s="27" t="s">
        <v>7</v>
      </c>
      <c r="AI604" s="27" t="s">
        <v>8</v>
      </c>
      <c r="AJ604" s="27" t="s">
        <v>7</v>
      </c>
      <c r="AK604" s="27" t="s">
        <v>8</v>
      </c>
      <c r="AL604" s="27" t="s">
        <v>7</v>
      </c>
      <c r="AM604" s="27" t="s">
        <v>8</v>
      </c>
      <c r="AP604" s="27" t="s">
        <v>7</v>
      </c>
      <c r="AS604" s="27" t="s">
        <v>8</v>
      </c>
      <c r="AT604" s="27" t="s">
        <v>7</v>
      </c>
      <c r="AW604" s="27" t="s">
        <v>8</v>
      </c>
      <c r="DC604" s="27" t="s">
        <v>8</v>
      </c>
      <c r="DD604" s="27" t="s">
        <v>7</v>
      </c>
      <c r="DE604" s="27" t="s">
        <v>8</v>
      </c>
      <c r="DF604" s="27" t="s">
        <v>7</v>
      </c>
      <c r="DQ604" s="27" t="s">
        <v>8</v>
      </c>
      <c r="DR604" s="27" t="s">
        <v>7</v>
      </c>
      <c r="DS604" s="27" t="s">
        <v>8</v>
      </c>
      <c r="EN604" s="27" t="s">
        <v>7</v>
      </c>
      <c r="EO604" s="27" t="s">
        <v>8</v>
      </c>
      <c r="FD604" s="27" t="s">
        <v>7</v>
      </c>
      <c r="FE604" s="27" t="s">
        <v>8</v>
      </c>
      <c r="FF604" s="27" t="s">
        <v>7</v>
      </c>
      <c r="FI604" s="27" t="s">
        <v>8</v>
      </c>
      <c r="FK604" s="27" t="s">
        <v>8</v>
      </c>
      <c r="FR604" s="27" t="s">
        <v>7</v>
      </c>
      <c r="FS604" s="27" t="s">
        <v>8</v>
      </c>
      <c r="FT604" s="27" t="s">
        <v>7</v>
      </c>
      <c r="FU604" s="27" t="s">
        <v>8</v>
      </c>
      <c r="FV604" s="27" t="s">
        <v>7</v>
      </c>
      <c r="GO604" s="27" t="s">
        <v>8</v>
      </c>
      <c r="GP604" s="27" t="s">
        <v>7</v>
      </c>
      <c r="GS604" s="27" t="s">
        <v>8</v>
      </c>
      <c r="GT604" s="27" t="s">
        <v>7</v>
      </c>
      <c r="GU604" s="27" t="s">
        <v>8</v>
      </c>
      <c r="GV604" s="27" t="s">
        <v>7</v>
      </c>
      <c r="GW604" s="27" t="s">
        <v>8</v>
      </c>
      <c r="GX604" s="27" t="s">
        <v>7</v>
      </c>
      <c r="GY604" s="27" t="s">
        <v>8</v>
      </c>
      <c r="GZ604" s="27" t="s">
        <v>7</v>
      </c>
      <c r="HB604" s="27" t="s">
        <v>7</v>
      </c>
      <c r="HG604" s="27" t="s">
        <v>8</v>
      </c>
      <c r="HH604" s="27" t="s">
        <v>7</v>
      </c>
      <c r="HQ604" s="27" t="s">
        <v>8</v>
      </c>
      <c r="HR604" s="27" t="s">
        <v>7</v>
      </c>
      <c r="HY604" s="27" t="s">
        <v>8</v>
      </c>
      <c r="HZ604" s="27" t="s">
        <v>7</v>
      </c>
      <c r="IA604" s="27" t="s">
        <v>8</v>
      </c>
      <c r="IB604" s="27" t="s">
        <v>7</v>
      </c>
      <c r="IC604" s="27" t="s">
        <v>8</v>
      </c>
      <c r="IE604" s="27" t="s">
        <v>8</v>
      </c>
      <c r="IF604" s="27" t="s">
        <v>7</v>
      </c>
      <c r="IG604" s="27" t="s">
        <v>8</v>
      </c>
      <c r="IH604" s="27" t="s">
        <v>7</v>
      </c>
      <c r="IK604" s="27" t="s">
        <v>8</v>
      </c>
      <c r="IL604" s="27" t="s">
        <v>7</v>
      </c>
      <c r="IS604" s="27" t="s">
        <v>8</v>
      </c>
    </row>
    <row r="605" spans="1:253" x14ac:dyDescent="0.25">
      <c r="A605" s="7">
        <v>0.7001593749656233</v>
      </c>
      <c r="B605"/>
      <c r="C605"/>
      <c r="D605"/>
      <c r="E605"/>
      <c r="F605" s="27" t="s">
        <v>7</v>
      </c>
      <c r="AE605" s="27" t="s">
        <v>8</v>
      </c>
      <c r="AF605" s="27" t="s">
        <v>7</v>
      </c>
      <c r="AG605" s="27" t="s">
        <v>8</v>
      </c>
      <c r="AH605" s="27" t="s">
        <v>7</v>
      </c>
      <c r="AI605" s="27" t="s">
        <v>8</v>
      </c>
      <c r="AJ605" s="27" t="s">
        <v>7</v>
      </c>
      <c r="AK605" s="27" t="s">
        <v>8</v>
      </c>
      <c r="AL605" s="27" t="s">
        <v>7</v>
      </c>
      <c r="AM605" s="27" t="s">
        <v>8</v>
      </c>
      <c r="AP605" s="27" t="s">
        <v>7</v>
      </c>
      <c r="AS605" s="27" t="s">
        <v>8</v>
      </c>
      <c r="AT605" s="27" t="s">
        <v>7</v>
      </c>
      <c r="AW605" s="27" t="s">
        <v>8</v>
      </c>
      <c r="AX605" s="27" t="s">
        <v>7</v>
      </c>
      <c r="DC605" s="27" t="s">
        <v>8</v>
      </c>
      <c r="DD605" s="27" t="s">
        <v>7</v>
      </c>
      <c r="DE605" s="27" t="s">
        <v>8</v>
      </c>
      <c r="DF605" s="27" t="s">
        <v>7</v>
      </c>
      <c r="DQ605" s="27" t="s">
        <v>8</v>
      </c>
      <c r="DR605" s="27" t="s">
        <v>7</v>
      </c>
      <c r="DS605" s="27" t="s">
        <v>8</v>
      </c>
      <c r="EN605" s="27" t="s">
        <v>7</v>
      </c>
      <c r="EO605" s="27" t="s">
        <v>8</v>
      </c>
      <c r="FD605" s="27" t="s">
        <v>7</v>
      </c>
      <c r="FE605" s="27" t="s">
        <v>8</v>
      </c>
      <c r="FF605" s="27" t="s">
        <v>7</v>
      </c>
      <c r="FI605" s="27" t="s">
        <v>8</v>
      </c>
      <c r="FJ605" s="27" t="s">
        <v>7</v>
      </c>
      <c r="FK605" s="27" t="s">
        <v>8</v>
      </c>
      <c r="FR605" s="27" t="s">
        <v>7</v>
      </c>
      <c r="FS605" s="27" t="s">
        <v>8</v>
      </c>
      <c r="FT605" s="27" t="s">
        <v>7</v>
      </c>
      <c r="FV605" s="27" t="s">
        <v>7</v>
      </c>
      <c r="GO605" s="27" t="s">
        <v>8</v>
      </c>
      <c r="GP605" s="27" t="s">
        <v>7</v>
      </c>
      <c r="GQ605" s="27" t="s">
        <v>8</v>
      </c>
      <c r="GS605" s="27" t="s">
        <v>8</v>
      </c>
      <c r="GT605" s="27" t="s">
        <v>7</v>
      </c>
      <c r="GU605" s="27" t="s">
        <v>8</v>
      </c>
      <c r="GV605" s="27" t="s">
        <v>7</v>
      </c>
      <c r="GX605" s="27" t="s">
        <v>7</v>
      </c>
      <c r="GY605" s="27" t="s">
        <v>8</v>
      </c>
      <c r="HB605" s="27" t="s">
        <v>7</v>
      </c>
      <c r="HG605" s="27" t="s">
        <v>8</v>
      </c>
      <c r="HH605" s="27" t="s">
        <v>7</v>
      </c>
      <c r="HQ605" s="27" t="s">
        <v>8</v>
      </c>
      <c r="HR605" s="27" t="s">
        <v>7</v>
      </c>
      <c r="HY605" s="27" t="s">
        <v>8</v>
      </c>
      <c r="HZ605" s="27" t="s">
        <v>7</v>
      </c>
      <c r="IA605" s="27" t="s">
        <v>8</v>
      </c>
      <c r="IB605" s="27" t="s">
        <v>7</v>
      </c>
      <c r="IC605" s="27" t="s">
        <v>8</v>
      </c>
      <c r="ID605" s="27" t="s">
        <v>7</v>
      </c>
      <c r="IE605" s="27" t="s">
        <v>8</v>
      </c>
      <c r="IF605" s="27" t="s">
        <v>7</v>
      </c>
      <c r="IG605" s="27" t="s">
        <v>8</v>
      </c>
      <c r="IH605" s="27" t="s">
        <v>7</v>
      </c>
      <c r="IK605" s="27" t="s">
        <v>8</v>
      </c>
      <c r="IL605" s="27" t="s">
        <v>7</v>
      </c>
      <c r="IS605" s="27" t="s">
        <v>8</v>
      </c>
    </row>
    <row r="606" spans="1:253" x14ac:dyDescent="0.25">
      <c r="A606" s="7">
        <v>0.68643075977021883</v>
      </c>
      <c r="B606"/>
      <c r="C606"/>
      <c r="D606"/>
      <c r="E606"/>
      <c r="F606" s="27" t="s">
        <v>7</v>
      </c>
      <c r="Q606" s="27" t="s">
        <v>8</v>
      </c>
      <c r="AE606" s="27" t="s">
        <v>8</v>
      </c>
      <c r="AF606" s="27" t="s">
        <v>7</v>
      </c>
      <c r="AG606" s="27" t="s">
        <v>8</v>
      </c>
      <c r="AH606" s="27" t="s">
        <v>7</v>
      </c>
      <c r="AI606" s="27" t="s">
        <v>8</v>
      </c>
      <c r="AJ606" s="27" t="s">
        <v>7</v>
      </c>
      <c r="AK606" s="27" t="s">
        <v>8</v>
      </c>
      <c r="AL606" s="27" t="s">
        <v>7</v>
      </c>
      <c r="AP606" s="27" t="s">
        <v>7</v>
      </c>
      <c r="AS606" s="27" t="s">
        <v>8</v>
      </c>
      <c r="AT606" s="27" t="s">
        <v>7</v>
      </c>
      <c r="AW606" s="27" t="s">
        <v>8</v>
      </c>
      <c r="AX606" s="27" t="s">
        <v>7</v>
      </c>
      <c r="DA606" s="27" t="s">
        <v>8</v>
      </c>
      <c r="DC606" s="27" t="s">
        <v>8</v>
      </c>
      <c r="DD606" s="27" t="s">
        <v>7</v>
      </c>
      <c r="DE606" s="27" t="s">
        <v>8</v>
      </c>
      <c r="DF606" s="27" t="s">
        <v>7</v>
      </c>
      <c r="DQ606" s="27" t="s">
        <v>8</v>
      </c>
      <c r="DR606" s="27" t="s">
        <v>7</v>
      </c>
      <c r="EN606" s="27" t="s">
        <v>7</v>
      </c>
      <c r="EO606" s="27" t="s">
        <v>8</v>
      </c>
      <c r="FD606" s="27" t="s">
        <v>7</v>
      </c>
      <c r="FE606" s="27" t="s">
        <v>8</v>
      </c>
      <c r="FF606" s="27" t="s">
        <v>7</v>
      </c>
      <c r="FI606" s="27" t="s">
        <v>8</v>
      </c>
      <c r="FJ606" s="27" t="s">
        <v>7</v>
      </c>
      <c r="FK606" s="27" t="s">
        <v>8</v>
      </c>
      <c r="FR606" s="27" t="s">
        <v>7</v>
      </c>
      <c r="FS606" s="27" t="s">
        <v>8</v>
      </c>
      <c r="FV606" s="27" t="s">
        <v>7</v>
      </c>
      <c r="GO606" s="27" t="s">
        <v>8</v>
      </c>
      <c r="GP606" s="27" t="s">
        <v>7</v>
      </c>
      <c r="GQ606" s="27" t="s">
        <v>8</v>
      </c>
      <c r="GR606" s="27" t="s">
        <v>7</v>
      </c>
      <c r="GS606" s="27" t="s">
        <v>8</v>
      </c>
      <c r="GT606" s="27" t="s">
        <v>7</v>
      </c>
      <c r="GU606" s="27" t="s">
        <v>8</v>
      </c>
      <c r="GX606" s="27" t="s">
        <v>7</v>
      </c>
      <c r="GY606" s="27" t="s">
        <v>8</v>
      </c>
      <c r="HB606" s="27" t="s">
        <v>7</v>
      </c>
      <c r="HE606" s="27" t="s">
        <v>8</v>
      </c>
      <c r="HG606" s="27" t="s">
        <v>8</v>
      </c>
      <c r="HH606" s="27" t="s">
        <v>7</v>
      </c>
      <c r="HQ606" s="27" t="s">
        <v>8</v>
      </c>
      <c r="HR606" s="27" t="s">
        <v>7</v>
      </c>
      <c r="HU606" s="27" t="s">
        <v>8</v>
      </c>
      <c r="HW606" s="27" t="s">
        <v>8</v>
      </c>
      <c r="HY606" s="27" t="s">
        <v>8</v>
      </c>
      <c r="HZ606" s="27" t="s">
        <v>7</v>
      </c>
      <c r="IA606" s="27" t="s">
        <v>8</v>
      </c>
      <c r="IB606" s="27" t="s">
        <v>7</v>
      </c>
      <c r="IC606" s="27" t="s">
        <v>8</v>
      </c>
      <c r="ID606" s="27" t="s">
        <v>7</v>
      </c>
      <c r="IE606" s="27" t="s">
        <v>8</v>
      </c>
      <c r="IF606" s="27" t="s">
        <v>7</v>
      </c>
      <c r="IG606" s="27" t="s">
        <v>8</v>
      </c>
      <c r="IH606" s="27" t="s">
        <v>7</v>
      </c>
      <c r="IK606" s="27" t="s">
        <v>8</v>
      </c>
      <c r="IL606" s="27" t="s">
        <v>7</v>
      </c>
      <c r="IQ606" s="27" t="s">
        <v>8</v>
      </c>
      <c r="IS606" s="27" t="s">
        <v>8</v>
      </c>
    </row>
    <row r="607" spans="1:253" x14ac:dyDescent="0.25">
      <c r="A607" s="7">
        <v>0.67297133310805768</v>
      </c>
      <c r="B607"/>
      <c r="C607"/>
      <c r="D607"/>
      <c r="E607"/>
      <c r="F607" s="27" t="s">
        <v>7</v>
      </c>
      <c r="Q607" s="27" t="s">
        <v>8</v>
      </c>
      <c r="R607" s="27" t="s">
        <v>7</v>
      </c>
      <c r="AE607" s="27" t="s">
        <v>8</v>
      </c>
      <c r="AF607" s="27" t="s">
        <v>7</v>
      </c>
      <c r="AG607" s="27" t="s">
        <v>8</v>
      </c>
      <c r="AH607" s="27" t="s">
        <v>7</v>
      </c>
      <c r="AI607" s="27" t="s">
        <v>8</v>
      </c>
      <c r="AJ607" s="27" t="s">
        <v>7</v>
      </c>
      <c r="AK607" s="27" t="s">
        <v>8</v>
      </c>
      <c r="AP607" s="27" t="s">
        <v>7</v>
      </c>
      <c r="AS607" s="27" t="s">
        <v>8</v>
      </c>
      <c r="AT607" s="27" t="s">
        <v>7</v>
      </c>
      <c r="AU607" s="27" t="s">
        <v>8</v>
      </c>
      <c r="AW607" s="27" t="s">
        <v>8</v>
      </c>
      <c r="AX607" s="27" t="s">
        <v>7</v>
      </c>
      <c r="DA607" s="27" t="s">
        <v>8</v>
      </c>
      <c r="DB607" s="27" t="s">
        <v>7</v>
      </c>
      <c r="DC607" s="27" t="s">
        <v>8</v>
      </c>
      <c r="DD607" s="27" t="s">
        <v>7</v>
      </c>
      <c r="DE607" s="27" t="s">
        <v>8</v>
      </c>
      <c r="DF607" s="27" t="s">
        <v>7</v>
      </c>
      <c r="DQ607" s="27" t="s">
        <v>8</v>
      </c>
      <c r="EN607" s="27" t="s">
        <v>7</v>
      </c>
      <c r="EO607" s="27" t="s">
        <v>8</v>
      </c>
      <c r="FD607" s="27" t="s">
        <v>7</v>
      </c>
      <c r="FE607" s="27" t="s">
        <v>8</v>
      </c>
      <c r="FF607" s="27" t="s">
        <v>7</v>
      </c>
      <c r="FG607" s="27" t="s">
        <v>8</v>
      </c>
      <c r="FI607" s="27" t="s">
        <v>8</v>
      </c>
      <c r="FJ607" s="27" t="s">
        <v>7</v>
      </c>
      <c r="FK607" s="27" t="s">
        <v>8</v>
      </c>
      <c r="FR607" s="27" t="s">
        <v>7</v>
      </c>
      <c r="FS607" s="27" t="s">
        <v>8</v>
      </c>
      <c r="FV607" s="27" t="s">
        <v>7</v>
      </c>
      <c r="GO607" s="27" t="s">
        <v>8</v>
      </c>
      <c r="GP607" s="27" t="s">
        <v>7</v>
      </c>
      <c r="GQ607" s="27" t="s">
        <v>8</v>
      </c>
      <c r="GR607" s="27" t="s">
        <v>7</v>
      </c>
      <c r="GS607" s="27" t="s">
        <v>8</v>
      </c>
      <c r="GT607" s="27" t="s">
        <v>7</v>
      </c>
      <c r="GU607" s="27" t="s">
        <v>8</v>
      </c>
      <c r="GX607" s="27" t="s">
        <v>7</v>
      </c>
      <c r="GY607" s="27" t="s">
        <v>8</v>
      </c>
      <c r="HB607" s="27" t="s">
        <v>7</v>
      </c>
      <c r="HE607" s="27" t="s">
        <v>8</v>
      </c>
      <c r="HF607" s="27" t="s">
        <v>7</v>
      </c>
      <c r="HG607" s="27" t="s">
        <v>8</v>
      </c>
      <c r="HH607" s="27" t="s">
        <v>7</v>
      </c>
      <c r="HI607" s="27" t="s">
        <v>8</v>
      </c>
      <c r="HQ607" s="27" t="s">
        <v>8</v>
      </c>
      <c r="HR607" s="27" t="s">
        <v>7</v>
      </c>
      <c r="HU607" s="27" t="s">
        <v>8</v>
      </c>
      <c r="HV607" s="27" t="s">
        <v>7</v>
      </c>
      <c r="HW607" s="27" t="s">
        <v>8</v>
      </c>
      <c r="HX607" s="27" t="s">
        <v>7</v>
      </c>
      <c r="HY607" s="27" t="s">
        <v>8</v>
      </c>
      <c r="HZ607" s="27" t="s">
        <v>7</v>
      </c>
      <c r="IA607" s="27" t="s">
        <v>8</v>
      </c>
      <c r="IB607" s="27" t="s">
        <v>7</v>
      </c>
      <c r="IC607" s="27" t="s">
        <v>8</v>
      </c>
      <c r="ID607" s="27" t="s">
        <v>7</v>
      </c>
      <c r="IE607" s="27" t="s">
        <v>8</v>
      </c>
      <c r="IF607" s="27" t="s">
        <v>7</v>
      </c>
      <c r="IG607" s="27" t="s">
        <v>8</v>
      </c>
      <c r="IH607" s="27" t="s">
        <v>7</v>
      </c>
      <c r="IK607" s="27" t="s">
        <v>8</v>
      </c>
      <c r="IL607" s="27" t="s">
        <v>7</v>
      </c>
      <c r="IQ607" s="27" t="s">
        <v>8</v>
      </c>
      <c r="IR607" s="27" t="s">
        <v>7</v>
      </c>
      <c r="IS607" s="27" t="s">
        <v>8</v>
      </c>
    </row>
    <row r="608" spans="1:253" x14ac:dyDescent="0.25">
      <c r="A608" s="7">
        <v>0.65977581677260566</v>
      </c>
      <c r="B608"/>
      <c r="C608"/>
      <c r="D608"/>
      <c r="E608"/>
      <c r="F608" s="27" t="s">
        <v>7</v>
      </c>
      <c r="Q608" s="27" t="s">
        <v>8</v>
      </c>
      <c r="R608" s="27" t="s">
        <v>7</v>
      </c>
      <c r="AE608" s="27" t="s">
        <v>8</v>
      </c>
      <c r="AF608" s="27" t="s">
        <v>7</v>
      </c>
      <c r="AG608" s="27" t="s">
        <v>8</v>
      </c>
      <c r="AH608" s="27" t="s">
        <v>7</v>
      </c>
      <c r="AI608" s="27" t="s">
        <v>8</v>
      </c>
      <c r="AJ608" s="27" t="s">
        <v>7</v>
      </c>
      <c r="AP608" s="27" t="s">
        <v>7</v>
      </c>
      <c r="AS608" s="27" t="s">
        <v>8</v>
      </c>
      <c r="AT608" s="27" t="s">
        <v>7</v>
      </c>
      <c r="AU608" s="27" t="s">
        <v>8</v>
      </c>
      <c r="AV608" s="27" t="s">
        <v>7</v>
      </c>
      <c r="AW608" s="27" t="s">
        <v>8</v>
      </c>
      <c r="AX608" s="27" t="s">
        <v>7</v>
      </c>
      <c r="DA608" s="27" t="s">
        <v>8</v>
      </c>
      <c r="DB608" s="27" t="s">
        <v>7</v>
      </c>
      <c r="DC608" s="27" t="s">
        <v>8</v>
      </c>
      <c r="DD608" s="27" t="s">
        <v>7</v>
      </c>
      <c r="DE608" s="27" t="s">
        <v>8</v>
      </c>
      <c r="DF608" s="27" t="s">
        <v>7</v>
      </c>
      <c r="DQ608" s="27" t="s">
        <v>8</v>
      </c>
      <c r="EN608" s="27" t="s">
        <v>7</v>
      </c>
      <c r="EO608" s="27" t="s">
        <v>8</v>
      </c>
      <c r="FD608" s="27" t="s">
        <v>7</v>
      </c>
      <c r="FE608" s="27" t="s">
        <v>8</v>
      </c>
      <c r="FF608" s="27" t="s">
        <v>7</v>
      </c>
      <c r="FG608" s="27" t="s">
        <v>8</v>
      </c>
      <c r="FH608" s="27" t="s">
        <v>7</v>
      </c>
      <c r="FI608" s="27" t="s">
        <v>8</v>
      </c>
      <c r="FJ608" s="27" t="s">
        <v>7</v>
      </c>
      <c r="FK608" s="27" t="s">
        <v>8</v>
      </c>
      <c r="FR608" s="27" t="s">
        <v>7</v>
      </c>
      <c r="FS608" s="27" t="s">
        <v>8</v>
      </c>
      <c r="FV608" s="27" t="s">
        <v>7</v>
      </c>
      <c r="GO608" s="27" t="s">
        <v>8</v>
      </c>
      <c r="GP608" s="27" t="s">
        <v>7</v>
      </c>
      <c r="GQ608" s="27" t="s">
        <v>8</v>
      </c>
      <c r="GR608" s="27" t="s">
        <v>7</v>
      </c>
      <c r="GS608" s="27" t="s">
        <v>8</v>
      </c>
      <c r="GT608" s="27" t="s">
        <v>7</v>
      </c>
      <c r="GU608" s="27" t="s">
        <v>8</v>
      </c>
      <c r="GX608" s="27" t="s">
        <v>7</v>
      </c>
      <c r="GY608" s="27" t="s">
        <v>8</v>
      </c>
      <c r="HB608" s="27" t="s">
        <v>7</v>
      </c>
      <c r="HC608" s="27" t="s">
        <v>8</v>
      </c>
      <c r="HE608" s="27" t="s">
        <v>8</v>
      </c>
      <c r="HF608" s="27" t="s">
        <v>7</v>
      </c>
      <c r="HG608" s="27" t="s">
        <v>8</v>
      </c>
      <c r="HH608" s="27" t="s">
        <v>7</v>
      </c>
      <c r="HI608" s="27" t="s">
        <v>8</v>
      </c>
      <c r="HJ608" s="27" t="s">
        <v>7</v>
      </c>
      <c r="HQ608" s="27" t="s">
        <v>8</v>
      </c>
      <c r="HR608" s="27" t="s">
        <v>7</v>
      </c>
      <c r="HU608" s="27" t="s">
        <v>8</v>
      </c>
      <c r="HV608" s="27" t="s">
        <v>7</v>
      </c>
      <c r="HW608" s="27" t="s">
        <v>8</v>
      </c>
      <c r="HX608" s="27" t="s">
        <v>7</v>
      </c>
      <c r="HY608" s="27" t="s">
        <v>8</v>
      </c>
      <c r="HZ608" s="27" t="s">
        <v>7</v>
      </c>
      <c r="IB608" s="27" t="s">
        <v>7</v>
      </c>
      <c r="IC608" s="27" t="s">
        <v>8</v>
      </c>
      <c r="ID608" s="27" t="s">
        <v>7</v>
      </c>
      <c r="IE608" s="27" t="s">
        <v>8</v>
      </c>
      <c r="IF608" s="27" t="s">
        <v>7</v>
      </c>
      <c r="IG608" s="27" t="s">
        <v>8</v>
      </c>
      <c r="IH608" s="27" t="s">
        <v>7</v>
      </c>
      <c r="IK608" s="27" t="s">
        <v>8</v>
      </c>
      <c r="IL608" s="27" t="s">
        <v>7</v>
      </c>
      <c r="IM608" s="27" t="s">
        <v>8</v>
      </c>
      <c r="IQ608" s="27" t="s">
        <v>8</v>
      </c>
      <c r="IR608" s="27" t="s">
        <v>7</v>
      </c>
      <c r="IS608" s="27" t="s">
        <v>8</v>
      </c>
    </row>
    <row r="609" spans="1:253" x14ac:dyDescent="0.25">
      <c r="A609" s="7">
        <v>0.64683903605157422</v>
      </c>
      <c r="B609"/>
      <c r="C609"/>
      <c r="D609"/>
      <c r="E609"/>
      <c r="F609" s="27" t="s">
        <v>7</v>
      </c>
      <c r="Q609" s="27" t="s">
        <v>8</v>
      </c>
      <c r="R609" s="27" t="s">
        <v>7</v>
      </c>
      <c r="AE609" s="27" t="s">
        <v>8</v>
      </c>
      <c r="AF609" s="27" t="s">
        <v>7</v>
      </c>
      <c r="AG609" s="27" t="s">
        <v>8</v>
      </c>
      <c r="AH609" s="27" t="s">
        <v>7</v>
      </c>
      <c r="AI609" s="27" t="s">
        <v>8</v>
      </c>
      <c r="AP609" s="27" t="s">
        <v>7</v>
      </c>
      <c r="AS609" s="27" t="s">
        <v>8</v>
      </c>
      <c r="AT609" s="27" t="s">
        <v>7</v>
      </c>
      <c r="AU609" s="27" t="s">
        <v>8</v>
      </c>
      <c r="AV609" s="27" t="s">
        <v>7</v>
      </c>
      <c r="AW609" s="27" t="s">
        <v>8</v>
      </c>
      <c r="AX609" s="27" t="s">
        <v>7</v>
      </c>
      <c r="DA609" s="27" t="s">
        <v>8</v>
      </c>
      <c r="DB609" s="27" t="s">
        <v>7</v>
      </c>
      <c r="DC609" s="27" t="s">
        <v>8</v>
      </c>
      <c r="DD609" s="27" t="s">
        <v>7</v>
      </c>
      <c r="DE609" s="27" t="s">
        <v>8</v>
      </c>
      <c r="DF609" s="27" t="s">
        <v>7</v>
      </c>
      <c r="DQ609" s="27" t="s">
        <v>8</v>
      </c>
      <c r="EN609" s="27" t="s">
        <v>7</v>
      </c>
      <c r="EO609" s="27" t="s">
        <v>8</v>
      </c>
      <c r="FD609" s="27" t="s">
        <v>7</v>
      </c>
      <c r="FE609" s="27" t="s">
        <v>8</v>
      </c>
      <c r="FF609" s="27" t="s">
        <v>7</v>
      </c>
      <c r="FG609" s="27" t="s">
        <v>8</v>
      </c>
      <c r="FH609" s="27" t="s">
        <v>7</v>
      </c>
      <c r="FI609" s="27" t="s">
        <v>8</v>
      </c>
      <c r="FJ609" s="27" t="s">
        <v>7</v>
      </c>
      <c r="FK609" s="27" t="s">
        <v>8</v>
      </c>
      <c r="FR609" s="27" t="s">
        <v>7</v>
      </c>
      <c r="FS609" s="27" t="s">
        <v>8</v>
      </c>
      <c r="FV609" s="27" t="s">
        <v>7</v>
      </c>
      <c r="GO609" s="27" t="s">
        <v>8</v>
      </c>
      <c r="GP609" s="27" t="s">
        <v>7</v>
      </c>
      <c r="GQ609" s="27" t="s">
        <v>8</v>
      </c>
      <c r="GR609" s="27" t="s">
        <v>7</v>
      </c>
      <c r="GS609" s="27" t="s">
        <v>8</v>
      </c>
      <c r="GT609" s="27" t="s">
        <v>7</v>
      </c>
      <c r="GU609" s="27" t="s">
        <v>8</v>
      </c>
      <c r="GX609" s="27" t="s">
        <v>7</v>
      </c>
      <c r="HB609" s="27" t="s">
        <v>7</v>
      </c>
      <c r="HC609" s="27" t="s">
        <v>8</v>
      </c>
      <c r="HD609" s="27" t="s">
        <v>7</v>
      </c>
      <c r="HE609" s="27" t="s">
        <v>8</v>
      </c>
      <c r="HF609" s="27" t="s">
        <v>7</v>
      </c>
      <c r="HH609" s="27" t="s">
        <v>7</v>
      </c>
      <c r="HI609" s="27" t="s">
        <v>8</v>
      </c>
      <c r="HJ609" s="27" t="s">
        <v>7</v>
      </c>
      <c r="HQ609" s="27" t="s">
        <v>8</v>
      </c>
      <c r="HR609" s="27" t="s">
        <v>7</v>
      </c>
      <c r="HU609" s="27" t="s">
        <v>8</v>
      </c>
      <c r="HV609" s="27" t="s">
        <v>7</v>
      </c>
      <c r="HW609" s="27" t="s">
        <v>8</v>
      </c>
      <c r="HX609" s="27" t="s">
        <v>7</v>
      </c>
      <c r="HY609" s="27" t="s">
        <v>8</v>
      </c>
      <c r="IB609" s="27" t="s">
        <v>7</v>
      </c>
      <c r="IC609" s="27" t="s">
        <v>8</v>
      </c>
      <c r="ID609" s="27" t="s">
        <v>7</v>
      </c>
      <c r="IE609" s="27" t="s">
        <v>8</v>
      </c>
      <c r="IF609" s="27" t="s">
        <v>7</v>
      </c>
      <c r="IG609" s="27" t="s">
        <v>8</v>
      </c>
      <c r="IH609" s="27" t="s">
        <v>7</v>
      </c>
      <c r="IK609" s="27" t="s">
        <v>8</v>
      </c>
      <c r="IL609" s="27" t="s">
        <v>7</v>
      </c>
      <c r="IM609" s="27" t="s">
        <v>8</v>
      </c>
      <c r="IN609" s="27" t="s">
        <v>7</v>
      </c>
      <c r="IQ609" s="27" t="s">
        <v>8</v>
      </c>
      <c r="IR609" s="27" t="s">
        <v>7</v>
      </c>
      <c r="IS609" s="27" t="s">
        <v>8</v>
      </c>
    </row>
    <row r="610" spans="1:253" x14ac:dyDescent="0.25">
      <c r="A610" s="7">
        <v>0.63415591769762181</v>
      </c>
      <c r="B610"/>
      <c r="C610"/>
      <c r="D610"/>
      <c r="E610"/>
      <c r="F610" s="27" t="s">
        <v>7</v>
      </c>
      <c r="Q610" s="27" t="s">
        <v>8</v>
      </c>
      <c r="R610" s="27" t="s">
        <v>7</v>
      </c>
      <c r="AE610" s="27" t="s">
        <v>8</v>
      </c>
      <c r="AF610" s="27" t="s">
        <v>7</v>
      </c>
      <c r="AG610" s="27" t="s">
        <v>8</v>
      </c>
      <c r="AH610" s="27" t="s">
        <v>7</v>
      </c>
      <c r="AP610" s="27" t="s">
        <v>7</v>
      </c>
      <c r="AS610" s="27" t="s">
        <v>8</v>
      </c>
      <c r="AT610" s="27" t="s">
        <v>7</v>
      </c>
      <c r="AV610" s="27" t="s">
        <v>7</v>
      </c>
      <c r="AX610" s="27" t="s">
        <v>7</v>
      </c>
      <c r="DA610" s="27" t="s">
        <v>8</v>
      </c>
      <c r="DB610" s="27" t="s">
        <v>7</v>
      </c>
      <c r="DC610" s="27" t="s">
        <v>8</v>
      </c>
      <c r="DD610" s="27" t="s">
        <v>7</v>
      </c>
      <c r="DE610" s="27" t="s">
        <v>8</v>
      </c>
      <c r="DF610" s="27" t="s">
        <v>7</v>
      </c>
      <c r="DO610" s="27" t="s">
        <v>8</v>
      </c>
      <c r="DQ610" s="27" t="s">
        <v>8</v>
      </c>
      <c r="EN610" s="27" t="s">
        <v>7</v>
      </c>
      <c r="EO610" s="27" t="s">
        <v>8</v>
      </c>
      <c r="FD610" s="27" t="s">
        <v>7</v>
      </c>
      <c r="FE610" s="27" t="s">
        <v>8</v>
      </c>
      <c r="FF610" s="27" t="s">
        <v>7</v>
      </c>
      <c r="FG610" s="27" t="s">
        <v>8</v>
      </c>
      <c r="FH610" s="27" t="s">
        <v>7</v>
      </c>
      <c r="FI610" s="27" t="s">
        <v>8</v>
      </c>
      <c r="FJ610" s="27" t="s">
        <v>7</v>
      </c>
      <c r="FK610" s="27" t="s">
        <v>8</v>
      </c>
      <c r="FR610" s="27" t="s">
        <v>7</v>
      </c>
      <c r="FS610" s="27" t="s">
        <v>8</v>
      </c>
      <c r="FV610" s="27" t="s">
        <v>7</v>
      </c>
      <c r="GO610" s="27" t="s">
        <v>8</v>
      </c>
      <c r="GP610" s="27" t="s">
        <v>7</v>
      </c>
      <c r="GR610" s="27" t="s">
        <v>7</v>
      </c>
      <c r="GS610" s="27" t="s">
        <v>8</v>
      </c>
      <c r="GT610" s="27" t="s">
        <v>7</v>
      </c>
      <c r="GU610" s="27" t="s">
        <v>8</v>
      </c>
      <c r="HB610" s="27" t="s">
        <v>7</v>
      </c>
      <c r="HC610" s="27" t="s">
        <v>8</v>
      </c>
      <c r="HD610" s="27" t="s">
        <v>7</v>
      </c>
      <c r="HE610" s="27" t="s">
        <v>8</v>
      </c>
      <c r="HH610" s="27" t="s">
        <v>7</v>
      </c>
      <c r="HI610" s="27" t="s">
        <v>8</v>
      </c>
      <c r="HJ610" s="27" t="s">
        <v>7</v>
      </c>
      <c r="HQ610" s="27" t="s">
        <v>8</v>
      </c>
      <c r="HR610" s="27" t="s">
        <v>7</v>
      </c>
      <c r="HU610" s="27" t="s">
        <v>8</v>
      </c>
      <c r="HV610" s="27" t="s">
        <v>7</v>
      </c>
      <c r="HW610" s="27" t="s">
        <v>8</v>
      </c>
      <c r="HX610" s="27" t="s">
        <v>7</v>
      </c>
      <c r="HY610" s="27" t="s">
        <v>8</v>
      </c>
      <c r="IB610" s="27" t="s">
        <v>7</v>
      </c>
      <c r="ID610" s="27" t="s">
        <v>7</v>
      </c>
      <c r="IF610" s="27" t="s">
        <v>7</v>
      </c>
      <c r="IH610" s="27" t="s">
        <v>7</v>
      </c>
      <c r="II610" s="27" t="s">
        <v>8</v>
      </c>
      <c r="IK610" s="27" t="s">
        <v>8</v>
      </c>
      <c r="IL610" s="27" t="s">
        <v>7</v>
      </c>
      <c r="IM610" s="27" t="s">
        <v>8</v>
      </c>
      <c r="IN610" s="27" t="s">
        <v>7</v>
      </c>
      <c r="IQ610" s="27" t="s">
        <v>8</v>
      </c>
      <c r="IR610" s="27" t="s">
        <v>7</v>
      </c>
      <c r="IS610" s="27" t="s">
        <v>8</v>
      </c>
    </row>
    <row r="611" spans="1:253" x14ac:dyDescent="0.25">
      <c r="A611" s="7">
        <v>0.62172148793884496</v>
      </c>
      <c r="B611"/>
      <c r="C611"/>
      <c r="D611"/>
      <c r="E611"/>
      <c r="F611" s="27" t="s">
        <v>7</v>
      </c>
      <c r="Q611" s="27" t="s">
        <v>8</v>
      </c>
      <c r="R611" s="27" t="s">
        <v>7</v>
      </c>
      <c r="AE611" s="27" t="s">
        <v>8</v>
      </c>
      <c r="AF611" s="27" t="s">
        <v>7</v>
      </c>
      <c r="AP611" s="27" t="s">
        <v>7</v>
      </c>
      <c r="AQ611" s="27" t="s">
        <v>8</v>
      </c>
      <c r="AS611" s="27" t="s">
        <v>8</v>
      </c>
      <c r="AX611" s="27" t="s">
        <v>7</v>
      </c>
      <c r="DA611" s="27" t="s">
        <v>8</v>
      </c>
      <c r="DB611" s="27" t="s">
        <v>7</v>
      </c>
      <c r="DC611" s="27" t="s">
        <v>8</v>
      </c>
      <c r="DD611" s="27" t="s">
        <v>7</v>
      </c>
      <c r="DF611" s="27" t="s">
        <v>7</v>
      </c>
      <c r="DO611" s="27" t="s">
        <v>8</v>
      </c>
      <c r="DP611" s="27" t="s">
        <v>7</v>
      </c>
      <c r="DQ611" s="27" t="s">
        <v>8</v>
      </c>
      <c r="EN611" s="27" t="s">
        <v>7</v>
      </c>
      <c r="EO611" s="27" t="s">
        <v>8</v>
      </c>
      <c r="FD611" s="27" t="s">
        <v>7</v>
      </c>
      <c r="FE611" s="27" t="s">
        <v>8</v>
      </c>
      <c r="FF611" s="27" t="s">
        <v>7</v>
      </c>
      <c r="FG611" s="27" t="s">
        <v>8</v>
      </c>
      <c r="FH611" s="27" t="s">
        <v>7</v>
      </c>
      <c r="FI611" s="27" t="s">
        <v>8</v>
      </c>
      <c r="FJ611" s="27" t="s">
        <v>7</v>
      </c>
      <c r="FK611" s="27" t="s">
        <v>8</v>
      </c>
      <c r="FR611" s="27" t="s">
        <v>7</v>
      </c>
      <c r="FS611" s="27" t="s">
        <v>8</v>
      </c>
      <c r="FV611" s="27" t="s">
        <v>7</v>
      </c>
      <c r="GO611" s="27" t="s">
        <v>8</v>
      </c>
      <c r="GR611" s="27" t="s">
        <v>7</v>
      </c>
      <c r="GS611" s="27" t="s">
        <v>8</v>
      </c>
      <c r="GT611" s="27" t="s">
        <v>7</v>
      </c>
      <c r="HB611" s="27" t="s">
        <v>7</v>
      </c>
      <c r="HC611" s="27" t="s">
        <v>8</v>
      </c>
      <c r="HD611" s="27" t="s">
        <v>7</v>
      </c>
      <c r="HE611" s="27" t="s">
        <v>8</v>
      </c>
      <c r="HH611" s="27" t="s">
        <v>7</v>
      </c>
      <c r="HI611" s="27" t="s">
        <v>8</v>
      </c>
      <c r="HJ611" s="27" t="s">
        <v>7</v>
      </c>
      <c r="HQ611" s="27" t="s">
        <v>8</v>
      </c>
      <c r="HR611" s="27" t="s">
        <v>7</v>
      </c>
      <c r="HS611" s="27" t="s">
        <v>8</v>
      </c>
      <c r="HU611" s="27" t="s">
        <v>8</v>
      </c>
      <c r="HV611" s="27" t="s">
        <v>7</v>
      </c>
      <c r="HW611" s="27" t="s">
        <v>8</v>
      </c>
      <c r="HX611" s="27" t="s">
        <v>7</v>
      </c>
      <c r="HY611" s="27" t="s">
        <v>8</v>
      </c>
      <c r="IH611" s="27" t="s">
        <v>7</v>
      </c>
      <c r="II611" s="27" t="s">
        <v>8</v>
      </c>
      <c r="IJ611" s="27" t="s">
        <v>7</v>
      </c>
      <c r="IK611" s="27" t="s">
        <v>8</v>
      </c>
      <c r="IL611" s="27" t="s">
        <v>7</v>
      </c>
      <c r="IM611" s="27" t="s">
        <v>8</v>
      </c>
      <c r="IN611" s="27" t="s">
        <v>7</v>
      </c>
      <c r="IQ611" s="27" t="s">
        <v>8</v>
      </c>
      <c r="IR611" s="27" t="s">
        <v>7</v>
      </c>
      <c r="IS611" s="27" t="s">
        <v>8</v>
      </c>
    </row>
    <row r="612" spans="1:253" x14ac:dyDescent="0.25">
      <c r="A612" s="7">
        <v>0.60953087052827937</v>
      </c>
      <c r="B612"/>
      <c r="C612"/>
      <c r="D612"/>
      <c r="E612"/>
      <c r="F612" s="27" t="s">
        <v>7</v>
      </c>
      <c r="Q612" s="27" t="s">
        <v>8</v>
      </c>
      <c r="R612" s="27" t="s">
        <v>7</v>
      </c>
      <c r="AE612" s="27" t="s">
        <v>8</v>
      </c>
      <c r="AP612" s="27" t="s">
        <v>7</v>
      </c>
      <c r="AQ612" s="27" t="s">
        <v>8</v>
      </c>
      <c r="AR612" s="27" t="s">
        <v>7</v>
      </c>
      <c r="AS612" s="27" t="s">
        <v>8</v>
      </c>
      <c r="AX612" s="27" t="s">
        <v>7</v>
      </c>
      <c r="DA612" s="27" t="s">
        <v>8</v>
      </c>
      <c r="DB612" s="27" t="s">
        <v>7</v>
      </c>
      <c r="DC612" s="27" t="s">
        <v>8</v>
      </c>
      <c r="DF612" s="27" t="s">
        <v>7</v>
      </c>
      <c r="DO612" s="27" t="s">
        <v>8</v>
      </c>
      <c r="DP612" s="27" t="s">
        <v>7</v>
      </c>
      <c r="DQ612" s="27" t="s">
        <v>8</v>
      </c>
      <c r="EN612" s="27" t="s">
        <v>7</v>
      </c>
      <c r="FD612" s="27" t="s">
        <v>7</v>
      </c>
      <c r="FE612" s="27" t="s">
        <v>8</v>
      </c>
      <c r="FF612" s="27" t="s">
        <v>7</v>
      </c>
      <c r="FG612" s="27" t="s">
        <v>8</v>
      </c>
      <c r="FH612" s="27" t="s">
        <v>7</v>
      </c>
      <c r="FI612" s="27" t="s">
        <v>8</v>
      </c>
      <c r="FJ612" s="27" t="s">
        <v>7</v>
      </c>
      <c r="FK612" s="27" t="s">
        <v>8</v>
      </c>
      <c r="FR612" s="27" t="s">
        <v>7</v>
      </c>
      <c r="FV612" s="27" t="s">
        <v>7</v>
      </c>
      <c r="GO612" s="27" t="s">
        <v>8</v>
      </c>
      <c r="GR612" s="27" t="s">
        <v>7</v>
      </c>
      <c r="HB612" s="27" t="s">
        <v>7</v>
      </c>
      <c r="HC612" s="27" t="s">
        <v>8</v>
      </c>
      <c r="HD612" s="27" t="s">
        <v>7</v>
      </c>
      <c r="HE612" s="27" t="s">
        <v>8</v>
      </c>
      <c r="HH612" s="27" t="s">
        <v>7</v>
      </c>
      <c r="HI612" s="27" t="s">
        <v>8</v>
      </c>
      <c r="HJ612" s="27" t="s">
        <v>7</v>
      </c>
      <c r="HQ612" s="27" t="s">
        <v>8</v>
      </c>
      <c r="HR612" s="27" t="s">
        <v>7</v>
      </c>
      <c r="HS612" s="27" t="s">
        <v>8</v>
      </c>
      <c r="HT612" s="27" t="s">
        <v>7</v>
      </c>
      <c r="HU612" s="27" t="s">
        <v>8</v>
      </c>
      <c r="HV612" s="27" t="s">
        <v>7</v>
      </c>
      <c r="HW612" s="27" t="s">
        <v>8</v>
      </c>
      <c r="HX612" s="27" t="s">
        <v>7</v>
      </c>
      <c r="IH612" s="27" t="s">
        <v>7</v>
      </c>
      <c r="II612" s="27" t="s">
        <v>8</v>
      </c>
      <c r="IJ612" s="27" t="s">
        <v>7</v>
      </c>
      <c r="IK612" s="27" t="s">
        <v>8</v>
      </c>
      <c r="IL612" s="27" t="s">
        <v>7</v>
      </c>
      <c r="IM612" s="27" t="s">
        <v>8</v>
      </c>
      <c r="IN612" s="27" t="s">
        <v>7</v>
      </c>
      <c r="IQ612" s="27" t="s">
        <v>8</v>
      </c>
      <c r="IR612" s="27" t="s">
        <v>7</v>
      </c>
    </row>
    <row r="613" spans="1:253" x14ac:dyDescent="0.25">
      <c r="A613" s="7">
        <v>0.59757928483164646</v>
      </c>
      <c r="B613"/>
      <c r="C613"/>
      <c r="D613"/>
      <c r="E613"/>
      <c r="F613" s="27" t="s">
        <v>7</v>
      </c>
      <c r="K613" s="27" t="s">
        <v>8</v>
      </c>
      <c r="Q613" s="27" t="s">
        <v>8</v>
      </c>
      <c r="R613" s="27" t="s">
        <v>7</v>
      </c>
      <c r="AE613" s="27" t="s">
        <v>8</v>
      </c>
      <c r="AP613" s="27" t="s">
        <v>7</v>
      </c>
      <c r="AQ613" s="27" t="s">
        <v>8</v>
      </c>
      <c r="AR613" s="27" t="s">
        <v>7</v>
      </c>
      <c r="AS613" s="27" t="s">
        <v>8</v>
      </c>
      <c r="AX613" s="27" t="s">
        <v>7</v>
      </c>
      <c r="DA613" s="27" t="s">
        <v>8</v>
      </c>
      <c r="DB613" s="27" t="s">
        <v>7</v>
      </c>
      <c r="DC613" s="27" t="s">
        <v>8</v>
      </c>
      <c r="DF613" s="27" t="s">
        <v>7</v>
      </c>
      <c r="DO613" s="27" t="s">
        <v>8</v>
      </c>
      <c r="DP613" s="27" t="s">
        <v>7</v>
      </c>
      <c r="DQ613" s="27" t="s">
        <v>8</v>
      </c>
      <c r="FD613" s="27" t="s">
        <v>7</v>
      </c>
      <c r="FE613" s="27" t="s">
        <v>8</v>
      </c>
      <c r="FF613" s="27" t="s">
        <v>7</v>
      </c>
      <c r="FG613" s="27" t="s">
        <v>8</v>
      </c>
      <c r="FH613" s="27" t="s">
        <v>7</v>
      </c>
      <c r="FI613" s="27" t="s">
        <v>8</v>
      </c>
      <c r="FJ613" s="27" t="s">
        <v>7</v>
      </c>
      <c r="FK613" s="27" t="s">
        <v>8</v>
      </c>
      <c r="FV613" s="27" t="s">
        <v>7</v>
      </c>
      <c r="GO613" s="27" t="s">
        <v>8</v>
      </c>
      <c r="HB613" s="27" t="s">
        <v>7</v>
      </c>
      <c r="HC613" s="27" t="s">
        <v>8</v>
      </c>
      <c r="HD613" s="27" t="s">
        <v>7</v>
      </c>
      <c r="HH613" s="27" t="s">
        <v>7</v>
      </c>
      <c r="HI613" s="27" t="s">
        <v>8</v>
      </c>
      <c r="HJ613" s="27" t="s">
        <v>7</v>
      </c>
      <c r="HQ613" s="27" t="s">
        <v>8</v>
      </c>
      <c r="HR613" s="27" t="s">
        <v>7</v>
      </c>
      <c r="HS613" s="27" t="s">
        <v>8</v>
      </c>
      <c r="HT613" s="27" t="s">
        <v>7</v>
      </c>
      <c r="HU613" s="27" t="s">
        <v>8</v>
      </c>
      <c r="HV613" s="27" t="s">
        <v>7</v>
      </c>
      <c r="HW613" s="27" t="s">
        <v>8</v>
      </c>
      <c r="IH613" s="27" t="s">
        <v>7</v>
      </c>
      <c r="II613" s="27" t="s">
        <v>8</v>
      </c>
      <c r="IJ613" s="27" t="s">
        <v>7</v>
      </c>
      <c r="IK613" s="27" t="s">
        <v>8</v>
      </c>
      <c r="IL613" s="27" t="s">
        <v>7</v>
      </c>
      <c r="IN613" s="27" t="s">
        <v>7</v>
      </c>
      <c r="IO613" s="27" t="s">
        <v>8</v>
      </c>
      <c r="IQ613" s="27" t="s">
        <v>8</v>
      </c>
    </row>
    <row r="614" spans="1:253" x14ac:dyDescent="0.25">
      <c r="A614" s="7">
        <v>0.58586204395259456</v>
      </c>
      <c r="B614"/>
      <c r="C614"/>
      <c r="D614"/>
      <c r="E614"/>
      <c r="F614" s="27" t="s">
        <v>7</v>
      </c>
      <c r="K614" s="27" t="s">
        <v>8</v>
      </c>
      <c r="L614" s="27" t="s">
        <v>7</v>
      </c>
      <c r="M614" s="27" t="s">
        <v>8</v>
      </c>
      <c r="Q614" s="27" t="s">
        <v>8</v>
      </c>
      <c r="R614" s="27" t="s">
        <v>7</v>
      </c>
      <c r="U614" s="27" t="s">
        <v>8</v>
      </c>
      <c r="AE614" s="27" t="s">
        <v>8</v>
      </c>
      <c r="AP614" s="27" t="s">
        <v>7</v>
      </c>
      <c r="AQ614" s="27" t="s">
        <v>8</v>
      </c>
      <c r="AR614" s="27" t="s">
        <v>7</v>
      </c>
      <c r="AS614" s="27" t="s">
        <v>8</v>
      </c>
      <c r="AX614" s="27" t="s">
        <v>7</v>
      </c>
      <c r="DA614" s="27" t="s">
        <v>8</v>
      </c>
      <c r="DB614" s="27" t="s">
        <v>7</v>
      </c>
      <c r="DC614" s="27" t="s">
        <v>8</v>
      </c>
      <c r="DF614" s="27" t="s">
        <v>7</v>
      </c>
      <c r="DI614" s="27" t="s">
        <v>8</v>
      </c>
      <c r="DO614" s="27" t="s">
        <v>8</v>
      </c>
      <c r="DP614" s="27" t="s">
        <v>7</v>
      </c>
      <c r="DQ614" s="27" t="s">
        <v>8</v>
      </c>
      <c r="FD614" s="27" t="s">
        <v>7</v>
      </c>
      <c r="FE614" s="27" t="s">
        <v>8</v>
      </c>
      <c r="FF614" s="27" t="s">
        <v>7</v>
      </c>
      <c r="FG614" s="27" t="s">
        <v>8</v>
      </c>
      <c r="FH614" s="27" t="s">
        <v>7</v>
      </c>
      <c r="FI614" s="27" t="s">
        <v>8</v>
      </c>
      <c r="FJ614" s="27" t="s">
        <v>7</v>
      </c>
      <c r="FK614" s="27" t="s">
        <v>8</v>
      </c>
      <c r="FV614" s="27" t="s">
        <v>7</v>
      </c>
      <c r="GO614" s="27" t="s">
        <v>8</v>
      </c>
      <c r="HB614" s="27" t="s">
        <v>7</v>
      </c>
      <c r="HC614" s="27" t="s">
        <v>8</v>
      </c>
      <c r="HH614" s="27" t="s">
        <v>7</v>
      </c>
      <c r="HI614" s="27" t="s">
        <v>8</v>
      </c>
      <c r="HJ614" s="27" t="s">
        <v>7</v>
      </c>
      <c r="HM614" s="27" t="s">
        <v>8</v>
      </c>
      <c r="HO614" s="27" t="s">
        <v>8</v>
      </c>
      <c r="HQ614" s="27" t="s">
        <v>8</v>
      </c>
      <c r="HR614" s="27" t="s">
        <v>7</v>
      </c>
      <c r="HS614" s="27" t="s">
        <v>8</v>
      </c>
      <c r="HT614" s="27" t="s">
        <v>7</v>
      </c>
      <c r="HU614" s="27" t="s">
        <v>8</v>
      </c>
      <c r="HV614" s="27" t="s">
        <v>7</v>
      </c>
      <c r="HW614" s="27" t="s">
        <v>8</v>
      </c>
      <c r="IH614" s="27" t="s">
        <v>7</v>
      </c>
      <c r="II614" s="27" t="s">
        <v>8</v>
      </c>
      <c r="IJ614" s="27" t="s">
        <v>7</v>
      </c>
      <c r="IK614" s="27" t="s">
        <v>8</v>
      </c>
      <c r="IN614" s="27" t="s">
        <v>7</v>
      </c>
      <c r="IO614" s="27" t="s">
        <v>8</v>
      </c>
      <c r="IP614" s="27" t="s">
        <v>7</v>
      </c>
      <c r="IQ614" s="27" t="s">
        <v>8</v>
      </c>
    </row>
    <row r="615" spans="1:253" x14ac:dyDescent="0.25">
      <c r="A615" s="7">
        <v>0.57437455289470052</v>
      </c>
      <c r="B615"/>
      <c r="C615"/>
      <c r="D615"/>
      <c r="E615"/>
      <c r="F615" s="27" t="s">
        <v>7</v>
      </c>
      <c r="K615" s="27" t="s">
        <v>8</v>
      </c>
      <c r="L615" s="27" t="s">
        <v>7</v>
      </c>
      <c r="M615" s="27" t="s">
        <v>8</v>
      </c>
      <c r="N615" s="27" t="s">
        <v>7</v>
      </c>
      <c r="Q615" s="27" t="s">
        <v>8</v>
      </c>
      <c r="R615" s="27" t="s">
        <v>7</v>
      </c>
      <c r="S615" s="27" t="s">
        <v>8</v>
      </c>
      <c r="U615" s="27" t="s">
        <v>8</v>
      </c>
      <c r="V615" s="27" t="s">
        <v>7</v>
      </c>
      <c r="AE615" s="27" t="s">
        <v>8</v>
      </c>
      <c r="AP615" s="27" t="s">
        <v>7</v>
      </c>
      <c r="AQ615" s="27" t="s">
        <v>8</v>
      </c>
      <c r="AR615" s="27" t="s">
        <v>7</v>
      </c>
      <c r="AS615" s="27" t="s">
        <v>8</v>
      </c>
      <c r="AX615" s="27" t="s">
        <v>7</v>
      </c>
      <c r="DA615" s="27" t="s">
        <v>8</v>
      </c>
      <c r="DB615" s="27" t="s">
        <v>7</v>
      </c>
      <c r="DC615" s="27" t="s">
        <v>8</v>
      </c>
      <c r="DF615" s="27" t="s">
        <v>7</v>
      </c>
      <c r="DG615" s="27" t="s">
        <v>8</v>
      </c>
      <c r="DI615" s="27" t="s">
        <v>8</v>
      </c>
      <c r="DJ615" s="27" t="s">
        <v>7</v>
      </c>
      <c r="DM615" s="27" t="s">
        <v>8</v>
      </c>
      <c r="DO615" s="27" t="s">
        <v>8</v>
      </c>
      <c r="DP615" s="27" t="s">
        <v>7</v>
      </c>
      <c r="DQ615" s="27" t="s">
        <v>8</v>
      </c>
      <c r="FD615" s="27" t="s">
        <v>7</v>
      </c>
      <c r="FE615" s="27" t="s">
        <v>8</v>
      </c>
      <c r="FF615" s="27" t="s">
        <v>7</v>
      </c>
      <c r="FG615" s="27" t="s">
        <v>8</v>
      </c>
      <c r="FH615" s="27" t="s">
        <v>7</v>
      </c>
      <c r="FI615" s="27" t="s">
        <v>8</v>
      </c>
      <c r="FJ615" s="27" t="s">
        <v>7</v>
      </c>
      <c r="FK615" s="27" t="s">
        <v>8</v>
      </c>
      <c r="FV615" s="27" t="s">
        <v>7</v>
      </c>
      <c r="GO615" s="27" t="s">
        <v>8</v>
      </c>
      <c r="HB615" s="27" t="s">
        <v>7</v>
      </c>
      <c r="HC615" s="27" t="s">
        <v>8</v>
      </c>
      <c r="HH615" s="27" t="s">
        <v>7</v>
      </c>
      <c r="HJ615" s="27" t="s">
        <v>7</v>
      </c>
      <c r="HK615" s="27" t="s">
        <v>8</v>
      </c>
      <c r="HM615" s="27" t="s">
        <v>8</v>
      </c>
      <c r="HN615" s="27" t="s">
        <v>7</v>
      </c>
      <c r="HO615" s="27" t="s">
        <v>8</v>
      </c>
      <c r="HP615" s="27" t="s">
        <v>7</v>
      </c>
      <c r="HQ615" s="27" t="s">
        <v>8</v>
      </c>
      <c r="HR615" s="27" t="s">
        <v>7</v>
      </c>
      <c r="HT615" s="27" t="s">
        <v>7</v>
      </c>
      <c r="HU615" s="27" t="s">
        <v>8</v>
      </c>
      <c r="HV615" s="27" t="s">
        <v>7</v>
      </c>
      <c r="HW615" s="27" t="s">
        <v>8</v>
      </c>
      <c r="IH615" s="27" t="s">
        <v>7</v>
      </c>
      <c r="IJ615" s="27" t="s">
        <v>7</v>
      </c>
      <c r="IK615" s="27" t="s">
        <v>8</v>
      </c>
      <c r="IN615" s="27" t="s">
        <v>7</v>
      </c>
      <c r="IO615" s="27" t="s">
        <v>8</v>
      </c>
      <c r="IP615" s="27" t="s">
        <v>7</v>
      </c>
      <c r="IQ615" s="27" t="s">
        <v>8</v>
      </c>
    </row>
    <row r="616" spans="1:253" x14ac:dyDescent="0.25">
      <c r="A616" s="7">
        <v>0.56311230675951029</v>
      </c>
      <c r="B616"/>
      <c r="C616"/>
      <c r="D616"/>
      <c r="E616"/>
      <c r="F616" s="27" t="s">
        <v>7</v>
      </c>
      <c r="K616" s="27" t="s">
        <v>8</v>
      </c>
      <c r="L616" s="27" t="s">
        <v>7</v>
      </c>
      <c r="M616" s="27" t="s">
        <v>8</v>
      </c>
      <c r="N616" s="27" t="s">
        <v>7</v>
      </c>
      <c r="Q616" s="27" t="s">
        <v>8</v>
      </c>
      <c r="R616" s="27" t="s">
        <v>7</v>
      </c>
      <c r="S616" s="27" t="s">
        <v>8</v>
      </c>
      <c r="T616" s="27" t="s">
        <v>7</v>
      </c>
      <c r="U616" s="27" t="s">
        <v>8</v>
      </c>
      <c r="V616" s="27" t="s">
        <v>7</v>
      </c>
      <c r="AE616" s="27" t="s">
        <v>8</v>
      </c>
      <c r="AP616" s="27" t="s">
        <v>7</v>
      </c>
      <c r="AQ616" s="27" t="s">
        <v>8</v>
      </c>
      <c r="AR616" s="27" t="s">
        <v>7</v>
      </c>
      <c r="AS616" s="27" t="s">
        <v>8</v>
      </c>
      <c r="AX616" s="27" t="s">
        <v>7</v>
      </c>
      <c r="DA616" s="27" t="s">
        <v>8</v>
      </c>
      <c r="DB616" s="27" t="s">
        <v>7</v>
      </c>
      <c r="DC616" s="27" t="s">
        <v>8</v>
      </c>
      <c r="DF616" s="27" t="s">
        <v>7</v>
      </c>
      <c r="DG616" s="27" t="s">
        <v>8</v>
      </c>
      <c r="DH616" s="27" t="s">
        <v>7</v>
      </c>
      <c r="DI616" s="27" t="s">
        <v>8</v>
      </c>
      <c r="DJ616" s="27" t="s">
        <v>7</v>
      </c>
      <c r="DK616" s="27" t="s">
        <v>8</v>
      </c>
      <c r="DM616" s="27" t="s">
        <v>8</v>
      </c>
      <c r="DN616" s="27" t="s">
        <v>7</v>
      </c>
      <c r="DO616" s="27" t="s">
        <v>8</v>
      </c>
      <c r="DP616" s="27" t="s">
        <v>7</v>
      </c>
      <c r="FD616" s="27" t="s">
        <v>7</v>
      </c>
      <c r="FE616" s="27" t="s">
        <v>8</v>
      </c>
      <c r="FF616" s="27" t="s">
        <v>7</v>
      </c>
      <c r="FG616" s="27" t="s">
        <v>8</v>
      </c>
      <c r="FH616" s="27" t="s">
        <v>7</v>
      </c>
      <c r="FJ616" s="27" t="s">
        <v>7</v>
      </c>
      <c r="FV616" s="27" t="s">
        <v>7</v>
      </c>
      <c r="GO616" s="27" t="s">
        <v>8</v>
      </c>
      <c r="HB616" s="27" t="s">
        <v>7</v>
      </c>
      <c r="HJ616" s="27" t="s">
        <v>7</v>
      </c>
      <c r="HK616" s="27" t="s">
        <v>8</v>
      </c>
      <c r="HL616" s="27" t="s">
        <v>7</v>
      </c>
      <c r="HM616" s="27" t="s">
        <v>8</v>
      </c>
      <c r="HN616" s="27" t="s">
        <v>7</v>
      </c>
      <c r="HO616" s="27" t="s">
        <v>8</v>
      </c>
      <c r="HP616" s="27" t="s">
        <v>7</v>
      </c>
      <c r="HQ616" s="27" t="s">
        <v>8</v>
      </c>
      <c r="HT616" s="27" t="s">
        <v>7</v>
      </c>
      <c r="HU616" s="27" t="s">
        <v>8</v>
      </c>
      <c r="HV616" s="27" t="s">
        <v>7</v>
      </c>
      <c r="IJ616" s="27" t="s">
        <v>7</v>
      </c>
      <c r="IK616" s="27" t="s">
        <v>8</v>
      </c>
      <c r="IN616" s="27" t="s">
        <v>7</v>
      </c>
      <c r="IO616" s="27" t="s">
        <v>8</v>
      </c>
      <c r="IP616" s="27" t="s">
        <v>7</v>
      </c>
      <c r="IQ616" s="27" t="s">
        <v>8</v>
      </c>
    </row>
    <row r="617" spans="1:253" x14ac:dyDescent="0.25">
      <c r="A617" s="7">
        <v>0.55207088897991208</v>
      </c>
      <c r="B617"/>
      <c r="C617"/>
      <c r="D617"/>
      <c r="E617"/>
      <c r="F617" s="27" t="s">
        <v>7</v>
      </c>
      <c r="K617" s="27" t="s">
        <v>8</v>
      </c>
      <c r="L617" s="27" t="s">
        <v>7</v>
      </c>
      <c r="M617" s="27" t="s">
        <v>8</v>
      </c>
      <c r="N617" s="27" t="s">
        <v>7</v>
      </c>
      <c r="Q617" s="27" t="s">
        <v>8</v>
      </c>
      <c r="R617" s="27" t="s">
        <v>7</v>
      </c>
      <c r="S617" s="27" t="s">
        <v>8</v>
      </c>
      <c r="T617" s="27" t="s">
        <v>7</v>
      </c>
      <c r="U617" s="27" t="s">
        <v>8</v>
      </c>
      <c r="V617" s="27" t="s">
        <v>7</v>
      </c>
      <c r="AC617" s="27" t="s">
        <v>8</v>
      </c>
      <c r="AE617" s="27" t="s">
        <v>8</v>
      </c>
      <c r="AP617" s="27" t="s">
        <v>7</v>
      </c>
      <c r="AQ617" s="27" t="s">
        <v>8</v>
      </c>
      <c r="AR617" s="27" t="s">
        <v>7</v>
      </c>
      <c r="AS617" s="27" t="s">
        <v>8</v>
      </c>
      <c r="AX617" s="27" t="s">
        <v>7</v>
      </c>
      <c r="AY617" s="27" t="s">
        <v>8</v>
      </c>
      <c r="DA617" s="27" t="s">
        <v>8</v>
      </c>
      <c r="DB617" s="27" t="s">
        <v>7</v>
      </c>
      <c r="DC617" s="27" t="s">
        <v>8</v>
      </c>
      <c r="DF617" s="27" t="s">
        <v>7</v>
      </c>
      <c r="DG617" s="27" t="s">
        <v>8</v>
      </c>
      <c r="DH617" s="27" t="s">
        <v>7</v>
      </c>
      <c r="DI617" s="27" t="s">
        <v>8</v>
      </c>
      <c r="DJ617" s="27" t="s">
        <v>7</v>
      </c>
      <c r="DK617" s="27" t="s">
        <v>8</v>
      </c>
      <c r="DL617" s="27" t="s">
        <v>7</v>
      </c>
      <c r="DM617" s="27" t="s">
        <v>8</v>
      </c>
      <c r="DN617" s="27" t="s">
        <v>7</v>
      </c>
      <c r="DO617" s="27" t="s">
        <v>8</v>
      </c>
      <c r="FD617" s="27" t="s">
        <v>7</v>
      </c>
      <c r="FE617" s="27" t="s">
        <v>8</v>
      </c>
      <c r="FF617" s="27" t="s">
        <v>7</v>
      </c>
      <c r="FG617" s="27" t="s">
        <v>8</v>
      </c>
      <c r="FV617" s="27" t="s">
        <v>7</v>
      </c>
      <c r="GE617" s="27" t="s">
        <v>8</v>
      </c>
      <c r="GO617" s="27" t="s">
        <v>8</v>
      </c>
      <c r="HJ617" s="27" t="s">
        <v>7</v>
      </c>
      <c r="HK617" s="27" t="s">
        <v>8</v>
      </c>
      <c r="HL617" s="27" t="s">
        <v>7</v>
      </c>
      <c r="HM617" s="27" t="s">
        <v>8</v>
      </c>
      <c r="HN617" s="27" t="s">
        <v>7</v>
      </c>
      <c r="HO617" s="27" t="s">
        <v>8</v>
      </c>
      <c r="HP617" s="27" t="s">
        <v>7</v>
      </c>
      <c r="HQ617" s="27" t="s">
        <v>8</v>
      </c>
      <c r="HT617" s="27" t="s">
        <v>7</v>
      </c>
      <c r="IJ617" s="27" t="s">
        <v>7</v>
      </c>
      <c r="IK617" s="27" t="s">
        <v>8</v>
      </c>
      <c r="IN617" s="27" t="s">
        <v>7</v>
      </c>
      <c r="IP617" s="27" t="s">
        <v>7</v>
      </c>
    </row>
    <row r="618" spans="1:253" x14ac:dyDescent="0.25">
      <c r="A618" s="7">
        <v>0.54124596958814908</v>
      </c>
      <c r="B618"/>
      <c r="C618"/>
      <c r="D618"/>
      <c r="E618"/>
      <c r="F618" s="27" t="s">
        <v>7</v>
      </c>
      <c r="K618" s="27" t="s">
        <v>8</v>
      </c>
      <c r="L618" s="27" t="s">
        <v>7</v>
      </c>
      <c r="M618" s="27" t="s">
        <v>8</v>
      </c>
      <c r="N618" s="27" t="s">
        <v>7</v>
      </c>
      <c r="Q618" s="27" t="s">
        <v>8</v>
      </c>
      <c r="R618" s="27" t="s">
        <v>7</v>
      </c>
      <c r="S618" s="27" t="s">
        <v>8</v>
      </c>
      <c r="T618" s="27" t="s">
        <v>7</v>
      </c>
      <c r="U618" s="27" t="s">
        <v>8</v>
      </c>
      <c r="V618" s="27" t="s">
        <v>7</v>
      </c>
      <c r="AC618" s="27" t="s">
        <v>8</v>
      </c>
      <c r="AD618" s="27" t="s">
        <v>7</v>
      </c>
      <c r="AE618" s="27" t="s">
        <v>8</v>
      </c>
      <c r="AP618" s="27" t="s">
        <v>7</v>
      </c>
      <c r="AR618" s="27" t="s">
        <v>7</v>
      </c>
      <c r="AS618" s="27" t="s">
        <v>8</v>
      </c>
      <c r="AX618" s="27" t="s">
        <v>7</v>
      </c>
      <c r="AY618" s="27" t="s">
        <v>8</v>
      </c>
      <c r="AZ618" s="27" t="s">
        <v>7</v>
      </c>
      <c r="DA618" s="27" t="s">
        <v>8</v>
      </c>
      <c r="DB618" s="27" t="s">
        <v>7</v>
      </c>
      <c r="DF618" s="27" t="s">
        <v>7</v>
      </c>
      <c r="DG618" s="27" t="s">
        <v>8</v>
      </c>
      <c r="DH618" s="27" t="s">
        <v>7</v>
      </c>
      <c r="DI618" s="27" t="s">
        <v>8</v>
      </c>
      <c r="DJ618" s="27" t="s">
        <v>7</v>
      </c>
      <c r="DK618" s="27" t="s">
        <v>8</v>
      </c>
      <c r="DL618" s="27" t="s">
        <v>7</v>
      </c>
      <c r="DM618" s="27" t="s">
        <v>8</v>
      </c>
      <c r="DN618" s="27" t="s">
        <v>7</v>
      </c>
      <c r="FD618" s="27" t="s">
        <v>7</v>
      </c>
      <c r="FE618" s="27" t="s">
        <v>8</v>
      </c>
      <c r="FF618" s="27" t="s">
        <v>7</v>
      </c>
      <c r="FG618" s="27" t="s">
        <v>8</v>
      </c>
      <c r="FV618" s="27" t="s">
        <v>7</v>
      </c>
      <c r="GE618" s="27" t="s">
        <v>8</v>
      </c>
      <c r="GF618" s="27" t="s">
        <v>7</v>
      </c>
      <c r="GO618" s="27" t="s">
        <v>8</v>
      </c>
      <c r="HJ618" s="27" t="s">
        <v>7</v>
      </c>
      <c r="HK618" s="27" t="s">
        <v>8</v>
      </c>
      <c r="HL618" s="27" t="s">
        <v>7</v>
      </c>
      <c r="HM618" s="27" t="s">
        <v>8</v>
      </c>
      <c r="HN618" s="27" t="s">
        <v>7</v>
      </c>
      <c r="HP618" s="27" t="s">
        <v>7</v>
      </c>
      <c r="HQ618" s="27" t="s">
        <v>8</v>
      </c>
      <c r="IJ618" s="27" t="s">
        <v>7</v>
      </c>
    </row>
    <row r="619" spans="1:253" x14ac:dyDescent="0.25">
      <c r="A619" s="7">
        <v>0.53063330351779314</v>
      </c>
      <c r="B619"/>
      <c r="C619"/>
      <c r="D619"/>
      <c r="E619"/>
      <c r="F619" s="27" t="s">
        <v>7</v>
      </c>
      <c r="K619" s="27" t="s">
        <v>8</v>
      </c>
      <c r="L619" s="27" t="s">
        <v>7</v>
      </c>
      <c r="M619" s="27" t="s">
        <v>8</v>
      </c>
      <c r="N619" s="27" t="s">
        <v>7</v>
      </c>
      <c r="O619" s="27" t="s">
        <v>8</v>
      </c>
      <c r="Q619" s="27" t="s">
        <v>8</v>
      </c>
      <c r="R619" s="27" t="s">
        <v>7</v>
      </c>
      <c r="T619" s="27" t="s">
        <v>7</v>
      </c>
      <c r="U619" s="27" t="s">
        <v>8</v>
      </c>
      <c r="V619" s="27" t="s">
        <v>7</v>
      </c>
      <c r="W619" s="27" t="s">
        <v>8</v>
      </c>
      <c r="Y619" s="27" t="s">
        <v>8</v>
      </c>
      <c r="AA619" s="27" t="s">
        <v>8</v>
      </c>
      <c r="AC619" s="27" t="s">
        <v>8</v>
      </c>
      <c r="AD619" s="27" t="s">
        <v>7</v>
      </c>
      <c r="AE619" s="27" t="s">
        <v>8</v>
      </c>
      <c r="AR619" s="27" t="s">
        <v>7</v>
      </c>
      <c r="AS619" s="27" t="s">
        <v>8</v>
      </c>
      <c r="AX619" s="27" t="s">
        <v>7</v>
      </c>
      <c r="AY619" s="27" t="s">
        <v>8</v>
      </c>
      <c r="AZ619" s="27" t="s">
        <v>7</v>
      </c>
      <c r="DA619" s="27" t="s">
        <v>8</v>
      </c>
      <c r="DF619" s="27" t="s">
        <v>7</v>
      </c>
      <c r="DG619" s="27" t="s">
        <v>8</v>
      </c>
      <c r="DH619" s="27" t="s">
        <v>7</v>
      </c>
      <c r="DI619" s="27" t="s">
        <v>8</v>
      </c>
      <c r="DJ619" s="27" t="s">
        <v>7</v>
      </c>
      <c r="DK619" s="27" t="s">
        <v>8</v>
      </c>
      <c r="DL619" s="27" t="s">
        <v>7</v>
      </c>
      <c r="DM619" s="27" t="s">
        <v>8</v>
      </c>
      <c r="FD619" s="27" t="s">
        <v>7</v>
      </c>
      <c r="FE619" s="27" t="s">
        <v>8</v>
      </c>
      <c r="FF619" s="27" t="s">
        <v>7</v>
      </c>
      <c r="FG619" s="27" t="s">
        <v>8</v>
      </c>
      <c r="FV619" s="27" t="s">
        <v>7</v>
      </c>
      <c r="GE619" s="27" t="s">
        <v>8</v>
      </c>
      <c r="GF619" s="27" t="s">
        <v>7</v>
      </c>
      <c r="GO619" s="27" t="s">
        <v>8</v>
      </c>
      <c r="HJ619" s="27" t="s">
        <v>7</v>
      </c>
      <c r="HK619" s="27" t="s">
        <v>8</v>
      </c>
      <c r="HL619" s="27" t="s">
        <v>7</v>
      </c>
      <c r="HM619" s="27" t="s">
        <v>8</v>
      </c>
      <c r="HP619" s="27" t="s">
        <v>7</v>
      </c>
    </row>
    <row r="620" spans="1:253" x14ac:dyDescent="0.25">
      <c r="A620" s="7">
        <v>0.52022872893901284</v>
      </c>
      <c r="B620"/>
      <c r="C620"/>
      <c r="D620"/>
      <c r="E620"/>
      <c r="F620" s="27" t="s">
        <v>7</v>
      </c>
      <c r="I620" s="27" t="s">
        <v>8</v>
      </c>
      <c r="K620" s="27" t="s">
        <v>8</v>
      </c>
      <c r="L620" s="27" t="s">
        <v>7</v>
      </c>
      <c r="M620" s="27" t="s">
        <v>8</v>
      </c>
      <c r="N620" s="27" t="s">
        <v>7</v>
      </c>
      <c r="O620" s="27" t="s">
        <v>8</v>
      </c>
      <c r="P620" s="27" t="s">
        <v>7</v>
      </c>
      <c r="Q620" s="27" t="s">
        <v>8</v>
      </c>
      <c r="T620" s="27" t="s">
        <v>7</v>
      </c>
      <c r="U620" s="27" t="s">
        <v>8</v>
      </c>
      <c r="V620" s="27" t="s">
        <v>7</v>
      </c>
      <c r="W620" s="27" t="s">
        <v>8</v>
      </c>
      <c r="X620" s="27" t="s">
        <v>7</v>
      </c>
      <c r="Y620" s="27" t="s">
        <v>8</v>
      </c>
      <c r="Z620" s="27" t="s">
        <v>7</v>
      </c>
      <c r="AA620" s="27" t="s">
        <v>8</v>
      </c>
      <c r="AB620" s="27" t="s">
        <v>7</v>
      </c>
      <c r="AC620" s="27" t="s">
        <v>8</v>
      </c>
      <c r="AD620" s="27" t="s">
        <v>7</v>
      </c>
      <c r="AE620" s="27" t="s">
        <v>8</v>
      </c>
      <c r="AR620" s="27" t="s">
        <v>7</v>
      </c>
      <c r="AX620" s="27" t="s">
        <v>7</v>
      </c>
      <c r="AY620" s="27" t="s">
        <v>8</v>
      </c>
      <c r="AZ620" s="27" t="s">
        <v>7</v>
      </c>
      <c r="DA620" s="27" t="s">
        <v>8</v>
      </c>
      <c r="DF620" s="27" t="s">
        <v>7</v>
      </c>
      <c r="DG620" s="27" t="s">
        <v>8</v>
      </c>
      <c r="DH620" s="27" t="s">
        <v>7</v>
      </c>
      <c r="DI620" s="27" t="s">
        <v>8</v>
      </c>
      <c r="DJ620" s="27" t="s">
        <v>7</v>
      </c>
      <c r="DK620" s="27" t="s">
        <v>8</v>
      </c>
      <c r="DL620" s="27" t="s">
        <v>7</v>
      </c>
      <c r="DM620" s="27" t="s">
        <v>8</v>
      </c>
      <c r="FD620" s="27" t="s">
        <v>7</v>
      </c>
      <c r="FE620" s="27" t="s">
        <v>8</v>
      </c>
      <c r="FF620" s="27" t="s">
        <v>7</v>
      </c>
      <c r="FG620" s="27" t="s">
        <v>8</v>
      </c>
      <c r="FV620" s="27" t="s">
        <v>7</v>
      </c>
      <c r="GE620" s="27" t="s">
        <v>8</v>
      </c>
      <c r="GF620" s="27" t="s">
        <v>7</v>
      </c>
      <c r="GO620" s="27" t="s">
        <v>8</v>
      </c>
      <c r="HJ620" s="27" t="s">
        <v>7</v>
      </c>
      <c r="HK620" s="27" t="s">
        <v>8</v>
      </c>
      <c r="HL620" s="27" t="s">
        <v>7</v>
      </c>
      <c r="HM620" s="27" t="s">
        <v>8</v>
      </c>
    </row>
    <row r="621" spans="1:253" x14ac:dyDescent="0.25">
      <c r="A621" s="7">
        <v>0.51002816562648323</v>
      </c>
      <c r="B621"/>
      <c r="C621"/>
      <c r="D621"/>
      <c r="E621"/>
      <c r="F621" s="27" t="s">
        <v>7</v>
      </c>
      <c r="I621" s="27" t="s">
        <v>8</v>
      </c>
      <c r="J621" s="27" t="s">
        <v>7</v>
      </c>
      <c r="K621" s="27" t="s">
        <v>8</v>
      </c>
      <c r="L621" s="27" t="s">
        <v>7</v>
      </c>
      <c r="M621" s="27" t="s">
        <v>8</v>
      </c>
      <c r="N621" s="27" t="s">
        <v>7</v>
      </c>
      <c r="O621" s="27" t="s">
        <v>8</v>
      </c>
      <c r="P621" s="27" t="s">
        <v>7</v>
      </c>
      <c r="Q621" s="27" t="s">
        <v>8</v>
      </c>
      <c r="T621" s="27" t="s">
        <v>7</v>
      </c>
      <c r="U621" s="27" t="s">
        <v>8</v>
      </c>
      <c r="V621" s="27" t="s">
        <v>7</v>
      </c>
      <c r="W621" s="27" t="s">
        <v>8</v>
      </c>
      <c r="X621" s="27" t="s">
        <v>7</v>
      </c>
      <c r="Y621" s="27" t="s">
        <v>8</v>
      </c>
      <c r="Z621" s="27" t="s">
        <v>7</v>
      </c>
      <c r="AA621" s="27" t="s">
        <v>8</v>
      </c>
      <c r="AB621" s="27" t="s">
        <v>7</v>
      </c>
      <c r="AC621" s="27" t="s">
        <v>8</v>
      </c>
      <c r="AD621" s="27" t="s">
        <v>7</v>
      </c>
      <c r="AE621" s="27" t="s">
        <v>8</v>
      </c>
      <c r="AX621" s="27" t="s">
        <v>7</v>
      </c>
      <c r="AY621" s="27" t="s">
        <v>8</v>
      </c>
      <c r="AZ621" s="27" t="s">
        <v>7</v>
      </c>
      <c r="DA621" s="27" t="s">
        <v>8</v>
      </c>
      <c r="DF621" s="27" t="s">
        <v>7</v>
      </c>
      <c r="DG621" s="27" t="s">
        <v>8</v>
      </c>
      <c r="DH621" s="27" t="s">
        <v>7</v>
      </c>
      <c r="DI621" s="27" t="s">
        <v>8</v>
      </c>
      <c r="DJ621" s="27" t="s">
        <v>7</v>
      </c>
      <c r="DK621" s="27" t="s">
        <v>8</v>
      </c>
      <c r="DL621" s="27" t="s">
        <v>7</v>
      </c>
      <c r="DM621" s="27" t="s">
        <v>8</v>
      </c>
      <c r="FD621" s="27" t="s">
        <v>7</v>
      </c>
      <c r="FE621" s="27" t="s">
        <v>8</v>
      </c>
      <c r="FF621" s="27" t="s">
        <v>7</v>
      </c>
      <c r="FG621" s="27" t="s">
        <v>8</v>
      </c>
      <c r="FV621" s="27" t="s">
        <v>7</v>
      </c>
      <c r="FW621" s="27" t="s">
        <v>8</v>
      </c>
      <c r="GA621" s="27" t="s">
        <v>8</v>
      </c>
      <c r="GE621" s="27" t="s">
        <v>8</v>
      </c>
      <c r="GF621" s="27" t="s">
        <v>7</v>
      </c>
      <c r="GG621" s="27" t="s">
        <v>8</v>
      </c>
      <c r="GO621" s="27" t="s">
        <v>8</v>
      </c>
      <c r="HJ621" s="27" t="s">
        <v>7</v>
      </c>
      <c r="HL621" s="27" t="s">
        <v>7</v>
      </c>
      <c r="HM621" s="27" t="s">
        <v>8</v>
      </c>
    </row>
    <row r="622" spans="1:253" x14ac:dyDescent="0.25">
      <c r="A622" s="7">
        <v>0.50002761335929735</v>
      </c>
      <c r="B622"/>
      <c r="C622"/>
      <c r="D622"/>
      <c r="E622"/>
      <c r="F622" s="27" t="s">
        <v>7</v>
      </c>
      <c r="I622" s="27" t="s">
        <v>8</v>
      </c>
      <c r="J622" s="27" t="s">
        <v>7</v>
      </c>
      <c r="K622" s="27" t="s">
        <v>8</v>
      </c>
      <c r="L622" s="27" t="s">
        <v>7</v>
      </c>
      <c r="N622" s="27" t="s">
        <v>7</v>
      </c>
      <c r="O622" s="27" t="s">
        <v>8</v>
      </c>
      <c r="P622" s="27" t="s">
        <v>7</v>
      </c>
      <c r="Q622" s="27" t="s">
        <v>8</v>
      </c>
      <c r="T622" s="27" t="s">
        <v>7</v>
      </c>
      <c r="V622" s="27" t="s">
        <v>7</v>
      </c>
      <c r="W622" s="27" t="s">
        <v>8</v>
      </c>
      <c r="X622" s="27" t="s">
        <v>7</v>
      </c>
      <c r="Y622" s="27" t="s">
        <v>8</v>
      </c>
      <c r="Z622" s="27" t="s">
        <v>7</v>
      </c>
      <c r="AA622" s="27" t="s">
        <v>8</v>
      </c>
      <c r="AB622" s="27" t="s">
        <v>7</v>
      </c>
      <c r="AD622" s="27" t="s">
        <v>7</v>
      </c>
      <c r="AE622" s="27" t="s">
        <v>8</v>
      </c>
      <c r="AX622" s="27" t="s">
        <v>7</v>
      </c>
      <c r="AY622" s="27" t="s">
        <v>8</v>
      </c>
      <c r="AZ622" s="27" t="s">
        <v>7</v>
      </c>
      <c r="DA622" s="27" t="s">
        <v>8</v>
      </c>
      <c r="DF622" s="27" t="s">
        <v>7</v>
      </c>
      <c r="DG622" s="27" t="s">
        <v>8</v>
      </c>
      <c r="DH622" s="27" t="s">
        <v>7</v>
      </c>
      <c r="DI622" s="27" t="s">
        <v>8</v>
      </c>
      <c r="DJ622" s="27" t="s">
        <v>7</v>
      </c>
      <c r="DL622" s="27" t="s">
        <v>7</v>
      </c>
      <c r="DM622" s="27" t="s">
        <v>8</v>
      </c>
      <c r="FD622" s="27" t="s">
        <v>7</v>
      </c>
      <c r="FE622" s="27" t="s">
        <v>8</v>
      </c>
      <c r="FF622" s="27" t="s">
        <v>7</v>
      </c>
      <c r="FG622" s="27" t="s">
        <v>8</v>
      </c>
      <c r="FV622" s="27" t="s">
        <v>7</v>
      </c>
      <c r="FW622" s="27" t="s">
        <v>8</v>
      </c>
      <c r="FX622" s="27" t="s">
        <v>7</v>
      </c>
      <c r="GA622" s="27" t="s">
        <v>8</v>
      </c>
      <c r="GB622" s="27" t="s">
        <v>7</v>
      </c>
      <c r="GE622" s="27" t="s">
        <v>8</v>
      </c>
      <c r="GF622" s="27" t="s">
        <v>7</v>
      </c>
      <c r="GG622" s="27" t="s">
        <v>8</v>
      </c>
      <c r="GH622" s="27" t="s">
        <v>7</v>
      </c>
      <c r="GM622" s="27" t="s">
        <v>8</v>
      </c>
      <c r="GO622" s="27" t="s">
        <v>8</v>
      </c>
      <c r="HL622" s="27" t="s">
        <v>7</v>
      </c>
      <c r="HM622" s="27" t="s">
        <v>8</v>
      </c>
    </row>
    <row r="623" spans="1:253" x14ac:dyDescent="0.25">
      <c r="A623" s="7">
        <v>0.49022315035225228</v>
      </c>
      <c r="B623"/>
      <c r="C623"/>
      <c r="D623"/>
      <c r="E623"/>
      <c r="F623" s="27" t="s">
        <v>7</v>
      </c>
      <c r="G623" s="27" t="s">
        <v>8</v>
      </c>
      <c r="I623" s="27" t="s">
        <v>8</v>
      </c>
      <c r="J623" s="27" t="s">
        <v>7</v>
      </c>
      <c r="K623" s="27" t="s">
        <v>8</v>
      </c>
      <c r="N623" s="27" t="s">
        <v>7</v>
      </c>
      <c r="P623" s="27" t="s">
        <v>7</v>
      </c>
      <c r="Q623" s="27" t="s">
        <v>8</v>
      </c>
      <c r="V623" s="27" t="s">
        <v>7</v>
      </c>
      <c r="W623" s="27" t="s">
        <v>8</v>
      </c>
      <c r="X623" s="27" t="s">
        <v>7</v>
      </c>
      <c r="Z623" s="27" t="s">
        <v>7</v>
      </c>
      <c r="AD623" s="27" t="s">
        <v>7</v>
      </c>
      <c r="AX623" s="27" t="s">
        <v>7</v>
      </c>
      <c r="AY623" s="27" t="s">
        <v>8</v>
      </c>
      <c r="AZ623" s="27" t="s">
        <v>7</v>
      </c>
      <c r="DA623" s="27" t="s">
        <v>8</v>
      </c>
      <c r="DF623" s="27" t="s">
        <v>7</v>
      </c>
      <c r="DG623" s="27" t="s">
        <v>8</v>
      </c>
      <c r="DH623" s="27" t="s">
        <v>7</v>
      </c>
      <c r="DI623" s="27" t="s">
        <v>8</v>
      </c>
      <c r="DL623" s="27" t="s">
        <v>7</v>
      </c>
      <c r="FD623" s="27" t="s">
        <v>7</v>
      </c>
      <c r="FF623" s="27" t="s">
        <v>7</v>
      </c>
      <c r="FG623" s="27" t="s">
        <v>8</v>
      </c>
      <c r="FV623" s="27" t="s">
        <v>7</v>
      </c>
      <c r="FW623" s="27" t="s">
        <v>8</v>
      </c>
      <c r="FX623" s="27" t="s">
        <v>7</v>
      </c>
      <c r="FY623" s="27" t="s">
        <v>8</v>
      </c>
      <c r="GA623" s="27" t="s">
        <v>8</v>
      </c>
      <c r="GB623" s="27" t="s">
        <v>7</v>
      </c>
      <c r="GE623" s="27" t="s">
        <v>8</v>
      </c>
      <c r="GF623" s="27" t="s">
        <v>7</v>
      </c>
      <c r="GG623" s="27" t="s">
        <v>8</v>
      </c>
      <c r="GH623" s="27" t="s">
        <v>7</v>
      </c>
      <c r="GM623" s="27" t="s">
        <v>8</v>
      </c>
      <c r="GN623" s="27" t="s">
        <v>7</v>
      </c>
      <c r="GO623" s="27" t="s">
        <v>8</v>
      </c>
      <c r="HL623" s="27" t="s">
        <v>7</v>
      </c>
    </row>
    <row r="624" spans="1:253" x14ac:dyDescent="0.25">
      <c r="A624" s="7">
        <v>0.48061093171789437</v>
      </c>
      <c r="B624"/>
      <c r="C624"/>
      <c r="D624"/>
      <c r="E624"/>
      <c r="F624" s="27" t="s">
        <v>7</v>
      </c>
      <c r="G624" s="27" t="s">
        <v>8</v>
      </c>
      <c r="H624" s="27" t="s">
        <v>7</v>
      </c>
      <c r="I624" s="27" t="s">
        <v>8</v>
      </c>
      <c r="J624" s="27" t="s">
        <v>7</v>
      </c>
      <c r="K624" s="27" t="s">
        <v>8</v>
      </c>
      <c r="P624" s="27" t="s">
        <v>7</v>
      </c>
      <c r="Q624" s="27" t="s">
        <v>8</v>
      </c>
      <c r="V624" s="27" t="s">
        <v>7</v>
      </c>
      <c r="W624" s="27" t="s">
        <v>8</v>
      </c>
      <c r="AX624" s="27" t="s">
        <v>7</v>
      </c>
      <c r="AY624" s="27" t="s">
        <v>8</v>
      </c>
      <c r="AZ624" s="27" t="s">
        <v>7</v>
      </c>
      <c r="BK624" s="27" t="s">
        <v>8</v>
      </c>
      <c r="DA624" s="27" t="s">
        <v>8</v>
      </c>
      <c r="DF624" s="27" t="s">
        <v>7</v>
      </c>
      <c r="DG624" s="27" t="s">
        <v>8</v>
      </c>
      <c r="DH624" s="27" t="s">
        <v>7</v>
      </c>
      <c r="DI624" s="27" t="s">
        <v>8</v>
      </c>
      <c r="FF624" s="27" t="s">
        <v>7</v>
      </c>
      <c r="FG624" s="27" t="s">
        <v>8</v>
      </c>
      <c r="FV624" s="27" t="s">
        <v>7</v>
      </c>
      <c r="FW624" s="27" t="s">
        <v>8</v>
      </c>
      <c r="FX624" s="27" t="s">
        <v>7</v>
      </c>
      <c r="FY624" s="27" t="s">
        <v>8</v>
      </c>
      <c r="FZ624" s="27" t="s">
        <v>7</v>
      </c>
      <c r="GA624" s="27" t="s">
        <v>8</v>
      </c>
      <c r="GB624" s="27" t="s">
        <v>7</v>
      </c>
      <c r="GE624" s="27" t="s">
        <v>8</v>
      </c>
      <c r="GF624" s="27" t="s">
        <v>7</v>
      </c>
      <c r="GG624" s="27" t="s">
        <v>8</v>
      </c>
      <c r="GH624" s="27" t="s">
        <v>7</v>
      </c>
      <c r="GI624" s="27" t="s">
        <v>8</v>
      </c>
      <c r="GK624" s="27" t="s">
        <v>8</v>
      </c>
      <c r="GM624" s="27" t="s">
        <v>8</v>
      </c>
      <c r="GN624" s="27" t="s">
        <v>7</v>
      </c>
      <c r="GO624" s="27" t="s">
        <v>8</v>
      </c>
    </row>
    <row r="625" spans="1:197" x14ac:dyDescent="0.25">
      <c r="A625" s="7">
        <v>0.47118718795871994</v>
      </c>
      <c r="B625"/>
      <c r="C625"/>
      <c r="D625"/>
      <c r="E625"/>
      <c r="F625" s="27" t="s">
        <v>7</v>
      </c>
      <c r="G625" s="27" t="s">
        <v>8</v>
      </c>
      <c r="H625" s="27" t="s">
        <v>7</v>
      </c>
      <c r="I625" s="27" t="s">
        <v>8</v>
      </c>
      <c r="J625" s="27" t="s">
        <v>7</v>
      </c>
      <c r="K625" s="27" t="s">
        <v>8</v>
      </c>
      <c r="P625" s="27" t="s">
        <v>7</v>
      </c>
      <c r="Q625" s="27" t="s">
        <v>8</v>
      </c>
      <c r="V625" s="27" t="s">
        <v>7</v>
      </c>
      <c r="AX625" s="27" t="s">
        <v>7</v>
      </c>
      <c r="AY625" s="27" t="s">
        <v>8</v>
      </c>
      <c r="AZ625" s="27" t="s">
        <v>7</v>
      </c>
      <c r="BK625" s="27" t="s">
        <v>8</v>
      </c>
      <c r="BL625" s="27" t="s">
        <v>7</v>
      </c>
      <c r="CW625" s="27" t="s">
        <v>8</v>
      </c>
      <c r="DA625" s="27" t="s">
        <v>8</v>
      </c>
      <c r="DF625" s="27" t="s">
        <v>7</v>
      </c>
      <c r="DG625" s="27" t="s">
        <v>8</v>
      </c>
      <c r="DH625" s="27" t="s">
        <v>7</v>
      </c>
      <c r="DI625" s="27" t="s">
        <v>8</v>
      </c>
      <c r="FF625" s="27" t="s">
        <v>7</v>
      </c>
      <c r="FV625" s="27" t="s">
        <v>7</v>
      </c>
      <c r="FW625" s="27" t="s">
        <v>8</v>
      </c>
      <c r="FX625" s="27" t="s">
        <v>7</v>
      </c>
      <c r="FY625" s="27" t="s">
        <v>8</v>
      </c>
      <c r="FZ625" s="27" t="s">
        <v>7</v>
      </c>
      <c r="GA625" s="27" t="s">
        <v>8</v>
      </c>
      <c r="GB625" s="27" t="s">
        <v>7</v>
      </c>
      <c r="GC625" s="27" t="s">
        <v>8</v>
      </c>
      <c r="GE625" s="27" t="s">
        <v>8</v>
      </c>
      <c r="GF625" s="27" t="s">
        <v>7</v>
      </c>
      <c r="GG625" s="27" t="s">
        <v>8</v>
      </c>
      <c r="GH625" s="27" t="s">
        <v>7</v>
      </c>
      <c r="GI625" s="27" t="s">
        <v>8</v>
      </c>
      <c r="GJ625" s="27" t="s">
        <v>7</v>
      </c>
      <c r="GK625" s="27" t="s">
        <v>8</v>
      </c>
      <c r="GL625" s="27" t="s">
        <v>7</v>
      </c>
      <c r="GM625" s="27" t="s">
        <v>8</v>
      </c>
      <c r="GN625" s="27" t="s">
        <v>7</v>
      </c>
      <c r="GO625" s="27" t="s">
        <v>8</v>
      </c>
    </row>
    <row r="626" spans="1:197" x14ac:dyDescent="0.25">
      <c r="A626" s="7">
        <v>0.46194822348894116</v>
      </c>
      <c r="B626"/>
      <c r="C626"/>
      <c r="D626"/>
      <c r="E626"/>
      <c r="F626" s="27" t="s">
        <v>7</v>
      </c>
      <c r="G626" s="27" t="s">
        <v>8</v>
      </c>
      <c r="H626" s="27" t="s">
        <v>7</v>
      </c>
      <c r="I626" s="27" t="s">
        <v>8</v>
      </c>
      <c r="J626" s="27" t="s">
        <v>7</v>
      </c>
      <c r="P626" s="27" t="s">
        <v>7</v>
      </c>
      <c r="Q626" s="27" t="s">
        <v>8</v>
      </c>
      <c r="AX626" s="27" t="s">
        <v>7</v>
      </c>
      <c r="AY626" s="27" t="s">
        <v>8</v>
      </c>
      <c r="AZ626" s="27" t="s">
        <v>7</v>
      </c>
      <c r="BE626" s="27" t="s">
        <v>8</v>
      </c>
      <c r="BK626" s="27" t="s">
        <v>8</v>
      </c>
      <c r="BL626" s="27" t="s">
        <v>7</v>
      </c>
      <c r="CW626" s="27" t="s">
        <v>8</v>
      </c>
      <c r="CX626" s="27" t="s">
        <v>7</v>
      </c>
      <c r="DA626" s="27" t="s">
        <v>8</v>
      </c>
      <c r="DF626" s="27" t="s">
        <v>7</v>
      </c>
      <c r="DG626" s="27" t="s">
        <v>8</v>
      </c>
      <c r="DH626" s="27" t="s">
        <v>7</v>
      </c>
      <c r="DI626" s="27" t="s">
        <v>8</v>
      </c>
      <c r="FV626" s="27" t="s">
        <v>7</v>
      </c>
      <c r="FW626" s="27" t="s">
        <v>8</v>
      </c>
      <c r="FX626" s="27" t="s">
        <v>7</v>
      </c>
      <c r="FY626" s="27" t="s">
        <v>8</v>
      </c>
      <c r="FZ626" s="27" t="s">
        <v>7</v>
      </c>
      <c r="GA626" s="27" t="s">
        <v>8</v>
      </c>
      <c r="GB626" s="27" t="s">
        <v>7</v>
      </c>
      <c r="GC626" s="27" t="s">
        <v>8</v>
      </c>
      <c r="GD626" s="27" t="s">
        <v>7</v>
      </c>
      <c r="GE626" s="27" t="s">
        <v>8</v>
      </c>
      <c r="GF626" s="27" t="s">
        <v>7</v>
      </c>
      <c r="GG626" s="27" t="s">
        <v>8</v>
      </c>
      <c r="GH626" s="27" t="s">
        <v>7</v>
      </c>
      <c r="GI626" s="27" t="s">
        <v>8</v>
      </c>
      <c r="GJ626" s="27" t="s">
        <v>7</v>
      </c>
      <c r="GK626" s="27" t="s">
        <v>8</v>
      </c>
      <c r="GL626" s="27" t="s">
        <v>7</v>
      </c>
      <c r="GM626" s="27" t="s">
        <v>8</v>
      </c>
      <c r="GN626" s="27" t="s">
        <v>7</v>
      </c>
      <c r="GO626" s="27" t="s">
        <v>8</v>
      </c>
    </row>
    <row r="627" spans="1:197" x14ac:dyDescent="0.25">
      <c r="A627" s="7">
        <v>0.45289041518523643</v>
      </c>
      <c r="B627"/>
      <c r="C627"/>
      <c r="D627"/>
      <c r="E627"/>
      <c r="F627" s="27" t="s">
        <v>7</v>
      </c>
      <c r="H627" s="27" t="s">
        <v>7</v>
      </c>
      <c r="P627" s="27" t="s">
        <v>7</v>
      </c>
      <c r="Q627" s="27" t="s">
        <v>8</v>
      </c>
      <c r="AX627" s="27" t="s">
        <v>7</v>
      </c>
      <c r="AY627" s="27" t="s">
        <v>8</v>
      </c>
      <c r="AZ627" s="27" t="s">
        <v>7</v>
      </c>
      <c r="BA627" s="27" t="s">
        <v>8</v>
      </c>
      <c r="BE627" s="27" t="s">
        <v>8</v>
      </c>
      <c r="BF627" s="27" t="s">
        <v>7</v>
      </c>
      <c r="BK627" s="27" t="s">
        <v>8</v>
      </c>
      <c r="BL627" s="27" t="s">
        <v>7</v>
      </c>
      <c r="CI627" s="27" t="s">
        <v>8</v>
      </c>
      <c r="CW627" s="27" t="s">
        <v>8</v>
      </c>
      <c r="CX627" s="27" t="s">
        <v>7</v>
      </c>
      <c r="CY627" s="27" t="s">
        <v>8</v>
      </c>
      <c r="DA627" s="27" t="s">
        <v>8</v>
      </c>
      <c r="DF627" s="27" t="s">
        <v>7</v>
      </c>
      <c r="DG627" s="27" t="s">
        <v>8</v>
      </c>
      <c r="DH627" s="27" t="s">
        <v>7</v>
      </c>
      <c r="FV627" s="27" t="s">
        <v>7</v>
      </c>
      <c r="FW627" s="27" t="s">
        <v>8</v>
      </c>
      <c r="FX627" s="27" t="s">
        <v>7</v>
      </c>
      <c r="FY627" s="27" t="s">
        <v>8</v>
      </c>
      <c r="FZ627" s="27" t="s">
        <v>7</v>
      </c>
      <c r="GA627" s="27" t="s">
        <v>8</v>
      </c>
      <c r="GB627" s="27" t="s">
        <v>7</v>
      </c>
      <c r="GC627" s="27" t="s">
        <v>8</v>
      </c>
      <c r="GD627" s="27" t="s">
        <v>7</v>
      </c>
      <c r="GE627" s="27" t="s">
        <v>8</v>
      </c>
      <c r="GF627" s="27" t="s">
        <v>7</v>
      </c>
      <c r="GG627" s="27" t="s">
        <v>8</v>
      </c>
      <c r="GH627" s="27" t="s">
        <v>7</v>
      </c>
      <c r="GI627" s="27" t="s">
        <v>8</v>
      </c>
      <c r="GJ627" s="27" t="s">
        <v>7</v>
      </c>
      <c r="GK627" s="27" t="s">
        <v>8</v>
      </c>
      <c r="GL627" s="27" t="s">
        <v>7</v>
      </c>
      <c r="GN627" s="27" t="s">
        <v>7</v>
      </c>
    </row>
    <row r="628" spans="1:197" x14ac:dyDescent="0.25">
      <c r="A628" s="7">
        <v>0.44401021096591808</v>
      </c>
      <c r="B628"/>
      <c r="C628"/>
      <c r="D628"/>
      <c r="E628"/>
      <c r="P628" s="27" t="s">
        <v>7</v>
      </c>
      <c r="Q628" s="27" t="s">
        <v>8</v>
      </c>
      <c r="AX628" s="27" t="s">
        <v>7</v>
      </c>
      <c r="AY628" s="27" t="s">
        <v>8</v>
      </c>
      <c r="AZ628" s="27" t="s">
        <v>7</v>
      </c>
      <c r="BA628" s="27" t="s">
        <v>8</v>
      </c>
      <c r="BB628" s="27" t="s">
        <v>7</v>
      </c>
      <c r="BC628" s="27" t="s">
        <v>8</v>
      </c>
      <c r="BE628" s="27" t="s">
        <v>8</v>
      </c>
      <c r="BF628" s="27" t="s">
        <v>7</v>
      </c>
      <c r="BK628" s="27" t="s">
        <v>8</v>
      </c>
      <c r="BL628" s="27" t="s">
        <v>7</v>
      </c>
      <c r="CI628" s="27" t="s">
        <v>8</v>
      </c>
      <c r="CJ628" s="27" t="s">
        <v>7</v>
      </c>
      <c r="CU628" s="27" t="s">
        <v>8</v>
      </c>
      <c r="CW628" s="27" t="s">
        <v>8</v>
      </c>
      <c r="CX628" s="27" t="s">
        <v>7</v>
      </c>
      <c r="CY628" s="27" t="s">
        <v>8</v>
      </c>
      <c r="CZ628" s="27" t="s">
        <v>7</v>
      </c>
      <c r="DA628" s="27" t="s">
        <v>8</v>
      </c>
      <c r="DF628" s="27" t="s">
        <v>7</v>
      </c>
      <c r="FV628" s="27" t="s">
        <v>7</v>
      </c>
      <c r="FW628" s="27" t="s">
        <v>8</v>
      </c>
      <c r="FX628" s="27" t="s">
        <v>7</v>
      </c>
      <c r="FY628" s="27" t="s">
        <v>8</v>
      </c>
      <c r="FZ628" s="27" t="s">
        <v>7</v>
      </c>
      <c r="GA628" s="27" t="s">
        <v>8</v>
      </c>
      <c r="GB628" s="27" t="s">
        <v>7</v>
      </c>
      <c r="GD628" s="27" t="s">
        <v>7</v>
      </c>
      <c r="GE628" s="27" t="s">
        <v>8</v>
      </c>
      <c r="GF628" s="27" t="s">
        <v>7</v>
      </c>
      <c r="GG628" s="27" t="s">
        <v>8</v>
      </c>
      <c r="GH628" s="27" t="s">
        <v>7</v>
      </c>
      <c r="GI628" s="27" t="s">
        <v>8</v>
      </c>
      <c r="GJ628" s="27" t="s">
        <v>7</v>
      </c>
      <c r="GK628" s="27" t="s">
        <v>8</v>
      </c>
    </row>
    <row r="629" spans="1:197" x14ac:dyDescent="0.25">
      <c r="A629" s="7">
        <v>0.4353041283979589</v>
      </c>
      <c r="B629"/>
      <c r="C629"/>
      <c r="D629"/>
      <c r="E629"/>
      <c r="P629" s="27" t="s">
        <v>7</v>
      </c>
      <c r="Q629" s="27" t="s">
        <v>8</v>
      </c>
      <c r="AX629" s="27" t="s">
        <v>7</v>
      </c>
      <c r="AZ629" s="27" t="s">
        <v>7</v>
      </c>
      <c r="BA629" s="27" t="s">
        <v>8</v>
      </c>
      <c r="BB629" s="27" t="s">
        <v>7</v>
      </c>
      <c r="BC629" s="27" t="s">
        <v>8</v>
      </c>
      <c r="BD629" s="27" t="s">
        <v>7</v>
      </c>
      <c r="BE629" s="27" t="s">
        <v>8</v>
      </c>
      <c r="BF629" s="27" t="s">
        <v>7</v>
      </c>
      <c r="BK629" s="27" t="s">
        <v>8</v>
      </c>
      <c r="BL629" s="27" t="s">
        <v>7</v>
      </c>
      <c r="BM629" s="27" t="s">
        <v>8</v>
      </c>
      <c r="BU629" s="27" t="s">
        <v>8</v>
      </c>
      <c r="CI629" s="27" t="s">
        <v>8</v>
      </c>
      <c r="CJ629" s="27" t="s">
        <v>7</v>
      </c>
      <c r="CU629" s="27" t="s">
        <v>8</v>
      </c>
      <c r="CV629" s="27" t="s">
        <v>7</v>
      </c>
      <c r="CW629" s="27" t="s">
        <v>8</v>
      </c>
      <c r="CX629" s="27" t="s">
        <v>7</v>
      </c>
      <c r="CY629" s="27" t="s">
        <v>8</v>
      </c>
      <c r="CZ629" s="27" t="s">
        <v>7</v>
      </c>
      <c r="DA629" s="27" t="s">
        <v>8</v>
      </c>
      <c r="FV629" s="27" t="s">
        <v>7</v>
      </c>
      <c r="FW629" s="27" t="s">
        <v>8</v>
      </c>
      <c r="FX629" s="27" t="s">
        <v>7</v>
      </c>
      <c r="FY629" s="27" t="s">
        <v>8</v>
      </c>
      <c r="FZ629" s="27" t="s">
        <v>7</v>
      </c>
      <c r="GA629" s="27" t="s">
        <v>8</v>
      </c>
      <c r="GD629" s="27" t="s">
        <v>7</v>
      </c>
      <c r="GE629" s="27" t="s">
        <v>8</v>
      </c>
      <c r="GF629" s="27" t="s">
        <v>7</v>
      </c>
      <c r="GG629" s="27" t="s">
        <v>8</v>
      </c>
      <c r="GH629" s="27" t="s">
        <v>7</v>
      </c>
      <c r="GI629" s="27" t="s">
        <v>8</v>
      </c>
      <c r="GJ629" s="27" t="s">
        <v>7</v>
      </c>
    </row>
    <row r="630" spans="1:197" x14ac:dyDescent="0.25">
      <c r="A630" s="7">
        <v>0.4267687533313323</v>
      </c>
      <c r="B630"/>
      <c r="C630"/>
      <c r="D630"/>
      <c r="E630"/>
      <c r="P630" s="27" t="s">
        <v>7</v>
      </c>
      <c r="Q630" s="27" t="s">
        <v>8</v>
      </c>
      <c r="AZ630" s="27" t="s">
        <v>7</v>
      </c>
      <c r="BA630" s="27" t="s">
        <v>8</v>
      </c>
      <c r="BB630" s="27" t="s">
        <v>7</v>
      </c>
      <c r="BC630" s="27" t="s">
        <v>8</v>
      </c>
      <c r="BD630" s="27" t="s">
        <v>7</v>
      </c>
      <c r="BE630" s="27" t="s">
        <v>8</v>
      </c>
      <c r="BF630" s="27" t="s">
        <v>7</v>
      </c>
      <c r="BK630" s="27" t="s">
        <v>8</v>
      </c>
      <c r="BL630" s="27" t="s">
        <v>7</v>
      </c>
      <c r="BM630" s="27" t="s">
        <v>8</v>
      </c>
      <c r="BN630" s="27" t="s">
        <v>7</v>
      </c>
      <c r="BU630" s="27" t="s">
        <v>8</v>
      </c>
      <c r="BV630" s="27" t="s">
        <v>7</v>
      </c>
      <c r="CI630" s="27" t="s">
        <v>8</v>
      </c>
      <c r="CJ630" s="27" t="s">
        <v>7</v>
      </c>
      <c r="CU630" s="27" t="s">
        <v>8</v>
      </c>
      <c r="CV630" s="27" t="s">
        <v>7</v>
      </c>
      <c r="CW630" s="27" t="s">
        <v>8</v>
      </c>
      <c r="CX630" s="27" t="s">
        <v>7</v>
      </c>
      <c r="CY630" s="27" t="s">
        <v>8</v>
      </c>
      <c r="CZ630" s="27" t="s">
        <v>7</v>
      </c>
      <c r="DA630" s="27" t="s">
        <v>8</v>
      </c>
      <c r="FV630" s="27" t="s">
        <v>7</v>
      </c>
      <c r="FW630" s="27" t="s">
        <v>8</v>
      </c>
      <c r="FX630" s="27" t="s">
        <v>7</v>
      </c>
      <c r="FY630" s="27" t="s">
        <v>8</v>
      </c>
      <c r="FZ630" s="27" t="s">
        <v>7</v>
      </c>
      <c r="GA630" s="27" t="s">
        <v>8</v>
      </c>
      <c r="GD630" s="27" t="s">
        <v>7</v>
      </c>
      <c r="GE630" s="27" t="s">
        <v>8</v>
      </c>
      <c r="GF630" s="27" t="s">
        <v>7</v>
      </c>
      <c r="GH630" s="27" t="s">
        <v>7</v>
      </c>
      <c r="GI630" s="27" t="s">
        <v>8</v>
      </c>
    </row>
    <row r="631" spans="1:197" x14ac:dyDescent="0.25">
      <c r="A631" s="7">
        <v>0.41840073856012971</v>
      </c>
      <c r="B631"/>
      <c r="C631"/>
      <c r="D631"/>
      <c r="E631"/>
      <c r="P631" s="27" t="s">
        <v>7</v>
      </c>
      <c r="Q631" s="27" t="s">
        <v>8</v>
      </c>
      <c r="AZ631" s="27" t="s">
        <v>7</v>
      </c>
      <c r="BA631" s="27" t="s">
        <v>8</v>
      </c>
      <c r="BB631" s="27" t="s">
        <v>7</v>
      </c>
      <c r="BC631" s="27" t="s">
        <v>8</v>
      </c>
      <c r="BD631" s="27" t="s">
        <v>7</v>
      </c>
      <c r="BE631" s="27" t="s">
        <v>8</v>
      </c>
      <c r="BF631" s="27" t="s">
        <v>7</v>
      </c>
      <c r="BK631" s="27" t="s">
        <v>8</v>
      </c>
      <c r="BL631" s="27" t="s">
        <v>7</v>
      </c>
      <c r="BM631" s="27" t="s">
        <v>8</v>
      </c>
      <c r="BN631" s="27" t="s">
        <v>7</v>
      </c>
      <c r="BO631" s="27" t="s">
        <v>8</v>
      </c>
      <c r="BU631" s="27" t="s">
        <v>8</v>
      </c>
      <c r="BV631" s="27" t="s">
        <v>7</v>
      </c>
      <c r="CI631" s="27" t="s">
        <v>8</v>
      </c>
      <c r="CJ631" s="27" t="s">
        <v>7</v>
      </c>
      <c r="CU631" s="27" t="s">
        <v>8</v>
      </c>
      <c r="CV631" s="27" t="s">
        <v>7</v>
      </c>
      <c r="CW631" s="27" t="s">
        <v>8</v>
      </c>
      <c r="CX631" s="27" t="s">
        <v>7</v>
      </c>
      <c r="CY631" s="27" t="s">
        <v>8</v>
      </c>
      <c r="CZ631" s="27" t="s">
        <v>7</v>
      </c>
      <c r="DA631" s="27" t="s">
        <v>8</v>
      </c>
      <c r="FV631" s="27" t="s">
        <v>7</v>
      </c>
      <c r="FW631" s="27" t="s">
        <v>8</v>
      </c>
      <c r="FX631" s="27" t="s">
        <v>7</v>
      </c>
      <c r="FY631" s="27" t="s">
        <v>8</v>
      </c>
      <c r="FZ631" s="27" t="s">
        <v>7</v>
      </c>
      <c r="GD631" s="27" t="s">
        <v>7</v>
      </c>
      <c r="GH631" s="27" t="s">
        <v>7</v>
      </c>
      <c r="GI631" s="27" t="s">
        <v>8</v>
      </c>
    </row>
    <row r="632" spans="1:197" x14ac:dyDescent="0.25">
      <c r="A632" s="7">
        <v>0.41019680250993112</v>
      </c>
      <c r="B632"/>
      <c r="C632"/>
      <c r="D632"/>
      <c r="E632"/>
      <c r="P632" s="27" t="s">
        <v>7</v>
      </c>
      <c r="Q632" s="27" t="s">
        <v>8</v>
      </c>
      <c r="AZ632" s="27" t="s">
        <v>7</v>
      </c>
      <c r="BA632" s="27" t="s">
        <v>8</v>
      </c>
      <c r="BB632" s="27" t="s">
        <v>7</v>
      </c>
      <c r="BD632" s="27" t="s">
        <v>7</v>
      </c>
      <c r="BE632" s="27" t="s">
        <v>8</v>
      </c>
      <c r="BF632" s="27" t="s">
        <v>7</v>
      </c>
      <c r="BK632" s="27" t="s">
        <v>8</v>
      </c>
      <c r="BL632" s="27" t="s">
        <v>7</v>
      </c>
      <c r="BM632" s="27" t="s">
        <v>8</v>
      </c>
      <c r="BN632" s="27" t="s">
        <v>7</v>
      </c>
      <c r="BO632" s="27" t="s">
        <v>8</v>
      </c>
      <c r="BP632" s="27" t="s">
        <v>7</v>
      </c>
      <c r="BQ632" s="27" t="s">
        <v>8</v>
      </c>
      <c r="BS632" s="27" t="s">
        <v>8</v>
      </c>
      <c r="BU632" s="27" t="s">
        <v>8</v>
      </c>
      <c r="BV632" s="27" t="s">
        <v>7</v>
      </c>
      <c r="BW632" s="27" t="s">
        <v>8</v>
      </c>
      <c r="CI632" s="27" t="s">
        <v>8</v>
      </c>
      <c r="CJ632" s="27" t="s">
        <v>7</v>
      </c>
      <c r="CU632" s="27" t="s">
        <v>8</v>
      </c>
      <c r="CV632" s="27" t="s">
        <v>7</v>
      </c>
      <c r="CW632" s="27" t="s">
        <v>8</v>
      </c>
      <c r="CX632" s="27" t="s">
        <v>7</v>
      </c>
      <c r="CZ632" s="27" t="s">
        <v>7</v>
      </c>
      <c r="DA632" s="27" t="s">
        <v>8</v>
      </c>
      <c r="FV632" s="27" t="s">
        <v>7</v>
      </c>
      <c r="FW632" s="27" t="s">
        <v>8</v>
      </c>
      <c r="FX632" s="27" t="s">
        <v>7</v>
      </c>
      <c r="GH632" s="18" t="s">
        <v>7</v>
      </c>
      <c r="GI632" s="27" t="s">
        <v>8</v>
      </c>
    </row>
    <row r="633" spans="1:197" x14ac:dyDescent="0.25">
      <c r="A633" s="7">
        <v>0.40215372795091286</v>
      </c>
      <c r="B633"/>
      <c r="C633"/>
      <c r="D633"/>
      <c r="E633"/>
      <c r="P633" s="27" t="s">
        <v>7</v>
      </c>
      <c r="Q633" s="27" t="s">
        <v>8</v>
      </c>
      <c r="AZ633" s="27" t="s">
        <v>7</v>
      </c>
      <c r="BD633" s="27" t="s">
        <v>7</v>
      </c>
      <c r="BE633" s="27" t="s">
        <v>8</v>
      </c>
      <c r="BF633" s="27" t="s">
        <v>7</v>
      </c>
      <c r="BK633" s="27" t="s">
        <v>8</v>
      </c>
      <c r="BL633" s="27" t="s">
        <v>7</v>
      </c>
      <c r="BM633" s="27" t="s">
        <v>8</v>
      </c>
      <c r="BN633" s="27" t="s">
        <v>7</v>
      </c>
      <c r="BO633" s="27" t="s">
        <v>8</v>
      </c>
      <c r="BP633" s="27" t="s">
        <v>7</v>
      </c>
      <c r="BQ633" s="27" t="s">
        <v>8</v>
      </c>
      <c r="BR633" s="27" t="s">
        <v>7</v>
      </c>
      <c r="BS633" s="27" t="s">
        <v>8</v>
      </c>
      <c r="BT633" s="27" t="s">
        <v>7</v>
      </c>
      <c r="BU633" s="27" t="s">
        <v>8</v>
      </c>
      <c r="BV633" s="27" t="s">
        <v>7</v>
      </c>
      <c r="BW633" s="27" t="s">
        <v>8</v>
      </c>
      <c r="BX633" s="27" t="s">
        <v>7</v>
      </c>
      <c r="BY633" s="27" t="s">
        <v>8</v>
      </c>
      <c r="CI633" s="27" t="s">
        <v>8</v>
      </c>
      <c r="CJ633" s="27" t="s">
        <v>7</v>
      </c>
      <c r="CU633" s="27" t="s">
        <v>8</v>
      </c>
      <c r="CV633" s="27" t="s">
        <v>7</v>
      </c>
      <c r="CW633" s="27" t="s">
        <v>8</v>
      </c>
      <c r="CZ633" s="27" t="s">
        <v>7</v>
      </c>
      <c r="DA633" s="27" t="s">
        <v>8</v>
      </c>
      <c r="FV633" s="27" t="s">
        <v>7</v>
      </c>
      <c r="FW633" s="27" t="s">
        <v>8</v>
      </c>
      <c r="GH633" s="27" t="s">
        <v>7</v>
      </c>
      <c r="GI633" s="27" t="s">
        <v>8</v>
      </c>
    </row>
    <row r="634" spans="1:197" x14ac:dyDescent="0.25">
      <c r="A634" s="7">
        <v>0.39426836073618904</v>
      </c>
      <c r="B634"/>
      <c r="C634"/>
      <c r="D634"/>
      <c r="E634"/>
      <c r="P634" s="27" t="s">
        <v>7</v>
      </c>
      <c r="Q634" s="27" t="s">
        <v>8</v>
      </c>
      <c r="BD634" s="27" t="s">
        <v>7</v>
      </c>
      <c r="BE634" s="27" t="s">
        <v>8</v>
      </c>
      <c r="BF634" s="27" t="s">
        <v>7</v>
      </c>
      <c r="BK634" s="27" t="s">
        <v>8</v>
      </c>
      <c r="BL634" s="27" t="s">
        <v>7</v>
      </c>
      <c r="BM634" s="27" t="s">
        <v>8</v>
      </c>
      <c r="BN634" s="27" t="s">
        <v>7</v>
      </c>
      <c r="BO634" s="27" t="s">
        <v>8</v>
      </c>
      <c r="BP634" s="27" t="s">
        <v>7</v>
      </c>
      <c r="BQ634" s="27" t="s">
        <v>8</v>
      </c>
      <c r="BR634" s="27" t="s">
        <v>7</v>
      </c>
      <c r="BS634" s="27" t="s">
        <v>8</v>
      </c>
      <c r="BT634" s="27" t="s">
        <v>7</v>
      </c>
      <c r="BU634" s="27" t="s">
        <v>8</v>
      </c>
      <c r="BV634" s="27" t="s">
        <v>7</v>
      </c>
      <c r="BW634" s="27" t="s">
        <v>8</v>
      </c>
      <c r="BX634" s="27" t="s">
        <v>7</v>
      </c>
      <c r="BY634" s="27" t="s">
        <v>8</v>
      </c>
      <c r="BZ634" s="27" t="s">
        <v>7</v>
      </c>
      <c r="CI634" s="27" t="s">
        <v>8</v>
      </c>
      <c r="CJ634" s="27" t="s">
        <v>7</v>
      </c>
      <c r="CM634" s="27" t="s">
        <v>8</v>
      </c>
      <c r="CU634" s="27" t="s">
        <v>8</v>
      </c>
      <c r="CV634" s="27" t="s">
        <v>7</v>
      </c>
      <c r="CW634" s="27" t="s">
        <v>8</v>
      </c>
      <c r="CZ634" s="27" t="s">
        <v>7</v>
      </c>
      <c r="FV634" s="27" t="s">
        <v>7</v>
      </c>
      <c r="GH634" s="27" t="s">
        <v>7</v>
      </c>
      <c r="GI634" s="27" t="s">
        <v>8</v>
      </c>
    </row>
    <row r="635" spans="1:197" x14ac:dyDescent="0.25">
      <c r="A635" s="7">
        <v>0.38653760856489122</v>
      </c>
      <c r="B635"/>
      <c r="C635"/>
      <c r="D635"/>
      <c r="E635"/>
      <c r="P635" s="27" t="s">
        <v>7</v>
      </c>
      <c r="BD635" s="27" t="s">
        <v>7</v>
      </c>
      <c r="BE635" s="27" t="s">
        <v>8</v>
      </c>
      <c r="BF635" s="27" t="s">
        <v>7</v>
      </c>
      <c r="BI635" s="27" t="s">
        <v>8</v>
      </c>
      <c r="BK635" s="27" t="s">
        <v>8</v>
      </c>
      <c r="BL635" s="27" t="s">
        <v>7</v>
      </c>
      <c r="BM635" s="27" t="s">
        <v>8</v>
      </c>
      <c r="BN635" s="27" t="s">
        <v>7</v>
      </c>
      <c r="BO635" s="27" t="s">
        <v>8</v>
      </c>
      <c r="BP635" s="27" t="s">
        <v>7</v>
      </c>
      <c r="BR635" s="27" t="s">
        <v>7</v>
      </c>
      <c r="BT635" s="27" t="s">
        <v>7</v>
      </c>
      <c r="BU635" s="27" t="s">
        <v>8</v>
      </c>
      <c r="BV635" s="27" t="s">
        <v>7</v>
      </c>
      <c r="BX635" s="27" t="s">
        <v>7</v>
      </c>
      <c r="BY635" s="27" t="s">
        <v>8</v>
      </c>
      <c r="BZ635" s="27" t="s">
        <v>7</v>
      </c>
      <c r="CI635" s="27" t="s">
        <v>8</v>
      </c>
      <c r="CJ635" s="27" t="s">
        <v>7</v>
      </c>
      <c r="CM635" s="27" t="s">
        <v>8</v>
      </c>
      <c r="CN635" s="27" t="s">
        <v>7</v>
      </c>
      <c r="CO635" s="27" t="s">
        <v>8</v>
      </c>
      <c r="CU635" s="27" t="s">
        <v>8</v>
      </c>
      <c r="CV635" s="27" t="s">
        <v>7</v>
      </c>
      <c r="CW635" s="27" t="s">
        <v>8</v>
      </c>
      <c r="GH635" s="27" t="s">
        <v>7</v>
      </c>
      <c r="GI635" s="27" t="s">
        <v>8</v>
      </c>
    </row>
    <row r="636" spans="1:197" x14ac:dyDescent="0.25">
      <c r="A636" s="7">
        <v>0.37895843976950117</v>
      </c>
      <c r="B636"/>
      <c r="C636"/>
      <c r="D636"/>
      <c r="E636"/>
      <c r="BD636" s="27" t="s">
        <v>7</v>
      </c>
      <c r="BE636" s="27" t="s">
        <v>8</v>
      </c>
      <c r="BF636" s="27" t="s">
        <v>7</v>
      </c>
      <c r="BI636" s="27" t="s">
        <v>8</v>
      </c>
      <c r="BJ636" s="27" t="s">
        <v>7</v>
      </c>
      <c r="BK636" s="27" t="s">
        <v>8</v>
      </c>
      <c r="BL636" s="27" t="s">
        <v>7</v>
      </c>
      <c r="BM636" s="27" t="s">
        <v>8</v>
      </c>
      <c r="BN636" s="27" t="s">
        <v>7</v>
      </c>
      <c r="BO636" s="27" t="s">
        <v>8</v>
      </c>
      <c r="BT636" s="27" t="s">
        <v>7</v>
      </c>
      <c r="BU636" s="27" t="s">
        <v>8</v>
      </c>
      <c r="BX636" s="27" t="s">
        <v>7</v>
      </c>
      <c r="BZ636" s="27" t="s">
        <v>7</v>
      </c>
      <c r="CI636" s="27" t="s">
        <v>8</v>
      </c>
      <c r="CJ636" s="27" t="s">
        <v>7</v>
      </c>
      <c r="CM636" s="27" t="s">
        <v>8</v>
      </c>
      <c r="CN636" s="27" t="s">
        <v>7</v>
      </c>
      <c r="CO636" s="27" t="s">
        <v>8</v>
      </c>
      <c r="CP636" s="27" t="s">
        <v>7</v>
      </c>
      <c r="CQ636" s="27" t="s">
        <v>8</v>
      </c>
      <c r="CS636" s="27" t="s">
        <v>8</v>
      </c>
      <c r="CU636" s="27" t="s">
        <v>8</v>
      </c>
      <c r="CV636" s="27" t="s">
        <v>7</v>
      </c>
      <c r="GH636" s="27" t="s">
        <v>7</v>
      </c>
      <c r="GI636" s="27" t="s">
        <v>8</v>
      </c>
    </row>
    <row r="637" spans="1:197" x14ac:dyDescent="0.25">
      <c r="A637" s="7">
        <v>0.37152788212696197</v>
      </c>
      <c r="B637"/>
      <c r="C637"/>
      <c r="D637"/>
      <c r="E637"/>
      <c r="BD637" s="27" t="s">
        <v>7</v>
      </c>
      <c r="BE637" s="27" t="s">
        <v>8</v>
      </c>
      <c r="BF637" s="27" t="s">
        <v>7</v>
      </c>
      <c r="BG637" s="27" t="s">
        <v>8</v>
      </c>
      <c r="BI637" s="27" t="s">
        <v>8</v>
      </c>
      <c r="BJ637" s="27" t="s">
        <v>7</v>
      </c>
      <c r="BK637" s="27" t="s">
        <v>8</v>
      </c>
      <c r="BL637" s="27" t="s">
        <v>7</v>
      </c>
      <c r="BM637" s="27" t="s">
        <v>8</v>
      </c>
      <c r="BN637" s="27" t="s">
        <v>7</v>
      </c>
      <c r="BT637" s="27" t="s">
        <v>7</v>
      </c>
      <c r="BZ637" s="27" t="s">
        <v>7</v>
      </c>
      <c r="CI637" s="27" t="s">
        <v>8</v>
      </c>
      <c r="CJ637" s="27" t="s">
        <v>7</v>
      </c>
      <c r="CM637" s="27" t="s">
        <v>8</v>
      </c>
      <c r="CN637" s="27" t="s">
        <v>7</v>
      </c>
      <c r="CO637" s="27" t="s">
        <v>8</v>
      </c>
      <c r="CP637" s="27" t="s">
        <v>7</v>
      </c>
      <c r="CQ637" s="27" t="s">
        <v>8</v>
      </c>
      <c r="CR637" s="27" t="s">
        <v>7</v>
      </c>
      <c r="CS637" s="27" t="s">
        <v>8</v>
      </c>
      <c r="CT637" s="27" t="s">
        <v>7</v>
      </c>
      <c r="CU637" s="27" t="s">
        <v>8</v>
      </c>
      <c r="GH637" s="27" t="s">
        <v>7</v>
      </c>
    </row>
    <row r="638" spans="1:197" x14ac:dyDescent="0.25">
      <c r="A638" s="7">
        <v>0.36424302169310002</v>
      </c>
      <c r="B638"/>
      <c r="C638"/>
      <c r="D638"/>
      <c r="E638"/>
      <c r="BD638" s="27" t="s">
        <v>7</v>
      </c>
      <c r="BE638" s="27" t="s">
        <v>8</v>
      </c>
      <c r="BF638" s="27" t="s">
        <v>7</v>
      </c>
      <c r="BG638" s="27" t="s">
        <v>8</v>
      </c>
      <c r="BH638" s="27" t="s">
        <v>7</v>
      </c>
      <c r="BI638" s="27" t="s">
        <v>8</v>
      </c>
      <c r="BJ638" s="27" t="s">
        <v>7</v>
      </c>
      <c r="BK638" s="27" t="s">
        <v>8</v>
      </c>
      <c r="BL638" s="27" t="s">
        <v>7</v>
      </c>
      <c r="BZ638" s="27" t="s">
        <v>7</v>
      </c>
      <c r="CI638" s="27" t="s">
        <v>8</v>
      </c>
      <c r="CJ638" s="27" t="s">
        <v>7</v>
      </c>
      <c r="CM638" s="27" t="s">
        <v>8</v>
      </c>
      <c r="CN638" s="27" t="s">
        <v>7</v>
      </c>
      <c r="CO638" s="27" t="s">
        <v>8</v>
      </c>
      <c r="CP638" s="27" t="s">
        <v>7</v>
      </c>
      <c r="CQ638" s="27" t="s">
        <v>8</v>
      </c>
      <c r="CR638" s="27" t="s">
        <v>7</v>
      </c>
      <c r="CS638" s="27" t="s">
        <v>8</v>
      </c>
      <c r="CT638" s="27" t="s">
        <v>7</v>
      </c>
      <c r="CU638" s="27" t="s">
        <v>8</v>
      </c>
    </row>
    <row r="639" spans="1:197" x14ac:dyDescent="0.25">
      <c r="A639" s="7">
        <v>0.35710100165990194</v>
      </c>
      <c r="B639"/>
      <c r="C639"/>
      <c r="D639"/>
      <c r="E639"/>
      <c r="BD639" s="27" t="s">
        <v>7</v>
      </c>
      <c r="BF639" s="27" t="s">
        <v>7</v>
      </c>
      <c r="BG639" s="27" t="s">
        <v>8</v>
      </c>
      <c r="BH639" s="27" t="s">
        <v>7</v>
      </c>
      <c r="BI639" s="27" t="s">
        <v>8</v>
      </c>
      <c r="BJ639" s="27" t="s">
        <v>7</v>
      </c>
      <c r="BZ639" s="27" t="s">
        <v>7</v>
      </c>
      <c r="CI639" s="27" t="s">
        <v>8</v>
      </c>
      <c r="CJ639" s="27" t="s">
        <v>7</v>
      </c>
      <c r="CK639" s="27" t="s">
        <v>8</v>
      </c>
      <c r="CM639" s="27" t="s">
        <v>8</v>
      </c>
      <c r="CN639" s="27" t="s">
        <v>7</v>
      </c>
      <c r="CO639" s="27" t="s">
        <v>8</v>
      </c>
      <c r="CP639" s="27" t="s">
        <v>7</v>
      </c>
      <c r="CQ639" s="27" t="s">
        <v>8</v>
      </c>
      <c r="CR639" s="27" t="s">
        <v>7</v>
      </c>
      <c r="CS639" s="27" t="s">
        <v>8</v>
      </c>
      <c r="CT639" s="27" t="s">
        <v>7</v>
      </c>
      <c r="CU639" s="27" t="s">
        <v>8</v>
      </c>
    </row>
    <row r="640" spans="1:197" x14ac:dyDescent="0.25">
      <c r="A640" s="7">
        <v>0.35009902123519804</v>
      </c>
      <c r="B640"/>
      <c r="C640"/>
      <c r="D640"/>
      <c r="E640"/>
      <c r="BF640" s="27" t="s">
        <v>7</v>
      </c>
      <c r="BG640" s="27" t="s">
        <v>8</v>
      </c>
      <c r="BH640" s="27" t="s">
        <v>7</v>
      </c>
      <c r="BI640" s="27" t="s">
        <v>8</v>
      </c>
      <c r="BZ640" s="27" t="s">
        <v>7</v>
      </c>
      <c r="CC640" s="27" t="s">
        <v>8</v>
      </c>
      <c r="CI640" s="27" t="s">
        <v>8</v>
      </c>
      <c r="CJ640" s="27" t="s">
        <v>7</v>
      </c>
      <c r="CK640" s="27" t="s">
        <v>8</v>
      </c>
      <c r="CL640" s="27" t="s">
        <v>7</v>
      </c>
      <c r="CM640" s="27" t="s">
        <v>8</v>
      </c>
      <c r="CN640" s="27" t="s">
        <v>7</v>
      </c>
      <c r="CP640" s="27" t="s">
        <v>7</v>
      </c>
      <c r="CQ640" s="27" t="s">
        <v>8</v>
      </c>
      <c r="CR640" s="27" t="s">
        <v>7</v>
      </c>
      <c r="CS640" s="27" t="s">
        <v>8</v>
      </c>
      <c r="CT640" s="27" t="s">
        <v>7</v>
      </c>
      <c r="CU640" s="27" t="s">
        <v>8</v>
      </c>
    </row>
    <row r="641" spans="1:98" x14ac:dyDescent="0.25">
      <c r="A641" s="7">
        <v>0.34323433454431179</v>
      </c>
      <c r="B641"/>
      <c r="C641"/>
      <c r="D641"/>
      <c r="E641"/>
      <c r="BF641" s="27" t="s">
        <v>7</v>
      </c>
      <c r="BG641" s="27" t="s">
        <v>8</v>
      </c>
      <c r="BH641" s="27" t="s">
        <v>7</v>
      </c>
      <c r="BI641" s="27" t="s">
        <v>8</v>
      </c>
      <c r="BZ641" s="27" t="s">
        <v>7</v>
      </c>
      <c r="CC641" s="27" t="s">
        <v>8</v>
      </c>
      <c r="CD641" s="27" t="s">
        <v>7</v>
      </c>
      <c r="CG641" s="27" t="s">
        <v>8</v>
      </c>
      <c r="CI641" s="27" t="s">
        <v>8</v>
      </c>
      <c r="CJ641" s="27" t="s">
        <v>7</v>
      </c>
      <c r="CK641" s="27" t="s">
        <v>8</v>
      </c>
      <c r="CL641" s="27" t="s">
        <v>7</v>
      </c>
      <c r="CM641" s="27" t="s">
        <v>8</v>
      </c>
      <c r="CP641" s="27" t="s">
        <v>7</v>
      </c>
      <c r="CQ641" s="27" t="s">
        <v>8</v>
      </c>
      <c r="CR641" s="27" t="s">
        <v>7</v>
      </c>
      <c r="CS641" s="27" t="s">
        <v>8</v>
      </c>
      <c r="CT641" s="27" t="s">
        <v>7</v>
      </c>
    </row>
    <row r="642" spans="1:98" x14ac:dyDescent="0.25">
      <c r="A642" s="7">
        <v>0.33650424955324681</v>
      </c>
      <c r="B642"/>
      <c r="C642"/>
      <c r="D642"/>
      <c r="E642"/>
      <c r="BF642" s="27" t="s">
        <v>7</v>
      </c>
      <c r="BG642" s="27" t="s">
        <v>8</v>
      </c>
      <c r="BH642" s="27" t="s">
        <v>7</v>
      </c>
      <c r="BI642" s="27" t="s">
        <v>8</v>
      </c>
      <c r="BZ642" s="27" t="s">
        <v>7</v>
      </c>
      <c r="CC642" s="27" t="s">
        <v>8</v>
      </c>
      <c r="CD642" s="27" t="s">
        <v>7</v>
      </c>
      <c r="CG642" s="27" t="s">
        <v>8</v>
      </c>
      <c r="CH642" s="27" t="s">
        <v>7</v>
      </c>
      <c r="CI642" s="27" t="s">
        <v>8</v>
      </c>
      <c r="CJ642" s="27" t="s">
        <v>7</v>
      </c>
      <c r="CK642" s="27" t="s">
        <v>8</v>
      </c>
      <c r="CL642" s="27" t="s">
        <v>7</v>
      </c>
      <c r="CM642" s="27" t="s">
        <v>8</v>
      </c>
      <c r="CP642" s="27" t="s">
        <v>7</v>
      </c>
      <c r="CQ642" s="27" t="s">
        <v>8</v>
      </c>
      <c r="CR642" s="27" t="s">
        <v>7</v>
      </c>
      <c r="CS642" s="27" t="s">
        <v>8</v>
      </c>
    </row>
    <row r="643" spans="1:98" x14ac:dyDescent="0.25">
      <c r="A643" s="7">
        <v>0.3299061270129871</v>
      </c>
      <c r="B643"/>
      <c r="C643"/>
      <c r="D643"/>
      <c r="E643"/>
      <c r="BF643" s="27" t="s">
        <v>7</v>
      </c>
      <c r="BG643" s="27" t="s">
        <v>8</v>
      </c>
      <c r="BH643" s="27" t="s">
        <v>7</v>
      </c>
      <c r="BZ643" s="27" t="s">
        <v>7</v>
      </c>
      <c r="CA643" s="27" t="s">
        <v>8</v>
      </c>
      <c r="CC643" s="27" t="s">
        <v>8</v>
      </c>
      <c r="CD643" s="27" t="s">
        <v>7</v>
      </c>
      <c r="CG643" s="27" t="s">
        <v>8</v>
      </c>
      <c r="CH643" s="27" t="s">
        <v>7</v>
      </c>
      <c r="CI643" s="27" t="s">
        <v>8</v>
      </c>
      <c r="CJ643" s="27" t="s">
        <v>7</v>
      </c>
      <c r="CK643" s="27" t="s">
        <v>8</v>
      </c>
      <c r="CL643" s="27" t="s">
        <v>7</v>
      </c>
      <c r="CM643" s="27" t="s">
        <v>8</v>
      </c>
      <c r="CP643" s="27" t="s">
        <v>7</v>
      </c>
      <c r="CQ643" s="27" t="s">
        <v>8</v>
      </c>
      <c r="CR643" s="27" t="s">
        <v>7</v>
      </c>
      <c r="CS643" s="27" t="s">
        <v>8</v>
      </c>
    </row>
    <row r="644" spans="1:98" x14ac:dyDescent="0.25">
      <c r="A644" s="7">
        <v>0.32343737942449713</v>
      </c>
      <c r="B644"/>
      <c r="C644"/>
      <c r="D644"/>
      <c r="E644"/>
      <c r="BF644" s="27" t="s">
        <v>7</v>
      </c>
      <c r="BG644" s="27" t="s">
        <v>8</v>
      </c>
      <c r="BZ644" s="27" t="s">
        <v>7</v>
      </c>
      <c r="CA644" s="27" t="s">
        <v>8</v>
      </c>
      <c r="CB644" s="27" t="s">
        <v>7</v>
      </c>
      <c r="CC644" s="27" t="s">
        <v>8</v>
      </c>
      <c r="CD644" s="27" t="s">
        <v>7</v>
      </c>
      <c r="CG644" s="27" t="s">
        <v>8</v>
      </c>
      <c r="CH644" s="27" t="s">
        <v>7</v>
      </c>
      <c r="CI644" s="27" t="s">
        <v>8</v>
      </c>
      <c r="CJ644" s="27" t="s">
        <v>7</v>
      </c>
      <c r="CK644" s="27" t="s">
        <v>8</v>
      </c>
      <c r="CL644" s="27" t="s">
        <v>7</v>
      </c>
      <c r="CM644" s="27" t="s">
        <v>8</v>
      </c>
      <c r="CP644" s="27" t="s">
        <v>7</v>
      </c>
      <c r="CQ644" s="27" t="s">
        <v>8</v>
      </c>
      <c r="CR644" s="27" t="s">
        <v>7</v>
      </c>
      <c r="CS644" s="27" t="s">
        <v>8</v>
      </c>
    </row>
    <row r="645" spans="1:98" x14ac:dyDescent="0.25">
      <c r="A645" s="7">
        <v>0.31709547002401678</v>
      </c>
      <c r="B645"/>
      <c r="C645"/>
      <c r="D645"/>
      <c r="E645"/>
      <c r="BF645" s="27" t="s">
        <v>7</v>
      </c>
      <c r="BZ645" s="27" t="s">
        <v>7</v>
      </c>
      <c r="CA645" s="27" t="s">
        <v>8</v>
      </c>
      <c r="CB645" s="27" t="s">
        <v>7</v>
      </c>
      <c r="CC645" s="27" t="s">
        <v>8</v>
      </c>
      <c r="CD645" s="27" t="s">
        <v>7</v>
      </c>
      <c r="CG645" s="27" t="s">
        <v>8</v>
      </c>
      <c r="CH645" s="27" t="s">
        <v>7</v>
      </c>
      <c r="CI645" s="27" t="s">
        <v>8</v>
      </c>
      <c r="CJ645" s="27" t="s">
        <v>7</v>
      </c>
      <c r="CK645" s="27" t="s">
        <v>8</v>
      </c>
      <c r="CL645" s="27" t="s">
        <v>7</v>
      </c>
      <c r="CP645" s="27" t="s">
        <v>7</v>
      </c>
      <c r="CR645" s="27" t="s">
        <v>7</v>
      </c>
      <c r="CS645" s="27" t="s">
        <v>8</v>
      </c>
    </row>
    <row r="646" spans="1:98" x14ac:dyDescent="0.25">
      <c r="A646" s="7">
        <v>0.31087791178825175</v>
      </c>
      <c r="B646"/>
      <c r="C646"/>
      <c r="D646"/>
      <c r="E646"/>
      <c r="BZ646" s="27" t="s">
        <v>7</v>
      </c>
      <c r="CA646" s="27" t="s">
        <v>8</v>
      </c>
      <c r="CB646" s="27" t="s">
        <v>7</v>
      </c>
      <c r="CC646" s="27" t="s">
        <v>8</v>
      </c>
      <c r="CD646" s="27" t="s">
        <v>7</v>
      </c>
      <c r="CG646" s="27" t="s">
        <v>8</v>
      </c>
      <c r="CH646" s="27" t="s">
        <v>7</v>
      </c>
      <c r="CI646" s="27" t="s">
        <v>8</v>
      </c>
      <c r="CJ646" s="27" t="s">
        <v>7</v>
      </c>
      <c r="CK646" s="27" t="s">
        <v>8</v>
      </c>
      <c r="CR646" s="27" t="s">
        <v>7</v>
      </c>
    </row>
    <row r="647" spans="1:98" x14ac:dyDescent="0.25">
      <c r="A647" s="7">
        <v>0.30478226645907036</v>
      </c>
      <c r="B647"/>
      <c r="C647"/>
      <c r="D647"/>
      <c r="E647"/>
      <c r="BZ647" s="27" t="s">
        <v>7</v>
      </c>
      <c r="CB647" s="27" t="s">
        <v>7</v>
      </c>
      <c r="CD647" s="27" t="s">
        <v>7</v>
      </c>
      <c r="CG647" s="27" t="s">
        <v>8</v>
      </c>
      <c r="CH647" s="27" t="s">
        <v>7</v>
      </c>
      <c r="CI647" s="27" t="s">
        <v>8</v>
      </c>
      <c r="CJ647" s="27" t="s">
        <v>7</v>
      </c>
    </row>
    <row r="648" spans="1:98" x14ac:dyDescent="0.25">
      <c r="A648" s="7">
        <v>0.29880614358732388</v>
      </c>
      <c r="B648"/>
      <c r="C648"/>
      <c r="D648"/>
      <c r="E648"/>
      <c r="CD648" s="27" t="s">
        <v>7</v>
      </c>
      <c r="CE648" s="27" t="s">
        <v>8</v>
      </c>
      <c r="CG648" s="27" t="s">
        <v>8</v>
      </c>
      <c r="CH648" s="27" t="s">
        <v>7</v>
      </c>
      <c r="CI648" s="27" t="s">
        <v>8</v>
      </c>
    </row>
    <row r="649" spans="1:98" x14ac:dyDescent="0.25">
      <c r="A649" s="7">
        <v>0.2929471995954156</v>
      </c>
      <c r="B649"/>
      <c r="C649"/>
      <c r="D649"/>
      <c r="E649"/>
      <c r="CD649" s="27" t="s">
        <v>7</v>
      </c>
      <c r="CE649" s="27" t="s">
        <v>8</v>
      </c>
      <c r="CF649" s="27" t="s">
        <v>7</v>
      </c>
      <c r="CG649" s="27" t="s">
        <v>8</v>
      </c>
      <c r="CH649" s="27" t="s">
        <v>7</v>
      </c>
    </row>
    <row r="650" spans="1:98" x14ac:dyDescent="0.25">
      <c r="A650" s="7">
        <v>0.28720313685825055</v>
      </c>
      <c r="B650"/>
      <c r="C650"/>
      <c r="D650"/>
      <c r="E650"/>
      <c r="CD650" s="27" t="s">
        <v>7</v>
      </c>
      <c r="CE650" s="27" t="s">
        <v>8</v>
      </c>
      <c r="CF650" s="27" t="s">
        <v>7</v>
      </c>
      <c r="CG650" s="27" t="s">
        <v>8</v>
      </c>
    </row>
    <row r="651" spans="1:98" x14ac:dyDescent="0.25">
      <c r="A651" s="7">
        <v>0.28157170280220645</v>
      </c>
      <c r="B651"/>
      <c r="C651"/>
      <c r="D651"/>
      <c r="E651"/>
      <c r="CD651" s="27" t="s">
        <v>7</v>
      </c>
      <c r="CF651" s="27" t="s">
        <v>7</v>
      </c>
      <c r="CG651" s="27" t="s">
        <v>8</v>
      </c>
    </row>
    <row r="652" spans="1:98" x14ac:dyDescent="0.25">
      <c r="A652" s="7">
        <v>0.27605068902177105</v>
      </c>
      <c r="B652"/>
      <c r="C652"/>
      <c r="D652"/>
      <c r="E652"/>
      <c r="CF652" s="27" t="s">
        <v>7</v>
      </c>
      <c r="CG652" s="27" t="s">
        <v>8</v>
      </c>
    </row>
    <row r="653" spans="1:98" x14ac:dyDescent="0.25">
      <c r="A653" s="7">
        <v>0.27063793041350104</v>
      </c>
      <c r="B653"/>
      <c r="C653"/>
      <c r="D653"/>
      <c r="E653"/>
      <c r="CF653" s="27" t="s">
        <v>7</v>
      </c>
    </row>
    <row r="654" spans="1:98" x14ac:dyDescent="0.25">
      <c r="A654" s="7">
        <v>0.26533130432696184</v>
      </c>
      <c r="B654"/>
      <c r="C654"/>
      <c r="D654"/>
      <c r="E654"/>
    </row>
    <row r="655" spans="1:98" x14ac:dyDescent="0.25">
      <c r="A655" s="7">
        <v>0.26012872973231554</v>
      </c>
      <c r="B655"/>
      <c r="C655"/>
      <c r="D655"/>
      <c r="E655"/>
    </row>
    <row r="656" spans="1:98" x14ac:dyDescent="0.25">
      <c r="A656" s="7">
        <v>0.25502816640423093</v>
      </c>
      <c r="B656"/>
      <c r="C656"/>
      <c r="D656"/>
      <c r="E656"/>
    </row>
    <row r="657" spans="1:5" x14ac:dyDescent="0.25">
      <c r="A657" s="7">
        <v>0.25002761412179503</v>
      </c>
      <c r="B657"/>
      <c r="C657"/>
      <c r="D657"/>
      <c r="E657"/>
    </row>
    <row r="658" spans="1:5" x14ac:dyDescent="0.25">
      <c r="A658" s="7">
        <v>0.24512511188411276</v>
      </c>
      <c r="B658"/>
      <c r="C658"/>
      <c r="D658"/>
      <c r="E658"/>
    </row>
    <row r="659" spans="1:5" x14ac:dyDescent="0.25">
      <c r="A659" s="7">
        <v>0.24031873714128701</v>
      </c>
      <c r="B659"/>
      <c r="C659"/>
      <c r="D659"/>
      <c r="E659"/>
    </row>
    <row r="660" spans="1:5" x14ac:dyDescent="0.25">
      <c r="A660" s="7">
        <v>0.23560660504047748</v>
      </c>
      <c r="B660"/>
      <c r="C660"/>
      <c r="D660"/>
      <c r="E660"/>
    </row>
    <row r="661" spans="1:5" x14ac:dyDescent="0.25">
      <c r="A661" s="7">
        <v>0.23098686768674265</v>
      </c>
      <c r="B661"/>
      <c r="C661"/>
      <c r="D661"/>
      <c r="E661"/>
    </row>
    <row r="662" spans="1:5" x14ac:dyDescent="0.25">
      <c r="A662" s="7">
        <v>0.22645771341837515</v>
      </c>
      <c r="B662"/>
      <c r="C662"/>
      <c r="D662"/>
      <c r="E662"/>
    </row>
    <row r="663" spans="1:5" x14ac:dyDescent="0.25">
      <c r="A663" s="7">
        <v>0.22201736609644623</v>
      </c>
      <c r="B663"/>
      <c r="C663"/>
      <c r="D663"/>
      <c r="E663"/>
    </row>
    <row r="664" spans="1:5" x14ac:dyDescent="0.25">
      <c r="A664" s="7">
        <v>0.21766408440828061</v>
      </c>
      <c r="B664"/>
      <c r="C664"/>
      <c r="D664"/>
      <c r="E664"/>
    </row>
    <row r="665" spans="1:5" x14ac:dyDescent="0.25">
      <c r="A665" s="7">
        <v>0.21339616118458882</v>
      </c>
      <c r="B665"/>
      <c r="C665"/>
      <c r="D665"/>
      <c r="E665"/>
    </row>
    <row r="666" spans="1:5" x14ac:dyDescent="0.25">
      <c r="A666" s="7">
        <v>0.20921192272998904</v>
      </c>
      <c r="B666"/>
      <c r="C666"/>
      <c r="D666"/>
      <c r="E666"/>
    </row>
    <row r="667" spans="1:5" x14ac:dyDescent="0.25">
      <c r="A667" s="7">
        <v>0.20510972816665593</v>
      </c>
      <c r="B667"/>
      <c r="C667"/>
      <c r="D667"/>
      <c r="E667"/>
    </row>
    <row r="668" spans="1:5" x14ac:dyDescent="0.25">
      <c r="A668" s="7">
        <v>0.20108796879083912</v>
      </c>
      <c r="B668"/>
      <c r="C668"/>
      <c r="D668"/>
      <c r="E668"/>
    </row>
    <row r="669" spans="1:5" x14ac:dyDescent="0.25">
      <c r="A669" s="7">
        <v>0.19714506744199917</v>
      </c>
      <c r="B669"/>
      <c r="C669"/>
      <c r="D669"/>
      <c r="E669"/>
    </row>
    <row r="670" spans="1:5" x14ac:dyDescent="0.25">
      <c r="A670" s="7">
        <v>0.19327947788431293</v>
      </c>
      <c r="B670"/>
      <c r="C670"/>
      <c r="D670"/>
      <c r="E670"/>
    </row>
    <row r="671" spans="1:5" x14ac:dyDescent="0.25">
      <c r="A671" s="7">
        <v>0.18948968420030682</v>
      </c>
      <c r="B671"/>
      <c r="C671"/>
      <c r="D671"/>
      <c r="E671"/>
    </row>
    <row r="672" spans="1:5" x14ac:dyDescent="0.25">
      <c r="A672" s="7">
        <v>0.18577420019637925</v>
      </c>
      <c r="B672"/>
      <c r="C672"/>
      <c r="D672"/>
      <c r="E672"/>
    </row>
    <row r="673" spans="1:5" x14ac:dyDescent="0.25">
      <c r="A673" s="7">
        <v>0.18213156881997963</v>
      </c>
      <c r="B673"/>
      <c r="C673"/>
      <c r="D673"/>
      <c r="E673"/>
    </row>
    <row r="674" spans="1:5" x14ac:dyDescent="0.25">
      <c r="A674" s="7">
        <v>0.17856036158821534</v>
      </c>
      <c r="B674"/>
      <c r="C674"/>
      <c r="D674"/>
      <c r="E674"/>
    </row>
    <row r="675" spans="1:5" x14ac:dyDescent="0.25">
      <c r="A675" s="7">
        <v>0.17505917802766208</v>
      </c>
      <c r="B675"/>
      <c r="C675"/>
      <c r="D675"/>
      <c r="E675"/>
    </row>
    <row r="676" spans="1:5" x14ac:dyDescent="0.25">
      <c r="A676" s="7">
        <v>0.17162664512515888</v>
      </c>
      <c r="B676"/>
      <c r="C676"/>
      <c r="D676"/>
      <c r="E676"/>
    </row>
    <row r="677" spans="1:5" x14ac:dyDescent="0.25">
      <c r="A677" s="7">
        <v>0.16826141678937145</v>
      </c>
      <c r="B677"/>
      <c r="C677"/>
      <c r="D677"/>
      <c r="E677"/>
    </row>
    <row r="678" spans="1:5" x14ac:dyDescent="0.25">
      <c r="A678" s="7">
        <v>0.16496217332291319</v>
      </c>
      <c r="B678"/>
      <c r="C678"/>
      <c r="D678"/>
      <c r="E678"/>
    </row>
    <row r="679" spans="1:5" x14ac:dyDescent="0.25">
      <c r="A679" s="7">
        <v>0.16172762090481685</v>
      </c>
      <c r="B679"/>
      <c r="C679"/>
      <c r="D679"/>
      <c r="E679"/>
    </row>
    <row r="680" spans="1:5" x14ac:dyDescent="0.25">
      <c r="A680" s="7">
        <v>0.15855649108315376</v>
      </c>
      <c r="B680"/>
      <c r="C680"/>
      <c r="D680"/>
      <c r="E680"/>
    </row>
    <row r="681" spans="1:5" x14ac:dyDescent="0.25">
      <c r="A681" s="7">
        <v>0.15544754027760171</v>
      </c>
      <c r="B681"/>
      <c r="C681"/>
      <c r="D681"/>
      <c r="E681"/>
    </row>
    <row r="682" spans="1:5" x14ac:dyDescent="0.25">
      <c r="A682" s="7">
        <v>0.15239954929176638</v>
      </c>
      <c r="B682"/>
      <c r="C682"/>
      <c r="D682"/>
      <c r="E682"/>
    </row>
    <row r="683" spans="1:5" x14ac:dyDescent="0.25">
      <c r="A683" s="7">
        <v>0.14941132283506509</v>
      </c>
      <c r="B683"/>
      <c r="C683"/>
      <c r="D683"/>
      <c r="E683"/>
    </row>
    <row r="684" spans="1:5" x14ac:dyDescent="0.25">
      <c r="A684" s="7">
        <v>0.14648168905398537</v>
      </c>
      <c r="B684"/>
      <c r="C684"/>
      <c r="D684"/>
      <c r="E684"/>
    </row>
    <row r="685" spans="1:5" x14ac:dyDescent="0.25">
      <c r="A685" s="7">
        <v>0.14360949907253467</v>
      </c>
      <c r="B685"/>
      <c r="C685"/>
      <c r="D685"/>
      <c r="E685"/>
    </row>
    <row r="686" spans="1:5" x14ac:dyDescent="0.25">
      <c r="A686" s="7">
        <v>0.14079362654170066</v>
      </c>
      <c r="B686"/>
      <c r="C686"/>
      <c r="D686"/>
      <c r="E686"/>
    </row>
    <row r="687" spans="1:5" x14ac:dyDescent="0.25">
      <c r="A687" s="7">
        <v>0.13803296719774574</v>
      </c>
      <c r="B687"/>
      <c r="C687"/>
      <c r="D687"/>
      <c r="E687"/>
    </row>
    <row r="688" spans="1:5" x14ac:dyDescent="0.25">
      <c r="A688" s="7">
        <v>0.1353264384291625</v>
      </c>
      <c r="B688"/>
      <c r="C688"/>
      <c r="D688"/>
      <c r="E688"/>
    </row>
    <row r="689" spans="1:5" x14ac:dyDescent="0.25">
      <c r="A689" s="7">
        <v>0.13267297885212009</v>
      </c>
      <c r="B689"/>
      <c r="C689"/>
      <c r="D689"/>
      <c r="E689"/>
    </row>
    <row r="690" spans="1:5" x14ac:dyDescent="0.25">
      <c r="A690" s="7">
        <v>0.13007154789423539</v>
      </c>
      <c r="B690"/>
      <c r="C690"/>
      <c r="D690"/>
      <c r="E690"/>
    </row>
    <row r="691" spans="1:5" x14ac:dyDescent="0.25">
      <c r="A691" s="7">
        <v>0.12752112538650529</v>
      </c>
      <c r="B691"/>
      <c r="C691"/>
      <c r="D691"/>
      <c r="E691"/>
    </row>
    <row r="692" spans="1:5" x14ac:dyDescent="0.25">
      <c r="A692" s="7">
        <v>0.12502071116324048</v>
      </c>
      <c r="B692"/>
      <c r="C692"/>
      <c r="D692"/>
      <c r="E692"/>
    </row>
    <row r="693" spans="1:5" x14ac:dyDescent="0.25">
      <c r="A693" s="7">
        <v>0.1225693246698436</v>
      </c>
      <c r="B693"/>
      <c r="C693"/>
      <c r="D693"/>
      <c r="E693"/>
    </row>
    <row r="694" spans="1:5" x14ac:dyDescent="0.25">
      <c r="A694" s="7">
        <v>0.12016600457827803</v>
      </c>
      <c r="B694"/>
      <c r="C694"/>
      <c r="D694"/>
      <c r="E694"/>
    </row>
    <row r="695" spans="1:5" x14ac:dyDescent="0.25">
      <c r="A695" s="7">
        <v>0.1178098084100765</v>
      </c>
      <c r="B695"/>
      <c r="C695"/>
      <c r="D695"/>
      <c r="E695"/>
    </row>
    <row r="696" spans="1:5" x14ac:dyDescent="0.25">
      <c r="A696" s="7">
        <v>0.11549981216674166</v>
      </c>
      <c r="B696"/>
      <c r="C696"/>
      <c r="D696"/>
      <c r="E696"/>
    </row>
    <row r="697" spans="1:5" x14ac:dyDescent="0.25">
      <c r="A697" s="7">
        <v>0.11323510996739378</v>
      </c>
      <c r="B697"/>
      <c r="C697"/>
      <c r="D697"/>
      <c r="E697"/>
    </row>
    <row r="698" spans="1:5" x14ac:dyDescent="0.25">
      <c r="A698" s="7">
        <v>0.11101481369352331</v>
      </c>
      <c r="B698"/>
      <c r="C698"/>
      <c r="D698"/>
      <c r="E698"/>
    </row>
    <row r="699" spans="1:5" x14ac:dyDescent="0.25">
      <c r="A699" s="7">
        <v>0.10883805264070913</v>
      </c>
      <c r="B699"/>
      <c r="C699"/>
      <c r="D699"/>
      <c r="E699"/>
    </row>
    <row r="700" spans="1:5" x14ac:dyDescent="0.25">
      <c r="A700" s="7">
        <v>0.10670397317716582</v>
      </c>
      <c r="B700"/>
      <c r="C700"/>
      <c r="D700"/>
      <c r="E700"/>
    </row>
    <row r="701" spans="1:5" x14ac:dyDescent="0.25">
      <c r="A701" s="7">
        <v>0.1046117384089861</v>
      </c>
      <c r="B701"/>
      <c r="C701"/>
      <c r="D701"/>
      <c r="E701"/>
    </row>
    <row r="702" spans="1:5" x14ac:dyDescent="0.25">
      <c r="A702" s="7">
        <v>0.10256052785194716</v>
      </c>
      <c r="B702"/>
      <c r="C702"/>
      <c r="D702"/>
      <c r="E702"/>
    </row>
    <row r="703" spans="1:5" x14ac:dyDescent="0.25">
      <c r="A703" s="7">
        <v>0.10054953710975212</v>
      </c>
      <c r="B703"/>
      <c r="C703"/>
      <c r="D703"/>
      <c r="E703"/>
    </row>
    <row r="704" spans="1:5" x14ac:dyDescent="0.25">
      <c r="A704" s="7">
        <v>9.8577977558580512E-2</v>
      </c>
      <c r="B704"/>
      <c r="C704"/>
      <c r="D704"/>
      <c r="E704"/>
    </row>
    <row r="705" spans="1:5" x14ac:dyDescent="0.25">
      <c r="A705" s="7">
        <v>9.6645076037824032E-2</v>
      </c>
      <c r="B705"/>
      <c r="C705"/>
      <c r="D705"/>
      <c r="E705"/>
    </row>
    <row r="706" spans="1:5" x14ac:dyDescent="0.25">
      <c r="A706" s="7">
        <v>9.4750074546886304E-2</v>
      </c>
      <c r="B706"/>
      <c r="C706"/>
      <c r="D706"/>
      <c r="E706"/>
    </row>
    <row r="707" spans="1:5" x14ac:dyDescent="0.25">
      <c r="A707" s="7">
        <v>9.2892229947927743E-2</v>
      </c>
      <c r="B707"/>
      <c r="C707"/>
      <c r="D707"/>
      <c r="E707"/>
    </row>
    <row r="708" spans="1:5" x14ac:dyDescent="0.25">
      <c r="A708" s="7">
        <v>9.1070813674438963E-2</v>
      </c>
      <c r="B708"/>
      <c r="C708"/>
      <c r="D708"/>
      <c r="E708"/>
    </row>
    <row r="709" spans="1:5" x14ac:dyDescent="0.25">
      <c r="A709" s="7">
        <v>8.9285111445528392E-2</v>
      </c>
      <c r="B709"/>
      <c r="C709"/>
      <c r="D709"/>
      <c r="E709"/>
    </row>
    <row r="710" spans="1:5" x14ac:dyDescent="0.25">
      <c r="A710" s="7">
        <v>8.7534422985812155E-2</v>
      </c>
      <c r="B710"/>
      <c r="C710"/>
      <c r="D710"/>
      <c r="E710"/>
    </row>
    <row r="711" spans="1:5" x14ac:dyDescent="0.25">
      <c r="A711" s="7">
        <v>8.5818061750796232E-2</v>
      </c>
      <c r="B711"/>
      <c r="C711"/>
      <c r="D711"/>
      <c r="E711"/>
    </row>
    <row r="712" spans="1:5" x14ac:dyDescent="0.25">
      <c r="A712" s="7">
        <v>8.4135354657643366E-2</v>
      </c>
      <c r="B712"/>
      <c r="C712"/>
      <c r="D712"/>
      <c r="E712"/>
    </row>
    <row r="713" spans="1:5" x14ac:dyDescent="0.25">
      <c r="A713" s="7">
        <v>8.248564182121898E-2</v>
      </c>
      <c r="B713"/>
      <c r="C713"/>
      <c r="D713"/>
      <c r="E713"/>
    </row>
    <row r="714" spans="1:5" x14ac:dyDescent="0.25">
      <c r="A714" s="7">
        <v>8.0868276295312735E-2</v>
      </c>
      <c r="B714"/>
      <c r="C714"/>
      <c r="D714"/>
      <c r="E714"/>
    </row>
    <row r="715" spans="1:5" x14ac:dyDescent="0.25">
      <c r="A715" s="7">
        <v>7.9282623818934056E-2</v>
      </c>
      <c r="B715"/>
      <c r="C715"/>
      <c r="D715"/>
      <c r="E715"/>
    </row>
    <row r="716" spans="1:5" x14ac:dyDescent="0.25">
      <c r="A716" s="7">
        <v>7.7728062567582412E-2</v>
      </c>
      <c r="B716"/>
      <c r="C716"/>
      <c r="D716"/>
      <c r="E716"/>
    </row>
    <row r="717" spans="1:5" x14ac:dyDescent="0.25">
      <c r="A717" s="7">
        <v>7.6203982909394521E-2</v>
      </c>
      <c r="B717"/>
      <c r="C717"/>
      <c r="D717"/>
      <c r="E717"/>
    </row>
    <row r="718" spans="1:5" x14ac:dyDescent="0.25">
      <c r="A718" s="7">
        <v>7.4709787166073058E-2</v>
      </c>
      <c r="B718"/>
      <c r="C718"/>
      <c r="D718"/>
      <c r="E718"/>
    </row>
    <row r="719" spans="1:5" x14ac:dyDescent="0.25">
      <c r="A719" s="7">
        <v>7.3244889378503E-2</v>
      </c>
      <c r="B719"/>
      <c r="C719"/>
      <c r="D719"/>
      <c r="E719"/>
    </row>
    <row r="720" spans="1:5" x14ac:dyDescent="0.25">
      <c r="A720" s="7">
        <v>7.1808715076963722E-2</v>
      </c>
      <c r="B720"/>
      <c r="C720"/>
      <c r="D720"/>
      <c r="E720"/>
    </row>
    <row r="721" spans="1:5" x14ac:dyDescent="0.25">
      <c r="A721" s="7">
        <v>7.0400701055846782E-2</v>
      </c>
      <c r="B721"/>
      <c r="C721"/>
      <c r="D721"/>
      <c r="E721"/>
    </row>
    <row r="722" spans="1:5" x14ac:dyDescent="0.25">
      <c r="A722" s="7">
        <v>6.9020295152790956E-2</v>
      </c>
      <c r="B722"/>
      <c r="C722"/>
      <c r="D722"/>
      <c r="E722"/>
    </row>
    <row r="723" spans="1:5" x14ac:dyDescent="0.25">
      <c r="A723" s="7">
        <v>6.7666956032147993E-2</v>
      </c>
      <c r="B723"/>
      <c r="C723"/>
      <c r="D723"/>
      <c r="E723"/>
    </row>
    <row r="724" spans="1:5" x14ac:dyDescent="0.25">
      <c r="A724" s="7">
        <v>6.6340152972694105E-2</v>
      </c>
      <c r="B724"/>
      <c r="C724"/>
      <c r="D724"/>
      <c r="E724"/>
    </row>
    <row r="725" spans="1:5" x14ac:dyDescent="0.25">
      <c r="A725" s="7">
        <v>6.5039365659504023E-2</v>
      </c>
      <c r="B725"/>
      <c r="C725"/>
      <c r="D725"/>
      <c r="E725"/>
    </row>
    <row r="726" spans="1:5" x14ac:dyDescent="0.25">
      <c r="A726" s="7">
        <v>6.3764083979905906E-2</v>
      </c>
      <c r="B726"/>
      <c r="C726"/>
      <c r="D726"/>
      <c r="E726"/>
    </row>
    <row r="727" spans="1:5" x14ac:dyDescent="0.25">
      <c r="A727" s="7">
        <v>6.251380782343717E-2</v>
      </c>
      <c r="B727"/>
      <c r="C727"/>
      <c r="D727"/>
      <c r="E727"/>
    </row>
    <row r="728" spans="1:5" x14ac:dyDescent="0.25">
      <c r="A728" s="7">
        <v>6.1288046885722716E-2</v>
      </c>
      <c r="B728"/>
      <c r="C728"/>
      <c r="D728"/>
      <c r="E728"/>
    </row>
    <row r="729" spans="1:5" x14ac:dyDescent="0.25">
      <c r="A729" s="7">
        <v>6.0086320476198739E-2</v>
      </c>
      <c r="B729"/>
      <c r="C729"/>
      <c r="D729"/>
      <c r="E729"/>
    </row>
    <row r="730" spans="1:5" x14ac:dyDescent="0.25">
      <c r="A730" s="7">
        <v>5.8908157329606609E-2</v>
      </c>
      <c r="B730"/>
      <c r="C730"/>
      <c r="D730"/>
      <c r="E730"/>
    </row>
    <row r="731" spans="1:5" x14ac:dyDescent="0.25">
      <c r="A731" s="7">
        <v>5.7753095421182947E-2</v>
      </c>
      <c r="B731"/>
      <c r="C731"/>
      <c r="D731"/>
      <c r="E731"/>
    </row>
    <row r="732" spans="1:5" x14ac:dyDescent="0.25">
      <c r="A732" s="7">
        <v>5.6620681785473484E-2</v>
      </c>
      <c r="B732"/>
      <c r="C732"/>
      <c r="D732"/>
      <c r="E732"/>
    </row>
    <row r="733" spans="1:5" x14ac:dyDescent="0.25">
      <c r="A733" s="7">
        <v>5.5510472338699497E-2</v>
      </c>
      <c r="B733"/>
      <c r="C733"/>
      <c r="D733"/>
      <c r="E733"/>
    </row>
    <row r="734" spans="1:5" x14ac:dyDescent="0.25">
      <c r="A734" s="7">
        <v>5.4422031704607354E-2</v>
      </c>
      <c r="B734"/>
      <c r="C734"/>
      <c r="D734"/>
      <c r="E734"/>
    </row>
    <row r="735" spans="1:5" x14ac:dyDescent="0.25">
      <c r="A735" s="7">
        <v>5.3354933043732705E-2</v>
      </c>
      <c r="B735"/>
      <c r="C735"/>
      <c r="D735"/>
      <c r="E735"/>
    </row>
    <row r="736" spans="1:5" x14ac:dyDescent="0.25">
      <c r="A736" s="7">
        <v>5.2308757886012455E-2</v>
      </c>
      <c r="B736"/>
      <c r="C736"/>
      <c r="D736"/>
      <c r="E736"/>
    </row>
    <row r="737" spans="1:5" x14ac:dyDescent="0.25">
      <c r="A737" s="7">
        <v>5.1283095966678877E-2</v>
      </c>
      <c r="B737"/>
      <c r="C737"/>
      <c r="D737"/>
      <c r="E737"/>
    </row>
    <row r="738" spans="1:5" x14ac:dyDescent="0.25">
      <c r="A738" s="7">
        <v>5.0277545065371444E-2</v>
      </c>
      <c r="B738"/>
      <c r="C738"/>
      <c r="D738"/>
      <c r="E738"/>
    </row>
    <row r="739" spans="1:5" x14ac:dyDescent="0.25">
      <c r="A739" s="7">
        <v>4.9291710848403378E-2</v>
      </c>
      <c r="B739"/>
      <c r="C739"/>
      <c r="D739"/>
      <c r="E739"/>
    </row>
    <row r="740" spans="1:5" x14ac:dyDescent="0.25">
      <c r="A740" s="7">
        <v>4.8325206714120959E-2</v>
      </c>
      <c r="B740"/>
      <c r="C740"/>
      <c r="D740"/>
      <c r="E740"/>
    </row>
    <row r="741" spans="1:5" x14ac:dyDescent="0.25">
      <c r="A741" s="7">
        <v>4.7377653641295057E-2</v>
      </c>
      <c r="B741"/>
      <c r="C741"/>
      <c r="D741"/>
      <c r="E741"/>
    </row>
    <row r="742" spans="1:5" x14ac:dyDescent="0.25">
      <c r="A742" s="7">
        <v>4.644868004048535E-2</v>
      </c>
      <c r="B742"/>
      <c r="C742"/>
      <c r="D742"/>
      <c r="E742"/>
    </row>
    <row r="743" spans="1:5" x14ac:dyDescent="0.25">
      <c r="A743" s="7">
        <v>4.5537921608318974E-2</v>
      </c>
      <c r="B743"/>
      <c r="C743"/>
      <c r="D743"/>
      <c r="E743"/>
    </row>
    <row r="744" spans="1:5" x14ac:dyDescent="0.25">
      <c r="A744" s="7">
        <v>4.4645021184626446E-2</v>
      </c>
      <c r="B744"/>
      <c r="C744"/>
      <c r="D744"/>
      <c r="E744"/>
    </row>
    <row r="745" spans="1:5" x14ac:dyDescent="0.25">
      <c r="A745" s="7">
        <v>4.3769628612378868E-2</v>
      </c>
      <c r="B745"/>
      <c r="C745"/>
      <c r="D745"/>
      <c r="E745"/>
    </row>
    <row r="746" spans="1:5" x14ac:dyDescent="0.25">
      <c r="A746" s="7">
        <v>4.2911400600371442E-2</v>
      </c>
      <c r="B746"/>
      <c r="C746"/>
      <c r="D746"/>
      <c r="E746"/>
    </row>
    <row r="747" spans="1:5" x14ac:dyDescent="0.25">
      <c r="A747" s="7">
        <v>4.2070000588599457E-2</v>
      </c>
      <c r="B747"/>
      <c r="C747"/>
      <c r="D747"/>
      <c r="E747"/>
    </row>
    <row r="748" spans="1:5" x14ac:dyDescent="0.25">
      <c r="A748" s="7">
        <v>4.1245098616273977E-2</v>
      </c>
      <c r="B748"/>
      <c r="C748"/>
      <c r="D748"/>
      <c r="E748"/>
    </row>
    <row r="749" spans="1:5" x14ac:dyDescent="0.25">
      <c r="A749" s="7">
        <v>4.043637119242547E-2</v>
      </c>
      <c r="B749"/>
      <c r="C749"/>
      <c r="D749"/>
      <c r="E749"/>
    </row>
    <row r="750" spans="1:5" x14ac:dyDescent="0.25">
      <c r="A750" s="7">
        <v>3.9643501169044582E-2</v>
      </c>
      <c r="B750"/>
      <c r="C750"/>
      <c r="D750"/>
      <c r="E750"/>
    </row>
    <row r="751" spans="1:5" x14ac:dyDescent="0.25">
      <c r="A751" s="7">
        <v>3.8866177616710372E-2</v>
      </c>
      <c r="B751"/>
      <c r="C751"/>
      <c r="D751"/>
      <c r="E751"/>
    </row>
    <row r="752" spans="1:5" x14ac:dyDescent="0.25">
      <c r="A752" s="7">
        <v>3.8104095702657229E-2</v>
      </c>
      <c r="B752"/>
      <c r="C752"/>
      <c r="D752"/>
      <c r="E752"/>
    </row>
    <row r="753" spans="1:5" x14ac:dyDescent="0.25">
      <c r="A753" s="7">
        <v>3.7356956571232579E-2</v>
      </c>
      <c r="B753"/>
      <c r="C753"/>
      <c r="D753"/>
      <c r="E753"/>
    </row>
    <row r="754" spans="1:5" x14ac:dyDescent="0.25">
      <c r="A754" s="7">
        <v>3.6624467226698605E-2</v>
      </c>
      <c r="B754"/>
      <c r="C754"/>
      <c r="D754"/>
      <c r="E754"/>
    </row>
    <row r="755" spans="1:5" x14ac:dyDescent="0.25">
      <c r="A755" s="7">
        <v>3.5906340418331961E-2</v>
      </c>
      <c r="B755"/>
      <c r="C755"/>
      <c r="D755"/>
      <c r="E755"/>
    </row>
    <row r="756" spans="1:5" x14ac:dyDescent="0.25">
      <c r="A756" s="7">
        <v>3.5202294527776436E-2</v>
      </c>
      <c r="B756"/>
      <c r="C756"/>
      <c r="D756"/>
      <c r="E756"/>
    </row>
    <row r="757" spans="1:5" x14ac:dyDescent="0.25">
      <c r="A757" s="7">
        <v>3.451205345860435E-2</v>
      </c>
      <c r="B757"/>
      <c r="C757"/>
      <c r="D757"/>
      <c r="E757"/>
    </row>
    <row r="758" spans="1:5" x14ac:dyDescent="0.25">
      <c r="A758" s="7">
        <v>3.3835346528043479E-2</v>
      </c>
      <c r="B758"/>
      <c r="C758"/>
      <c r="D758"/>
      <c r="E758"/>
    </row>
    <row r="759" spans="1:5" x14ac:dyDescent="0.25">
      <c r="A759" s="7">
        <v>3.3171908360826938E-2</v>
      </c>
      <c r="B759"/>
      <c r="C759"/>
      <c r="D759"/>
      <c r="E759"/>
    </row>
    <row r="760" spans="1:5" x14ac:dyDescent="0.25">
      <c r="A760" s="7">
        <v>3.2521478785124451E-2</v>
      </c>
      <c r="B760"/>
      <c r="C760"/>
      <c r="D760"/>
      <c r="E760"/>
    </row>
    <row r="761" spans="1:5" x14ac:dyDescent="0.25">
      <c r="A761" s="7">
        <v>3.1883802730514173E-2</v>
      </c>
      <c r="B761"/>
      <c r="C761"/>
      <c r="D761"/>
      <c r="E761"/>
    </row>
    <row r="762" spans="1:5" x14ac:dyDescent="0.25">
      <c r="A762" s="7">
        <v>3.1258630127955073E-2</v>
      </c>
      <c r="B762"/>
      <c r="C762"/>
      <c r="D762"/>
      <c r="E762"/>
    </row>
    <row r="763" spans="1:5" x14ac:dyDescent="0.25">
      <c r="A763" s="7">
        <v>3.064571581172066E-2</v>
      </c>
      <c r="B763"/>
      <c r="C763"/>
      <c r="D763"/>
      <c r="E763"/>
    </row>
    <row r="764" spans="1:5" x14ac:dyDescent="0.25">
      <c r="A764" s="7">
        <v>3.0044819423255549E-2</v>
      </c>
      <c r="B764"/>
      <c r="C764"/>
      <c r="D764"/>
      <c r="E764"/>
    </row>
    <row r="765" spans="1:5" x14ac:dyDescent="0.25">
      <c r="A765" s="7">
        <v>2.9455705316917203E-2</v>
      </c>
      <c r="B765"/>
      <c r="C765"/>
      <c r="D765"/>
      <c r="E765"/>
    </row>
    <row r="766" spans="1:5" x14ac:dyDescent="0.25">
      <c r="A766" s="7">
        <v>2.8878142467565884E-2</v>
      </c>
      <c r="B766"/>
      <c r="C766"/>
      <c r="D766"/>
      <c r="E766"/>
    </row>
    <row r="767" spans="1:5" x14ac:dyDescent="0.25">
      <c r="A767" s="7">
        <v>2.8311904379966554E-2</v>
      </c>
      <c r="B767"/>
      <c r="C767"/>
      <c r="D767"/>
      <c r="E767"/>
    </row>
    <row r="768" spans="1:5" x14ac:dyDescent="0.25">
      <c r="A768" s="7">
        <v>2.7756768999967207E-2</v>
      </c>
      <c r="B768"/>
      <c r="C768"/>
      <c r="D768"/>
      <c r="E768"/>
    </row>
    <row r="769" spans="1:5" x14ac:dyDescent="0.25">
      <c r="A769" s="7">
        <v>2.7212518627418834E-2</v>
      </c>
      <c r="B769"/>
      <c r="C769"/>
      <c r="D769"/>
      <c r="E769"/>
    </row>
    <row r="770" spans="1:5" x14ac:dyDescent="0.25">
      <c r="A770" s="7">
        <v>2.6678939830802779E-2</v>
      </c>
      <c r="B770"/>
      <c r="C770"/>
      <c r="D770"/>
      <c r="E770"/>
    </row>
    <row r="771" spans="1:5" x14ac:dyDescent="0.25">
      <c r="A771" s="7">
        <v>2.615582336353214E-2</v>
      </c>
      <c r="B771"/>
      <c r="C771"/>
      <c r="D771"/>
      <c r="E771"/>
    </row>
    <row r="772" spans="1:5" x14ac:dyDescent="0.25">
      <c r="A772" s="7">
        <v>2.5642964081894253E-2</v>
      </c>
      <c r="B772"/>
      <c r="C772"/>
      <c r="D772"/>
      <c r="E772"/>
    </row>
    <row r="773" spans="1:5" x14ac:dyDescent="0.25">
      <c r="A773" s="7">
        <v>2.5140160864602207E-2</v>
      </c>
      <c r="B773"/>
      <c r="C773"/>
      <c r="D773"/>
      <c r="E773"/>
    </row>
    <row r="774" spans="1:5" x14ac:dyDescent="0.25">
      <c r="A774" s="7">
        <v>2.4647216533923735E-2</v>
      </c>
      <c r="B774"/>
      <c r="C774"/>
      <c r="D774"/>
      <c r="E774"/>
    </row>
    <row r="775" spans="1:5" x14ac:dyDescent="0.25">
      <c r="A775" s="7">
        <v>2.4163937778356601E-2</v>
      </c>
      <c r="B775"/>
      <c r="C775"/>
      <c r="D775"/>
      <c r="E775"/>
    </row>
    <row r="776" spans="1:5" x14ac:dyDescent="0.25">
      <c r="A776" s="7">
        <v>2.3690135076820197E-2</v>
      </c>
      <c r="B776"/>
      <c r="C776"/>
      <c r="D776"/>
      <c r="E776"/>
    </row>
    <row r="777" spans="1:5" x14ac:dyDescent="0.25">
      <c r="A777" s="7">
        <v>2.3225622624333527E-2</v>
      </c>
      <c r="B777"/>
      <c r="C777"/>
      <c r="D777"/>
      <c r="E777"/>
    </row>
    <row r="778" spans="1:5" x14ac:dyDescent="0.25">
      <c r="A778" s="7">
        <v>2.2770218259150519E-2</v>
      </c>
      <c r="B778"/>
      <c r="C778"/>
      <c r="D778"/>
      <c r="E778"/>
    </row>
    <row r="779" spans="1:5" x14ac:dyDescent="0.25">
      <c r="A779" s="7">
        <v>2.2323743391324039E-2</v>
      </c>
      <c r="B779"/>
      <c r="C779"/>
      <c r="D779"/>
      <c r="E779"/>
    </row>
    <row r="780" spans="1:5" x14ac:dyDescent="0.25">
      <c r="A780" s="7">
        <v>2.188602293267063E-2</v>
      </c>
      <c r="B780"/>
      <c r="C780"/>
      <c r="D780"/>
      <c r="E780"/>
    </row>
    <row r="781" spans="1:5" x14ac:dyDescent="0.25">
      <c r="A781" s="7">
        <v>2.1456885228108461E-2</v>
      </c>
      <c r="B781"/>
      <c r="C781"/>
      <c r="D781"/>
      <c r="E781"/>
    </row>
    <row r="782" spans="1:5" x14ac:dyDescent="0.25">
      <c r="A782" s="7">
        <v>2.1036161988341632E-2</v>
      </c>
      <c r="B782"/>
      <c r="C782"/>
      <c r="D782"/>
      <c r="E782"/>
    </row>
    <row r="783" spans="1:5" x14ac:dyDescent="0.25">
      <c r="A783" s="7">
        <v>2.0623688223864345E-2</v>
      </c>
      <c r="B783"/>
      <c r="C783"/>
      <c r="D783"/>
      <c r="E783"/>
    </row>
    <row r="784" spans="1:5" x14ac:dyDescent="0.25">
      <c r="A784" s="7">
        <v>2.021930218025916E-2</v>
      </c>
      <c r="B784"/>
      <c r="C784"/>
      <c r="D784"/>
      <c r="E784"/>
    </row>
    <row r="785" spans="1:5" x14ac:dyDescent="0.25">
      <c r="A785" s="7">
        <v>1.9822845274763884E-2</v>
      </c>
      <c r="B785"/>
      <c r="C785"/>
      <c r="D785"/>
      <c r="E785"/>
    </row>
    <row r="786" spans="1:5" x14ac:dyDescent="0.25">
      <c r="A786" s="7">
        <v>1.9434162034082238E-2</v>
      </c>
      <c r="B786"/>
      <c r="C786"/>
      <c r="D786"/>
      <c r="E786"/>
    </row>
    <row r="787" spans="1:5" x14ac:dyDescent="0.25">
      <c r="A787" s="7">
        <v>1.9053100033413959E-2</v>
      </c>
      <c r="B787"/>
      <c r="C787"/>
      <c r="D787"/>
      <c r="E787"/>
    </row>
    <row r="788" spans="1:5" x14ac:dyDescent="0.25">
      <c r="A788" s="7">
        <v>1.867950983668035E-2</v>
      </c>
      <c r="B788"/>
      <c r="C788"/>
      <c r="D788"/>
      <c r="E788"/>
    </row>
    <row r="789" spans="1:5" x14ac:dyDescent="0.25">
      <c r="A789" s="7">
        <v>1.8313244937921913E-2</v>
      </c>
      <c r="B789"/>
      <c r="C789"/>
      <c r="D789"/>
      <c r="E789"/>
    </row>
    <row r="790" spans="1:5" x14ac:dyDescent="0.25">
      <c r="A790" s="7">
        <v>1.7954161703845013E-2</v>
      </c>
      <c r="B790"/>
      <c r="C790"/>
      <c r="D790"/>
      <c r="E790"/>
    </row>
    <row r="791" spans="1:5" x14ac:dyDescent="0.25">
      <c r="A791" s="7">
        <v>1.7602119317495109E-2</v>
      </c>
      <c r="B791"/>
      <c r="C791"/>
      <c r="D791"/>
      <c r="E791"/>
    </row>
    <row r="792" spans="1:5" x14ac:dyDescent="0.25">
      <c r="A792" s="7">
        <v>1.7256979723034419E-2</v>
      </c>
      <c r="B792"/>
      <c r="C792"/>
      <c r="D792"/>
      <c r="E792"/>
    </row>
    <row r="793" spans="1:5" x14ac:dyDescent="0.25">
      <c r="A793" s="7">
        <v>1.6918607571602372E-2</v>
      </c>
      <c r="B793"/>
      <c r="C793"/>
      <c r="D793"/>
      <c r="E793"/>
    </row>
    <row r="794" spans="1:5" x14ac:dyDescent="0.25">
      <c r="A794" s="7">
        <v>1.6586870168237622E-2</v>
      </c>
      <c r="B794"/>
      <c r="C794"/>
      <c r="D794"/>
      <c r="E794"/>
    </row>
    <row r="795" spans="1:5" x14ac:dyDescent="0.25">
      <c r="A795" s="7">
        <v>1.6261637419840807E-2</v>
      </c>
      <c r="B795"/>
      <c r="C795"/>
      <c r="D795"/>
      <c r="E795"/>
    </row>
    <row r="796" spans="1:5" x14ac:dyDescent="0.25">
      <c r="A796" s="7">
        <v>1.5942781784157655E-2</v>
      </c>
      <c r="B796"/>
      <c r="C796"/>
      <c r="D796"/>
      <c r="E796"/>
    </row>
    <row r="797" spans="1:5" x14ac:dyDescent="0.25">
      <c r="A797" s="7">
        <v>1.5630178219762408E-2</v>
      </c>
      <c r="B797"/>
      <c r="C797"/>
      <c r="D797"/>
      <c r="E797"/>
    </row>
    <row r="798" spans="1:5" x14ac:dyDescent="0.25">
      <c r="A798" s="7">
        <v>1.5323704137021967E-2</v>
      </c>
      <c r="B798"/>
      <c r="C798"/>
      <c r="D798"/>
      <c r="E798"/>
    </row>
    <row r="799" spans="1:5" x14ac:dyDescent="0.25">
      <c r="A799" s="7">
        <v>1.5023239350021535E-2</v>
      </c>
      <c r="B799"/>
      <c r="C799"/>
      <c r="D799"/>
      <c r="E799"/>
    </row>
    <row r="800" spans="1:5" x14ac:dyDescent="0.25">
      <c r="A800" s="7">
        <v>1.4728666029432878E-2</v>
      </c>
      <c r="B800"/>
      <c r="C800"/>
      <c r="D800"/>
      <c r="E800"/>
    </row>
    <row r="801" spans="1:5" x14ac:dyDescent="0.25">
      <c r="A801" s="7">
        <v>1.4439868656306743E-2</v>
      </c>
      <c r="B801"/>
      <c r="C801"/>
      <c r="D801"/>
      <c r="E801"/>
    </row>
    <row r="802" spans="1:5" x14ac:dyDescent="0.25">
      <c r="A802" s="7">
        <v>1.4156733976771318E-2</v>
      </c>
      <c r="B802"/>
      <c r="C802"/>
      <c r="D802"/>
      <c r="E802"/>
    </row>
    <row r="803" spans="1:5" x14ac:dyDescent="0.25">
      <c r="A803" s="7">
        <v>1.3879150957618939E-2</v>
      </c>
      <c r="B803"/>
      <c r="C803"/>
      <c r="D803"/>
      <c r="E803"/>
    </row>
    <row r="804" spans="1:5" x14ac:dyDescent="0.25">
      <c r="A804" s="7">
        <v>1.3607010742763666E-2</v>
      </c>
      <c r="B804"/>
      <c r="C804"/>
      <c r="D804"/>
      <c r="E804"/>
    </row>
    <row r="805" spans="1:5" x14ac:dyDescent="0.25">
      <c r="A805" s="7">
        <v>1.3340206610552614E-2</v>
      </c>
      <c r="B805"/>
      <c r="C805"/>
      <c r="D805"/>
      <c r="E805"/>
    </row>
    <row r="806" spans="1:5" x14ac:dyDescent="0.25">
      <c r="A806" s="7">
        <v>1.3078633931914328E-2</v>
      </c>
      <c r="B806"/>
      <c r="C806"/>
      <c r="D806"/>
      <c r="E806"/>
    </row>
    <row r="807" spans="1:5" x14ac:dyDescent="0.25">
      <c r="A807" s="7">
        <v>1.2822190129327771E-2</v>
      </c>
      <c r="B807"/>
      <c r="C807"/>
      <c r="D807"/>
      <c r="E807"/>
    </row>
    <row r="808" spans="1:5" x14ac:dyDescent="0.25">
      <c r="A808" s="7">
        <v>1.2570774636595854E-2</v>
      </c>
      <c r="B808"/>
      <c r="C808"/>
      <c r="D808"/>
      <c r="E808"/>
    </row>
    <row r="809" spans="1:5" x14ac:dyDescent="0.25">
      <c r="A809" s="7">
        <v>1.23242888594077E-2</v>
      </c>
      <c r="B809"/>
      <c r="C809"/>
      <c r="D809"/>
      <c r="E809"/>
    </row>
    <row r="810" spans="1:5" x14ac:dyDescent="0.25">
      <c r="A810" s="7">
        <v>1.2082636136674216E-2</v>
      </c>
      <c r="B810"/>
      <c r="C810"/>
      <c r="D810"/>
      <c r="E810"/>
    </row>
    <row r="811" spans="1:5" x14ac:dyDescent="0.25">
      <c r="A811" s="7">
        <v>1.184572170262178E-2</v>
      </c>
      <c r="B811"/>
      <c r="C811"/>
      <c r="D811"/>
      <c r="E811"/>
    </row>
    <row r="812" spans="1:5" x14ac:dyDescent="0.25">
      <c r="A812" s="7">
        <v>1.1613452649629196E-2</v>
      </c>
      <c r="B812"/>
      <c r="C812"/>
      <c r="D812"/>
      <c r="E812"/>
    </row>
    <row r="813" spans="1:5" x14ac:dyDescent="0.25">
      <c r="A813" s="7">
        <v>1.138573789179333E-2</v>
      </c>
      <c r="B813"/>
      <c r="C813"/>
      <c r="D813"/>
      <c r="E813"/>
    </row>
    <row r="814" spans="1:5" x14ac:dyDescent="0.25">
      <c r="A814" s="7">
        <v>1.1162488129209149E-2</v>
      </c>
      <c r="B814"/>
      <c r="C814"/>
      <c r="D814"/>
      <c r="E814"/>
    </row>
    <row r="815" spans="1:5" x14ac:dyDescent="0.25">
      <c r="A815" s="7">
        <v>1.0943615812950145E-2</v>
      </c>
      <c r="B815"/>
      <c r="C815"/>
      <c r="D815"/>
      <c r="E815"/>
    </row>
    <row r="816" spans="1:5" x14ac:dyDescent="0.25">
      <c r="A816" s="7">
        <v>1.0729035110735436E-2</v>
      </c>
      <c r="B816"/>
      <c r="C816"/>
      <c r="D816"/>
      <c r="E816"/>
    </row>
    <row r="817" spans="1:5" x14ac:dyDescent="0.25">
      <c r="A817" s="7">
        <v>1.0518661873270036E-2</v>
      </c>
      <c r="B817"/>
      <c r="C817"/>
      <c r="D817"/>
      <c r="E817"/>
    </row>
    <row r="818" spans="1:5" x14ac:dyDescent="0.25">
      <c r="A818" s="7">
        <v>1.0312413601245135E-2</v>
      </c>
      <c r="B818"/>
      <c r="C818"/>
      <c r="D818"/>
      <c r="E818"/>
    </row>
    <row r="819" spans="1:5" x14ac:dyDescent="0.25">
      <c r="A819" s="7">
        <v>1.0110209412985426E-2</v>
      </c>
      <c r="B819"/>
      <c r="C819"/>
      <c r="D819"/>
      <c r="E819"/>
    </row>
    <row r="820" spans="1:5" x14ac:dyDescent="0.25">
      <c r="A820" s="7">
        <v>9.9119700127308103E-3</v>
      </c>
      <c r="B820"/>
      <c r="C820"/>
      <c r="D820"/>
      <c r="E820"/>
    </row>
    <row r="821" spans="1:5" x14ac:dyDescent="0.25">
      <c r="A821" s="7">
        <v>9.717617659540009E-3</v>
      </c>
      <c r="B821"/>
      <c r="C821"/>
      <c r="D821"/>
      <c r="E821"/>
    </row>
    <row r="822" spans="1:5" x14ac:dyDescent="0.25">
      <c r="A822" s="7">
        <v>9.5270761368039299E-3</v>
      </c>
      <c r="B822"/>
      <c r="C822"/>
      <c r="D822"/>
      <c r="E822"/>
    </row>
    <row r="823" spans="1:5" x14ac:dyDescent="0.25">
      <c r="A823" s="7">
        <v>9.3402707223567936E-3</v>
      </c>
      <c r="B823"/>
      <c r="C823"/>
      <c r="D823"/>
      <c r="E823"/>
    </row>
    <row r="824" spans="1:5" x14ac:dyDescent="0.25">
      <c r="A824" s="7">
        <v>9.1571281591733261E-3</v>
      </c>
      <c r="B824"/>
      <c r="C824"/>
      <c r="D824"/>
      <c r="E824"/>
    </row>
    <row r="825" spans="1:5" x14ac:dyDescent="0.25">
      <c r="A825" s="7">
        <v>8.9775766266405148E-3</v>
      </c>
      <c r="B825"/>
      <c r="C825"/>
      <c r="D825"/>
      <c r="E825"/>
    </row>
    <row r="826" spans="1:5" x14ac:dyDescent="0.25">
      <c r="A826" s="7">
        <v>8.8015457123926614E-3</v>
      </c>
      <c r="B826"/>
      <c r="C826"/>
      <c r="D826"/>
      <c r="E826"/>
    </row>
    <row r="827" spans="1:5" x14ac:dyDescent="0.25">
      <c r="A827" s="7">
        <v>8.6289663846986879E-3</v>
      </c>
      <c r="B827"/>
      <c r="C827"/>
      <c r="D827"/>
      <c r="E827"/>
    </row>
    <row r="828" spans="1:5" x14ac:dyDescent="0.25">
      <c r="A828" s="7">
        <v>8.4597709653908715E-3</v>
      </c>
      <c r="B828"/>
      <c r="C828"/>
      <c r="D828"/>
      <c r="E828"/>
    </row>
    <row r="829" spans="1:5" x14ac:dyDescent="0.25">
      <c r="A829" s="7">
        <v>8.2938931033243839E-3</v>
      </c>
      <c r="B829"/>
      <c r="C829"/>
      <c r="D829"/>
      <c r="E829"/>
    </row>
    <row r="830" spans="1:5" x14ac:dyDescent="0.25">
      <c r="A830" s="7">
        <v>8.1312677483572383E-3</v>
      </c>
      <c r="B830"/>
      <c r="C830"/>
      <c r="D830"/>
      <c r="E830"/>
    </row>
    <row r="831" spans="1:5" x14ac:dyDescent="0.25">
      <c r="A831" s="7">
        <v>7.9718311258404305E-3</v>
      </c>
      <c r="B831"/>
      <c r="C831"/>
      <c r="D831"/>
      <c r="E831"/>
    </row>
    <row r="832" spans="1:5" x14ac:dyDescent="0.25">
      <c r="A832" s="7">
        <v>7.8155207116082648E-3</v>
      </c>
      <c r="B832"/>
      <c r="C832"/>
      <c r="D832"/>
      <c r="E832"/>
    </row>
    <row r="833" spans="1:5" x14ac:dyDescent="0.25">
      <c r="A833" s="7">
        <v>7.6622752074590825E-3</v>
      </c>
      <c r="B833"/>
      <c r="C833"/>
      <c r="D833"/>
      <c r="E833"/>
    </row>
    <row r="834" spans="1:5" x14ac:dyDescent="0.25">
      <c r="A834" s="7">
        <v>7.5120345171167469E-3</v>
      </c>
      <c r="B834"/>
      <c r="C834"/>
      <c r="D834"/>
      <c r="E834"/>
    </row>
    <row r="835" spans="1:5" x14ac:dyDescent="0.25">
      <c r="A835" s="7">
        <v>7.3647397226634772E-3</v>
      </c>
      <c r="B835"/>
      <c r="C835"/>
      <c r="D835"/>
      <c r="E835"/>
    </row>
    <row r="836" spans="1:5" x14ac:dyDescent="0.25">
      <c r="A836" s="7">
        <v>7.2203330614347815E-3</v>
      </c>
      <c r="B836"/>
      <c r="C836"/>
      <c r="D836"/>
      <c r="E836"/>
    </row>
    <row r="837" spans="1:5" x14ac:dyDescent="0.25">
      <c r="A837" s="7">
        <v>7.0787579033674327E-3</v>
      </c>
      <c r="B837"/>
      <c r="C837"/>
      <c r="D837"/>
      <c r="E837"/>
    </row>
    <row r="838" spans="1:5" x14ac:dyDescent="0.25">
      <c r="A838" s="7">
        <v>6.9399587287916013E-3</v>
      </c>
      <c r="B838"/>
      <c r="C838"/>
      <c r="D838"/>
      <c r="E838"/>
    </row>
    <row r="839" spans="1:5" x14ac:dyDescent="0.25">
      <c r="A839" s="7">
        <v>6.8038811066584333E-3</v>
      </c>
      <c r="B839"/>
      <c r="C839"/>
      <c r="D839"/>
      <c r="E839"/>
    </row>
    <row r="840" spans="1:5" x14ac:dyDescent="0.25">
      <c r="A840" s="7">
        <v>6.6704716731945425E-3</v>
      </c>
      <c r="B840"/>
      <c r="C840"/>
      <c r="D840"/>
      <c r="E840"/>
    </row>
    <row r="841" spans="1:5" x14ac:dyDescent="0.25">
      <c r="A841" s="7">
        <v>6.5396781109750427E-3</v>
      </c>
      <c r="B841"/>
      <c r="C841"/>
      <c r="D841"/>
      <c r="E841"/>
    </row>
    <row r="842" spans="1:5" x14ac:dyDescent="0.25">
      <c r="A842" s="7">
        <v>6.4114491284069045E-3</v>
      </c>
      <c r="B842"/>
      <c r="C842"/>
      <c r="D842"/>
      <c r="E842"/>
    </row>
    <row r="843" spans="1:5" x14ac:dyDescent="0.25">
      <c r="A843" s="7">
        <v>6.2857344396146115E-3</v>
      </c>
      <c r="B843"/>
      <c r="C843"/>
      <c r="D843"/>
      <c r="E843"/>
    </row>
    <row r="844" spans="1:5" x14ac:dyDescent="0.25">
      <c r="A844" s="7">
        <v>6.1624847447202076E-3</v>
      </c>
      <c r="B844"/>
      <c r="C844"/>
      <c r="D844"/>
      <c r="E844"/>
    </row>
    <row r="845" spans="1:5" x14ac:dyDescent="0.25">
      <c r="A845" s="7">
        <v>6.0416517105100079E-3</v>
      </c>
      <c r="B845"/>
      <c r="C845"/>
      <c r="D845"/>
      <c r="E845"/>
    </row>
    <row r="846" spans="1:5" x14ac:dyDescent="0.25">
      <c r="A846" s="7">
        <v>5.9231879514803996E-3</v>
      </c>
      <c r="B846"/>
      <c r="C846"/>
      <c r="D846"/>
      <c r="E846"/>
    </row>
    <row r="847" spans="1:5" x14ac:dyDescent="0.25">
      <c r="A847" s="7">
        <v>5.8070470112552936E-3</v>
      </c>
      <c r="B847"/>
      <c r="C847"/>
      <c r="D847"/>
      <c r="E847"/>
    </row>
    <row r="848" spans="1:5" x14ac:dyDescent="0.25">
      <c r="A848" s="7">
        <v>5.6931833443679353E-3</v>
      </c>
      <c r="B848"/>
      <c r="C848"/>
      <c r="D848"/>
      <c r="E848"/>
    </row>
    <row r="849" spans="1:5" x14ac:dyDescent="0.25">
      <c r="A849" s="7">
        <v>5.5815522983999367E-3</v>
      </c>
      <c r="B849"/>
      <c r="C849"/>
      <c r="D849"/>
      <c r="E849"/>
    </row>
    <row r="850" spans="1:5" x14ac:dyDescent="0.25">
      <c r="A850" s="7">
        <v>5.4721100964705257E-3</v>
      </c>
      <c r="B850"/>
      <c r="C850"/>
      <c r="D850"/>
      <c r="E850"/>
    </row>
    <row r="851" spans="1:5" x14ac:dyDescent="0.25">
      <c r="A851" s="7">
        <v>5.3648138200691423E-3</v>
      </c>
      <c r="B851"/>
      <c r="C851"/>
      <c r="D851"/>
      <c r="E851"/>
    </row>
    <row r="852" spans="1:5" x14ac:dyDescent="0.25">
      <c r="A852" s="7">
        <v>5.2596213922246494E-3</v>
      </c>
      <c r="B852"/>
      <c r="C852"/>
      <c r="D852"/>
      <c r="E852"/>
    </row>
    <row r="853" spans="1:5" x14ac:dyDescent="0.25">
      <c r="A853" s="7">
        <v>5.1564915610045588E-3</v>
      </c>
      <c r="B853"/>
      <c r="C853"/>
      <c r="D853"/>
      <c r="E853"/>
    </row>
    <row r="854" spans="1:5" x14ac:dyDescent="0.25">
      <c r="A854" s="7">
        <v>5.0553838833378023E-3</v>
      </c>
      <c r="B854"/>
      <c r="C854"/>
      <c r="D854"/>
      <c r="E854"/>
    </row>
    <row r="855" spans="1:5" x14ac:dyDescent="0.25">
      <c r="A855" s="7">
        <v>4.9562587091547079E-3</v>
      </c>
      <c r="B855"/>
      <c r="C855"/>
      <c r="D855"/>
      <c r="E855"/>
    </row>
    <row r="856" spans="1:5" x14ac:dyDescent="0.25">
      <c r="A856" s="7">
        <v>4.8590771658379491E-3</v>
      </c>
      <c r="B856"/>
      <c r="C856"/>
      <c r="D856"/>
      <c r="E856"/>
    </row>
    <row r="857" spans="1:5" x14ac:dyDescent="0.25">
      <c r="A857" s="7">
        <v>4.7638011429783815E-3</v>
      </c>
      <c r="B857"/>
      <c r="C857"/>
      <c r="D857"/>
      <c r="E857"/>
    </row>
    <row r="858" spans="1:5" x14ac:dyDescent="0.25">
      <c r="A858" s="7">
        <v>4.6703932774297859E-3</v>
      </c>
      <c r="B858"/>
      <c r="C858"/>
      <c r="D858"/>
      <c r="E858"/>
    </row>
    <row r="859" spans="1:5" x14ac:dyDescent="0.25">
      <c r="A859" s="7">
        <v>4.5788169386566527E-3</v>
      </c>
      <c r="B859"/>
      <c r="C859"/>
      <c r="D859"/>
      <c r="E859"/>
    </row>
    <row r="860" spans="1:5" x14ac:dyDescent="0.25">
      <c r="A860" s="7">
        <v>4.4890362143692672E-3</v>
      </c>
      <c r="B860"/>
      <c r="C860"/>
      <c r="D860"/>
      <c r="E860"/>
    </row>
    <row r="861" spans="1:5" x14ac:dyDescent="0.25">
      <c r="A861" s="7">
        <v>4.4010158964404578E-3</v>
      </c>
      <c r="B861"/>
      <c r="C861"/>
      <c r="D861"/>
      <c r="E861"/>
    </row>
    <row r="862" spans="1:5" x14ac:dyDescent="0.25">
      <c r="A862" s="7">
        <v>4.314721467098488E-3</v>
      </c>
      <c r="B862"/>
      <c r="C862"/>
      <c r="D862"/>
      <c r="E862"/>
    </row>
    <row r="863" spans="1:5" x14ac:dyDescent="0.25">
      <c r="A863" s="7">
        <v>4.2301190853906746E-3</v>
      </c>
      <c r="B863"/>
      <c r="C863"/>
      <c r="D863"/>
      <c r="E863"/>
    </row>
    <row r="864" spans="1:5" x14ac:dyDescent="0.25">
      <c r="A864" s="7">
        <v>4.1471755739124266E-3</v>
      </c>
      <c r="B864"/>
      <c r="C864"/>
      <c r="D864"/>
      <c r="E864"/>
    </row>
    <row r="865" spans="1:5" x14ac:dyDescent="0.25">
      <c r="A865" s="7">
        <v>4.0658584057964966E-3</v>
      </c>
      <c r="B865"/>
      <c r="C865"/>
      <c r="D865"/>
      <c r="E865"/>
    </row>
    <row r="866" spans="1:5" x14ac:dyDescent="0.25">
      <c r="A866" s="7">
        <v>3.9861356919573491E-3</v>
      </c>
      <c r="B866"/>
      <c r="C866"/>
      <c r="D866"/>
      <c r="E866"/>
    </row>
    <row r="867" spans="1:5" x14ac:dyDescent="0.25">
      <c r="A867" s="7">
        <v>3.9079761685856364E-3</v>
      </c>
      <c r="B867"/>
      <c r="C867"/>
      <c r="D867"/>
      <c r="E867"/>
    </row>
    <row r="868" spans="1:5" x14ac:dyDescent="0.25">
      <c r="A868" s="7">
        <v>3.8313491848878793E-3</v>
      </c>
      <c r="B868"/>
      <c r="C868"/>
      <c r="D868"/>
      <c r="E868"/>
    </row>
    <row r="869" spans="1:5" x14ac:dyDescent="0.25">
      <c r="A869" s="7">
        <v>3.7562246910665485E-3</v>
      </c>
      <c r="B869"/>
      <c r="C869"/>
      <c r="D869"/>
      <c r="E869"/>
    </row>
    <row r="870" spans="1:5" x14ac:dyDescent="0.25">
      <c r="A870" s="7">
        <v>3.6825732265358315E-3</v>
      </c>
      <c r="B870"/>
      <c r="C870"/>
      <c r="D870"/>
      <c r="E870"/>
    </row>
    <row r="871" spans="1:5" x14ac:dyDescent="0.25">
      <c r="A871" s="7">
        <v>3.6103659083684624E-3</v>
      </c>
      <c r="B871"/>
      <c r="C871"/>
      <c r="D871"/>
      <c r="E871"/>
    </row>
    <row r="872" spans="1:5" x14ac:dyDescent="0.25">
      <c r="A872" s="7">
        <v>3.539574419969081E-3</v>
      </c>
      <c r="B872"/>
      <c r="C872"/>
      <c r="D872"/>
      <c r="E872"/>
    </row>
    <row r="873" spans="1:5" x14ac:dyDescent="0.25">
      <c r="A873" s="7">
        <v>3.4701709999696872E-3</v>
      </c>
      <c r="B873"/>
      <c r="C873"/>
      <c r="D873"/>
      <c r="E873"/>
    </row>
    <row r="874" spans="1:5" x14ac:dyDescent="0.25">
      <c r="A874" s="7">
        <v>3.4021284313428307E-3</v>
      </c>
      <c r="B874"/>
      <c r="C874"/>
      <c r="D874"/>
      <c r="E874"/>
    </row>
    <row r="875" spans="1:5" x14ac:dyDescent="0.25">
      <c r="A875" s="7">
        <v>3.3354200307282654E-3</v>
      </c>
      <c r="B875"/>
      <c r="C875"/>
      <c r="D875"/>
      <c r="E875"/>
    </row>
    <row r="876" spans="1:5" x14ac:dyDescent="0.25">
      <c r="A876" s="7">
        <v>3.2700196379688881E-3</v>
      </c>
      <c r="B876"/>
      <c r="C876"/>
      <c r="D876"/>
      <c r="E876"/>
    </row>
    <row r="877" spans="1:5" x14ac:dyDescent="0.25">
      <c r="A877" s="7">
        <v>3.205901605851851E-3</v>
      </c>
      <c r="B877"/>
      <c r="C877"/>
      <c r="D877"/>
      <c r="E877"/>
    </row>
    <row r="878" spans="1:5" x14ac:dyDescent="0.25">
      <c r="A878" s="7">
        <v>3.1430407900508344E-3</v>
      </c>
      <c r="B878"/>
      <c r="C878"/>
      <c r="D878"/>
      <c r="E878"/>
    </row>
    <row r="879" spans="1:5" x14ac:dyDescent="0.25">
      <c r="A879" s="7">
        <v>3.0814125392655241E-3</v>
      </c>
      <c r="B879"/>
      <c r="C879"/>
      <c r="D879"/>
      <c r="E879"/>
    </row>
    <row r="880" spans="1:5" x14ac:dyDescent="0.25">
      <c r="A880" s="7">
        <v>3.0209926855544354E-3</v>
      </c>
      <c r="B880"/>
      <c r="C880"/>
      <c r="D880"/>
      <c r="E880"/>
    </row>
    <row r="881" spans="1:5" x14ac:dyDescent="0.25">
      <c r="A881" s="7">
        <v>2.9617575348572897E-3</v>
      </c>
      <c r="B881"/>
      <c r="C881"/>
      <c r="D881"/>
      <c r="E881"/>
    </row>
    <row r="882" spans="1:5" x14ac:dyDescent="0.25">
      <c r="A882" s="7">
        <v>2.9036838577032251E-3</v>
      </c>
      <c r="B882"/>
      <c r="C882"/>
      <c r="D882"/>
      <c r="E882"/>
    </row>
    <row r="883" spans="1:5" x14ac:dyDescent="0.25">
      <c r="A883" s="7">
        <v>2.8467488801012012E-3</v>
      </c>
      <c r="B883"/>
      <c r="C883"/>
      <c r="D883"/>
      <c r="E883"/>
    </row>
    <row r="884" spans="1:5" x14ac:dyDescent="0.25">
      <c r="A884" s="7">
        <v>2.7909302746090209E-3</v>
      </c>
      <c r="B884"/>
      <c r="C884"/>
      <c r="D884"/>
      <c r="E884"/>
    </row>
    <row r="885" spans="1:5" x14ac:dyDescent="0.25">
      <c r="A885" s="7">
        <v>2.7362061515774716E-3</v>
      </c>
      <c r="B885"/>
      <c r="C885"/>
      <c r="D885"/>
      <c r="E885"/>
    </row>
    <row r="886" spans="1:5" x14ac:dyDescent="0.25">
      <c r="A886" s="7">
        <v>2.6825550505661486E-3</v>
      </c>
      <c r="B886"/>
      <c r="C886"/>
      <c r="D886"/>
      <c r="E886"/>
    </row>
    <row r="887" spans="1:5" x14ac:dyDescent="0.25">
      <c r="A887" s="7">
        <v>2.6299559319275965E-3</v>
      </c>
      <c r="B887"/>
      <c r="C887"/>
      <c r="D887"/>
      <c r="E887"/>
    </row>
    <row r="888" spans="1:5" x14ac:dyDescent="0.25">
      <c r="A888" s="7">
        <v>2.578388168556467E-3</v>
      </c>
      <c r="B888"/>
      <c r="C888"/>
      <c r="D888"/>
      <c r="E888"/>
    </row>
    <row r="889" spans="1:5" x14ac:dyDescent="0.25">
      <c r="A889" s="7">
        <v>2.5278315378004577E-3</v>
      </c>
      <c r="B889"/>
      <c r="C889"/>
      <c r="D889"/>
      <c r="E889"/>
    </row>
    <row r="890" spans="1:5" x14ac:dyDescent="0.25">
      <c r="A890" s="7">
        <v>2.4782662135298603E-3</v>
      </c>
      <c r="B890"/>
      <c r="C890"/>
      <c r="D890"/>
      <c r="E890"/>
    </row>
    <row r="891" spans="1:5" x14ac:dyDescent="0.25">
      <c r="A891" s="7">
        <v>2.4296727583626083E-3</v>
      </c>
      <c r="B891"/>
      <c r="C891"/>
      <c r="D891"/>
      <c r="E891"/>
    </row>
    <row r="892" spans="1:5" x14ac:dyDescent="0.25">
      <c r="A892" s="7">
        <v>2.3820321160417726E-3</v>
      </c>
      <c r="B892"/>
      <c r="C892"/>
      <c r="D892"/>
      <c r="E892"/>
    </row>
    <row r="893" spans="1:5" x14ac:dyDescent="0.25">
      <c r="A893" s="7">
        <v>2.3353256039625224E-3</v>
      </c>
      <c r="B893"/>
      <c r="C893"/>
      <c r="D893"/>
      <c r="E893"/>
    </row>
    <row r="894" spans="1:5" x14ac:dyDescent="0.25">
      <c r="A894" s="7">
        <v>2.2895349058456101E-3</v>
      </c>
      <c r="B894"/>
      <c r="C894"/>
      <c r="D894"/>
      <c r="E894"/>
    </row>
    <row r="895" spans="1:5" x14ac:dyDescent="0.25">
      <c r="A895" s="7">
        <v>2.24464206455452E-3</v>
      </c>
      <c r="B895"/>
      <c r="C895"/>
      <c r="D895"/>
      <c r="E895"/>
    </row>
    <row r="896" spans="1:5" x14ac:dyDescent="0.25">
      <c r="A896" s="7">
        <v>2.200629475053451E-3</v>
      </c>
      <c r="B896"/>
      <c r="C896"/>
      <c r="D896"/>
      <c r="E896"/>
    </row>
    <row r="897" spans="1:5" x14ac:dyDescent="0.25">
      <c r="A897" s="7">
        <v>2.1574798775033832E-3</v>
      </c>
      <c r="B897"/>
      <c r="C897"/>
      <c r="D897"/>
      <c r="E897"/>
    </row>
    <row r="898" spans="1:5" x14ac:dyDescent="0.25">
      <c r="A898" s="7">
        <v>2.115176350493513E-3</v>
      </c>
      <c r="B898"/>
      <c r="C898"/>
      <c r="D898"/>
      <c r="E898"/>
    </row>
    <row r="899" spans="1:5" x14ac:dyDescent="0.25">
      <c r="A899" s="7">
        <v>2.0737023044054047E-3</v>
      </c>
      <c r="B899"/>
      <c r="C899"/>
      <c r="D899"/>
      <c r="E899"/>
    </row>
    <row r="900" spans="1:5" x14ac:dyDescent="0.25">
      <c r="A900" s="7">
        <v>2.0330414749072595E-3</v>
      </c>
      <c r="B900"/>
      <c r="C900"/>
      <c r="D900"/>
      <c r="E900"/>
    </row>
    <row r="901" spans="1:5" x14ac:dyDescent="0.25">
      <c r="A901" s="7">
        <v>1.9931779165757446E-3</v>
      </c>
      <c r="B901"/>
      <c r="C901"/>
      <c r="D901"/>
      <c r="E901"/>
    </row>
    <row r="902" spans="1:5" x14ac:dyDescent="0.25">
      <c r="A902" s="7">
        <v>1.954095996642887E-3</v>
      </c>
      <c r="B902"/>
      <c r="C902"/>
      <c r="D902"/>
      <c r="E902"/>
    </row>
    <row r="903" spans="1:5" x14ac:dyDescent="0.25">
      <c r="A903" s="7">
        <v>1.9157803888655755E-3</v>
      </c>
      <c r="B903"/>
      <c r="C903"/>
      <c r="D903"/>
      <c r="E903"/>
    </row>
    <row r="904" spans="1:5" x14ac:dyDescent="0.25">
      <c r="A904" s="7">
        <v>1.8782160675152703E-3</v>
      </c>
      <c r="B904"/>
      <c r="C904"/>
      <c r="D904"/>
      <c r="E904"/>
    </row>
    <row r="905" spans="1:5" x14ac:dyDescent="0.25">
      <c r="A905" s="7">
        <v>1.8413883014855592E-3</v>
      </c>
      <c r="B905"/>
      <c r="C905"/>
      <c r="D905"/>
      <c r="E905"/>
    </row>
    <row r="906" spans="1:5" x14ac:dyDescent="0.25">
      <c r="A906" s="7">
        <v>1.8052826485152542E-3</v>
      </c>
      <c r="B906"/>
      <c r="C906"/>
      <c r="D906"/>
      <c r="E906"/>
    </row>
    <row r="907" spans="1:5" x14ac:dyDescent="0.25">
      <c r="A907" s="7">
        <v>1.7698849495247592E-3</v>
      </c>
      <c r="B907"/>
      <c r="C907"/>
      <c r="D907"/>
      <c r="E907"/>
    </row>
    <row r="908" spans="1:5" x14ac:dyDescent="0.25">
      <c r="A908" s="7">
        <v>1.7351813230634893E-3</v>
      </c>
      <c r="B908"/>
      <c r="C908"/>
      <c r="D908"/>
      <c r="E908"/>
    </row>
    <row r="909" spans="1:5" x14ac:dyDescent="0.25">
      <c r="A909" s="7">
        <v>1.701158159866166E-3</v>
      </c>
      <c r="B909"/>
      <c r="C909"/>
      <c r="D909"/>
      <c r="E909"/>
    </row>
    <row r="910" spans="1:5" x14ac:dyDescent="0.25">
      <c r="A910" s="7">
        <v>1.6678021175158492E-3</v>
      </c>
      <c r="B910"/>
      <c r="C910"/>
      <c r="D910"/>
      <c r="E910"/>
    </row>
    <row r="911" spans="1:5" x14ac:dyDescent="0.25">
      <c r="A911" s="7">
        <v>1.6351001152116167E-3</v>
      </c>
      <c r="B911"/>
      <c r="C911"/>
      <c r="D911"/>
      <c r="E911"/>
    </row>
    <row r="912" spans="1:5" x14ac:dyDescent="0.25">
      <c r="A912" s="7">
        <v>1.60303932863884E-3</v>
      </c>
      <c r="B912"/>
      <c r="C912"/>
      <c r="D912"/>
      <c r="E912"/>
    </row>
    <row r="913" spans="1:5" x14ac:dyDescent="0.25">
      <c r="A913" s="7">
        <v>1.5716071849400392E-3</v>
      </c>
      <c r="B913"/>
      <c r="C913"/>
      <c r="D913"/>
      <c r="E913"/>
    </row>
    <row r="914" spans="1:5" x14ac:dyDescent="0.25">
      <c r="A914" s="7">
        <v>1.5407913577843522E-3</v>
      </c>
      <c r="B914"/>
      <c r="C914"/>
      <c r="D914"/>
      <c r="E914"/>
    </row>
    <row r="915" spans="1:5" x14ac:dyDescent="0.25">
      <c r="A915" s="7">
        <v>1.5105797625336785E-3</v>
      </c>
      <c r="B915"/>
      <c r="C915"/>
      <c r="D915"/>
      <c r="E915"/>
    </row>
    <row r="916" spans="1:5" x14ac:dyDescent="0.25">
      <c r="A916" s="7">
        <v>1.4809605515036064E-3</v>
      </c>
      <c r="B916"/>
      <c r="C916"/>
      <c r="D916"/>
      <c r="E916"/>
    </row>
    <row r="917" spans="1:5" x14ac:dyDescent="0.25">
      <c r="A917" s="7">
        <v>1.4519221093172612E-3</v>
      </c>
      <c r="B917"/>
      <c r="C917"/>
      <c r="D917"/>
      <c r="E917"/>
    </row>
    <row r="918" spans="1:5" x14ac:dyDescent="0.25">
      <c r="A918" s="7">
        <v>1.423453048350256E-3</v>
      </c>
      <c r="B918"/>
      <c r="C918"/>
      <c r="D918"/>
      <c r="E918"/>
    </row>
    <row r="919" spans="1:5" x14ac:dyDescent="0.25">
      <c r="A919" s="7">
        <v>1.3955422042649568E-3</v>
      </c>
      <c r="B919"/>
      <c r="C919"/>
      <c r="D919"/>
      <c r="E919"/>
    </row>
    <row r="920" spans="1:5" x14ac:dyDescent="0.25">
      <c r="A920" s="7">
        <v>1.3681786316323105E-3</v>
      </c>
      <c r="B920"/>
      <c r="C920"/>
      <c r="D920"/>
      <c r="E920"/>
    </row>
    <row r="921" spans="1:5" x14ac:dyDescent="0.25">
      <c r="A921" s="7">
        <v>1.3413515996395203E-3</v>
      </c>
      <c r="B921"/>
      <c r="C921"/>
      <c r="D921"/>
      <c r="E921"/>
    </row>
    <row r="922" spans="1:5" x14ac:dyDescent="0.25">
      <c r="A922" s="7">
        <v>1.3150505878818826E-3</v>
      </c>
      <c r="B922"/>
      <c r="C922"/>
      <c r="D922"/>
      <c r="E922"/>
    </row>
    <row r="923" spans="1:5" x14ac:dyDescent="0.25">
      <c r="A923" s="7">
        <v>1.2892652822371396E-3</v>
      </c>
      <c r="B923"/>
      <c r="C923"/>
      <c r="D923"/>
      <c r="E923"/>
    </row>
    <row r="924" spans="1:5" x14ac:dyDescent="0.25">
      <c r="A924" s="7">
        <v>1.2639855708207251E-3</v>
      </c>
      <c r="B924"/>
      <c r="C924"/>
      <c r="D924"/>
      <c r="E924"/>
    </row>
    <row r="925" spans="1:5" x14ac:dyDescent="0.25">
      <c r="A925" s="7">
        <v>1.2392015400203187E-3</v>
      </c>
      <c r="B925"/>
      <c r="C925"/>
      <c r="D925"/>
      <c r="E925"/>
    </row>
    <row r="926" spans="1:5" x14ac:dyDescent="0.25">
      <c r="A926" s="7">
        <v>1.2149034706081556E-3</v>
      </c>
      <c r="B926"/>
      <c r="C926"/>
      <c r="D926"/>
      <c r="E926"/>
    </row>
    <row r="927" spans="1:5" x14ac:dyDescent="0.25">
      <c r="A927" s="7">
        <v>1.1910818339295644E-3</v>
      </c>
      <c r="B927"/>
      <c r="C927"/>
      <c r="D927"/>
      <c r="E927"/>
    </row>
    <row r="928" spans="1:5" x14ac:dyDescent="0.25">
      <c r="A928" s="7">
        <v>1.1677272881662395E-3</v>
      </c>
      <c r="B928"/>
      <c r="C928"/>
      <c r="D928"/>
      <c r="E928"/>
    </row>
    <row r="929" spans="1:5" x14ac:dyDescent="0.25">
      <c r="A929" s="7">
        <v>1.1448306746727837E-3</v>
      </c>
      <c r="B929"/>
      <c r="C929"/>
      <c r="D929"/>
      <c r="E929"/>
    </row>
    <row r="930" spans="1:5" x14ac:dyDescent="0.25">
      <c r="A930" s="7">
        <v>1.1223830143850821E-3</v>
      </c>
      <c r="B930"/>
      <c r="C930"/>
      <c r="D930"/>
      <c r="E930"/>
    </row>
    <row r="931" spans="1:5" x14ac:dyDescent="0.25">
      <c r="A931" s="7">
        <v>1.1003755042991001E-3</v>
      </c>
      <c r="B931"/>
      <c r="C931"/>
      <c r="D931"/>
      <c r="E931"/>
    </row>
    <row r="932" spans="1:5" x14ac:dyDescent="0.25">
      <c r="A932" s="7">
        <v>1.0787995140187257E-3</v>
      </c>
      <c r="B932"/>
      <c r="C932"/>
      <c r="D932"/>
      <c r="E932"/>
    </row>
    <row r="933" spans="1:5" x14ac:dyDescent="0.25">
      <c r="A933" s="7">
        <v>1.0576465823712996E-3</v>
      </c>
      <c r="B933"/>
      <c r="C933"/>
      <c r="D933"/>
      <c r="E933"/>
    </row>
    <row r="934" spans="1:5" x14ac:dyDescent="0.25">
      <c r="A934" s="7">
        <v>1.0369084140895094E-3</v>
      </c>
      <c r="B934"/>
      <c r="C934"/>
      <c r="D934"/>
      <c r="E934"/>
    </row>
    <row r="935" spans="1:5" x14ac:dyDescent="0.25">
      <c r="A935" s="7">
        <v>1.0165768765583426E-3</v>
      </c>
      <c r="B935"/>
      <c r="C935"/>
      <c r="D935"/>
      <c r="E935"/>
    </row>
    <row r="936" spans="1:5" x14ac:dyDescent="0.25">
      <c r="A936" s="7">
        <v>9.966439966258261E-4</v>
      </c>
      <c r="B936"/>
      <c r="C936"/>
      <c r="D936"/>
      <c r="E936"/>
    </row>
  </sheetData>
  <conditionalFormatting sqref="C27">
    <cfRule type="cellIs" dxfId="90" priority="1030" operator="equal">
      <formula>$U$1</formula>
    </cfRule>
    <cfRule type="cellIs" dxfId="89" priority="1031" operator="equal">
      <formula>$S$1</formula>
    </cfRule>
  </conditionalFormatting>
  <conditionalFormatting sqref="D27">
    <cfRule type="cellIs" dxfId="88" priority="1028" operator="equal">
      <formula>$S$1</formula>
    </cfRule>
    <cfRule type="cellIs" dxfId="87" priority="1029" operator="equal">
      <formula>$U$1</formula>
    </cfRule>
  </conditionalFormatting>
  <conditionalFormatting sqref="C164">
    <cfRule type="cellIs" dxfId="86" priority="1026" operator="equal">
      <formula>$U$1</formula>
    </cfRule>
    <cfRule type="cellIs" dxfId="85" priority="1027" operator="equal">
      <formula>$S$1</formula>
    </cfRule>
  </conditionalFormatting>
  <conditionalFormatting sqref="D164">
    <cfRule type="cellIs" dxfId="84" priority="1024" operator="equal">
      <formula>$S$1</formula>
    </cfRule>
    <cfRule type="cellIs" dxfId="83" priority="1025" operator="equal">
      <formula>$U$1</formula>
    </cfRule>
  </conditionalFormatting>
  <conditionalFormatting sqref="C55">
    <cfRule type="cellIs" dxfId="82" priority="1022" operator="equal">
      <formula>$U$1</formula>
    </cfRule>
    <cfRule type="cellIs" dxfId="81" priority="1023" operator="equal">
      <formula>$S$1</formula>
    </cfRule>
  </conditionalFormatting>
  <conditionalFormatting sqref="D55">
    <cfRule type="cellIs" dxfId="80" priority="1020" operator="equal">
      <formula>$S$1</formula>
    </cfRule>
    <cfRule type="cellIs" dxfId="79" priority="1021" operator="equal">
      <formula>$U$1</formula>
    </cfRule>
  </conditionalFormatting>
  <conditionalFormatting sqref="C89">
    <cfRule type="cellIs" dxfId="78" priority="1018" operator="equal">
      <formula>$U$1</formula>
    </cfRule>
    <cfRule type="cellIs" dxfId="77" priority="1019" operator="equal">
      <formula>$S$1</formula>
    </cfRule>
  </conditionalFormatting>
  <conditionalFormatting sqref="D89">
    <cfRule type="cellIs" dxfId="76" priority="1016" operator="equal">
      <formula>$S$1</formula>
    </cfRule>
    <cfRule type="cellIs" dxfId="75" priority="1017" operator="equal">
      <formula>$U$1</formula>
    </cfRule>
  </conditionalFormatting>
  <conditionalFormatting sqref="C136">
    <cfRule type="cellIs" dxfId="74" priority="1014" operator="equal">
      <formula>$U$1</formula>
    </cfRule>
    <cfRule type="cellIs" dxfId="73" priority="1015" operator="equal">
      <formula>$S$1</formula>
    </cfRule>
  </conditionalFormatting>
  <conditionalFormatting sqref="D136">
    <cfRule type="cellIs" dxfId="72" priority="1012" operator="equal">
      <formula>$S$1</formula>
    </cfRule>
    <cfRule type="cellIs" dxfId="71" priority="1013" operator="equal">
      <formula>$U$1</formula>
    </cfRule>
  </conditionalFormatting>
  <conditionalFormatting sqref="C1">
    <cfRule type="cellIs" dxfId="70" priority="1011" operator="lessThan">
      <formula>$A$2</formula>
    </cfRule>
  </conditionalFormatting>
  <conditionalFormatting sqref="D130">
    <cfRule type="cellIs" dxfId="6" priority="1" operator="lessThan">
      <formula>$A$2</formula>
    </cfRule>
  </conditionalFormatting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>
    <tabColor rgb="FF00B0F0"/>
  </sheetPr>
  <dimension ref="A1:ZZ807"/>
  <sheetViews>
    <sheetView topLeftCell="A372" zoomScale="90" zoomScaleNormal="90" workbookViewId="0">
      <pane xSplit="4" topLeftCell="G1" activePane="topRight" state="frozen"/>
      <selection activeCell="A109" sqref="A109"/>
      <selection pane="topRight" activeCell="EW232" sqref="EW232"/>
    </sheetView>
  </sheetViews>
  <sheetFormatPr defaultRowHeight="15" x14ac:dyDescent="0.25"/>
  <cols>
    <col min="1" max="1" width="10.7109375" style="30" customWidth="1"/>
    <col min="2" max="5" width="10.7109375" style="1" hidden="1" customWidth="1"/>
    <col min="6" max="6" width="10.7109375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4" spans="1:21" x14ac:dyDescent="0.25">
      <c r="A4" s="30">
        <v>100155.44859784204</v>
      </c>
    </row>
    <row r="5" spans="1:21" x14ac:dyDescent="0.25">
      <c r="A5" s="30">
        <v>95386.141521754325</v>
      </c>
    </row>
    <row r="6" spans="1:21" x14ac:dyDescent="0.25">
      <c r="A6" s="30">
        <v>90843.944306432692</v>
      </c>
    </row>
    <row r="7" spans="1:21" x14ac:dyDescent="0.25">
      <c r="A7" s="30">
        <v>86518.042196602561</v>
      </c>
    </row>
    <row r="8" spans="1:21" x14ac:dyDescent="0.25">
      <c r="A8" s="30">
        <v>82398.135425335771</v>
      </c>
    </row>
    <row r="9" spans="1:21" x14ac:dyDescent="0.25">
      <c r="A9" s="30">
        <v>78474.414690795966</v>
      </c>
    </row>
    <row r="10" spans="1:21" x14ac:dyDescent="0.25">
      <c r="A10" s="30">
        <v>74737.537800758058</v>
      </c>
    </row>
    <row r="11" spans="1:21" x14ac:dyDescent="0.25">
      <c r="A11" s="30">
        <v>71178.607429293392</v>
      </c>
    </row>
    <row r="12" spans="1:21" x14ac:dyDescent="0.25">
      <c r="A12" s="30">
        <v>67789.149932660366</v>
      </c>
    </row>
    <row r="13" spans="1:21" x14ac:dyDescent="0.25">
      <c r="A13" s="30">
        <v>64561.095173962254</v>
      </c>
    </row>
    <row r="14" spans="1:21" x14ac:dyDescent="0.25">
      <c r="A14" s="30">
        <v>61486.757308535474</v>
      </c>
    </row>
    <row r="15" spans="1:21" x14ac:dyDescent="0.25">
      <c r="A15" s="30">
        <v>58558.816484319497</v>
      </c>
    </row>
    <row r="16" spans="1:21" x14ac:dyDescent="0.25">
      <c r="A16" s="30">
        <v>55770.301413637615</v>
      </c>
    </row>
    <row r="17" spans="1:7" x14ac:dyDescent="0.25">
      <c r="A17" s="30">
        <v>53114.572774892964</v>
      </c>
    </row>
    <row r="18" spans="1:7" x14ac:dyDescent="0.25">
      <c r="A18" s="30">
        <v>50585.307404659965</v>
      </c>
    </row>
    <row r="19" spans="1:7" x14ac:dyDescent="0.25">
      <c r="A19" s="30">
        <v>48176.483242533301</v>
      </c>
    </row>
    <row r="20" spans="1:7" x14ac:dyDescent="0.25">
      <c r="A20" s="30">
        <v>45882.364992888855</v>
      </c>
    </row>
    <row r="21" spans="1:7" x14ac:dyDescent="0.25">
      <c r="A21" s="30">
        <v>43697.490469417957</v>
      </c>
      <c r="C21" s="1" t="s">
        <v>15</v>
      </c>
      <c r="G21" s="11"/>
    </row>
    <row r="22" spans="1:7" x14ac:dyDescent="0.25">
      <c r="A22" s="30">
        <v>41616.657589921859</v>
      </c>
      <c r="C22" s="7">
        <v>0.11686133436193799</v>
      </c>
      <c r="D22"/>
    </row>
    <row r="23" spans="1:7" x14ac:dyDescent="0.25">
      <c r="A23" s="30">
        <v>39634.911990401772</v>
      </c>
    </row>
    <row r="24" spans="1:7" x14ac:dyDescent="0.25">
      <c r="A24" s="30">
        <v>37747.535228954068</v>
      </c>
      <c r="C24" s="1" t="s">
        <v>11</v>
      </c>
      <c r="D24" s="1" t="s">
        <v>12</v>
      </c>
    </row>
    <row r="25" spans="1:7" x14ac:dyDescent="0.25">
      <c r="A25" s="30">
        <v>35950.033551384826</v>
      </c>
      <c r="C25"/>
      <c r="D25"/>
    </row>
    <row r="26" spans="1:7" x14ac:dyDescent="0.25">
      <c r="A26" s="30">
        <v>34238.127191795073</v>
      </c>
    </row>
    <row r="27" spans="1:7" x14ac:dyDescent="0.25">
      <c r="A27" s="30">
        <v>32607.740182661972</v>
      </c>
      <c r="C27" s="1" t="s">
        <v>13</v>
      </c>
    </row>
    <row r="28" spans="1:7" x14ac:dyDescent="0.25">
      <c r="A28" s="30">
        <v>31054.990650154257</v>
      </c>
      <c r="C28" s="1">
        <f>C17</f>
        <v>0</v>
      </c>
    </row>
    <row r="29" spans="1:7" x14ac:dyDescent="0.25">
      <c r="A29" s="30">
        <v>29576.181571575482</v>
      </c>
      <c r="C29"/>
    </row>
    <row r="30" spans="1:7" x14ac:dyDescent="0.25">
      <c r="A30" s="30">
        <v>28167.79197292903</v>
      </c>
      <c r="C30" s="1" t="s">
        <v>14</v>
      </c>
    </row>
    <row r="31" spans="1:7" x14ac:dyDescent="0.25">
      <c r="A31" s="30">
        <v>26826.468545646694</v>
      </c>
      <c r="C31" s="1" t="str">
        <f>IF(C28=$S$1,IF(D25&lt;(C22*0.952380952380952),$S$1,IF(C25&gt;(C22*1.157625),$U$1,"")),"")</f>
        <v/>
      </c>
      <c r="D31" s="1" t="str">
        <f>IF(C28=$U$1,IF(C25&gt;(C22*1.05),$U$1,IF(D25&lt;(C22*0.863837598531476),$S$1,"")),"")</f>
        <v/>
      </c>
    </row>
    <row r="32" spans="1:7" x14ac:dyDescent="0.25">
      <c r="A32" s="30">
        <v>25549.017662520659</v>
      </c>
    </row>
    <row r="33" spans="1:5" x14ac:dyDescent="0.25">
      <c r="A33" s="30">
        <v>24332.397773829198</v>
      </c>
      <c r="E33"/>
    </row>
    <row r="34" spans="1:5" x14ac:dyDescent="0.25">
      <c r="A34" s="30">
        <v>23173.712165551617</v>
      </c>
      <c r="E34"/>
    </row>
    <row r="35" spans="1:5" x14ac:dyDescent="0.25">
      <c r="A35" s="30">
        <v>22070.202062430111</v>
      </c>
      <c r="E35"/>
    </row>
    <row r="36" spans="1:5" x14ac:dyDescent="0.25">
      <c r="A36" s="30">
        <v>21019.240059457246</v>
      </c>
      <c r="E36"/>
    </row>
    <row r="37" spans="1:5" x14ac:dyDescent="0.25">
      <c r="A37" s="30">
        <v>20018.323866149756</v>
      </c>
      <c r="E37"/>
    </row>
    <row r="38" spans="1:5" x14ac:dyDescent="0.25">
      <c r="A38" s="30">
        <v>19065.070348714053</v>
      </c>
      <c r="E38"/>
    </row>
    <row r="39" spans="1:5" x14ac:dyDescent="0.25">
      <c r="A39" s="30">
        <v>18157.209855918143</v>
      </c>
      <c r="E39"/>
    </row>
    <row r="40" spans="1:5" x14ac:dyDescent="0.25">
      <c r="A40" s="30">
        <v>17292.580815160134</v>
      </c>
      <c r="E40"/>
    </row>
    <row r="41" spans="1:5" x14ac:dyDescent="0.25">
      <c r="A41" s="30">
        <v>16469.124585866793</v>
      </c>
      <c r="E41"/>
    </row>
    <row r="42" spans="1:5" x14ac:dyDescent="0.25">
      <c r="A42" s="30">
        <v>15684.880557968376</v>
      </c>
      <c r="E42"/>
    </row>
    <row r="43" spans="1:5" x14ac:dyDescent="0.25">
      <c r="A43" s="30">
        <v>14937.981483779406</v>
      </c>
      <c r="E43"/>
    </row>
    <row r="44" spans="1:5" x14ac:dyDescent="0.25">
      <c r="A44" s="30">
        <v>14226.649032170862</v>
      </c>
      <c r="E44"/>
    </row>
    <row r="45" spans="1:5" x14ac:dyDescent="0.25">
      <c r="A45" s="30">
        <v>13549.18955444844</v>
      </c>
      <c r="E45"/>
    </row>
    <row r="46" spans="1:5" x14ac:dyDescent="0.25">
      <c r="A46" s="30">
        <v>12903.990051855657</v>
      </c>
      <c r="C46" s="1" t="s">
        <v>15</v>
      </c>
      <c r="E46"/>
    </row>
    <row r="47" spans="1:5" x14ac:dyDescent="0.25">
      <c r="A47" s="30">
        <v>12289.514335100625</v>
      </c>
      <c r="C47" s="7">
        <v>0.11686133436193799</v>
      </c>
      <c r="D47"/>
      <c r="E47"/>
    </row>
    <row r="48" spans="1:5" x14ac:dyDescent="0.25">
      <c r="A48" s="30">
        <v>11704.2993667625</v>
      </c>
      <c r="E48"/>
    </row>
    <row r="49" spans="1:5" x14ac:dyDescent="0.25">
      <c r="A49" s="30">
        <v>11146.951777869046</v>
      </c>
      <c r="C49" s="1" t="s">
        <v>11</v>
      </c>
      <c r="D49" s="1" t="s">
        <v>12</v>
      </c>
      <c r="E49"/>
    </row>
    <row r="50" spans="1:5" x14ac:dyDescent="0.25">
      <c r="A50" s="30">
        <v>10616.144550351471</v>
      </c>
      <c r="C50"/>
      <c r="D50"/>
      <c r="E50"/>
    </row>
    <row r="51" spans="1:5" x14ac:dyDescent="0.25">
      <c r="A51" s="30">
        <v>10110.613857477592</v>
      </c>
      <c r="E51"/>
    </row>
    <row r="52" spans="1:5" x14ac:dyDescent="0.25">
      <c r="A52" s="30">
        <v>9629.1560547405643</v>
      </c>
      <c r="C52" s="1" t="s">
        <v>13</v>
      </c>
      <c r="E52"/>
    </row>
    <row r="53" spans="1:5" x14ac:dyDescent="0.25">
      <c r="A53" s="30">
        <v>9170.6248140386324</v>
      </c>
      <c r="C53" s="1">
        <f>C42</f>
        <v>0</v>
      </c>
      <c r="E53"/>
    </row>
    <row r="54" spans="1:5" x14ac:dyDescent="0.25">
      <c r="A54" s="30">
        <v>8733.9283943225073</v>
      </c>
      <c r="C54"/>
      <c r="E54"/>
    </row>
    <row r="55" spans="1:5" x14ac:dyDescent="0.25">
      <c r="A55" s="30">
        <v>8318.027042211912</v>
      </c>
      <c r="C55" s="1" t="s">
        <v>14</v>
      </c>
      <c r="E55"/>
    </row>
    <row r="56" spans="1:5" x14ac:dyDescent="0.25">
      <c r="A56" s="30">
        <v>7921.9305163922963</v>
      </c>
      <c r="C56" s="1" t="str">
        <f>IF(C53=$S$1,IF(D50&lt;(C47*0.952380952380952),$S$1,IF(C50&gt;(C47*1.157625),$U$1,"")),"")</f>
        <v/>
      </c>
      <c r="D56" s="1" t="str">
        <f>IF(C53=$U$1,IF(C50&gt;(C47*1.05),$U$1,IF(D50&lt;(C47*0.863837598531476),$S$1,"")),"")</f>
        <v/>
      </c>
      <c r="E56"/>
    </row>
    <row r="57" spans="1:5" x14ac:dyDescent="0.25">
      <c r="A57" s="30">
        <v>7544.6957298974248</v>
      </c>
      <c r="E57"/>
    </row>
    <row r="58" spans="1:5" x14ac:dyDescent="0.25">
      <c r="A58" s="30">
        <v>7185.4245046642136</v>
      </c>
      <c r="E58"/>
    </row>
    <row r="59" spans="1:5" x14ac:dyDescent="0.25">
      <c r="A59" s="30">
        <v>6843.2614330135366</v>
      </c>
      <c r="E59"/>
    </row>
    <row r="60" spans="1:5" x14ac:dyDescent="0.25">
      <c r="A60" s="30">
        <v>6517.3918409652724</v>
      </c>
      <c r="E60"/>
    </row>
    <row r="61" spans="1:5" x14ac:dyDescent="0.25">
      <c r="A61" s="30">
        <v>6207.0398485383548</v>
      </c>
      <c r="E61"/>
    </row>
    <row r="62" spans="1:5" x14ac:dyDescent="0.25">
      <c r="A62" s="30">
        <v>5911.4665224174805</v>
      </c>
      <c r="E62"/>
    </row>
    <row r="63" spans="1:5" x14ac:dyDescent="0.25">
      <c r="A63" s="30">
        <v>5629.9681165880766</v>
      </c>
      <c r="E63"/>
    </row>
    <row r="64" spans="1:5" x14ac:dyDescent="0.25">
      <c r="A64" s="30">
        <v>5361.8743967505488</v>
      </c>
      <c r="E64"/>
    </row>
    <row r="65" spans="1:5" x14ac:dyDescent="0.25">
      <c r="A65" s="30">
        <v>5106.5470445243318</v>
      </c>
      <c r="E65"/>
    </row>
    <row r="66" spans="1:5" x14ac:dyDescent="0.25">
      <c r="A66" s="30">
        <v>4863.3781376422203</v>
      </c>
      <c r="E66"/>
    </row>
    <row r="67" spans="1:5" x14ac:dyDescent="0.25">
      <c r="A67" s="30">
        <v>4631.7887025164</v>
      </c>
      <c r="E67"/>
    </row>
    <row r="68" spans="1:5" x14ac:dyDescent="0.25">
      <c r="A68" s="30">
        <v>4411.2273357299046</v>
      </c>
      <c r="E68"/>
    </row>
    <row r="69" spans="1:5" x14ac:dyDescent="0.25">
      <c r="A69" s="30">
        <v>4201.1688911713372</v>
      </c>
      <c r="E69"/>
    </row>
    <row r="70" spans="1:5" x14ac:dyDescent="0.25">
      <c r="A70" s="30">
        <v>4001.1132296869878</v>
      </c>
      <c r="E70"/>
    </row>
    <row r="71" spans="1:5" x14ac:dyDescent="0.25">
      <c r="A71" s="30">
        <v>3810.5840282733216</v>
      </c>
      <c r="C71" s="1" t="s">
        <v>15</v>
      </c>
      <c r="E71"/>
    </row>
    <row r="72" spans="1:5" x14ac:dyDescent="0.25">
      <c r="A72" s="30">
        <v>3629.1276459745918</v>
      </c>
      <c r="C72" s="7">
        <v>0.11686133436193799</v>
      </c>
      <c r="D72"/>
      <c r="E72"/>
    </row>
    <row r="73" spans="1:5" x14ac:dyDescent="0.25">
      <c r="A73" s="30">
        <v>3456.3120437853254</v>
      </c>
      <c r="E73"/>
    </row>
    <row r="74" spans="1:5" x14ac:dyDescent="0.25">
      <c r="A74" s="30">
        <v>3291.7257559860241</v>
      </c>
      <c r="C74" s="1" t="s">
        <v>11</v>
      </c>
      <c r="D74" s="1" t="s">
        <v>12</v>
      </c>
      <c r="E74"/>
    </row>
    <row r="75" spans="1:5" x14ac:dyDescent="0.25">
      <c r="A75" s="30">
        <v>3134.9769104628799</v>
      </c>
      <c r="C75"/>
      <c r="D75"/>
      <c r="E75"/>
    </row>
    <row r="76" spans="1:5" x14ac:dyDescent="0.25">
      <c r="A76" s="30">
        <v>2985.6922956789331</v>
      </c>
      <c r="E76"/>
    </row>
    <row r="77" spans="1:5" x14ac:dyDescent="0.25">
      <c r="A77" s="30">
        <v>2843.5164720751741</v>
      </c>
      <c r="C77" s="1" t="s">
        <v>13</v>
      </c>
      <c r="E77"/>
    </row>
    <row r="78" spans="1:5" x14ac:dyDescent="0.25">
      <c r="A78" s="30">
        <v>2708.1109257858798</v>
      </c>
      <c r="C78" s="1">
        <f>C67</f>
        <v>0</v>
      </c>
      <c r="E78"/>
    </row>
    <row r="79" spans="1:5" x14ac:dyDescent="0.25">
      <c r="A79" s="30">
        <v>2579.1532626532189</v>
      </c>
      <c r="C79"/>
      <c r="E79"/>
    </row>
    <row r="80" spans="1:5" x14ac:dyDescent="0.25">
      <c r="A80" s="30">
        <v>2456.3364406221131</v>
      </c>
      <c r="C80" s="1" t="s">
        <v>14</v>
      </c>
      <c r="E80"/>
    </row>
    <row r="81" spans="1:5" x14ac:dyDescent="0.25">
      <c r="A81" s="30">
        <v>2339.3680386877268</v>
      </c>
      <c r="C81" s="1" t="str">
        <f>IF(C78=$S$1,IF(D75&lt;(C72*0.952380952380952),$S$1,IF(C75&gt;(C72*1.157625),$U$1,"")),"")</f>
        <v/>
      </c>
      <c r="D81" s="1" t="str">
        <f>IF(C78=$U$1,IF(C75&gt;(C72*1.05),$U$1,IF(D75&lt;(C72*0.863837598531476),$S$1,"")),"")</f>
        <v/>
      </c>
      <c r="E81"/>
    </row>
    <row r="82" spans="1:5" x14ac:dyDescent="0.25">
      <c r="A82" s="30">
        <v>2227.9695606549776</v>
      </c>
      <c r="E82"/>
    </row>
    <row r="83" spans="1:5" x14ac:dyDescent="0.25">
      <c r="A83" s="30">
        <v>2121.8757720523595</v>
      </c>
      <c r="E83"/>
    </row>
    <row r="84" spans="1:5" x14ac:dyDescent="0.25">
      <c r="A84" s="30">
        <v>2020.8340686212948</v>
      </c>
      <c r="E84"/>
    </row>
    <row r="85" spans="1:5" x14ac:dyDescent="0.25">
      <c r="A85" s="30">
        <v>1924.6038748774236</v>
      </c>
      <c r="E85"/>
    </row>
    <row r="86" spans="1:5" x14ac:dyDescent="0.25">
      <c r="A86" s="30">
        <v>1832.9560713118319</v>
      </c>
      <c r="E86"/>
    </row>
    <row r="87" spans="1:5" x14ac:dyDescent="0.25">
      <c r="A87" s="30">
        <v>1745.6724488684113</v>
      </c>
      <c r="E87"/>
    </row>
    <row r="88" spans="1:5" x14ac:dyDescent="0.25">
      <c r="A88" s="30">
        <v>1662.5451893984869</v>
      </c>
      <c r="E88"/>
    </row>
    <row r="89" spans="1:5" x14ac:dyDescent="0.25">
      <c r="A89" s="30">
        <v>1583.3763708557017</v>
      </c>
      <c r="E89"/>
    </row>
    <row r="90" spans="1:5" x14ac:dyDescent="0.25">
      <c r="A90" s="30">
        <v>1507.9774960530492</v>
      </c>
      <c r="E90"/>
    </row>
    <row r="91" spans="1:5" x14ac:dyDescent="0.25">
      <c r="A91" s="30">
        <v>1436.1690438600467</v>
      </c>
      <c r="E91"/>
    </row>
    <row r="92" spans="1:5" x14ac:dyDescent="0.25">
      <c r="A92" s="30">
        <v>1367.780041771473</v>
      </c>
      <c r="E92"/>
    </row>
    <row r="93" spans="1:5" x14ac:dyDescent="0.25">
      <c r="A93" s="30">
        <v>1302.6476588299743</v>
      </c>
      <c r="E93"/>
    </row>
    <row r="94" spans="1:5" x14ac:dyDescent="0.25">
      <c r="A94" s="30">
        <v>1240.6168179333088</v>
      </c>
      <c r="E94"/>
    </row>
    <row r="95" spans="1:5" x14ac:dyDescent="0.25">
      <c r="A95" s="30">
        <v>1181.5398266031511</v>
      </c>
      <c r="E95"/>
    </row>
    <row r="96" spans="1:5" x14ac:dyDescent="0.25">
      <c r="A96" s="30">
        <v>1125.2760253363344</v>
      </c>
      <c r="C96" s="1" t="s">
        <v>15</v>
      </c>
      <c r="E96"/>
    </row>
    <row r="97" spans="1:5" x14ac:dyDescent="0.25">
      <c r="A97" s="30">
        <v>1071.6914527012709</v>
      </c>
      <c r="C97" s="7">
        <v>0.11686133436193799</v>
      </c>
      <c r="D97"/>
      <c r="E97"/>
    </row>
    <row r="98" spans="1:5" x14ac:dyDescent="0.25">
      <c r="A98" s="30">
        <v>1020.6585263821628</v>
      </c>
      <c r="E98"/>
    </row>
    <row r="99" spans="1:5" x14ac:dyDescent="0.25">
      <c r="A99" s="30">
        <v>972.05573941158355</v>
      </c>
      <c r="C99" s="1" t="s">
        <v>11</v>
      </c>
      <c r="D99" s="1" t="s">
        <v>12</v>
      </c>
      <c r="E99"/>
    </row>
    <row r="100" spans="1:5" x14ac:dyDescent="0.25">
      <c r="A100" s="30">
        <v>925.76737086817479</v>
      </c>
      <c r="C100"/>
      <c r="D100"/>
      <c r="E100"/>
    </row>
    <row r="101" spans="1:5" x14ac:dyDescent="0.25">
      <c r="A101" s="30">
        <v>881.68321035064264</v>
      </c>
      <c r="E101"/>
    </row>
    <row r="102" spans="1:5" x14ac:dyDescent="0.25">
      <c r="A102" s="30">
        <v>839.69829557204059</v>
      </c>
      <c r="C102" s="1" t="s">
        <v>13</v>
      </c>
      <c r="E102"/>
    </row>
    <row r="103" spans="1:5" x14ac:dyDescent="0.25">
      <c r="A103" s="30">
        <v>799.71266244956246</v>
      </c>
      <c r="C103" s="1">
        <f>C92</f>
        <v>0</v>
      </c>
      <c r="E103"/>
    </row>
    <row r="104" spans="1:5" x14ac:dyDescent="0.25">
      <c r="A104" s="30">
        <v>761.63110709482135</v>
      </c>
      <c r="C104"/>
      <c r="E104"/>
    </row>
    <row r="105" spans="1:5" x14ac:dyDescent="0.25">
      <c r="A105" s="30">
        <v>725.36295913792503</v>
      </c>
      <c r="C105" s="1" t="s">
        <v>14</v>
      </c>
      <c r="E105"/>
    </row>
    <row r="106" spans="1:5" x14ac:dyDescent="0.25">
      <c r="A106" s="30">
        <v>690.82186584564283</v>
      </c>
      <c r="C106" s="1" t="str">
        <f>IF(C103=$S$1,IF(D100&lt;(C97*0.952380952380952),$S$1,IF(C100&gt;(C97*1.157625),$U$1,"")),"")</f>
        <v/>
      </c>
      <c r="D106" s="1" t="str">
        <f>IF(C103=$U$1,IF(C100&gt;(C97*1.05),$U$1,IF(D100&lt;(C97*0.863837598531476),$S$1,"")),"")</f>
        <v/>
      </c>
      <c r="E106"/>
    </row>
    <row r="107" spans="1:5" x14ac:dyDescent="0.25">
      <c r="A107" s="30">
        <v>657.92558651965976</v>
      </c>
      <c r="E107"/>
    </row>
    <row r="108" spans="1:5" x14ac:dyDescent="0.25">
      <c r="A108" s="30">
        <v>626.59579668539027</v>
      </c>
      <c r="E108"/>
    </row>
    <row r="109" spans="1:5" x14ac:dyDescent="0.25">
      <c r="A109" s="30">
        <v>596.75790160513361</v>
      </c>
      <c r="E109"/>
    </row>
    <row r="110" spans="1:5" x14ac:dyDescent="0.25">
      <c r="A110" s="30">
        <v>568.34085867155579</v>
      </c>
      <c r="E110"/>
    </row>
    <row r="111" spans="1:5" x14ac:dyDescent="0.25">
      <c r="A111" s="30">
        <v>541.27700825862451</v>
      </c>
      <c r="C111" s="1" t="str">
        <f>ADDRESS(C121-1,1,1,1)</f>
        <v>$A$231</v>
      </c>
      <c r="D111" s="1" t="str">
        <f>ADDRESS(C121-1,D121,1,1)</f>
        <v>$EW$231</v>
      </c>
      <c r="E111"/>
    </row>
    <row r="112" spans="1:5" x14ac:dyDescent="0.25">
      <c r="A112" s="30">
        <v>515.50191262726139</v>
      </c>
      <c r="C112" s="1" t="str">
        <f>ADDRESS(C121,1,1,1)</f>
        <v>$A$232</v>
      </c>
      <c r="D112" s="1" t="str">
        <f>ADDRESS(C121,D121-1,1,1)</f>
        <v>$EV$232</v>
      </c>
      <c r="E112"/>
    </row>
    <row r="113" spans="1:5" x14ac:dyDescent="0.25">
      <c r="A113" s="30">
        <v>490.95420250215363</v>
      </c>
      <c r="C113" s="1" t="str">
        <f>ADDRESS(C121+1,1,1,1)</f>
        <v>$A$233</v>
      </c>
      <c r="D113" s="1" t="str">
        <f>ADDRESS(C121-1,D121+1,1,1)</f>
        <v>$EX$231</v>
      </c>
    </row>
    <row r="114" spans="1:5" x14ac:dyDescent="0.25">
      <c r="A114" s="30">
        <v>467.57543095443202</v>
      </c>
      <c r="C114" s="1" t="str">
        <f>ADDRESS(C121,D121,1,1)</f>
        <v>$EW$232</v>
      </c>
      <c r="D114" s="1" t="str">
        <f>ADDRESS(C121+1,D121+1,1,1)</f>
        <v>$EX$233</v>
      </c>
    </row>
    <row r="115" spans="1:5" x14ac:dyDescent="0.25">
      <c r="A115" s="30">
        <v>445.30993424231622</v>
      </c>
      <c r="C115" s="1" t="str">
        <f>ADDRESS(C121+1,D121,1,1)</f>
        <v>$EW$233</v>
      </c>
    </row>
    <row r="116" spans="1:5" x14ac:dyDescent="0.25">
      <c r="A116" s="30">
        <v>424.10469927839637</v>
      </c>
      <c r="C116" s="1">
        <f>C117-1</f>
        <v>231</v>
      </c>
    </row>
    <row r="117" spans="1:5" x14ac:dyDescent="0.25">
      <c r="A117" s="30">
        <v>403.9092374079965</v>
      </c>
      <c r="C117" s="1">
        <f>C121</f>
        <v>232</v>
      </c>
      <c r="D117" s="1">
        <f>D121</f>
        <v>153</v>
      </c>
    </row>
    <row r="118" spans="1:5" x14ac:dyDescent="0.25">
      <c r="A118" s="30">
        <v>384.6754641980919</v>
      </c>
      <c r="C118" s="1">
        <f>C117+1</f>
        <v>233</v>
      </c>
      <c r="D118" s="1">
        <f>D117+1</f>
        <v>154</v>
      </c>
    </row>
    <row r="119" spans="1:5" x14ac:dyDescent="0.25">
      <c r="A119" s="30">
        <v>366.35758495056371</v>
      </c>
    </row>
    <row r="120" spans="1:5" x14ac:dyDescent="0.25">
      <c r="A120" s="30">
        <v>348.91198566720351</v>
      </c>
      <c r="C120" s="1" t="s">
        <v>9</v>
      </c>
    </row>
    <row r="121" spans="1:5" x14ac:dyDescent="0.25">
      <c r="A121" s="30">
        <v>332.29712920686046</v>
      </c>
      <c r="C121" s="18">
        <v>232</v>
      </c>
      <c r="D121" s="19">
        <v>153</v>
      </c>
      <c r="E121" s="19"/>
    </row>
    <row r="122" spans="1:5" x14ac:dyDescent="0.25">
      <c r="A122" s="30">
        <v>316.47345638748612</v>
      </c>
      <c r="C122" s="1" t="str">
        <f>INDEX(1:1048576,C117,D117)</f>
        <v>X</v>
      </c>
    </row>
    <row r="123" spans="1:5" x14ac:dyDescent="0.25">
      <c r="A123" s="30">
        <v>301.40329179760585</v>
      </c>
      <c r="C123" s="1" t="str">
        <f>"R"&amp;C121</f>
        <v>R232</v>
      </c>
      <c r="D123" s="1" t="str">
        <f>"C"&amp;D121</f>
        <v>C153</v>
      </c>
    </row>
    <row r="124" spans="1:5" x14ac:dyDescent="0.25">
      <c r="A124" s="30">
        <v>287.05075409295796</v>
      </c>
      <c r="C124" s="1">
        <f>SUM(C130:D130)</f>
        <v>0</v>
      </c>
      <c r="D124" s="1">
        <f>IF(C124=0,0,1)</f>
        <v>0</v>
      </c>
    </row>
    <row r="125" spans="1:5" x14ac:dyDescent="0.25">
      <c r="A125" s="30">
        <v>273.38167056472184</v>
      </c>
    </row>
    <row r="126" spans="1:5" x14ac:dyDescent="0.25">
      <c r="A126" s="30">
        <v>260.36349577592557</v>
      </c>
      <c r="C126" s="1" t="s">
        <v>10</v>
      </c>
    </row>
    <row r="127" spans="1:5" x14ac:dyDescent="0.25">
      <c r="A127" s="30">
        <v>247.96523407231004</v>
      </c>
      <c r="C127" s="30">
        <v>1.477455443789063</v>
      </c>
      <c r="D127"/>
    </row>
    <row r="128" spans="1:5" x14ac:dyDescent="0.25">
      <c r="A128" s="30">
        <v>236.15736578315241</v>
      </c>
    </row>
    <row r="129" spans="1:5" x14ac:dyDescent="0.25">
      <c r="A129" s="30">
        <v>224.91177693633563</v>
      </c>
      <c r="C129" s="1" t="s">
        <v>11</v>
      </c>
      <c r="D129" s="1" t="s">
        <v>12</v>
      </c>
      <c r="E129"/>
    </row>
    <row r="130" spans="1:5" x14ac:dyDescent="0.25">
      <c r="A130" s="30">
        <v>214.20169232031964</v>
      </c>
      <c r="C130" s="6"/>
      <c r="D130" s="6"/>
      <c r="E130"/>
    </row>
    <row r="131" spans="1:5" x14ac:dyDescent="0.25">
      <c r="A131" s="30">
        <v>204.00161173363773</v>
      </c>
      <c r="E131"/>
    </row>
    <row r="132" spans="1:5" x14ac:dyDescent="0.25">
      <c r="A132" s="30">
        <v>194.28724927013116</v>
      </c>
      <c r="C132" s="1" t="s">
        <v>13</v>
      </c>
      <c r="E132"/>
    </row>
    <row r="133" spans="1:5" x14ac:dyDescent="0.25">
      <c r="A133" s="30">
        <v>185.03547549536299</v>
      </c>
      <c r="C133" s="1" t="str">
        <f>C122</f>
        <v>X</v>
      </c>
      <c r="E133"/>
    </row>
    <row r="134" spans="1:5" x14ac:dyDescent="0.25">
      <c r="A134" s="30">
        <v>176.22426237653616</v>
      </c>
      <c r="C134"/>
      <c r="E134"/>
    </row>
    <row r="135" spans="1:5" x14ac:dyDescent="0.25">
      <c r="A135" s="30">
        <v>167.83263083479633</v>
      </c>
      <c r="C135" s="1" t="s">
        <v>14</v>
      </c>
      <c r="E135"/>
    </row>
    <row r="136" spans="1:5" x14ac:dyDescent="0.25">
      <c r="A136" s="30">
        <v>159.84060079504411</v>
      </c>
      <c r="C136" s="1" t="str">
        <f>IF(C133=$S$1,IF(D130&lt;(C127*0.952380952380952),$S$1,IF(C130&gt;(C127*1.157625),$U$1,"")),"")</f>
        <v/>
      </c>
      <c r="D136" s="1" t="str">
        <f>IF(C133=$U$1,IF(C130&gt;(C127*1.05),$U$1,IF(D130&lt;(C127*0.863837598531476),$S$1,"")),"")</f>
        <v>O</v>
      </c>
      <c r="E136"/>
    </row>
    <row r="137" spans="1:5" x14ac:dyDescent="0.25">
      <c r="A137" s="30">
        <v>152.22914361432771</v>
      </c>
      <c r="E137"/>
    </row>
    <row r="138" spans="1:5" x14ac:dyDescent="0.25">
      <c r="A138" s="30">
        <v>144.98013677555019</v>
      </c>
      <c r="C138" s="1">
        <f>IF(AND(C136="",D136=""),0,IF(AND(C133="X",D136="X"),1,IF(AND(C133="O",C136="O"),2,(IF(AND(C133="X",D136="O"),3,4)))))</f>
        <v>3</v>
      </c>
      <c r="E138"/>
    </row>
    <row r="139" spans="1:5" x14ac:dyDescent="0.25">
      <c r="A139" s="30">
        <v>138.07632073861922</v>
      </c>
      <c r="E139"/>
    </row>
    <row r="140" spans="1:5" x14ac:dyDescent="0.25">
      <c r="A140" s="30">
        <v>131.50125784630401</v>
      </c>
      <c r="C140" s="1">
        <v>0</v>
      </c>
      <c r="E140"/>
    </row>
    <row r="141" spans="1:5" x14ac:dyDescent="0.25">
      <c r="A141" s="30">
        <v>125.23929318695619</v>
      </c>
      <c r="C141" s="1">
        <v>1</v>
      </c>
      <c r="E141"/>
    </row>
    <row r="142" spans="1:5" x14ac:dyDescent="0.25">
      <c r="A142" s="30">
        <v>119.27551732091065</v>
      </c>
      <c r="C142" s="1">
        <v>2</v>
      </c>
      <c r="E142"/>
    </row>
    <row r="143" spans="1:5" x14ac:dyDescent="0.25">
      <c r="A143" s="30">
        <v>113.59573078181967</v>
      </c>
      <c r="C143" s="1">
        <v>3</v>
      </c>
      <c r="E143"/>
    </row>
    <row r="144" spans="1:5" x14ac:dyDescent="0.25">
      <c r="A144" s="30">
        <v>108.18641026839968</v>
      </c>
      <c r="C144" s="1">
        <v>4</v>
      </c>
      <c r="E144"/>
    </row>
    <row r="145" spans="1:5" x14ac:dyDescent="0.25">
      <c r="A145" s="30">
        <v>103.03467644609493</v>
      </c>
      <c r="E145"/>
    </row>
    <row r="146" spans="1:5" x14ac:dyDescent="0.25">
      <c r="A146" s="30">
        <v>98.128263281995174</v>
      </c>
      <c r="E146"/>
    </row>
    <row r="147" spans="1:5" x14ac:dyDescent="0.25">
      <c r="A147" s="30">
        <v>93.455488839995397</v>
      </c>
      <c r="E147"/>
    </row>
    <row r="148" spans="1:5" x14ac:dyDescent="0.25">
      <c r="A148" s="30">
        <v>89.005227466662276</v>
      </c>
      <c r="E148"/>
    </row>
    <row r="149" spans="1:5" x14ac:dyDescent="0.25">
      <c r="A149" s="30">
        <v>84.766883301583121</v>
      </c>
      <c r="E149"/>
    </row>
    <row r="150" spans="1:5" x14ac:dyDescent="0.25">
      <c r="A150" s="30">
        <v>80.730365049126775</v>
      </c>
      <c r="E150"/>
    </row>
    <row r="151" spans="1:5" x14ac:dyDescent="0.25">
      <c r="A151" s="30">
        <v>76.886061951549308</v>
      </c>
      <c r="E151"/>
    </row>
    <row r="152" spans="1:5" x14ac:dyDescent="0.25">
      <c r="A152" s="30">
        <v>73.22482090623744</v>
      </c>
      <c r="E152"/>
    </row>
    <row r="153" spans="1:5" x14ac:dyDescent="0.25">
      <c r="A153" s="30">
        <v>69.737924672607079</v>
      </c>
      <c r="C153" s="7"/>
      <c r="D153"/>
      <c r="E153"/>
    </row>
    <row r="154" spans="1:5" x14ac:dyDescent="0.25">
      <c r="A154" s="30">
        <v>66.417071116768639</v>
      </c>
      <c r="E154"/>
    </row>
    <row r="155" spans="1:5" x14ac:dyDescent="0.25">
      <c r="A155" s="30">
        <v>63.254353444541557</v>
      </c>
      <c r="E155"/>
    </row>
    <row r="156" spans="1:5" x14ac:dyDescent="0.25">
      <c r="A156" s="30">
        <v>60.242241375753864</v>
      </c>
      <c r="C156"/>
      <c r="D156"/>
      <c r="E156"/>
    </row>
    <row r="157" spans="1:5" x14ac:dyDescent="0.25">
      <c r="A157" s="30">
        <v>57.373563215003678</v>
      </c>
      <c r="E157"/>
    </row>
    <row r="158" spans="1:5" x14ac:dyDescent="0.25">
      <c r="A158" s="30">
        <v>54.641488776193974</v>
      </c>
      <c r="E158"/>
    </row>
    <row r="159" spans="1:5" x14ac:dyDescent="0.25">
      <c r="A159" s="30">
        <v>52.039513120184736</v>
      </c>
      <c r="E159"/>
    </row>
    <row r="160" spans="1:5" x14ac:dyDescent="0.25">
      <c r="A160" s="30">
        <v>49.561441066842605</v>
      </c>
      <c r="C160"/>
      <c r="E160"/>
    </row>
    <row r="161" spans="1:5" x14ac:dyDescent="0.25">
      <c r="A161" s="30">
        <v>47.201372444612005</v>
      </c>
      <c r="E161"/>
    </row>
    <row r="162" spans="1:5" x14ac:dyDescent="0.25">
      <c r="A162" s="30">
        <v>44.95368804248762</v>
      </c>
      <c r="E162"/>
    </row>
    <row r="163" spans="1:5" x14ac:dyDescent="0.25">
      <c r="A163" s="30">
        <v>42.81303623094059</v>
      </c>
      <c r="E163"/>
    </row>
    <row r="164" spans="1:5" x14ac:dyDescent="0.25">
      <c r="A164" s="30">
        <v>40.774320219943419</v>
      </c>
      <c r="E164"/>
    </row>
    <row r="165" spans="1:5" x14ac:dyDescent="0.25">
      <c r="A165" s="30">
        <v>38.832685923755633</v>
      </c>
      <c r="E165"/>
    </row>
    <row r="166" spans="1:5" x14ac:dyDescent="0.25">
      <c r="A166" s="30">
        <v>36.983510403576794</v>
      </c>
      <c r="E166"/>
    </row>
    <row r="167" spans="1:5" x14ac:dyDescent="0.25">
      <c r="A167" s="30">
        <v>35.222390860549325</v>
      </c>
      <c r="E167"/>
    </row>
    <row r="168" spans="1:5" x14ac:dyDescent="0.25">
      <c r="A168" s="30">
        <v>33.545134152904119</v>
      </c>
      <c r="E168"/>
    </row>
    <row r="169" spans="1:5" x14ac:dyDescent="0.25">
      <c r="A169" s="30">
        <v>31.947746812289637</v>
      </c>
      <c r="E169"/>
    </row>
    <row r="170" spans="1:5" x14ac:dyDescent="0.25">
      <c r="A170" s="30">
        <v>30.426425535513939</v>
      </c>
      <c r="E170"/>
    </row>
    <row r="171" spans="1:5" x14ac:dyDescent="0.25">
      <c r="A171" s="30">
        <v>28.977548129060892</v>
      </c>
      <c r="E171"/>
    </row>
    <row r="172" spans="1:5" x14ac:dyDescent="0.25">
      <c r="A172" s="30">
        <v>27.597664884819896</v>
      </c>
      <c r="E172"/>
    </row>
    <row r="173" spans="1:5" x14ac:dyDescent="0.25">
      <c r="A173" s="30">
        <v>26.283490366495137</v>
      </c>
      <c r="E173"/>
    </row>
    <row r="174" spans="1:5" x14ac:dyDescent="0.25">
      <c r="A174" s="30">
        <v>25.031895587138223</v>
      </c>
      <c r="E174"/>
    </row>
    <row r="175" spans="1:5" x14ac:dyDescent="0.25">
      <c r="A175" s="30">
        <v>23.839900559179259</v>
      </c>
      <c r="E175"/>
    </row>
    <row r="176" spans="1:5" x14ac:dyDescent="0.25">
      <c r="A176" s="30">
        <v>22.704667199218342</v>
      </c>
      <c r="E176"/>
    </row>
    <row r="177" spans="1:5" x14ac:dyDescent="0.25">
      <c r="A177" s="30">
        <v>21.623492570684135</v>
      </c>
      <c r="E177"/>
    </row>
    <row r="178" spans="1:5" x14ac:dyDescent="0.25">
      <c r="A178" s="30">
        <v>20.593802448270605</v>
      </c>
      <c r="C178" s="7"/>
      <c r="D178"/>
      <c r="E178"/>
    </row>
    <row r="179" spans="1:5" x14ac:dyDescent="0.25">
      <c r="A179" s="30">
        <v>19.613145188829147</v>
      </c>
      <c r="E179"/>
    </row>
    <row r="180" spans="1:5" x14ac:dyDescent="0.25">
      <c r="A180" s="30">
        <v>18.679185894122998</v>
      </c>
      <c r="E180"/>
    </row>
    <row r="181" spans="1:5" x14ac:dyDescent="0.25">
      <c r="A181" s="30">
        <v>17.78970085154571</v>
      </c>
      <c r="C181"/>
      <c r="D181"/>
      <c r="E181"/>
    </row>
    <row r="182" spans="1:5" x14ac:dyDescent="0.25">
      <c r="A182" s="30">
        <v>16.942572239567344</v>
      </c>
      <c r="E182"/>
    </row>
    <row r="183" spans="1:5" x14ac:dyDescent="0.25">
      <c r="A183" s="30">
        <v>16.135783085302233</v>
      </c>
      <c r="E183"/>
    </row>
    <row r="184" spans="1:5" x14ac:dyDescent="0.25">
      <c r="A184" s="30">
        <v>15.367412462192602</v>
      </c>
      <c r="E184"/>
    </row>
    <row r="185" spans="1:5" x14ac:dyDescent="0.25">
      <c r="A185" s="30">
        <v>14.635630916373906</v>
      </c>
      <c r="C185"/>
      <c r="E185"/>
    </row>
    <row r="186" spans="1:5" x14ac:dyDescent="0.25">
      <c r="A186" s="30">
        <v>13.938696110832291</v>
      </c>
      <c r="E186"/>
    </row>
    <row r="187" spans="1:5" x14ac:dyDescent="0.25">
      <c r="A187" s="30">
        <v>13.274948676983135</v>
      </c>
      <c r="C187" s="1" t="str">
        <f>IF(C184=$S$1,IF(D181&lt;(C178*0.952380952380952),$S$1,IF(C181&gt;(C178*1.157625),$U$1,"")),"")</f>
        <v/>
      </c>
      <c r="D187" s="1" t="str">
        <f>IF(C184=$U$1,IF(C181&gt;(C178*1.05),$U$1,IF(D181&lt;(C178*0.863837598531476),$S$1,"")),"")</f>
        <v/>
      </c>
      <c r="E187"/>
    </row>
    <row r="188" spans="1:5" x14ac:dyDescent="0.25">
      <c r="A188" s="30">
        <v>12.64280826379346</v>
      </c>
      <c r="E188"/>
    </row>
    <row r="189" spans="1:5" x14ac:dyDescent="0.25">
      <c r="A189" s="30">
        <v>12.04076977504139</v>
      </c>
      <c r="E189"/>
    </row>
    <row r="190" spans="1:5" x14ac:dyDescent="0.25">
      <c r="A190" s="30">
        <v>11.467399785753704</v>
      </c>
      <c r="E190"/>
    </row>
    <row r="191" spans="1:5" x14ac:dyDescent="0.25">
      <c r="A191" s="30">
        <v>10.921333129289241</v>
      </c>
      <c r="E191"/>
    </row>
    <row r="192" spans="1:5" x14ac:dyDescent="0.25">
      <c r="A192" s="30">
        <v>10.401269646942135</v>
      </c>
      <c r="E192"/>
    </row>
    <row r="193" spans="1:132" x14ac:dyDescent="0.25">
      <c r="A193" s="30">
        <v>9.9059710923258422</v>
      </c>
      <c r="E193"/>
    </row>
    <row r="194" spans="1:132" x14ac:dyDescent="0.25">
      <c r="A194" s="30">
        <v>9.4342581831674686</v>
      </c>
      <c r="E194"/>
    </row>
    <row r="195" spans="1:132" x14ac:dyDescent="0.25">
      <c r="A195" s="30">
        <v>8.9850077934928265</v>
      </c>
      <c r="E195"/>
    </row>
    <row r="196" spans="1:132" x14ac:dyDescent="0.25">
      <c r="A196" s="30">
        <v>8.5571502795169767</v>
      </c>
      <c r="E196"/>
    </row>
    <row r="197" spans="1:132" x14ac:dyDescent="0.25">
      <c r="A197" s="30">
        <v>8.1496669328733109</v>
      </c>
      <c r="E197"/>
    </row>
    <row r="198" spans="1:132" x14ac:dyDescent="0.25">
      <c r="A198" s="30">
        <v>7.7615875551174378</v>
      </c>
      <c r="E198"/>
    </row>
    <row r="199" spans="1:132" x14ac:dyDescent="0.25">
      <c r="A199" s="30">
        <v>7.3919881477308929</v>
      </c>
      <c r="E199"/>
    </row>
    <row r="200" spans="1:132" x14ac:dyDescent="0.25">
      <c r="A200" s="30">
        <v>7.0399887121246598</v>
      </c>
      <c r="E200"/>
    </row>
    <row r="201" spans="1:132" x14ac:dyDescent="0.25">
      <c r="A201" s="30">
        <v>6.7047511544044376</v>
      </c>
      <c r="E201"/>
    </row>
    <row r="202" spans="1:132" x14ac:dyDescent="0.25">
      <c r="A202" s="30">
        <v>6.3854772899089882</v>
      </c>
      <c r="E202"/>
    </row>
    <row r="203" spans="1:132" x14ac:dyDescent="0.25">
      <c r="A203" s="30">
        <v>6.0814069427704647</v>
      </c>
      <c r="C203" s="7"/>
      <c r="D203"/>
      <c r="E203"/>
    </row>
    <row r="204" spans="1:132" x14ac:dyDescent="0.25">
      <c r="A204" s="30">
        <v>5.7918161359718709</v>
      </c>
      <c r="E204"/>
    </row>
    <row r="205" spans="1:132" x14ac:dyDescent="0.25">
      <c r="A205" s="30">
        <v>5.5160153675922574</v>
      </c>
      <c r="E205"/>
      <c r="EA205" s="27" t="s">
        <v>8</v>
      </c>
    </row>
    <row r="206" spans="1:132" x14ac:dyDescent="0.25">
      <c r="A206" s="30">
        <v>5.2533479691354827</v>
      </c>
      <c r="C206"/>
      <c r="D206"/>
      <c r="E206"/>
      <c r="EA206" s="27" t="s">
        <v>8</v>
      </c>
      <c r="EB206" s="27" t="s">
        <v>7</v>
      </c>
    </row>
    <row r="207" spans="1:132" x14ac:dyDescent="0.25">
      <c r="A207" s="30">
        <v>5.0031885420337927</v>
      </c>
      <c r="E207"/>
      <c r="EA207" s="27" t="s">
        <v>8</v>
      </c>
      <c r="EB207" s="27" t="s">
        <v>7</v>
      </c>
    </row>
    <row r="208" spans="1:132" x14ac:dyDescent="0.25">
      <c r="A208" s="30">
        <v>4.7649414686036122</v>
      </c>
      <c r="E208"/>
      <c r="EA208" s="27" t="s">
        <v>8</v>
      </c>
      <c r="EB208" s="27" t="s">
        <v>7</v>
      </c>
    </row>
    <row r="209" spans="1:150" x14ac:dyDescent="0.25">
      <c r="A209" s="30">
        <v>4.5380394939082018</v>
      </c>
      <c r="E209"/>
      <c r="EA209" s="27" t="s">
        <v>8</v>
      </c>
      <c r="EB209" s="27" t="s">
        <v>7</v>
      </c>
    </row>
    <row r="210" spans="1:150" x14ac:dyDescent="0.25">
      <c r="A210" s="30">
        <v>4.3219423751506678</v>
      </c>
      <c r="C210"/>
      <c r="E210"/>
      <c r="EA210" s="27" t="s">
        <v>8</v>
      </c>
      <c r="EB210" s="27" t="s">
        <v>7</v>
      </c>
    </row>
    <row r="211" spans="1:150" x14ac:dyDescent="0.25">
      <c r="A211" s="30">
        <v>4.1161355953815884</v>
      </c>
      <c r="E211"/>
      <c r="EA211" s="27" t="s">
        <v>8</v>
      </c>
      <c r="EB211" s="27" t="s">
        <v>7</v>
      </c>
    </row>
    <row r="212" spans="1:150" x14ac:dyDescent="0.25">
      <c r="A212" s="30">
        <v>3.9201291384586554</v>
      </c>
      <c r="E212"/>
      <c r="EA212" s="27" t="s">
        <v>8</v>
      </c>
      <c r="EB212" s="27" t="s">
        <v>7</v>
      </c>
    </row>
    <row r="213" spans="1:150" x14ac:dyDescent="0.25">
      <c r="A213" s="30">
        <v>3.7334563223415764</v>
      </c>
      <c r="E213"/>
      <c r="EA213" s="27" t="s">
        <v>8</v>
      </c>
      <c r="EB213" s="27" t="s">
        <v>7</v>
      </c>
    </row>
    <row r="214" spans="1:150" x14ac:dyDescent="0.25">
      <c r="A214" s="30">
        <v>3.5556726879443583</v>
      </c>
      <c r="E214"/>
      <c r="EA214" s="27" t="s">
        <v>8</v>
      </c>
      <c r="EB214" s="27" t="s">
        <v>7</v>
      </c>
    </row>
    <row r="215" spans="1:150" x14ac:dyDescent="0.25">
      <c r="A215" s="30">
        <v>3.3863549408993889</v>
      </c>
      <c r="E215"/>
      <c r="EA215" s="27" t="s">
        <v>8</v>
      </c>
      <c r="EB215" s="27" t="s">
        <v>7</v>
      </c>
      <c r="EC215" s="27" t="s">
        <v>8</v>
      </c>
    </row>
    <row r="216" spans="1:150" x14ac:dyDescent="0.25">
      <c r="A216" s="30">
        <v>3.2250999437137038</v>
      </c>
      <c r="E216"/>
      <c r="EA216" s="27" t="s">
        <v>8</v>
      </c>
      <c r="EB216" s="27" t="s">
        <v>7</v>
      </c>
      <c r="EC216" s="27" t="s">
        <v>8</v>
      </c>
      <c r="ED216" s="27" t="s">
        <v>7</v>
      </c>
    </row>
    <row r="217" spans="1:150" x14ac:dyDescent="0.25">
      <c r="A217" s="30">
        <v>3.0715237559178128</v>
      </c>
      <c r="E217"/>
      <c r="EA217" s="27" t="s">
        <v>8</v>
      </c>
      <c r="EB217" s="27" t="s">
        <v>7</v>
      </c>
      <c r="EC217" s="27" t="s">
        <v>8</v>
      </c>
      <c r="ED217" s="27" t="s">
        <v>7</v>
      </c>
    </row>
    <row r="218" spans="1:150" x14ac:dyDescent="0.25">
      <c r="A218" s="30">
        <v>2.9252607199217264</v>
      </c>
      <c r="E218"/>
      <c r="EA218" s="27" t="s">
        <v>8</v>
      </c>
      <c r="EB218" s="27" t="s">
        <v>7</v>
      </c>
      <c r="EC218" s="27" t="s">
        <v>8</v>
      </c>
      <c r="ED218" s="27" t="s">
        <v>7</v>
      </c>
      <c r="EM218" s="27" t="s">
        <v>8</v>
      </c>
    </row>
    <row r="219" spans="1:150" x14ac:dyDescent="0.25">
      <c r="A219" s="30">
        <v>2.7859625904016441</v>
      </c>
      <c r="E219"/>
      <c r="EA219" s="27" t="s">
        <v>8</v>
      </c>
      <c r="EB219" s="27" t="s">
        <v>7</v>
      </c>
      <c r="EC219" s="27" t="s">
        <v>8</v>
      </c>
      <c r="ED219" s="27" t="s">
        <v>7</v>
      </c>
      <c r="EG219" s="27" t="s">
        <v>8</v>
      </c>
      <c r="EM219" s="27" t="s">
        <v>8</v>
      </c>
      <c r="EN219" s="27" t="s">
        <v>7</v>
      </c>
    </row>
    <row r="220" spans="1:150" x14ac:dyDescent="0.25">
      <c r="A220" s="30">
        <v>2.6532977051444226</v>
      </c>
      <c r="E220"/>
      <c r="EA220" s="27" t="s">
        <v>8</v>
      </c>
      <c r="EB220" s="27" t="s">
        <v>7</v>
      </c>
      <c r="EC220" s="27" t="s">
        <v>8</v>
      </c>
      <c r="ED220" s="27" t="s">
        <v>7</v>
      </c>
      <c r="EG220" s="27" t="s">
        <v>8</v>
      </c>
      <c r="EH220" s="27" t="s">
        <v>7</v>
      </c>
      <c r="EM220" s="27" t="s">
        <v>8</v>
      </c>
      <c r="EN220" s="27" t="s">
        <v>7</v>
      </c>
      <c r="EO220" s="27" t="s">
        <v>8</v>
      </c>
      <c r="EQ220" s="27" t="s">
        <v>8</v>
      </c>
    </row>
    <row r="221" spans="1:150" x14ac:dyDescent="0.25">
      <c r="A221" s="30">
        <v>2.5269501953756404</v>
      </c>
      <c r="E221"/>
      <c r="EA221" s="27" t="s">
        <v>8</v>
      </c>
      <c r="EB221" s="27" t="s">
        <v>7</v>
      </c>
      <c r="EC221" s="27" t="s">
        <v>8</v>
      </c>
      <c r="ED221" s="27" t="s">
        <v>7</v>
      </c>
      <c r="EG221" s="27" t="s">
        <v>8</v>
      </c>
      <c r="EH221" s="27" t="s">
        <v>7</v>
      </c>
      <c r="EM221" s="27" t="s">
        <v>8</v>
      </c>
      <c r="EN221" s="27" t="s">
        <v>7</v>
      </c>
      <c r="EO221" s="27" t="s">
        <v>8</v>
      </c>
      <c r="EP221" s="27" t="s">
        <v>7</v>
      </c>
      <c r="EQ221" s="27" t="s">
        <v>8</v>
      </c>
      <c r="ER221" s="27" t="s">
        <v>7</v>
      </c>
    </row>
    <row r="222" spans="1:150" x14ac:dyDescent="0.25">
      <c r="A222" s="30">
        <v>2.4066192336910861</v>
      </c>
      <c r="E222"/>
      <c r="EA222" s="27" t="s">
        <v>8</v>
      </c>
      <c r="EB222" s="27" t="s">
        <v>7</v>
      </c>
      <c r="EC222" s="27" t="s">
        <v>8</v>
      </c>
      <c r="ED222" s="27" t="s">
        <v>7</v>
      </c>
      <c r="EG222" s="27" t="s">
        <v>8</v>
      </c>
      <c r="EH222" s="27" t="s">
        <v>7</v>
      </c>
      <c r="EM222" s="27" t="s">
        <v>8</v>
      </c>
      <c r="EN222" s="27" t="s">
        <v>7</v>
      </c>
      <c r="EO222" s="27" t="s">
        <v>8</v>
      </c>
      <c r="EP222" s="27" t="s">
        <v>7</v>
      </c>
      <c r="EQ222" s="27" t="s">
        <v>8</v>
      </c>
      <c r="ER222" s="27" t="s">
        <v>7</v>
      </c>
    </row>
    <row r="223" spans="1:150" x14ac:dyDescent="0.25">
      <c r="A223" s="30">
        <v>2.2920183178010345</v>
      </c>
      <c r="E223"/>
      <c r="EA223" s="27" t="s">
        <v>8</v>
      </c>
      <c r="EB223" s="27" t="s">
        <v>7</v>
      </c>
      <c r="EC223" s="27" t="s">
        <v>8</v>
      </c>
      <c r="ED223" s="27" t="s">
        <v>7</v>
      </c>
      <c r="EG223" s="27" t="s">
        <v>8</v>
      </c>
      <c r="EH223" s="27" t="s">
        <v>7</v>
      </c>
      <c r="EI223" s="27" t="s">
        <v>8</v>
      </c>
      <c r="EM223" s="27" t="s">
        <v>8</v>
      </c>
      <c r="EN223" s="27" t="s">
        <v>7</v>
      </c>
      <c r="EO223" s="27" t="s">
        <v>8</v>
      </c>
      <c r="EP223" s="27" t="s">
        <v>7</v>
      </c>
      <c r="EQ223" s="27" t="s">
        <v>8</v>
      </c>
      <c r="ER223" s="27" t="s">
        <v>7</v>
      </c>
      <c r="ES223" s="27" t="s">
        <v>8</v>
      </c>
    </row>
    <row r="224" spans="1:150" x14ac:dyDescent="0.25">
      <c r="A224" s="30">
        <v>2.1828745883819374</v>
      </c>
      <c r="E224"/>
      <c r="EA224" s="27" t="s">
        <v>8</v>
      </c>
      <c r="EB224" s="27" t="s">
        <v>7</v>
      </c>
      <c r="ED224" s="27" t="s">
        <v>7</v>
      </c>
      <c r="EG224" s="27" t="s">
        <v>8</v>
      </c>
      <c r="EH224" s="27" t="s">
        <v>7</v>
      </c>
      <c r="EI224" s="27" t="s">
        <v>8</v>
      </c>
      <c r="EJ224" s="27" t="s">
        <v>7</v>
      </c>
      <c r="EK224" s="27" t="s">
        <v>8</v>
      </c>
      <c r="EM224" s="27" t="s">
        <v>8</v>
      </c>
      <c r="EN224" s="27" t="s">
        <v>7</v>
      </c>
      <c r="EO224" s="27" t="s">
        <v>8</v>
      </c>
      <c r="EP224" s="27" t="s">
        <v>7</v>
      </c>
      <c r="EQ224" s="27" t="s">
        <v>8</v>
      </c>
      <c r="ER224" s="27" t="s">
        <v>7</v>
      </c>
      <c r="ES224" s="27" t="s">
        <v>8</v>
      </c>
      <c r="ET224" s="27" t="s">
        <v>7</v>
      </c>
    </row>
    <row r="225" spans="1:153" x14ac:dyDescent="0.25">
      <c r="A225" s="30">
        <v>2.0789281794113688</v>
      </c>
      <c r="E225"/>
      <c r="EA225" s="27" t="s">
        <v>8</v>
      </c>
      <c r="ED225" s="27" t="s">
        <v>7</v>
      </c>
      <c r="EG225" s="27" t="s">
        <v>8</v>
      </c>
      <c r="EH225" s="27" t="s">
        <v>7</v>
      </c>
      <c r="EI225" s="27" t="s">
        <v>8</v>
      </c>
      <c r="EJ225" s="27" t="s">
        <v>7</v>
      </c>
      <c r="EK225" s="27" t="s">
        <v>8</v>
      </c>
      <c r="EL225" s="27" t="s">
        <v>7</v>
      </c>
      <c r="EM225" s="27" t="s">
        <v>8</v>
      </c>
      <c r="EN225" s="27" t="s">
        <v>7</v>
      </c>
      <c r="EO225" s="27" t="s">
        <v>8</v>
      </c>
      <c r="EP225" s="27" t="s">
        <v>7</v>
      </c>
      <c r="ER225" s="27" t="s">
        <v>7</v>
      </c>
      <c r="ES225" s="27" t="s">
        <v>8</v>
      </c>
      <c r="ET225" s="27" t="s">
        <v>7</v>
      </c>
    </row>
    <row r="226" spans="1:153" x14ac:dyDescent="0.25">
      <c r="A226" s="30">
        <v>1.9799315994393987</v>
      </c>
      <c r="E226"/>
      <c r="EA226" s="27" t="s">
        <v>8</v>
      </c>
      <c r="ED226" s="27" t="s">
        <v>7</v>
      </c>
      <c r="EG226" s="27" t="s">
        <v>8</v>
      </c>
      <c r="EH226" s="27" t="s">
        <v>7</v>
      </c>
      <c r="EI226" s="27" t="s">
        <v>8</v>
      </c>
      <c r="EJ226" s="27" t="s">
        <v>7</v>
      </c>
      <c r="EK226" s="27" t="s">
        <v>8</v>
      </c>
      <c r="EL226" s="27" t="s">
        <v>7</v>
      </c>
      <c r="EM226" s="27" t="s">
        <v>8</v>
      </c>
      <c r="EN226" s="27" t="s">
        <v>7</v>
      </c>
      <c r="EO226" s="27" t="s">
        <v>8</v>
      </c>
      <c r="ER226" s="27" t="s">
        <v>7</v>
      </c>
      <c r="ET226" s="27" t="s">
        <v>7</v>
      </c>
    </row>
    <row r="227" spans="1:153" x14ac:dyDescent="0.25">
      <c r="A227" s="30">
        <v>1.8856491423232367</v>
      </c>
      <c r="E227"/>
      <c r="CC227" s="27" t="s">
        <v>8</v>
      </c>
      <c r="EA227" s="27" t="s">
        <v>8</v>
      </c>
      <c r="ED227" s="27" t="s">
        <v>7</v>
      </c>
      <c r="EG227" s="27" t="s">
        <v>8</v>
      </c>
      <c r="EH227" s="27" t="s">
        <v>7</v>
      </c>
      <c r="EI227" s="27" t="s">
        <v>8</v>
      </c>
      <c r="EJ227" s="27" t="s">
        <v>7</v>
      </c>
      <c r="EL227" s="27" t="s">
        <v>7</v>
      </c>
      <c r="EM227" s="27" t="s">
        <v>8</v>
      </c>
      <c r="EN227" s="27" t="s">
        <v>7</v>
      </c>
      <c r="ET227" s="27" t="s">
        <v>7</v>
      </c>
    </row>
    <row r="228" spans="1:153" x14ac:dyDescent="0.25">
      <c r="A228" s="30">
        <v>1.7958563260221301</v>
      </c>
      <c r="C228" s="7"/>
      <c r="D228"/>
      <c r="E228"/>
      <c r="CC228" s="27" t="s">
        <v>8</v>
      </c>
      <c r="CD228" s="27" t="s">
        <v>7</v>
      </c>
      <c r="EA228" s="27" t="s">
        <v>8</v>
      </c>
      <c r="ED228" s="27" t="s">
        <v>7</v>
      </c>
      <c r="EG228" s="27" t="s">
        <v>8</v>
      </c>
      <c r="EH228" s="27" t="s">
        <v>7</v>
      </c>
      <c r="EI228" s="27" t="s">
        <v>8</v>
      </c>
      <c r="EL228" s="27" t="s">
        <v>7</v>
      </c>
      <c r="EM228" s="27" t="s">
        <v>8</v>
      </c>
      <c r="ET228" s="27" t="s">
        <v>7</v>
      </c>
    </row>
    <row r="229" spans="1:153" x14ac:dyDescent="0.25">
      <c r="A229" s="30">
        <v>1.7103393581163142</v>
      </c>
      <c r="E229"/>
      <c r="CC229" s="27" t="s">
        <v>8</v>
      </c>
      <c r="CD229" s="27" t="s">
        <v>7</v>
      </c>
      <c r="EA229" s="27" t="s">
        <v>8</v>
      </c>
      <c r="ED229" s="27" t="s">
        <v>7</v>
      </c>
      <c r="EG229" s="27" t="s">
        <v>8</v>
      </c>
      <c r="EH229" s="27" t="s">
        <v>7</v>
      </c>
      <c r="EL229" s="27" t="s">
        <v>7</v>
      </c>
      <c r="ET229" s="27" t="s">
        <v>7</v>
      </c>
    </row>
    <row r="230" spans="1:153" x14ac:dyDescent="0.25">
      <c r="A230" s="30">
        <v>1.628894626777442</v>
      </c>
      <c r="E230"/>
      <c r="CC230" s="27" t="s">
        <v>8</v>
      </c>
      <c r="CD230" s="27" t="s">
        <v>7</v>
      </c>
      <c r="EA230" s="27" t="s">
        <v>8</v>
      </c>
      <c r="ED230" s="27" t="s">
        <v>7</v>
      </c>
      <c r="EG230" s="27" t="s">
        <v>8</v>
      </c>
      <c r="ET230" s="27" t="s">
        <v>7</v>
      </c>
    </row>
    <row r="231" spans="1:153" x14ac:dyDescent="0.25">
      <c r="A231" s="30">
        <v>1.5513282159785162</v>
      </c>
      <c r="C231"/>
      <c r="D231"/>
      <c r="E231"/>
      <c r="CC231" s="27" t="s">
        <v>8</v>
      </c>
      <c r="CD231" s="27" t="s">
        <v>7</v>
      </c>
      <c r="EA231" s="27" t="s">
        <v>8</v>
      </c>
      <c r="ED231" s="27" t="s">
        <v>7</v>
      </c>
      <c r="EG231" s="27" t="s">
        <v>8</v>
      </c>
      <c r="ET231" s="27" t="s">
        <v>7</v>
      </c>
      <c r="EU231" s="27" t="s">
        <v>8</v>
      </c>
    </row>
    <row r="232" spans="1:153" x14ac:dyDescent="0.25">
      <c r="A232" s="30">
        <v>1.477455443789063</v>
      </c>
      <c r="E232"/>
      <c r="CC232" s="27" t="s">
        <v>8</v>
      </c>
      <c r="CD232" s="27" t="s">
        <v>7</v>
      </c>
      <c r="CE232" s="27" t="s">
        <v>8</v>
      </c>
      <c r="EA232" s="27" t="s">
        <v>8</v>
      </c>
      <c r="ED232" s="27" t="s">
        <v>7</v>
      </c>
      <c r="EE232" s="27" t="s">
        <v>8</v>
      </c>
      <c r="EG232" s="27" t="s">
        <v>8</v>
      </c>
      <c r="ET232" s="27" t="s">
        <v>7</v>
      </c>
      <c r="EU232" s="27" t="s">
        <v>8</v>
      </c>
      <c r="EV232" s="27" t="s">
        <v>7</v>
      </c>
      <c r="EW232" s="27" t="s">
        <v>8</v>
      </c>
    </row>
    <row r="233" spans="1:153" x14ac:dyDescent="0.25">
      <c r="A233" s="30">
        <v>1.4071004226562505</v>
      </c>
      <c r="E233"/>
      <c r="CA233" s="27" t="s">
        <v>8</v>
      </c>
      <c r="CC233" s="27" t="s">
        <v>8</v>
      </c>
      <c r="CD233" s="27" t="s">
        <v>7</v>
      </c>
      <c r="CE233" s="27" t="s">
        <v>8</v>
      </c>
      <c r="CF233" s="27" t="s">
        <v>7</v>
      </c>
      <c r="EA233" s="27" t="s">
        <v>8</v>
      </c>
      <c r="ED233" s="27" t="s">
        <v>7</v>
      </c>
      <c r="EE233" s="27" t="s">
        <v>8</v>
      </c>
      <c r="EF233" s="27" t="s">
        <v>7</v>
      </c>
      <c r="EG233" s="27" t="s">
        <v>8</v>
      </c>
      <c r="ET233" s="27" t="s">
        <v>7</v>
      </c>
      <c r="EU233" s="27" t="s">
        <v>8</v>
      </c>
      <c r="EV233" s="27" t="s">
        <v>7</v>
      </c>
      <c r="EW233" s="27" t="s">
        <v>8</v>
      </c>
    </row>
    <row r="234" spans="1:153" x14ac:dyDescent="0.25">
      <c r="A234" s="30">
        <v>1.3400956406250004</v>
      </c>
      <c r="E234"/>
      <c r="BO234" s="27" t="s">
        <v>8</v>
      </c>
      <c r="CA234" s="27" t="s">
        <v>8</v>
      </c>
      <c r="CB234" s="27" t="s">
        <v>7</v>
      </c>
      <c r="CC234" s="27" t="s">
        <v>8</v>
      </c>
      <c r="CD234" s="27" t="s">
        <v>7</v>
      </c>
      <c r="CE234" s="27" t="s">
        <v>8</v>
      </c>
      <c r="CF234" s="27" t="s">
        <v>7</v>
      </c>
      <c r="EA234" s="27" t="s">
        <v>8</v>
      </c>
      <c r="ED234" s="27" t="s">
        <v>7</v>
      </c>
      <c r="EE234" s="27" t="s">
        <v>8</v>
      </c>
      <c r="EF234" s="27" t="s">
        <v>7</v>
      </c>
      <c r="EG234" s="27" t="s">
        <v>8</v>
      </c>
      <c r="ET234" s="27" t="s">
        <v>7</v>
      </c>
      <c r="EU234" s="27" t="s">
        <v>8</v>
      </c>
      <c r="EV234" s="27" t="s">
        <v>7</v>
      </c>
      <c r="EW234" s="27" t="s">
        <v>8</v>
      </c>
    </row>
    <row r="235" spans="1:153" x14ac:dyDescent="0.25">
      <c r="A235" s="30">
        <v>1.2762815625000004</v>
      </c>
      <c r="C235"/>
      <c r="E235"/>
      <c r="BO235" s="27" t="s">
        <v>8</v>
      </c>
      <c r="BP235" s="27" t="s">
        <v>7</v>
      </c>
      <c r="CA235" s="27" t="s">
        <v>8</v>
      </c>
      <c r="CB235" s="27" t="s">
        <v>7</v>
      </c>
      <c r="CC235" s="27" t="s">
        <v>8</v>
      </c>
      <c r="CD235" s="27" t="s">
        <v>7</v>
      </c>
      <c r="CE235" s="27" t="s">
        <v>8</v>
      </c>
      <c r="CF235" s="27" t="s">
        <v>7</v>
      </c>
      <c r="EA235" s="27" t="s">
        <v>8</v>
      </c>
      <c r="ED235" s="27" t="s">
        <v>7</v>
      </c>
      <c r="EE235" s="27" t="s">
        <v>8</v>
      </c>
      <c r="EF235" s="27" t="s">
        <v>7</v>
      </c>
      <c r="EG235" s="27" t="s">
        <v>8</v>
      </c>
      <c r="ET235" s="27" t="s">
        <v>7</v>
      </c>
      <c r="EU235" s="27" t="s">
        <v>8</v>
      </c>
      <c r="EV235" s="27" t="s">
        <v>7</v>
      </c>
      <c r="EW235" s="27" t="s">
        <v>8</v>
      </c>
    </row>
    <row r="236" spans="1:153" x14ac:dyDescent="0.25">
      <c r="A236" s="30">
        <v>1.2155062500000002</v>
      </c>
      <c r="E236"/>
      <c r="BM236" s="27" t="s">
        <v>8</v>
      </c>
      <c r="BO236" s="27" t="s">
        <v>8</v>
      </c>
      <c r="BP236" s="27" t="s">
        <v>7</v>
      </c>
      <c r="BQ236" s="27" t="s">
        <v>8</v>
      </c>
      <c r="BY236" s="27" t="s">
        <v>8</v>
      </c>
      <c r="CA236" s="27" t="s">
        <v>8</v>
      </c>
      <c r="CB236" s="27" t="s">
        <v>7</v>
      </c>
      <c r="CC236" s="27" t="s">
        <v>8</v>
      </c>
      <c r="CD236" s="27" t="s">
        <v>7</v>
      </c>
      <c r="CE236" s="27" t="s">
        <v>8</v>
      </c>
      <c r="CF236" s="27" t="s">
        <v>7</v>
      </c>
      <c r="CO236" s="27" t="s">
        <v>8</v>
      </c>
      <c r="EA236" s="27" t="s">
        <v>8</v>
      </c>
      <c r="ED236" s="27" t="s">
        <v>7</v>
      </c>
      <c r="EF236" s="27" t="s">
        <v>7</v>
      </c>
      <c r="EG236" s="27" t="s">
        <v>8</v>
      </c>
      <c r="ET236" s="27" t="s">
        <v>7</v>
      </c>
      <c r="EU236" s="27" t="s">
        <v>8</v>
      </c>
      <c r="EV236" s="27" t="s">
        <v>7</v>
      </c>
    </row>
    <row r="237" spans="1:153" x14ac:dyDescent="0.25">
      <c r="A237" s="30">
        <v>1.1576249999999999</v>
      </c>
      <c r="C237" s="1" t="str">
        <f>IF(C234=$S$1,IF(D231&lt;(C228*0.952380952380952),$S$1,IF(C231&gt;(C228*1.157625),$U$1,"")),"")</f>
        <v/>
      </c>
      <c r="D237" s="1" t="str">
        <f>IF(C234=$U$1,IF(C231&gt;(C228*1.05),$U$1,IF(D231&lt;(C228*0.863837598531476),$S$1,"")),"")</f>
        <v/>
      </c>
      <c r="E237"/>
      <c r="BM237" s="27" t="s">
        <v>8</v>
      </c>
      <c r="BN237" s="27" t="s">
        <v>7</v>
      </c>
      <c r="BO237" s="27" t="s">
        <v>8</v>
      </c>
      <c r="BP237" s="27" t="s">
        <v>7</v>
      </c>
      <c r="BQ237" s="27" t="s">
        <v>8</v>
      </c>
      <c r="BR237" s="27" t="s">
        <v>7</v>
      </c>
      <c r="BS237" s="27" t="s">
        <v>8</v>
      </c>
      <c r="BY237" s="27" t="s">
        <v>8</v>
      </c>
      <c r="BZ237" s="27" t="s">
        <v>7</v>
      </c>
      <c r="CA237" s="27" t="s">
        <v>8</v>
      </c>
      <c r="CB237" s="27" t="s">
        <v>7</v>
      </c>
      <c r="CC237" s="27" t="s">
        <v>8</v>
      </c>
      <c r="CD237" s="27" t="s">
        <v>7</v>
      </c>
      <c r="CE237" s="27" t="s">
        <v>8</v>
      </c>
      <c r="CF237" s="27" t="s">
        <v>7</v>
      </c>
      <c r="CO237" s="27" t="s">
        <v>8</v>
      </c>
      <c r="CP237" s="27" t="s">
        <v>7</v>
      </c>
      <c r="EA237" s="27" t="s">
        <v>8</v>
      </c>
      <c r="EF237" s="27" t="s">
        <v>7</v>
      </c>
      <c r="ET237" s="27" t="s">
        <v>7</v>
      </c>
    </row>
    <row r="238" spans="1:153" x14ac:dyDescent="0.25">
      <c r="A238" s="30">
        <v>1.1025</v>
      </c>
      <c r="E238"/>
      <c r="BK238" s="27" t="s">
        <v>8</v>
      </c>
      <c r="BM238" s="27" t="s">
        <v>8</v>
      </c>
      <c r="BN238" s="27" t="s">
        <v>7</v>
      </c>
      <c r="BO238" s="27" t="s">
        <v>8</v>
      </c>
      <c r="BP238" s="27" t="s">
        <v>7</v>
      </c>
      <c r="BQ238" s="27" t="s">
        <v>8</v>
      </c>
      <c r="BR238" s="27" t="s">
        <v>7</v>
      </c>
      <c r="BS238" s="27" t="s">
        <v>8</v>
      </c>
      <c r="BT238" s="27" t="s">
        <v>7</v>
      </c>
      <c r="BY238" s="27" t="s">
        <v>8</v>
      </c>
      <c r="BZ238" s="27" t="s">
        <v>7</v>
      </c>
      <c r="CA238" s="27" t="s">
        <v>8</v>
      </c>
      <c r="CB238" s="27" t="s">
        <v>7</v>
      </c>
      <c r="CC238" s="27" t="s">
        <v>8</v>
      </c>
      <c r="CD238" s="27" t="s">
        <v>7</v>
      </c>
      <c r="CE238" s="27" t="s">
        <v>8</v>
      </c>
      <c r="CF238" s="27" t="s">
        <v>7</v>
      </c>
      <c r="CO238" s="27" t="s">
        <v>8</v>
      </c>
      <c r="CP238" s="27" t="s">
        <v>7</v>
      </c>
      <c r="CQ238" s="27" t="s">
        <v>8</v>
      </c>
      <c r="EA238" s="27" t="s">
        <v>8</v>
      </c>
    </row>
    <row r="239" spans="1:153" x14ac:dyDescent="0.25">
      <c r="A239" s="30">
        <v>1.05</v>
      </c>
      <c r="E239"/>
      <c r="BK239" s="27" t="s">
        <v>8</v>
      </c>
      <c r="BL239" s="27" t="s">
        <v>7</v>
      </c>
      <c r="BM239" s="27" t="s">
        <v>8</v>
      </c>
      <c r="BN239" s="27" t="s">
        <v>7</v>
      </c>
      <c r="BO239" s="27" t="s">
        <v>8</v>
      </c>
      <c r="BP239" s="27" t="s">
        <v>7</v>
      </c>
      <c r="BR239" s="27" t="s">
        <v>7</v>
      </c>
      <c r="BS239" s="27" t="s">
        <v>8</v>
      </c>
      <c r="BT239" s="27" t="s">
        <v>7</v>
      </c>
      <c r="BW239" s="27" t="s">
        <v>8</v>
      </c>
      <c r="BY239" s="27" t="s">
        <v>8</v>
      </c>
      <c r="BZ239" s="27" t="s">
        <v>7</v>
      </c>
      <c r="CA239" s="27" t="s">
        <v>8</v>
      </c>
      <c r="CB239" s="27" t="s">
        <v>7</v>
      </c>
      <c r="CC239" s="27" t="s">
        <v>8</v>
      </c>
      <c r="CD239" s="27" t="s">
        <v>7</v>
      </c>
      <c r="CE239" s="27" t="s">
        <v>8</v>
      </c>
      <c r="CF239" s="27" t="s">
        <v>7</v>
      </c>
      <c r="CO239" s="27" t="s">
        <v>8</v>
      </c>
      <c r="CP239" s="27" t="s">
        <v>7</v>
      </c>
      <c r="CQ239" s="27" t="s">
        <v>8</v>
      </c>
      <c r="CR239" s="27" t="s">
        <v>7</v>
      </c>
      <c r="EA239" s="27" t="s">
        <v>8</v>
      </c>
    </row>
    <row r="240" spans="1:153" x14ac:dyDescent="0.25">
      <c r="A240" s="30">
        <v>1</v>
      </c>
      <c r="E240" s="29" t="s">
        <v>8</v>
      </c>
      <c r="U240" s="27" t="s">
        <v>8</v>
      </c>
      <c r="BK240" s="27" t="s">
        <v>8</v>
      </c>
      <c r="BL240" s="27" t="s">
        <v>7</v>
      </c>
      <c r="BM240" s="27" t="s">
        <v>8</v>
      </c>
      <c r="BN240" s="27" t="s">
        <v>7</v>
      </c>
      <c r="BO240" s="27" t="s">
        <v>8</v>
      </c>
      <c r="BR240" s="27" t="s">
        <v>7</v>
      </c>
      <c r="BS240" s="27" t="s">
        <v>8</v>
      </c>
      <c r="BT240" s="27" t="s">
        <v>7</v>
      </c>
      <c r="BU240" s="27" t="s">
        <v>8</v>
      </c>
      <c r="BW240" s="27" t="s">
        <v>8</v>
      </c>
      <c r="BX240" s="27" t="s">
        <v>7</v>
      </c>
      <c r="BY240" s="27" t="s">
        <v>8</v>
      </c>
      <c r="BZ240" s="27" t="s">
        <v>7</v>
      </c>
      <c r="CA240" s="27" t="s">
        <v>8</v>
      </c>
      <c r="CB240" s="27" t="s">
        <v>7</v>
      </c>
      <c r="CC240" s="27" t="s">
        <v>8</v>
      </c>
      <c r="CD240" s="27" t="s">
        <v>7</v>
      </c>
      <c r="CF240" s="27" t="s">
        <v>7</v>
      </c>
      <c r="CO240" s="27" t="s">
        <v>8</v>
      </c>
      <c r="CP240" s="27" t="s">
        <v>7</v>
      </c>
      <c r="CQ240" s="27" t="s">
        <v>8</v>
      </c>
      <c r="CR240" s="27" t="s">
        <v>7</v>
      </c>
      <c r="EA240" s="27" t="s">
        <v>8</v>
      </c>
    </row>
    <row r="241" spans="1:131" x14ac:dyDescent="0.25">
      <c r="A241" s="30">
        <v>0.952380952380952</v>
      </c>
      <c r="B241"/>
      <c r="C241"/>
      <c r="D241"/>
      <c r="E241"/>
      <c r="F241" s="27" t="s">
        <v>7</v>
      </c>
      <c r="U241" s="27" t="s">
        <v>8</v>
      </c>
      <c r="V241" s="27" t="s">
        <v>7</v>
      </c>
      <c r="BI241" s="27" t="s">
        <v>8</v>
      </c>
      <c r="BK241" s="27" t="s">
        <v>8</v>
      </c>
      <c r="BL241" s="27" t="s">
        <v>7</v>
      </c>
      <c r="BM241" s="27" t="s">
        <v>8</v>
      </c>
      <c r="BN241" s="27" t="s">
        <v>7</v>
      </c>
      <c r="BR241" s="27" t="s">
        <v>7</v>
      </c>
      <c r="BS241" s="27" t="s">
        <v>8</v>
      </c>
      <c r="BT241" s="27" t="s">
        <v>7</v>
      </c>
      <c r="BU241" s="27" t="s">
        <v>8</v>
      </c>
      <c r="BV241" s="27" t="s">
        <v>7</v>
      </c>
      <c r="BW241" s="27" t="s">
        <v>8</v>
      </c>
      <c r="BX241" s="27" t="s">
        <v>7</v>
      </c>
      <c r="BY241" s="27" t="s">
        <v>8</v>
      </c>
      <c r="BZ241" s="27" t="s">
        <v>7</v>
      </c>
      <c r="CB241" s="27" t="s">
        <v>7</v>
      </c>
      <c r="CF241" s="27" t="s">
        <v>7</v>
      </c>
      <c r="CG241" s="27" t="s">
        <v>8</v>
      </c>
      <c r="CM241" s="27" t="s">
        <v>8</v>
      </c>
      <c r="CO241" s="27" t="s">
        <v>8</v>
      </c>
      <c r="CP241" s="27" t="s">
        <v>7</v>
      </c>
      <c r="CQ241" s="27" t="s">
        <v>8</v>
      </c>
      <c r="CR241" s="27" t="s">
        <v>7</v>
      </c>
      <c r="EA241" s="27" t="s">
        <v>8</v>
      </c>
    </row>
    <row r="242" spans="1:131" x14ac:dyDescent="0.25">
      <c r="A242" s="30">
        <v>0.90702947845804915</v>
      </c>
      <c r="B242"/>
      <c r="C242"/>
      <c r="D242"/>
      <c r="E242"/>
      <c r="F242" s="27" t="s">
        <v>7</v>
      </c>
      <c r="U242" s="27" t="s">
        <v>8</v>
      </c>
      <c r="V242" s="27" t="s">
        <v>7</v>
      </c>
      <c r="BI242" s="27" t="s">
        <v>8</v>
      </c>
      <c r="BJ242" s="27" t="s">
        <v>7</v>
      </c>
      <c r="BK242" s="27" t="s">
        <v>8</v>
      </c>
      <c r="BL242" s="27" t="s">
        <v>7</v>
      </c>
      <c r="BR242" s="27" t="s">
        <v>7</v>
      </c>
      <c r="BS242" s="27" t="s">
        <v>8</v>
      </c>
      <c r="BT242" s="27" t="s">
        <v>7</v>
      </c>
      <c r="BU242" s="27" t="s">
        <v>8</v>
      </c>
      <c r="BV242" s="27" t="s">
        <v>7</v>
      </c>
      <c r="BW242" s="27" t="s">
        <v>8</v>
      </c>
      <c r="BX242" s="27" t="s">
        <v>7</v>
      </c>
      <c r="BY242" s="27" t="s">
        <v>8</v>
      </c>
      <c r="CF242" s="27" t="s">
        <v>7</v>
      </c>
      <c r="CG242" s="27" t="s">
        <v>8</v>
      </c>
      <c r="CH242" s="27" t="s">
        <v>7</v>
      </c>
      <c r="CM242" s="27" t="s">
        <v>8</v>
      </c>
      <c r="CN242" s="27" t="s">
        <v>7</v>
      </c>
      <c r="CO242" s="27" t="s">
        <v>8</v>
      </c>
      <c r="CP242" s="27" t="s">
        <v>7</v>
      </c>
      <c r="CR242" s="27" t="s">
        <v>7</v>
      </c>
      <c r="EA242" s="27" t="s">
        <v>8</v>
      </c>
    </row>
    <row r="243" spans="1:131" x14ac:dyDescent="0.25">
      <c r="A243" s="30">
        <v>0.86383759853147501</v>
      </c>
      <c r="B243"/>
      <c r="C243"/>
      <c r="D243"/>
      <c r="E243"/>
      <c r="F243" s="27" t="s">
        <v>7</v>
      </c>
      <c r="U243" s="27" t="s">
        <v>8</v>
      </c>
      <c r="V243" s="27" t="s">
        <v>7</v>
      </c>
      <c r="BG243" s="27" t="s">
        <v>8</v>
      </c>
      <c r="BI243" s="27" t="s">
        <v>8</v>
      </c>
      <c r="BJ243" s="27" t="s">
        <v>7</v>
      </c>
      <c r="BK243" s="27" t="s">
        <v>8</v>
      </c>
      <c r="BR243" s="27" t="s">
        <v>7</v>
      </c>
      <c r="BS243" s="27" t="s">
        <v>8</v>
      </c>
      <c r="BT243" s="27" t="s">
        <v>7</v>
      </c>
      <c r="BV243" s="27" t="s">
        <v>7</v>
      </c>
      <c r="BW243" s="27" t="s">
        <v>8</v>
      </c>
      <c r="BX243" s="27" t="s">
        <v>7</v>
      </c>
      <c r="BY243" s="27" t="s">
        <v>8</v>
      </c>
      <c r="CF243" s="27" t="s">
        <v>7</v>
      </c>
      <c r="CG243" s="27" t="s">
        <v>8</v>
      </c>
      <c r="CH243" s="27" t="s">
        <v>7</v>
      </c>
      <c r="CM243" s="27" t="s">
        <v>8</v>
      </c>
      <c r="CN243" s="27" t="s">
        <v>7</v>
      </c>
      <c r="CO243" s="27" t="s">
        <v>8</v>
      </c>
      <c r="CR243" s="27" t="s">
        <v>7</v>
      </c>
      <c r="DC243" s="27" t="s">
        <v>8</v>
      </c>
      <c r="DU243" s="27" t="s">
        <v>8</v>
      </c>
      <c r="EA243" s="27" t="s">
        <v>8</v>
      </c>
    </row>
    <row r="244" spans="1:131" x14ac:dyDescent="0.25">
      <c r="A244" s="30">
        <v>0.82270247479188063</v>
      </c>
      <c r="B244"/>
      <c r="C244"/>
      <c r="D244"/>
      <c r="E244"/>
      <c r="F244" s="27" t="s">
        <v>7</v>
      </c>
      <c r="O244" s="27" t="s">
        <v>8</v>
      </c>
      <c r="U244" s="27" t="s">
        <v>8</v>
      </c>
      <c r="V244" s="27" t="s">
        <v>7</v>
      </c>
      <c r="AW244" s="27" t="s">
        <v>8</v>
      </c>
      <c r="BE244" s="27" t="s">
        <v>8</v>
      </c>
      <c r="BG244" s="27" t="s">
        <v>8</v>
      </c>
      <c r="BH244" s="27" t="s">
        <v>7</v>
      </c>
      <c r="BI244" s="27" t="s">
        <v>8</v>
      </c>
      <c r="BJ244" s="27" t="s">
        <v>7</v>
      </c>
      <c r="BK244" s="27" t="s">
        <v>8</v>
      </c>
      <c r="BR244" s="27" t="s">
        <v>7</v>
      </c>
      <c r="BS244" s="27" t="s">
        <v>8</v>
      </c>
      <c r="BV244" s="27" t="s">
        <v>7</v>
      </c>
      <c r="BW244" s="27" t="s">
        <v>8</v>
      </c>
      <c r="BX244" s="27" t="s">
        <v>7</v>
      </c>
      <c r="BY244" s="27" t="s">
        <v>8</v>
      </c>
      <c r="CF244" s="27" t="s">
        <v>7</v>
      </c>
      <c r="CG244" s="27" t="s">
        <v>8</v>
      </c>
      <c r="CH244" s="27" t="s">
        <v>7</v>
      </c>
      <c r="CM244" s="27" t="s">
        <v>8</v>
      </c>
      <c r="CN244" s="27" t="s">
        <v>7</v>
      </c>
      <c r="CO244" s="27" t="s">
        <v>8</v>
      </c>
      <c r="CR244" s="27" t="s">
        <v>7</v>
      </c>
      <c r="DC244" s="27" t="s">
        <v>8</v>
      </c>
      <c r="DD244" s="27" t="s">
        <v>7</v>
      </c>
      <c r="DG244" s="27" t="s">
        <v>8</v>
      </c>
      <c r="DI244" s="27" t="s">
        <v>8</v>
      </c>
      <c r="DU244" s="27" t="s">
        <v>8</v>
      </c>
      <c r="DV244" s="27" t="s">
        <v>7</v>
      </c>
      <c r="EA244" s="27" t="s">
        <v>8</v>
      </c>
    </row>
    <row r="245" spans="1:131" x14ac:dyDescent="0.25">
      <c r="A245" s="30">
        <v>0.78352616646845741</v>
      </c>
      <c r="B245"/>
      <c r="C245"/>
      <c r="D245"/>
      <c r="E245"/>
      <c r="F245" s="27" t="s">
        <v>7</v>
      </c>
      <c r="O245" s="27" t="s">
        <v>8</v>
      </c>
      <c r="P245" s="27" t="s">
        <v>7</v>
      </c>
      <c r="S245" s="27" t="s">
        <v>8</v>
      </c>
      <c r="U245" s="27" t="s">
        <v>8</v>
      </c>
      <c r="V245" s="27" t="s">
        <v>7</v>
      </c>
      <c r="AW245" s="27" t="s">
        <v>8</v>
      </c>
      <c r="AX245" s="27" t="s">
        <v>7</v>
      </c>
      <c r="BE245" s="27" t="s">
        <v>8</v>
      </c>
      <c r="BF245" s="27" t="s">
        <v>7</v>
      </c>
      <c r="BG245" s="27" t="s">
        <v>8</v>
      </c>
      <c r="BH245" s="27" t="s">
        <v>7</v>
      </c>
      <c r="BI245" s="27" t="s">
        <v>8</v>
      </c>
      <c r="BJ245" s="27" t="s">
        <v>7</v>
      </c>
      <c r="BK245" s="27" t="s">
        <v>8</v>
      </c>
      <c r="BR245" s="27" t="s">
        <v>7</v>
      </c>
      <c r="BV245" s="27" t="s">
        <v>7</v>
      </c>
      <c r="BW245" s="27" t="s">
        <v>8</v>
      </c>
      <c r="BX245" s="27" t="s">
        <v>7</v>
      </c>
      <c r="BY245" s="27" t="s">
        <v>8</v>
      </c>
      <c r="CF245" s="27" t="s">
        <v>7</v>
      </c>
      <c r="CG245" s="27" t="s">
        <v>8</v>
      </c>
      <c r="CH245" s="27" t="s">
        <v>7</v>
      </c>
      <c r="CM245" s="27" t="s">
        <v>8</v>
      </c>
      <c r="CN245" s="27" t="s">
        <v>7</v>
      </c>
      <c r="CO245" s="27" t="s">
        <v>8</v>
      </c>
      <c r="CR245" s="27" t="s">
        <v>7</v>
      </c>
      <c r="CS245" s="27" t="s">
        <v>8</v>
      </c>
      <c r="DC245" s="27" t="s">
        <v>8</v>
      </c>
      <c r="DD245" s="27" t="s">
        <v>7</v>
      </c>
      <c r="DE245" s="27" t="s">
        <v>8</v>
      </c>
      <c r="DG245" s="27" t="s">
        <v>8</v>
      </c>
      <c r="DH245" s="27" t="s">
        <v>7</v>
      </c>
      <c r="DI245" s="27" t="s">
        <v>8</v>
      </c>
      <c r="DJ245" s="27" t="s">
        <v>7</v>
      </c>
      <c r="DS245" s="27" t="s">
        <v>8</v>
      </c>
      <c r="DU245" s="27" t="s">
        <v>8</v>
      </c>
      <c r="DV245" s="27" t="s">
        <v>7</v>
      </c>
      <c r="EA245" s="27" t="s">
        <v>8</v>
      </c>
    </row>
    <row r="246" spans="1:131" x14ac:dyDescent="0.25">
      <c r="A246" s="30">
        <v>0.74621539663662584</v>
      </c>
      <c r="B246"/>
      <c r="C246"/>
      <c r="D246"/>
      <c r="E246"/>
      <c r="F246" s="27" t="s">
        <v>7</v>
      </c>
      <c r="O246" s="27" t="s">
        <v>8</v>
      </c>
      <c r="P246" s="27" t="s">
        <v>7</v>
      </c>
      <c r="Q246" s="27" t="s">
        <v>8</v>
      </c>
      <c r="S246" s="27" t="s">
        <v>8</v>
      </c>
      <c r="T246" s="27" t="s">
        <v>7</v>
      </c>
      <c r="U246" s="27" t="s">
        <v>8</v>
      </c>
      <c r="V246" s="27" t="s">
        <v>7</v>
      </c>
      <c r="AW246" s="27" t="s">
        <v>8</v>
      </c>
      <c r="AX246" s="27" t="s">
        <v>7</v>
      </c>
      <c r="AY246" s="27" t="s">
        <v>8</v>
      </c>
      <c r="BE246" s="27" t="s">
        <v>8</v>
      </c>
      <c r="BF246" s="27" t="s">
        <v>7</v>
      </c>
      <c r="BG246" s="27" t="s">
        <v>8</v>
      </c>
      <c r="BH246" s="27" t="s">
        <v>7</v>
      </c>
      <c r="BJ246" s="27" t="s">
        <v>7</v>
      </c>
      <c r="BV246" s="27" t="s">
        <v>7</v>
      </c>
      <c r="BW246" s="27" t="s">
        <v>8</v>
      </c>
      <c r="BX246" s="27" t="s">
        <v>7</v>
      </c>
      <c r="CF246" s="27" t="s">
        <v>7</v>
      </c>
      <c r="CG246" s="27" t="s">
        <v>8</v>
      </c>
      <c r="CH246" s="27" t="s">
        <v>7</v>
      </c>
      <c r="CM246" s="27" t="s">
        <v>8</v>
      </c>
      <c r="CN246" s="27" t="s">
        <v>7</v>
      </c>
      <c r="CR246" s="27" t="s">
        <v>7</v>
      </c>
      <c r="CS246" s="27" t="s">
        <v>8</v>
      </c>
      <c r="CT246" s="27" t="s">
        <v>7</v>
      </c>
      <c r="DC246" s="27" t="s">
        <v>8</v>
      </c>
      <c r="DD246" s="27" t="s">
        <v>7</v>
      </c>
      <c r="DE246" s="27" t="s">
        <v>8</v>
      </c>
      <c r="DF246" s="27" t="s">
        <v>7</v>
      </c>
      <c r="DG246" s="27" t="s">
        <v>8</v>
      </c>
      <c r="DH246" s="27" t="s">
        <v>7</v>
      </c>
      <c r="DI246" s="27" t="s">
        <v>8</v>
      </c>
      <c r="DJ246" s="27" t="s">
        <v>7</v>
      </c>
      <c r="DK246" s="27" t="s">
        <v>8</v>
      </c>
      <c r="DO246" s="27" t="s">
        <v>8</v>
      </c>
      <c r="DS246" s="27" t="s">
        <v>8</v>
      </c>
      <c r="DT246" s="27" t="s">
        <v>7</v>
      </c>
      <c r="DU246" s="27" t="s">
        <v>8</v>
      </c>
      <c r="DV246" s="27" t="s">
        <v>7</v>
      </c>
      <c r="DW246" s="27" t="s">
        <v>8</v>
      </c>
      <c r="EA246" s="27" t="s">
        <v>8</v>
      </c>
    </row>
    <row r="247" spans="1:131" x14ac:dyDescent="0.25">
      <c r="A247" s="30">
        <v>0.71068133013011958</v>
      </c>
      <c r="B247"/>
      <c r="C247"/>
      <c r="D247"/>
      <c r="E247"/>
      <c r="F247" s="27" t="s">
        <v>7</v>
      </c>
      <c r="O247" s="27" t="s">
        <v>8</v>
      </c>
      <c r="P247" s="27" t="s">
        <v>7</v>
      </c>
      <c r="Q247" s="27" t="s">
        <v>8</v>
      </c>
      <c r="R247" s="27" t="s">
        <v>7</v>
      </c>
      <c r="S247" s="27" t="s">
        <v>8</v>
      </c>
      <c r="T247" s="27" t="s">
        <v>7</v>
      </c>
      <c r="U247" s="27" t="s">
        <v>8</v>
      </c>
      <c r="V247" s="27" t="s">
        <v>7</v>
      </c>
      <c r="W247" s="27" t="s">
        <v>8</v>
      </c>
      <c r="AW247" s="27" t="s">
        <v>8</v>
      </c>
      <c r="AX247" s="27" t="s">
        <v>7</v>
      </c>
      <c r="AY247" s="27" t="s">
        <v>8</v>
      </c>
      <c r="AZ247" s="27" t="s">
        <v>7</v>
      </c>
      <c r="BE247" s="27" t="s">
        <v>8</v>
      </c>
      <c r="BF247" s="27" t="s">
        <v>7</v>
      </c>
      <c r="BG247" s="27" t="s">
        <v>8</v>
      </c>
      <c r="BV247" s="27" t="s">
        <v>7</v>
      </c>
      <c r="BW247" s="27" t="s">
        <v>8</v>
      </c>
      <c r="CF247" s="27" t="s">
        <v>7</v>
      </c>
      <c r="CG247" s="27" t="s">
        <v>8</v>
      </c>
      <c r="CH247" s="27" t="s">
        <v>7</v>
      </c>
      <c r="CK247" s="27" t="s">
        <v>8</v>
      </c>
      <c r="CM247" s="27" t="s">
        <v>8</v>
      </c>
      <c r="CR247" s="27" t="s">
        <v>7</v>
      </c>
      <c r="CS247" s="27" t="s">
        <v>8</v>
      </c>
      <c r="CT247" s="27" t="s">
        <v>7</v>
      </c>
      <c r="DC247" s="27" t="s">
        <v>8</v>
      </c>
      <c r="DD247" s="27" t="s">
        <v>7</v>
      </c>
      <c r="DE247" s="27" t="s">
        <v>8</v>
      </c>
      <c r="DF247" s="27" t="s">
        <v>7</v>
      </c>
      <c r="DG247" s="27" t="s">
        <v>8</v>
      </c>
      <c r="DH247" s="27" t="s">
        <v>7</v>
      </c>
      <c r="DI247" s="27" t="s">
        <v>8</v>
      </c>
      <c r="DJ247" s="27" t="s">
        <v>7</v>
      </c>
      <c r="DK247" s="27" t="s">
        <v>8</v>
      </c>
      <c r="DL247" s="27" t="s">
        <v>7</v>
      </c>
      <c r="DO247" s="27" t="s">
        <v>8</v>
      </c>
      <c r="DP247" s="27" t="s">
        <v>7</v>
      </c>
      <c r="DS247" s="27" t="s">
        <v>8</v>
      </c>
      <c r="DT247" s="27" t="s">
        <v>7</v>
      </c>
      <c r="DU247" s="27" t="s">
        <v>8</v>
      </c>
      <c r="DV247" s="27" t="s">
        <v>7</v>
      </c>
      <c r="DW247" s="27" t="s">
        <v>8</v>
      </c>
      <c r="DX247" s="27" t="s">
        <v>7</v>
      </c>
      <c r="DY247" s="27" t="s">
        <v>8</v>
      </c>
      <c r="EA247" s="27" t="s">
        <v>8</v>
      </c>
    </row>
    <row r="248" spans="1:131" x14ac:dyDescent="0.25">
      <c r="A248" s="30">
        <v>0.676839362028685</v>
      </c>
      <c r="B248"/>
      <c r="C248"/>
      <c r="D248"/>
      <c r="E248"/>
      <c r="F248" s="27" t="s">
        <v>7</v>
      </c>
      <c r="K248" s="27" t="s">
        <v>8</v>
      </c>
      <c r="O248" s="27" t="s">
        <v>8</v>
      </c>
      <c r="P248" s="27" t="s">
        <v>7</v>
      </c>
      <c r="Q248" s="27" t="s">
        <v>8</v>
      </c>
      <c r="R248" s="27" t="s">
        <v>7</v>
      </c>
      <c r="S248" s="27" t="s">
        <v>8</v>
      </c>
      <c r="T248" s="27" t="s">
        <v>7</v>
      </c>
      <c r="V248" s="27" t="s">
        <v>7</v>
      </c>
      <c r="W248" s="27" t="s">
        <v>8</v>
      </c>
      <c r="X248" s="27" t="s">
        <v>7</v>
      </c>
      <c r="AU248" s="27" t="s">
        <v>8</v>
      </c>
      <c r="AW248" s="27" t="s">
        <v>8</v>
      </c>
      <c r="AX248" s="27" t="s">
        <v>7</v>
      </c>
      <c r="AY248" s="27" t="s">
        <v>8</v>
      </c>
      <c r="AZ248" s="27" t="s">
        <v>7</v>
      </c>
      <c r="BE248" s="27" t="s">
        <v>8</v>
      </c>
      <c r="BF248" s="27" t="s">
        <v>7</v>
      </c>
      <c r="BV248" s="27" t="s">
        <v>7</v>
      </c>
      <c r="BW248" s="27" t="s">
        <v>8</v>
      </c>
      <c r="CF248" s="27" t="s">
        <v>7</v>
      </c>
      <c r="CG248" s="27" t="s">
        <v>8</v>
      </c>
      <c r="CH248" s="27" t="s">
        <v>7</v>
      </c>
      <c r="CI248" s="27" t="s">
        <v>8</v>
      </c>
      <c r="CK248" s="27" t="s">
        <v>8</v>
      </c>
      <c r="CL248" s="27" t="s">
        <v>7</v>
      </c>
      <c r="CM248" s="27" t="s">
        <v>8</v>
      </c>
      <c r="CR248" s="27" t="s">
        <v>7</v>
      </c>
      <c r="CS248" s="27" t="s">
        <v>8</v>
      </c>
      <c r="CT248" s="27" t="s">
        <v>7</v>
      </c>
      <c r="DC248" s="27" t="s">
        <v>8</v>
      </c>
      <c r="DD248" s="27" t="s">
        <v>7</v>
      </c>
      <c r="DE248" s="27" t="s">
        <v>8</v>
      </c>
      <c r="DF248" s="27" t="s">
        <v>7</v>
      </c>
      <c r="DG248" s="27" t="s">
        <v>8</v>
      </c>
      <c r="DH248" s="27" t="s">
        <v>7</v>
      </c>
      <c r="DI248" s="27" t="s">
        <v>8</v>
      </c>
      <c r="DJ248" s="27" t="s">
        <v>7</v>
      </c>
      <c r="DK248" s="27" t="s">
        <v>8</v>
      </c>
      <c r="DL248" s="27" t="s">
        <v>7</v>
      </c>
      <c r="DM248" s="27" t="s">
        <v>8</v>
      </c>
      <c r="DO248" s="27" t="s">
        <v>8</v>
      </c>
      <c r="DP248" s="27" t="s">
        <v>7</v>
      </c>
      <c r="DQ248" s="27" t="s">
        <v>8</v>
      </c>
      <c r="DS248" s="27" t="s">
        <v>8</v>
      </c>
      <c r="DT248" s="27" t="s">
        <v>7</v>
      </c>
      <c r="DV248" s="27" t="s">
        <v>7</v>
      </c>
      <c r="DW248" s="27" t="s">
        <v>8</v>
      </c>
      <c r="DX248" s="27" t="s">
        <v>7</v>
      </c>
      <c r="DY248" s="27" t="s">
        <v>8</v>
      </c>
      <c r="DZ248" s="27" t="s">
        <v>7</v>
      </c>
      <c r="EA248" s="27" t="s">
        <v>8</v>
      </c>
    </row>
    <row r="249" spans="1:131" x14ac:dyDescent="0.25">
      <c r="A249" s="30">
        <v>0.64460891621779492</v>
      </c>
      <c r="B249"/>
      <c r="C249"/>
      <c r="D249"/>
      <c r="E249"/>
      <c r="F249" s="27" t="s">
        <v>7</v>
      </c>
      <c r="K249" s="27" t="s">
        <v>8</v>
      </c>
      <c r="L249" s="27" t="s">
        <v>7</v>
      </c>
      <c r="O249" s="27" t="s">
        <v>8</v>
      </c>
      <c r="P249" s="27" t="s">
        <v>7</v>
      </c>
      <c r="Q249" s="27" t="s">
        <v>8</v>
      </c>
      <c r="R249" s="27" t="s">
        <v>7</v>
      </c>
      <c r="V249" s="27" t="s">
        <v>7</v>
      </c>
      <c r="W249" s="27" t="s">
        <v>8</v>
      </c>
      <c r="X249" s="27" t="s">
        <v>7</v>
      </c>
      <c r="AU249" s="27" t="s">
        <v>8</v>
      </c>
      <c r="AV249" s="27" t="s">
        <v>7</v>
      </c>
      <c r="AW249" s="27" t="s">
        <v>8</v>
      </c>
      <c r="AX249" s="27" t="s">
        <v>7</v>
      </c>
      <c r="AZ249" s="27" t="s">
        <v>7</v>
      </c>
      <c r="BE249" s="27" t="s">
        <v>8</v>
      </c>
      <c r="BV249" s="27" t="s">
        <v>7</v>
      </c>
      <c r="BW249" s="27" t="s">
        <v>8</v>
      </c>
      <c r="CF249" s="27" t="s">
        <v>7</v>
      </c>
      <c r="CG249" s="27" t="s">
        <v>8</v>
      </c>
      <c r="CH249" s="27" t="s">
        <v>7</v>
      </c>
      <c r="CI249" s="27" t="s">
        <v>8</v>
      </c>
      <c r="CJ249" s="27" t="s">
        <v>7</v>
      </c>
      <c r="CK249" s="27" t="s">
        <v>8</v>
      </c>
      <c r="CL249" s="27" t="s">
        <v>7</v>
      </c>
      <c r="CM249" s="27" t="s">
        <v>8</v>
      </c>
      <c r="CR249" s="27" t="s">
        <v>7</v>
      </c>
      <c r="CS249" s="27" t="s">
        <v>8</v>
      </c>
      <c r="CT249" s="27" t="s">
        <v>7</v>
      </c>
      <c r="DC249" s="27" t="s">
        <v>8</v>
      </c>
      <c r="DD249" s="27" t="s">
        <v>7</v>
      </c>
      <c r="DE249" s="27" t="s">
        <v>8</v>
      </c>
      <c r="DF249" s="27" t="s">
        <v>7</v>
      </c>
      <c r="DH249" s="27" t="s">
        <v>7</v>
      </c>
      <c r="DJ249" s="27" t="s">
        <v>7</v>
      </c>
      <c r="DK249" s="27" t="s">
        <v>8</v>
      </c>
      <c r="DL249" s="27" t="s">
        <v>7</v>
      </c>
      <c r="DM249" s="27" t="s">
        <v>8</v>
      </c>
      <c r="DN249" s="27" t="s">
        <v>7</v>
      </c>
      <c r="DO249" s="27" t="s">
        <v>8</v>
      </c>
      <c r="DP249" s="27" t="s">
        <v>7</v>
      </c>
      <c r="DQ249" s="27" t="s">
        <v>8</v>
      </c>
      <c r="DR249" s="27" t="s">
        <v>7</v>
      </c>
      <c r="DS249" s="27" t="s">
        <v>8</v>
      </c>
      <c r="DV249" s="27" t="s">
        <v>7</v>
      </c>
      <c r="DX249" s="27" t="s">
        <v>7</v>
      </c>
      <c r="DY249" s="27" t="s">
        <v>8</v>
      </c>
      <c r="DZ249" s="27" t="s">
        <v>7</v>
      </c>
      <c r="EA249" s="27" t="s">
        <v>8</v>
      </c>
    </row>
    <row r="250" spans="1:131" x14ac:dyDescent="0.25">
      <c r="A250" s="30">
        <v>0.61391325354075688</v>
      </c>
      <c r="B250"/>
      <c r="C250"/>
      <c r="D250"/>
      <c r="E250"/>
      <c r="F250" s="27" t="s">
        <v>7</v>
      </c>
      <c r="K250" s="27" t="s">
        <v>8</v>
      </c>
      <c r="L250" s="27" t="s">
        <v>7</v>
      </c>
      <c r="O250" s="27" t="s">
        <v>8</v>
      </c>
      <c r="P250" s="27" t="s">
        <v>7</v>
      </c>
      <c r="V250" s="27" t="s">
        <v>7</v>
      </c>
      <c r="W250" s="27" t="s">
        <v>8</v>
      </c>
      <c r="X250" s="27" t="s">
        <v>7</v>
      </c>
      <c r="AU250" s="27" t="s">
        <v>8</v>
      </c>
      <c r="AV250" s="27" t="s">
        <v>7</v>
      </c>
      <c r="AW250" s="27" t="s">
        <v>8</v>
      </c>
      <c r="AZ250" s="27" t="s">
        <v>7</v>
      </c>
      <c r="BE250" s="27" t="s">
        <v>8</v>
      </c>
      <c r="BV250" s="27" t="s">
        <v>7</v>
      </c>
      <c r="CF250" s="27" t="s">
        <v>7</v>
      </c>
      <c r="CG250" s="27" t="s">
        <v>8</v>
      </c>
      <c r="CH250" s="27" t="s">
        <v>7</v>
      </c>
      <c r="CI250" s="27" t="s">
        <v>8</v>
      </c>
      <c r="CJ250" s="27" t="s">
        <v>7</v>
      </c>
      <c r="CK250" s="27" t="s">
        <v>8</v>
      </c>
      <c r="CL250" s="27" t="s">
        <v>7</v>
      </c>
      <c r="CM250" s="27" t="s">
        <v>8</v>
      </c>
      <c r="CR250" s="27" t="s">
        <v>7</v>
      </c>
      <c r="CT250" s="27" t="s">
        <v>7</v>
      </c>
      <c r="DC250" s="27" t="s">
        <v>8</v>
      </c>
      <c r="DD250" s="27" t="s">
        <v>7</v>
      </c>
      <c r="DJ250" s="27" t="s">
        <v>7</v>
      </c>
      <c r="DK250" s="27" t="s">
        <v>8</v>
      </c>
      <c r="DL250" s="27" t="s">
        <v>7</v>
      </c>
      <c r="DM250" s="27" t="s">
        <v>8</v>
      </c>
      <c r="DN250" s="27" t="s">
        <v>7</v>
      </c>
      <c r="DO250" s="27" t="s">
        <v>8</v>
      </c>
      <c r="DP250" s="27" t="s">
        <v>7</v>
      </c>
      <c r="DQ250" s="27" t="s">
        <v>8</v>
      </c>
      <c r="DR250" s="27" t="s">
        <v>7</v>
      </c>
      <c r="DS250" s="27" t="s">
        <v>8</v>
      </c>
      <c r="DX250" s="27" t="s">
        <v>7</v>
      </c>
      <c r="DY250" s="27" t="s">
        <v>8</v>
      </c>
      <c r="DZ250" s="27" t="s">
        <v>7</v>
      </c>
      <c r="EA250" s="27" t="s">
        <v>8</v>
      </c>
    </row>
    <row r="251" spans="1:131" x14ac:dyDescent="0.25">
      <c r="A251" s="30">
        <v>0.58467928908643485</v>
      </c>
      <c r="B251"/>
      <c r="C251"/>
      <c r="D251"/>
      <c r="E251"/>
      <c r="F251" s="27" t="s">
        <v>7</v>
      </c>
      <c r="G251" s="27" t="s">
        <v>8</v>
      </c>
      <c r="I251" s="27" t="s">
        <v>8</v>
      </c>
      <c r="K251" s="27" t="s">
        <v>8</v>
      </c>
      <c r="L251" s="27" t="s">
        <v>7</v>
      </c>
      <c r="M251" s="27" t="s">
        <v>8</v>
      </c>
      <c r="O251" s="27" t="s">
        <v>8</v>
      </c>
      <c r="V251" s="27" t="s">
        <v>7</v>
      </c>
      <c r="W251" s="27" t="s">
        <v>8</v>
      </c>
      <c r="X251" s="27" t="s">
        <v>7</v>
      </c>
      <c r="AU251" s="27" t="s">
        <v>8</v>
      </c>
      <c r="AV251" s="27" t="s">
        <v>7</v>
      </c>
      <c r="AW251" s="27" t="s">
        <v>8</v>
      </c>
      <c r="AZ251" s="27" t="s">
        <v>7</v>
      </c>
      <c r="BC251" s="27" t="s">
        <v>8</v>
      </c>
      <c r="BE251" s="27" t="s">
        <v>8</v>
      </c>
      <c r="CF251" s="27" t="s">
        <v>7</v>
      </c>
      <c r="CG251" s="27" t="s">
        <v>8</v>
      </c>
      <c r="CH251" s="27" t="s">
        <v>7</v>
      </c>
      <c r="CI251" s="27" t="s">
        <v>8</v>
      </c>
      <c r="CJ251" s="27" t="s">
        <v>7</v>
      </c>
      <c r="CL251" s="27" t="s">
        <v>7</v>
      </c>
      <c r="CM251" s="27" t="s">
        <v>8</v>
      </c>
      <c r="CT251" s="27" t="s">
        <v>7</v>
      </c>
      <c r="DC251" s="27" t="s">
        <v>8</v>
      </c>
      <c r="DJ251" s="27" t="s">
        <v>7</v>
      </c>
      <c r="DL251" s="27" t="s">
        <v>7</v>
      </c>
      <c r="DN251" s="27" t="s">
        <v>7</v>
      </c>
      <c r="DO251" s="27" t="s">
        <v>8</v>
      </c>
      <c r="DP251" s="27" t="s">
        <v>7</v>
      </c>
      <c r="DQ251" s="27" t="s">
        <v>8</v>
      </c>
      <c r="DR251" s="27" t="s">
        <v>7</v>
      </c>
      <c r="DX251" s="27" t="s">
        <v>7</v>
      </c>
      <c r="DY251" s="27" t="s">
        <v>8</v>
      </c>
      <c r="DZ251" s="27" t="s">
        <v>7</v>
      </c>
      <c r="EA251" s="27" t="s">
        <v>8</v>
      </c>
    </row>
    <row r="252" spans="1:131" x14ac:dyDescent="0.25">
      <c r="A252" s="30">
        <v>0.55683741817755672</v>
      </c>
      <c r="B252"/>
      <c r="C252"/>
      <c r="D252"/>
      <c r="E252"/>
      <c r="F252" s="27" t="s">
        <v>7</v>
      </c>
      <c r="G252" s="27" t="s">
        <v>8</v>
      </c>
      <c r="H252" s="27" t="s">
        <v>7</v>
      </c>
      <c r="I252" s="27" t="s">
        <v>8</v>
      </c>
      <c r="J252" s="27" t="s">
        <v>7</v>
      </c>
      <c r="K252" s="27" t="s">
        <v>8</v>
      </c>
      <c r="L252" s="27" t="s">
        <v>7</v>
      </c>
      <c r="M252" s="27" t="s">
        <v>8</v>
      </c>
      <c r="N252" s="27" t="s">
        <v>7</v>
      </c>
      <c r="O252" s="27" t="s">
        <v>8</v>
      </c>
      <c r="V252" s="27" t="s">
        <v>7</v>
      </c>
      <c r="W252" s="27" t="s">
        <v>8</v>
      </c>
      <c r="X252" s="27" t="s">
        <v>7</v>
      </c>
      <c r="Y252" s="27" t="s">
        <v>8</v>
      </c>
      <c r="AU252" s="27" t="s">
        <v>8</v>
      </c>
      <c r="AV252" s="27" t="s">
        <v>7</v>
      </c>
      <c r="AZ252" s="27" t="s">
        <v>7</v>
      </c>
      <c r="BA252" s="27" t="s">
        <v>8</v>
      </c>
      <c r="BC252" s="27" t="s">
        <v>8</v>
      </c>
      <c r="BD252" s="27" t="s">
        <v>7</v>
      </c>
      <c r="BE252" s="27" t="s">
        <v>8</v>
      </c>
      <c r="CF252" s="27" t="s">
        <v>7</v>
      </c>
      <c r="CG252" s="27" t="s">
        <v>8</v>
      </c>
      <c r="CH252" s="27" t="s">
        <v>7</v>
      </c>
      <c r="CI252" s="27" t="s">
        <v>8</v>
      </c>
      <c r="CL252" s="27" t="s">
        <v>7</v>
      </c>
      <c r="CT252" s="27" t="s">
        <v>7</v>
      </c>
      <c r="CY252" s="27" t="s">
        <v>8</v>
      </c>
      <c r="DC252" s="27" t="s">
        <v>8</v>
      </c>
      <c r="DN252" s="27" t="s">
        <v>7</v>
      </c>
      <c r="DO252" s="27" t="s">
        <v>8</v>
      </c>
      <c r="DP252" s="27" t="s">
        <v>7</v>
      </c>
      <c r="DX252" s="27" t="s">
        <v>7</v>
      </c>
      <c r="DZ252" s="27" t="s">
        <v>7</v>
      </c>
    </row>
    <row r="253" spans="1:131" x14ac:dyDescent="0.25">
      <c r="A253" s="30">
        <v>0.53032135064529184</v>
      </c>
      <c r="B253"/>
      <c r="C253"/>
      <c r="D253"/>
      <c r="E253"/>
      <c r="F253" s="27" t="s">
        <v>7</v>
      </c>
      <c r="G253" s="27" t="s">
        <v>8</v>
      </c>
      <c r="H253" s="27" t="s">
        <v>7</v>
      </c>
      <c r="I253" s="27" t="s">
        <v>8</v>
      </c>
      <c r="J253" s="27" t="s">
        <v>7</v>
      </c>
      <c r="K253" s="27" t="s">
        <v>8</v>
      </c>
      <c r="L253" s="27" t="s">
        <v>7</v>
      </c>
      <c r="M253" s="27" t="s">
        <v>8</v>
      </c>
      <c r="N253" s="27" t="s">
        <v>7</v>
      </c>
      <c r="O253" s="27" t="s">
        <v>8</v>
      </c>
      <c r="V253" s="27" t="s">
        <v>7</v>
      </c>
      <c r="X253" s="27" t="s">
        <v>7</v>
      </c>
      <c r="Y253" s="27" t="s">
        <v>8</v>
      </c>
      <c r="Z253" s="27" t="s">
        <v>7</v>
      </c>
      <c r="AU253" s="27" t="s">
        <v>8</v>
      </c>
      <c r="AZ253" s="27" t="s">
        <v>7</v>
      </c>
      <c r="BA253" s="27" t="s">
        <v>8</v>
      </c>
      <c r="BB253" s="27" t="s">
        <v>7</v>
      </c>
      <c r="BC253" s="27" t="s">
        <v>8</v>
      </c>
      <c r="BD253" s="27" t="s">
        <v>7</v>
      </c>
      <c r="BE253" s="27" t="s">
        <v>8</v>
      </c>
      <c r="CF253" s="27" t="s">
        <v>7</v>
      </c>
      <c r="CG253" s="27" t="s">
        <v>8</v>
      </c>
      <c r="CH253" s="27" t="s">
        <v>7</v>
      </c>
      <c r="CI253" s="27" t="s">
        <v>8</v>
      </c>
      <c r="CT253" s="27" t="s">
        <v>7</v>
      </c>
      <c r="CY253" s="27" t="s">
        <v>8</v>
      </c>
      <c r="CZ253" s="27" t="s">
        <v>7</v>
      </c>
      <c r="DC253" s="27" t="s">
        <v>8</v>
      </c>
      <c r="DN253" s="27" t="s">
        <v>7</v>
      </c>
      <c r="DO253" s="27" t="s">
        <v>8</v>
      </c>
    </row>
    <row r="254" spans="1:131" x14ac:dyDescent="0.25">
      <c r="A254" s="30">
        <v>0.50506795299551588</v>
      </c>
      <c r="B254"/>
      <c r="C254"/>
      <c r="D254"/>
      <c r="E254"/>
      <c r="F254" s="27" t="s">
        <v>7</v>
      </c>
      <c r="G254" s="27" t="s">
        <v>8</v>
      </c>
      <c r="H254" s="27" t="s">
        <v>7</v>
      </c>
      <c r="J254" s="27" t="s">
        <v>7</v>
      </c>
      <c r="K254" s="27" t="s">
        <v>8</v>
      </c>
      <c r="L254" s="27" t="s">
        <v>7</v>
      </c>
      <c r="N254" s="27" t="s">
        <v>7</v>
      </c>
      <c r="O254" s="27" t="s">
        <v>8</v>
      </c>
      <c r="X254" s="27" t="s">
        <v>7</v>
      </c>
      <c r="Y254" s="27" t="s">
        <v>8</v>
      </c>
      <c r="Z254" s="27" t="s">
        <v>7</v>
      </c>
      <c r="AU254" s="27" t="s">
        <v>8</v>
      </c>
      <c r="AZ254" s="27" t="s">
        <v>7</v>
      </c>
      <c r="BA254" s="27" t="s">
        <v>8</v>
      </c>
      <c r="BB254" s="27" t="s">
        <v>7</v>
      </c>
      <c r="BC254" s="27" t="s">
        <v>8</v>
      </c>
      <c r="BD254" s="27" t="s">
        <v>7</v>
      </c>
      <c r="CF254" s="27" t="s">
        <v>7</v>
      </c>
      <c r="CH254" s="27" t="s">
        <v>7</v>
      </c>
      <c r="CI254" s="27" t="s">
        <v>8</v>
      </c>
      <c r="CT254" s="27" t="s">
        <v>7</v>
      </c>
      <c r="CU254" s="27" t="s">
        <v>8</v>
      </c>
      <c r="CW254" s="27" t="s">
        <v>8</v>
      </c>
      <c r="CY254" s="27" t="s">
        <v>8</v>
      </c>
      <c r="CZ254" s="27" t="s">
        <v>7</v>
      </c>
      <c r="DA254" s="27" t="s">
        <v>8</v>
      </c>
      <c r="DC254" s="27" t="s">
        <v>8</v>
      </c>
      <c r="DN254" s="27" t="s">
        <v>7</v>
      </c>
    </row>
    <row r="255" spans="1:131" x14ac:dyDescent="0.25">
      <c r="A255" s="30">
        <v>0.48101709809096732</v>
      </c>
      <c r="E255"/>
      <c r="F255" s="27" t="s">
        <v>7</v>
      </c>
      <c r="G255" s="27" t="s">
        <v>8</v>
      </c>
      <c r="J255" s="27" t="s">
        <v>7</v>
      </c>
      <c r="K255" s="27" t="s">
        <v>8</v>
      </c>
      <c r="N255" s="27" t="s">
        <v>7</v>
      </c>
      <c r="X255" s="27" t="s">
        <v>7</v>
      </c>
      <c r="Y255" s="27" t="s">
        <v>8</v>
      </c>
      <c r="Z255" s="27" t="s">
        <v>7</v>
      </c>
      <c r="AC255" s="27" t="s">
        <v>8</v>
      </c>
      <c r="AU255" s="27" t="s">
        <v>8</v>
      </c>
      <c r="AZ255" s="27" t="s">
        <v>7</v>
      </c>
      <c r="BA255" s="27" t="s">
        <v>8</v>
      </c>
      <c r="BB255" s="27" t="s">
        <v>7</v>
      </c>
      <c r="BC255" s="27" t="s">
        <v>8</v>
      </c>
      <c r="CH255" s="27" t="s">
        <v>7</v>
      </c>
      <c r="CT255" s="27" t="s">
        <v>7</v>
      </c>
      <c r="CU255" s="27" t="s">
        <v>8</v>
      </c>
      <c r="CV255" s="27" t="s">
        <v>7</v>
      </c>
      <c r="CW255" s="27" t="s">
        <v>8</v>
      </c>
      <c r="CX255" s="27" t="s">
        <v>7</v>
      </c>
      <c r="CY255" s="27" t="s">
        <v>8</v>
      </c>
      <c r="CZ255" s="27" t="s">
        <v>7</v>
      </c>
      <c r="DA255" s="27" t="s">
        <v>8</v>
      </c>
      <c r="DB255" s="27" t="s">
        <v>7</v>
      </c>
      <c r="DC255" s="27" t="s">
        <v>8</v>
      </c>
    </row>
    <row r="256" spans="1:131" x14ac:dyDescent="0.25">
      <c r="A256" s="30">
        <v>0.45811152199139726</v>
      </c>
      <c r="E256"/>
      <c r="F256" s="27" t="s">
        <v>7</v>
      </c>
      <c r="J256" s="27" t="s">
        <v>7</v>
      </c>
      <c r="K256" s="27" t="s">
        <v>8</v>
      </c>
      <c r="X256" s="27" t="s">
        <v>7</v>
      </c>
      <c r="Y256" s="27" t="s">
        <v>8</v>
      </c>
      <c r="Z256" s="27" t="s">
        <v>7</v>
      </c>
      <c r="AA256" s="27" t="s">
        <v>8</v>
      </c>
      <c r="AC256" s="27" t="s">
        <v>8</v>
      </c>
      <c r="AD256" s="27" t="s">
        <v>7</v>
      </c>
      <c r="AK256" s="27" t="s">
        <v>8</v>
      </c>
      <c r="AS256" s="27" t="s">
        <v>8</v>
      </c>
      <c r="AU256" s="27" t="s">
        <v>8</v>
      </c>
      <c r="AZ256" s="27" t="s">
        <v>7</v>
      </c>
      <c r="BB256" s="27" t="s">
        <v>7</v>
      </c>
      <c r="CT256" s="27" t="s">
        <v>7</v>
      </c>
      <c r="CU256" s="27" t="s">
        <v>8</v>
      </c>
      <c r="CV256" s="27" t="s">
        <v>7</v>
      </c>
      <c r="CW256" s="27" t="s">
        <v>8</v>
      </c>
      <c r="CX256" s="27" t="s">
        <v>7</v>
      </c>
      <c r="CY256" s="27" t="s">
        <v>8</v>
      </c>
      <c r="CZ256" s="27" t="s">
        <v>7</v>
      </c>
      <c r="DA256" s="27" t="s">
        <v>8</v>
      </c>
      <c r="DB256" s="27" t="s">
        <v>7</v>
      </c>
      <c r="DC256" s="27" t="s">
        <v>8</v>
      </c>
    </row>
    <row r="257" spans="1:107" x14ac:dyDescent="0.25">
      <c r="A257" s="30">
        <v>0.43629668761085438</v>
      </c>
      <c r="B257"/>
      <c r="C257"/>
      <c r="D257"/>
      <c r="E257"/>
      <c r="J257" s="27" t="s">
        <v>7</v>
      </c>
      <c r="K257" s="27" t="s">
        <v>8</v>
      </c>
      <c r="X257" s="27" t="s">
        <v>7</v>
      </c>
      <c r="Z257" s="27" t="s">
        <v>7</v>
      </c>
      <c r="AA257" s="27" t="s">
        <v>8</v>
      </c>
      <c r="AB257" s="27" t="s">
        <v>7</v>
      </c>
      <c r="AC257" s="27" t="s">
        <v>8</v>
      </c>
      <c r="AD257" s="27" t="s">
        <v>7</v>
      </c>
      <c r="AE257" s="27" t="s">
        <v>8</v>
      </c>
      <c r="AG257" s="27" t="s">
        <v>8</v>
      </c>
      <c r="AK257" s="27" t="s">
        <v>8</v>
      </c>
      <c r="AL257" s="27" t="s">
        <v>7</v>
      </c>
      <c r="AQ257" s="27" t="s">
        <v>8</v>
      </c>
      <c r="AS257" s="27" t="s">
        <v>8</v>
      </c>
      <c r="AT257" s="27" t="s">
        <v>7</v>
      </c>
      <c r="AU257" s="27" t="s">
        <v>8</v>
      </c>
      <c r="CT257" s="27" t="s">
        <v>7</v>
      </c>
      <c r="CU257" s="27" t="s">
        <v>8</v>
      </c>
      <c r="CV257" s="27" t="s">
        <v>7</v>
      </c>
      <c r="CW257" s="27" t="s">
        <v>8</v>
      </c>
      <c r="CX257" s="27" t="s">
        <v>7</v>
      </c>
      <c r="CY257" s="27" t="s">
        <v>8</v>
      </c>
      <c r="CZ257" s="27" t="s">
        <v>7</v>
      </c>
      <c r="DB257" s="27" t="s">
        <v>7</v>
      </c>
      <c r="DC257" s="27" t="s">
        <v>8</v>
      </c>
    </row>
    <row r="258" spans="1:107" x14ac:dyDescent="0.25">
      <c r="A258" s="30">
        <v>0.41552065486748019</v>
      </c>
      <c r="B258"/>
      <c r="C258"/>
      <c r="D258"/>
      <c r="E258"/>
      <c r="J258" s="27" t="s">
        <v>7</v>
      </c>
      <c r="K258" s="27" t="s">
        <v>8</v>
      </c>
      <c r="Z258" s="27" t="s">
        <v>7</v>
      </c>
      <c r="AA258" s="27" t="s">
        <v>8</v>
      </c>
      <c r="AB258" s="27" t="s">
        <v>7</v>
      </c>
      <c r="AC258" s="27" t="s">
        <v>8</v>
      </c>
      <c r="AD258" s="27" t="s">
        <v>7</v>
      </c>
      <c r="AE258" s="27" t="s">
        <v>8</v>
      </c>
      <c r="AF258" s="27" t="s">
        <v>7</v>
      </c>
      <c r="AG258" s="27" t="s">
        <v>8</v>
      </c>
      <c r="AH258" s="27" t="s">
        <v>7</v>
      </c>
      <c r="AK258" s="27" t="s">
        <v>8</v>
      </c>
      <c r="AL258" s="27" t="s">
        <v>7</v>
      </c>
      <c r="AQ258" s="27" t="s">
        <v>8</v>
      </c>
      <c r="AR258" s="27" t="s">
        <v>7</v>
      </c>
      <c r="AS258" s="27" t="s">
        <v>8</v>
      </c>
      <c r="AT258" s="27" t="s">
        <v>7</v>
      </c>
      <c r="AU258" s="27" t="s">
        <v>8</v>
      </c>
      <c r="CT258" s="27" t="s">
        <v>7</v>
      </c>
      <c r="CU258" s="27" t="s">
        <v>8</v>
      </c>
      <c r="CV258" s="27" t="s">
        <v>7</v>
      </c>
      <c r="CX258" s="27" t="s">
        <v>7</v>
      </c>
      <c r="DB258" s="18" t="s">
        <v>7</v>
      </c>
      <c r="DC258" s="27" t="s">
        <v>8</v>
      </c>
    </row>
    <row r="259" spans="1:107" x14ac:dyDescent="0.25">
      <c r="A259" s="30">
        <v>0.39573395701664765</v>
      </c>
      <c r="B259"/>
      <c r="C259"/>
      <c r="D259"/>
      <c r="E259"/>
      <c r="J259" s="27" t="s">
        <v>7</v>
      </c>
      <c r="Z259" s="27" t="s">
        <v>7</v>
      </c>
      <c r="AA259" s="27" t="s">
        <v>8</v>
      </c>
      <c r="AB259" s="27" t="s">
        <v>7</v>
      </c>
      <c r="AC259" s="27" t="s">
        <v>8</v>
      </c>
      <c r="AD259" s="27" t="s">
        <v>7</v>
      </c>
      <c r="AE259" s="27" t="s">
        <v>8</v>
      </c>
      <c r="AF259" s="27" t="s">
        <v>7</v>
      </c>
      <c r="AG259" s="27" t="s">
        <v>8</v>
      </c>
      <c r="AH259" s="27" t="s">
        <v>7</v>
      </c>
      <c r="AK259" s="27" t="s">
        <v>8</v>
      </c>
      <c r="AL259" s="27" t="s">
        <v>7</v>
      </c>
      <c r="AQ259" s="27" t="s">
        <v>8</v>
      </c>
      <c r="AR259" s="27" t="s">
        <v>7</v>
      </c>
      <c r="AS259" s="27" t="s">
        <v>8</v>
      </c>
      <c r="AT259" s="27" t="s">
        <v>7</v>
      </c>
      <c r="CT259" s="27" t="s">
        <v>7</v>
      </c>
      <c r="DB259" s="27" t="s">
        <v>7</v>
      </c>
      <c r="DC259" s="27" t="s">
        <v>8</v>
      </c>
    </row>
    <row r="260" spans="1:107" x14ac:dyDescent="0.25">
      <c r="A260" s="30">
        <v>0.37688948287299762</v>
      </c>
      <c r="B260"/>
      <c r="C260"/>
      <c r="D260"/>
      <c r="E260"/>
      <c r="Z260" s="27" t="s">
        <v>7</v>
      </c>
      <c r="AA260" s="27" t="s">
        <v>8</v>
      </c>
      <c r="AB260" s="27" t="s">
        <v>7</v>
      </c>
      <c r="AC260" s="27" t="s">
        <v>8</v>
      </c>
      <c r="AD260" s="27" t="s">
        <v>7</v>
      </c>
      <c r="AF260" s="27" t="s">
        <v>7</v>
      </c>
      <c r="AH260" s="27" t="s">
        <v>7</v>
      </c>
      <c r="AK260" s="27" t="s">
        <v>8</v>
      </c>
      <c r="AL260" s="27" t="s">
        <v>7</v>
      </c>
      <c r="AM260" s="27" t="s">
        <v>8</v>
      </c>
      <c r="AO260" s="27" t="s">
        <v>8</v>
      </c>
      <c r="AQ260" s="27" t="s">
        <v>8</v>
      </c>
      <c r="AR260" s="27" t="s">
        <v>7</v>
      </c>
      <c r="DB260" s="27" t="s">
        <v>7</v>
      </c>
    </row>
    <row r="261" spans="1:107" x14ac:dyDescent="0.25">
      <c r="A261" s="30">
        <v>0.35894236464094997</v>
      </c>
      <c r="B261"/>
      <c r="C261"/>
      <c r="D261"/>
      <c r="E261"/>
      <c r="Z261" s="27" t="s">
        <v>7</v>
      </c>
      <c r="AB261" s="27" t="s">
        <v>7</v>
      </c>
      <c r="AC261" s="27" t="s">
        <v>8</v>
      </c>
      <c r="AH261" s="27" t="s">
        <v>7</v>
      </c>
      <c r="AK261" s="27" t="s">
        <v>8</v>
      </c>
      <c r="AL261" s="27" t="s">
        <v>7</v>
      </c>
      <c r="AM261" s="27" t="s">
        <v>8</v>
      </c>
      <c r="AN261" s="27" t="s">
        <v>7</v>
      </c>
      <c r="AO261" s="27" t="s">
        <v>8</v>
      </c>
      <c r="AP261" s="27" t="s">
        <v>7</v>
      </c>
      <c r="AQ261" s="27" t="s">
        <v>8</v>
      </c>
    </row>
    <row r="262" spans="1:107" x14ac:dyDescent="0.25">
      <c r="A262" s="30">
        <v>0.34184987108661891</v>
      </c>
      <c r="B262"/>
      <c r="C262"/>
      <c r="D262"/>
      <c r="E262"/>
      <c r="AB262" s="27" t="s">
        <v>7</v>
      </c>
      <c r="AC262" s="27" t="s">
        <v>8</v>
      </c>
      <c r="AH262" s="27" t="s">
        <v>7</v>
      </c>
      <c r="AI262" s="27" t="s">
        <v>8</v>
      </c>
      <c r="AK262" s="27" t="s">
        <v>8</v>
      </c>
      <c r="AL262" s="27" t="s">
        <v>7</v>
      </c>
      <c r="AM262" s="27" t="s">
        <v>8</v>
      </c>
      <c r="AN262" s="27" t="s">
        <v>7</v>
      </c>
      <c r="AO262" s="27" t="s">
        <v>8</v>
      </c>
      <c r="AP262" s="27" t="s">
        <v>7</v>
      </c>
      <c r="AQ262" s="27" t="s">
        <v>8</v>
      </c>
    </row>
    <row r="263" spans="1:107" x14ac:dyDescent="0.25">
      <c r="A263" s="30">
        <v>0.32557130579677979</v>
      </c>
      <c r="B263"/>
      <c r="C263"/>
      <c r="D263"/>
      <c r="E263"/>
      <c r="AB263" s="27" t="s">
        <v>7</v>
      </c>
      <c r="AH263" s="27" t="s">
        <v>7</v>
      </c>
      <c r="AI263" s="27" t="s">
        <v>8</v>
      </c>
      <c r="AJ263" s="27" t="s">
        <v>7</v>
      </c>
      <c r="AK263" s="27" t="s">
        <v>8</v>
      </c>
      <c r="AL263" s="27" t="s">
        <v>7</v>
      </c>
      <c r="AM263" s="27" t="s">
        <v>8</v>
      </c>
      <c r="AN263" s="27" t="s">
        <v>7</v>
      </c>
      <c r="AP263" s="27" t="s">
        <v>7</v>
      </c>
    </row>
    <row r="264" spans="1:107" x14ac:dyDescent="0.25">
      <c r="A264" s="30">
        <v>0.3100679102826473</v>
      </c>
      <c r="B264"/>
      <c r="C264"/>
      <c r="D264"/>
      <c r="E264"/>
      <c r="AH264" s="27" t="s">
        <v>7</v>
      </c>
      <c r="AI264" s="27" t="s">
        <v>8</v>
      </c>
      <c r="AJ264" s="27" t="s">
        <v>7</v>
      </c>
      <c r="AK264" s="27" t="s">
        <v>8</v>
      </c>
      <c r="AL264" s="27" t="s">
        <v>7</v>
      </c>
    </row>
    <row r="265" spans="1:107" x14ac:dyDescent="0.25">
      <c r="A265" s="30">
        <v>0.2953027716977592</v>
      </c>
      <c r="B265"/>
      <c r="C265"/>
      <c r="D265"/>
      <c r="E265"/>
      <c r="AH265" s="27" t="s">
        <v>7</v>
      </c>
      <c r="AI265" s="27" t="s">
        <v>8</v>
      </c>
      <c r="AJ265" s="27" t="s">
        <v>7</v>
      </c>
    </row>
    <row r="266" spans="1:107" x14ac:dyDescent="0.25">
      <c r="A266" s="30">
        <v>0.28124073495024676</v>
      </c>
      <c r="B266"/>
      <c r="C266"/>
      <c r="D266"/>
      <c r="E266"/>
      <c r="AH266" s="27" t="s">
        <v>7</v>
      </c>
      <c r="AI266" s="27" t="s">
        <v>8</v>
      </c>
    </row>
    <row r="267" spans="1:107" x14ac:dyDescent="0.25">
      <c r="A267" s="30">
        <v>0.26784831900023492</v>
      </c>
      <c r="B267"/>
      <c r="C267"/>
      <c r="D267"/>
      <c r="E267"/>
      <c r="AH267" s="27" t="s">
        <v>7</v>
      </c>
    </row>
    <row r="268" spans="1:107" x14ac:dyDescent="0.25">
      <c r="A268" s="30">
        <v>0.25509363714308075</v>
      </c>
      <c r="B268"/>
      <c r="C268"/>
      <c r="D268"/>
      <c r="E268"/>
    </row>
    <row r="269" spans="1:107" x14ac:dyDescent="0.25">
      <c r="A269" s="30">
        <v>0.24294632108864825</v>
      </c>
      <c r="B269"/>
      <c r="C269"/>
      <c r="D269"/>
      <c r="E269"/>
    </row>
    <row r="270" spans="1:107" x14ac:dyDescent="0.25">
      <c r="A270" s="30">
        <v>0.23137744865585538</v>
      </c>
      <c r="B270"/>
      <c r="C270"/>
      <c r="D270"/>
      <c r="E270"/>
    </row>
    <row r="271" spans="1:107" x14ac:dyDescent="0.25">
      <c r="A271" s="30">
        <v>0.22035947491033836</v>
      </c>
      <c r="B271"/>
      <c r="C271"/>
      <c r="D271"/>
      <c r="E271"/>
    </row>
    <row r="272" spans="1:107" x14ac:dyDescent="0.25">
      <c r="A272" s="30">
        <v>0.20986616658127455</v>
      </c>
      <c r="B272"/>
      <c r="C272"/>
      <c r="D272"/>
      <c r="E272"/>
    </row>
    <row r="273" spans="1:5" x14ac:dyDescent="0.25">
      <c r="A273" s="30">
        <v>0.19987253960121379</v>
      </c>
      <c r="B273"/>
      <c r="C273"/>
      <c r="D273"/>
      <c r="E273"/>
    </row>
    <row r="274" spans="1:5" x14ac:dyDescent="0.25">
      <c r="A274" s="30">
        <v>0.19035479962020352</v>
      </c>
      <c r="B274"/>
      <c r="C274"/>
      <c r="D274"/>
      <c r="E274"/>
    </row>
    <row r="275" spans="1:5" x14ac:dyDescent="0.25">
      <c r="A275" s="30">
        <v>0.18129028535257471</v>
      </c>
      <c r="B275"/>
      <c r="C275"/>
      <c r="D275"/>
      <c r="E275"/>
    </row>
    <row r="276" spans="1:5" x14ac:dyDescent="0.25">
      <c r="A276" s="30">
        <v>0.17265741462149967</v>
      </c>
      <c r="B276"/>
      <c r="C276"/>
      <c r="D276"/>
      <c r="E276"/>
    </row>
    <row r="277" spans="1:5" x14ac:dyDescent="0.25">
      <c r="A277" s="30">
        <v>0.16443563297285677</v>
      </c>
      <c r="B277"/>
      <c r="C277"/>
      <c r="D277"/>
      <c r="E277"/>
    </row>
    <row r="278" spans="1:5" x14ac:dyDescent="0.25">
      <c r="A278" s="30">
        <v>0.15660536473605399</v>
      </c>
      <c r="B278"/>
      <c r="C278"/>
      <c r="D278"/>
      <c r="E278"/>
    </row>
    <row r="279" spans="1:5" x14ac:dyDescent="0.25">
      <c r="A279" s="30">
        <v>0.14914796641528946</v>
      </c>
      <c r="B279"/>
      <c r="C279"/>
      <c r="D279"/>
      <c r="E279"/>
    </row>
    <row r="280" spans="1:5" x14ac:dyDescent="0.25">
      <c r="A280" s="30">
        <v>0.14204568230027562</v>
      </c>
      <c r="B280"/>
      <c r="C280"/>
      <c r="D280"/>
      <c r="E280"/>
    </row>
    <row r="281" spans="1:5" x14ac:dyDescent="0.25">
      <c r="A281" s="30">
        <v>0.13528160219073862</v>
      </c>
      <c r="B281"/>
      <c r="C281"/>
      <c r="D281"/>
      <c r="E281"/>
    </row>
    <row r="282" spans="1:5" x14ac:dyDescent="0.25">
      <c r="A282" s="30">
        <v>0.12883962113403674</v>
      </c>
      <c r="B282"/>
      <c r="C282"/>
      <c r="D282"/>
      <c r="E282"/>
    </row>
    <row r="283" spans="1:5" x14ac:dyDescent="0.25">
      <c r="A283" s="30">
        <v>0.12270440108003494</v>
      </c>
      <c r="B283"/>
      <c r="C283"/>
      <c r="D283"/>
      <c r="E283"/>
    </row>
    <row r="284" spans="1:5" x14ac:dyDescent="0.25">
      <c r="A284" s="30">
        <v>0.11686133436193799</v>
      </c>
      <c r="B284"/>
      <c r="C284"/>
      <c r="D284"/>
      <c r="E284"/>
    </row>
    <row r="285" spans="1:5" x14ac:dyDescent="0.25">
      <c r="A285" s="30">
        <v>0.11129650891613138</v>
      </c>
      <c r="B285"/>
      <c r="C285"/>
      <c r="D285"/>
      <c r="E285"/>
    </row>
    <row r="286" spans="1:5" x14ac:dyDescent="0.25">
      <c r="A286" s="30">
        <v>0.10599667515822032</v>
      </c>
      <c r="B286"/>
      <c r="C286"/>
      <c r="D286"/>
      <c r="E286"/>
    </row>
    <row r="287" spans="1:5" x14ac:dyDescent="0.25">
      <c r="A287" s="30">
        <v>0.10094921443640027</v>
      </c>
      <c r="B287"/>
      <c r="C287"/>
      <c r="D287"/>
      <c r="E287"/>
    </row>
    <row r="288" spans="1:5" x14ac:dyDescent="0.25">
      <c r="A288" s="30">
        <v>9.6142108987047836E-2</v>
      </c>
      <c r="B288"/>
      <c r="C288"/>
      <c r="D288"/>
      <c r="E288"/>
    </row>
    <row r="289" spans="1:5" x14ac:dyDescent="0.25">
      <c r="A289" s="30">
        <v>9.1563913320997906E-2</v>
      </c>
      <c r="B289"/>
      <c r="C289"/>
      <c r="D289"/>
      <c r="E289"/>
    </row>
    <row r="290" spans="1:5" x14ac:dyDescent="0.25">
      <c r="A290" s="30">
        <v>8.7203726972378923E-2</v>
      </c>
      <c r="B290"/>
      <c r="C290"/>
      <c r="D290"/>
      <c r="E290"/>
    </row>
    <row r="291" spans="1:5" x14ac:dyDescent="0.25">
      <c r="A291" s="30">
        <v>8.3051168545122747E-2</v>
      </c>
      <c r="B291"/>
      <c r="C291"/>
      <c r="D291"/>
      <c r="E291"/>
    </row>
    <row r="292" spans="1:5" x14ac:dyDescent="0.25">
      <c r="A292" s="30">
        <v>7.9096350995354961E-2</v>
      </c>
      <c r="B292"/>
      <c r="C292"/>
      <c r="D292"/>
      <c r="E292"/>
    </row>
    <row r="293" spans="1:5" x14ac:dyDescent="0.25">
      <c r="A293" s="30">
        <v>7.5329858090814217E-2</v>
      </c>
      <c r="B293"/>
      <c r="C293"/>
      <c r="D293"/>
      <c r="E293"/>
    </row>
    <row r="294" spans="1:5" x14ac:dyDescent="0.25">
      <c r="A294" s="30">
        <v>7.1742721991251604E-2</v>
      </c>
      <c r="B294"/>
      <c r="C294"/>
      <c r="D294"/>
      <c r="E294"/>
    </row>
    <row r="295" spans="1:5" x14ac:dyDescent="0.25">
      <c r="A295" s="30">
        <v>6.8326401896430078E-2</v>
      </c>
      <c r="B295"/>
      <c r="C295"/>
      <c r="D295"/>
      <c r="E295"/>
    </row>
    <row r="296" spans="1:5" x14ac:dyDescent="0.25">
      <c r="A296" s="30">
        <v>6.5072763710885759E-2</v>
      </c>
      <c r="B296"/>
      <c r="C296"/>
      <c r="D296"/>
      <c r="E296"/>
    </row>
    <row r="297" spans="1:5" x14ac:dyDescent="0.25">
      <c r="A297" s="30">
        <v>6.197406067703403E-2</v>
      </c>
      <c r="B297"/>
      <c r="C297"/>
      <c r="D297"/>
      <c r="E297"/>
    </row>
    <row r="298" spans="1:5" x14ac:dyDescent="0.25">
      <c r="A298" s="30">
        <v>5.9022914930508576E-2</v>
      </c>
      <c r="B298"/>
      <c r="C298"/>
      <c r="D298"/>
      <c r="E298"/>
    </row>
    <row r="299" spans="1:5" x14ac:dyDescent="0.25">
      <c r="A299" s="30">
        <v>5.6212299933817669E-2</v>
      </c>
      <c r="B299"/>
      <c r="C299"/>
      <c r="D299"/>
      <c r="E299"/>
    </row>
    <row r="300" spans="1:5" x14ac:dyDescent="0.25">
      <c r="A300" s="30">
        <v>5.3535523746492994E-2</v>
      </c>
      <c r="B300"/>
      <c r="C300"/>
      <c r="D300"/>
      <c r="E300"/>
    </row>
    <row r="301" spans="1:5" x14ac:dyDescent="0.25">
      <c r="A301" s="30">
        <v>5.0986213091898068E-2</v>
      </c>
      <c r="B301"/>
      <c r="C301"/>
      <c r="D301"/>
      <c r="E301"/>
    </row>
    <row r="302" spans="1:5" x14ac:dyDescent="0.25">
      <c r="A302" s="30">
        <v>4.8558298182760043E-2</v>
      </c>
      <c r="B302"/>
      <c r="C302"/>
      <c r="D302"/>
      <c r="E302"/>
    </row>
    <row r="303" spans="1:5" x14ac:dyDescent="0.25">
      <c r="A303" s="30">
        <v>4.6245998269295263E-2</v>
      </c>
      <c r="B303"/>
      <c r="C303"/>
      <c r="D303"/>
      <c r="E303"/>
    </row>
    <row r="304" spans="1:5" x14ac:dyDescent="0.25">
      <c r="A304" s="30">
        <v>4.4043807875519279E-2</v>
      </c>
      <c r="B304"/>
      <c r="C304"/>
      <c r="D304"/>
      <c r="E304"/>
    </row>
    <row r="305" spans="1:5" x14ac:dyDescent="0.25">
      <c r="A305" s="30">
        <v>4.1946483690970725E-2</v>
      </c>
      <c r="B305"/>
      <c r="C305"/>
      <c r="D305"/>
      <c r="E305"/>
    </row>
    <row r="306" spans="1:5" x14ac:dyDescent="0.25">
      <c r="A306" s="30">
        <v>3.9949032086638768E-2</v>
      </c>
      <c r="B306"/>
      <c r="C306"/>
      <c r="D306"/>
      <c r="E306"/>
    </row>
    <row r="307" spans="1:5" x14ac:dyDescent="0.25">
      <c r="A307" s="30">
        <v>3.8046697225370241E-2</v>
      </c>
      <c r="B307"/>
      <c r="C307"/>
      <c r="D307"/>
      <c r="E307"/>
    </row>
    <row r="308" spans="1:5" x14ac:dyDescent="0.25">
      <c r="A308" s="30">
        <v>3.6234949738447833E-2</v>
      </c>
      <c r="B308"/>
      <c r="C308"/>
      <c r="D308"/>
      <c r="E308"/>
    </row>
    <row r="309" spans="1:5" x14ac:dyDescent="0.25">
      <c r="A309" s="30">
        <v>3.4509475941378875E-2</v>
      </c>
      <c r="B309"/>
      <c r="C309"/>
      <c r="D309"/>
      <c r="E309"/>
    </row>
    <row r="310" spans="1:5" x14ac:dyDescent="0.25">
      <c r="A310" s="30">
        <v>3.286616756321796E-2</v>
      </c>
      <c r="B310"/>
      <c r="C310"/>
      <c r="D310"/>
      <c r="E310"/>
    </row>
    <row r="311" spans="1:5" x14ac:dyDescent="0.25">
      <c r="A311" s="30">
        <v>3.1301111964969472E-2</v>
      </c>
      <c r="B311"/>
      <c r="C311"/>
      <c r="D311"/>
      <c r="E311"/>
    </row>
    <row r="312" spans="1:5" x14ac:dyDescent="0.25">
      <c r="A312" s="30">
        <v>2.9810582823780438E-2</v>
      </c>
      <c r="B312"/>
      <c r="C312"/>
      <c r="D312"/>
      <c r="E312"/>
    </row>
    <row r="313" spans="1:5" x14ac:dyDescent="0.25">
      <c r="A313" s="30">
        <v>2.8391031260743264E-2</v>
      </c>
      <c r="B313"/>
      <c r="C313"/>
      <c r="D313"/>
      <c r="E313"/>
    </row>
    <row r="314" spans="1:5" x14ac:dyDescent="0.25">
      <c r="A314" s="30">
        <v>2.7039077391184052E-2</v>
      </c>
      <c r="B314"/>
      <c r="C314"/>
      <c r="D314"/>
      <c r="E314"/>
    </row>
    <row r="315" spans="1:5" x14ac:dyDescent="0.25">
      <c r="A315" s="30">
        <v>2.5751502277318133E-2</v>
      </c>
      <c r="B315"/>
      <c r="C315"/>
      <c r="D315"/>
      <c r="E315"/>
    </row>
    <row r="316" spans="1:5" x14ac:dyDescent="0.25">
      <c r="A316" s="30">
        <v>2.4525240264112496E-2</v>
      </c>
      <c r="B316"/>
      <c r="C316"/>
      <c r="D316"/>
      <c r="E316"/>
    </row>
    <row r="317" spans="1:5" x14ac:dyDescent="0.25">
      <c r="A317" s="30">
        <v>2.3357371680107129E-2</v>
      </c>
      <c r="B317"/>
      <c r="C317"/>
      <c r="D317"/>
      <c r="E317"/>
    </row>
    <row r="318" spans="1:5" x14ac:dyDescent="0.25">
      <c r="A318" s="30">
        <v>2.2245115885816305E-2</v>
      </c>
      <c r="B318"/>
      <c r="C318"/>
      <c r="D318"/>
      <c r="E318"/>
    </row>
    <row r="319" spans="1:5" x14ac:dyDescent="0.25">
      <c r="A319" s="30">
        <v>2.1185824653158377E-2</v>
      </c>
      <c r="B319"/>
      <c r="C319"/>
      <c r="D319"/>
      <c r="E319"/>
    </row>
    <row r="320" spans="1:5" x14ac:dyDescent="0.25">
      <c r="A320" s="30">
        <v>2.0176975860150829E-2</v>
      </c>
      <c r="B320"/>
      <c r="C320"/>
      <c r="D320"/>
      <c r="E320"/>
    </row>
    <row r="321" spans="1:5" x14ac:dyDescent="0.25">
      <c r="A321" s="30">
        <v>1.9216167485857926E-2</v>
      </c>
      <c r="B321"/>
      <c r="C321"/>
      <c r="D321"/>
      <c r="E321"/>
    </row>
    <row r="322" spans="1:5" x14ac:dyDescent="0.25">
      <c r="A322" s="30">
        <v>1.8301111891293256E-2</v>
      </c>
      <c r="B322"/>
      <c r="C322"/>
      <c r="D322"/>
      <c r="E322"/>
    </row>
    <row r="323" spans="1:5" x14ac:dyDescent="0.25">
      <c r="A323" s="30">
        <v>1.7429630372660238E-2</v>
      </c>
      <c r="B323"/>
      <c r="C323"/>
      <c r="D323"/>
      <c r="E323"/>
    </row>
    <row r="324" spans="1:5" x14ac:dyDescent="0.25">
      <c r="A324" s="30">
        <v>1.6599647973962125E-2</v>
      </c>
      <c r="B324"/>
      <c r="C324"/>
      <c r="D324"/>
      <c r="E324"/>
    </row>
    <row r="325" spans="1:5" x14ac:dyDescent="0.25">
      <c r="A325" s="30">
        <v>1.580918854663059E-2</v>
      </c>
      <c r="B325"/>
      <c r="C325"/>
      <c r="D325"/>
      <c r="E325"/>
    </row>
    <row r="326" spans="1:5" x14ac:dyDescent="0.25">
      <c r="A326" s="30">
        <v>1.5056370044410079E-2</v>
      </c>
      <c r="B326"/>
      <c r="C326"/>
      <c r="D326"/>
      <c r="E326"/>
    </row>
    <row r="327" spans="1:5" x14ac:dyDescent="0.25">
      <c r="A327" s="30">
        <v>1.4339400042295308E-2</v>
      </c>
      <c r="B327"/>
      <c r="C327"/>
      <c r="D327"/>
      <c r="E327"/>
    </row>
    <row r="328" spans="1:5" x14ac:dyDescent="0.25">
      <c r="A328" s="30">
        <v>1.365657146885267E-2</v>
      </c>
      <c r="B328"/>
      <c r="C328"/>
      <c r="D328"/>
      <c r="E328"/>
    </row>
    <row r="329" spans="1:5" x14ac:dyDescent="0.25">
      <c r="A329" s="30">
        <v>1.3006258541764442E-2</v>
      </c>
      <c r="B329"/>
      <c r="C329"/>
      <c r="D329"/>
      <c r="E329"/>
    </row>
    <row r="330" spans="1:5" x14ac:dyDescent="0.25">
      <c r="A330" s="30">
        <v>1.2386912896918512E-2</v>
      </c>
      <c r="B330"/>
      <c r="C330"/>
      <c r="D330"/>
      <c r="E330"/>
    </row>
    <row r="331" spans="1:5" x14ac:dyDescent="0.25">
      <c r="A331" s="30">
        <v>1.179705990182715E-2</v>
      </c>
      <c r="B331"/>
      <c r="C331"/>
      <c r="D331"/>
      <c r="E331"/>
    </row>
    <row r="332" spans="1:5" x14ac:dyDescent="0.25">
      <c r="A332" s="30">
        <v>1.1235295144597281E-2</v>
      </c>
      <c r="B332"/>
      <c r="C332"/>
      <c r="D332"/>
      <c r="E332"/>
    </row>
    <row r="333" spans="1:5" x14ac:dyDescent="0.25">
      <c r="A333" s="30">
        <v>1.0700281090092644E-2</v>
      </c>
      <c r="B333"/>
      <c r="C333"/>
      <c r="D333"/>
      <c r="E333"/>
    </row>
    <row r="334" spans="1:5" x14ac:dyDescent="0.25">
      <c r="A334" s="30">
        <v>1.0190743895326324E-2</v>
      </c>
      <c r="B334"/>
      <c r="C334"/>
      <c r="D334"/>
      <c r="E334"/>
    </row>
    <row r="335" spans="1:5" x14ac:dyDescent="0.25">
      <c r="A335" s="30">
        <v>9.7054703765012563E-3</v>
      </c>
      <c r="B335"/>
      <c r="C335"/>
      <c r="D335"/>
      <c r="E335"/>
    </row>
    <row r="336" spans="1:5" x14ac:dyDescent="0.25">
      <c r="A336" s="30">
        <v>9.2433051204773835E-3</v>
      </c>
      <c r="B336"/>
      <c r="C336"/>
      <c r="D336"/>
      <c r="E336"/>
    </row>
    <row r="337" spans="1:5" x14ac:dyDescent="0.25">
      <c r="A337" s="30">
        <v>8.8031477337879808E-3</v>
      </c>
      <c r="B337"/>
      <c r="C337"/>
      <c r="D337"/>
      <c r="E337"/>
    </row>
    <row r="338" spans="1:5" x14ac:dyDescent="0.25">
      <c r="A338" s="30">
        <v>8.3839502226552166E-3</v>
      </c>
      <c r="B338"/>
      <c r="C338"/>
      <c r="D338"/>
      <c r="E338"/>
    </row>
    <row r="339" spans="1:5" x14ac:dyDescent="0.25">
      <c r="A339" s="30">
        <v>7.9847144977668698E-3</v>
      </c>
      <c r="B339"/>
      <c r="C339"/>
      <c r="D339"/>
      <c r="E339"/>
    </row>
    <row r="340" spans="1:5" x14ac:dyDescent="0.25">
      <c r="A340" s="30">
        <v>7.6044899978732058E-3</v>
      </c>
      <c r="B340"/>
      <c r="C340"/>
      <c r="D340"/>
      <c r="E340"/>
    </row>
    <row r="341" spans="1:5" x14ac:dyDescent="0.25">
      <c r="A341" s="30">
        <v>7.2423714265459072E-3</v>
      </c>
      <c r="B341"/>
      <c r="C341"/>
      <c r="D341"/>
      <c r="E341"/>
    </row>
    <row r="342" spans="1:5" x14ac:dyDescent="0.25">
      <c r="A342" s="30">
        <v>6.8974965967103846E-3</v>
      </c>
      <c r="B342"/>
      <c r="C342"/>
      <c r="D342"/>
      <c r="E342"/>
    </row>
    <row r="343" spans="1:5" x14ac:dyDescent="0.25">
      <c r="A343" s="30">
        <v>6.5690443778194116E-3</v>
      </c>
      <c r="B343"/>
      <c r="C343"/>
      <c r="D343"/>
      <c r="E343"/>
    </row>
    <row r="344" spans="1:5" x14ac:dyDescent="0.25">
      <c r="A344" s="30">
        <v>6.2562327407803897E-3</v>
      </c>
      <c r="B344"/>
      <c r="C344"/>
      <c r="D344"/>
      <c r="E344"/>
    </row>
    <row r="345" spans="1:5" x14ac:dyDescent="0.25">
      <c r="A345" s="30">
        <v>5.9583168959813212E-3</v>
      </c>
      <c r="B345"/>
      <c r="C345"/>
      <c r="D345"/>
      <c r="E345"/>
    </row>
    <row r="346" spans="1:5" x14ac:dyDescent="0.25">
      <c r="A346" s="30">
        <v>5.6745875199822084E-3</v>
      </c>
      <c r="B346"/>
      <c r="C346"/>
      <c r="D346"/>
      <c r="E346"/>
    </row>
    <row r="347" spans="1:5" x14ac:dyDescent="0.25">
      <c r="A347" s="30">
        <v>5.4043690666497205E-3</v>
      </c>
      <c r="B347"/>
      <c r="C347"/>
      <c r="D347"/>
      <c r="E347"/>
    </row>
    <row r="348" spans="1:5" x14ac:dyDescent="0.25">
      <c r="A348" s="30">
        <v>5.1470181587140174E-3</v>
      </c>
      <c r="B348"/>
      <c r="C348"/>
      <c r="D348"/>
      <c r="E348"/>
    </row>
    <row r="349" spans="1:5" x14ac:dyDescent="0.25">
      <c r="A349" s="30">
        <v>4.9019220559181099E-3</v>
      </c>
      <c r="B349"/>
      <c r="C349"/>
      <c r="D349"/>
      <c r="E349"/>
    </row>
    <row r="350" spans="1:5" x14ac:dyDescent="0.25">
      <c r="A350" s="30">
        <v>4.6684971961124836E-3</v>
      </c>
      <c r="B350"/>
      <c r="C350"/>
      <c r="D350"/>
      <c r="E350"/>
    </row>
    <row r="351" spans="1:5" x14ac:dyDescent="0.25">
      <c r="A351" s="30">
        <v>4.4461878058214112E-3</v>
      </c>
      <c r="B351"/>
      <c r="C351"/>
      <c r="D351"/>
      <c r="E351"/>
    </row>
    <row r="352" spans="1:5" x14ac:dyDescent="0.25">
      <c r="A352" s="30">
        <v>4.2344645769727711E-3</v>
      </c>
      <c r="B352"/>
      <c r="C352"/>
      <c r="D352"/>
      <c r="E352"/>
    </row>
    <row r="353" spans="1:5" x14ac:dyDescent="0.25">
      <c r="A353" s="30">
        <v>4.0328234066407329E-3</v>
      </c>
      <c r="B353"/>
      <c r="C353"/>
      <c r="D353"/>
      <c r="E353"/>
    </row>
    <row r="354" spans="1:5" x14ac:dyDescent="0.25">
      <c r="A354" s="30">
        <v>3.8407841968006963E-3</v>
      </c>
      <c r="B354"/>
      <c r="C354"/>
      <c r="D354"/>
      <c r="E354"/>
    </row>
    <row r="355" spans="1:5" x14ac:dyDescent="0.25">
      <c r="A355" s="30">
        <v>3.6578897112387568E-3</v>
      </c>
      <c r="B355"/>
      <c r="C355"/>
      <c r="D355"/>
      <c r="E355"/>
    </row>
    <row r="356" spans="1:5" x14ac:dyDescent="0.25">
      <c r="A356" s="30">
        <v>3.4837044868940526E-3</v>
      </c>
      <c r="B356"/>
      <c r="C356"/>
      <c r="D356"/>
      <c r="E356"/>
    </row>
    <row r="357" spans="1:5" x14ac:dyDescent="0.25">
      <c r="A357" s="30">
        <v>3.3178137970419535E-3</v>
      </c>
      <c r="B357"/>
      <c r="C357"/>
      <c r="D357"/>
      <c r="E357"/>
    </row>
    <row r="358" spans="1:5" x14ac:dyDescent="0.25">
      <c r="A358" s="30">
        <v>3.1598226638494781E-3</v>
      </c>
      <c r="B358"/>
      <c r="C358"/>
      <c r="D358"/>
      <c r="E358"/>
    </row>
    <row r="359" spans="1:5" x14ac:dyDescent="0.25">
      <c r="A359" s="30">
        <v>3.0093549179518826E-3</v>
      </c>
      <c r="B359"/>
      <c r="C359"/>
      <c r="D359"/>
      <c r="E359"/>
    </row>
    <row r="360" spans="1:5" x14ac:dyDescent="0.25">
      <c r="A360" s="30">
        <v>2.8660523028113155E-3</v>
      </c>
      <c r="B360"/>
      <c r="C360"/>
      <c r="D360"/>
      <c r="E360"/>
    </row>
    <row r="361" spans="1:5" x14ac:dyDescent="0.25">
      <c r="A361" s="30">
        <v>2.7295736217250611E-3</v>
      </c>
      <c r="B361"/>
      <c r="C361"/>
      <c r="D361"/>
      <c r="E361"/>
    </row>
    <row r="362" spans="1:5" x14ac:dyDescent="0.25">
      <c r="A362" s="30">
        <v>2.5995939254524381E-3</v>
      </c>
      <c r="B362"/>
      <c r="C362"/>
      <c r="D362"/>
      <c r="E362"/>
    </row>
    <row r="363" spans="1:5" x14ac:dyDescent="0.25">
      <c r="A363" s="30">
        <v>2.4758037385261304E-3</v>
      </c>
      <c r="B363"/>
      <c r="C363"/>
      <c r="D363"/>
      <c r="E363"/>
    </row>
    <row r="364" spans="1:5" x14ac:dyDescent="0.25">
      <c r="A364" s="30">
        <v>2.3579083224058374E-3</v>
      </c>
      <c r="B364"/>
      <c r="C364"/>
      <c r="D364"/>
      <c r="E364"/>
    </row>
    <row r="365" spans="1:5" x14ac:dyDescent="0.25">
      <c r="A365" s="30">
        <v>2.245626973719844E-3</v>
      </c>
      <c r="B365"/>
      <c r="C365"/>
      <c r="D365"/>
      <c r="E365"/>
    </row>
    <row r="366" spans="1:5" x14ac:dyDescent="0.25">
      <c r="A366" s="30">
        <v>2.1386923559236601E-3</v>
      </c>
      <c r="B366"/>
      <c r="C366"/>
      <c r="D366"/>
      <c r="E366"/>
    </row>
    <row r="367" spans="1:5" x14ac:dyDescent="0.25">
      <c r="A367" s="30">
        <v>2.0368498627844375E-3</v>
      </c>
      <c r="B367"/>
      <c r="C367"/>
      <c r="D367"/>
      <c r="E367"/>
    </row>
    <row r="368" spans="1:5" x14ac:dyDescent="0.25">
      <c r="A368" s="30">
        <v>1.9398570121756541E-3</v>
      </c>
      <c r="B368"/>
      <c r="C368"/>
      <c r="D368"/>
      <c r="E368"/>
    </row>
    <row r="369" spans="1:5" x14ac:dyDescent="0.25">
      <c r="A369" s="30">
        <v>1.8474828687387174E-3</v>
      </c>
      <c r="B369"/>
      <c r="C369"/>
      <c r="D369"/>
      <c r="E369"/>
    </row>
    <row r="370" spans="1:5" x14ac:dyDescent="0.25">
      <c r="A370" s="30">
        <v>1.759507494036873E-3</v>
      </c>
      <c r="B370"/>
      <c r="C370"/>
      <c r="D370"/>
      <c r="E370"/>
    </row>
    <row r="371" spans="1:5" x14ac:dyDescent="0.25">
      <c r="A371" s="30">
        <v>1.6757214228922594E-3</v>
      </c>
      <c r="B371"/>
      <c r="C371"/>
      <c r="D371"/>
      <c r="E371"/>
    </row>
    <row r="372" spans="1:5" x14ac:dyDescent="0.25">
      <c r="A372" s="30">
        <v>1.595925164659294E-3</v>
      </c>
      <c r="B372"/>
      <c r="C372"/>
      <c r="D372"/>
      <c r="E372"/>
    </row>
    <row r="373" spans="1:5" x14ac:dyDescent="0.25">
      <c r="A373" s="30">
        <v>1.5199287282469461E-3</v>
      </c>
      <c r="B373"/>
      <c r="C373"/>
      <c r="D373"/>
      <c r="E373"/>
    </row>
    <row r="374" spans="1:5" x14ac:dyDescent="0.25">
      <c r="A374" s="30">
        <v>1.4475511697589958E-3</v>
      </c>
      <c r="B374"/>
      <c r="C374"/>
      <c r="D374"/>
      <c r="E374"/>
    </row>
    <row r="375" spans="1:5" x14ac:dyDescent="0.25">
      <c r="A375" s="30">
        <v>1.3786201616752334E-3</v>
      </c>
      <c r="B375"/>
      <c r="C375"/>
      <c r="D375"/>
      <c r="E375"/>
    </row>
    <row r="376" spans="1:5" x14ac:dyDescent="0.25">
      <c r="A376" s="30">
        <v>1.3129715825478407E-3</v>
      </c>
      <c r="B376"/>
      <c r="C376"/>
      <c r="D376"/>
      <c r="E376"/>
    </row>
    <row r="377" spans="1:5" x14ac:dyDescent="0.25">
      <c r="A377" s="30">
        <v>1.2504491262360382E-3</v>
      </c>
      <c r="B377"/>
      <c r="C377"/>
      <c r="D377"/>
      <c r="E377"/>
    </row>
    <row r="378" spans="1:5" x14ac:dyDescent="0.25">
      <c r="A378" s="30">
        <v>1.1909039297486072E-3</v>
      </c>
      <c r="B378"/>
      <c r="C378"/>
      <c r="D378"/>
      <c r="E378"/>
    </row>
    <row r="379" spans="1:5" x14ac:dyDescent="0.25">
      <c r="A379" s="30">
        <v>1.1341942188081969E-3</v>
      </c>
      <c r="B379"/>
      <c r="C379"/>
      <c r="D379"/>
      <c r="E379"/>
    </row>
    <row r="380" spans="1:5" x14ac:dyDescent="0.25">
      <c r="A380" s="30">
        <v>1.0801849702935203E-3</v>
      </c>
      <c r="B380"/>
      <c r="C380"/>
      <c r="D380"/>
      <c r="E380"/>
    </row>
    <row r="381" spans="1:5" x14ac:dyDescent="0.25">
      <c r="A381" s="30">
        <v>1.0287475907557332E-3</v>
      </c>
      <c r="B381"/>
      <c r="C381"/>
      <c r="D381"/>
      <c r="E381"/>
    </row>
    <row r="382" spans="1:5" x14ac:dyDescent="0.25">
      <c r="A382" s="30">
        <v>9.7731021121794646E-4</v>
      </c>
    </row>
    <row r="383" spans="1:5" x14ac:dyDescent="0.25">
      <c r="A383" s="30">
        <v>9.2844470065704904E-4</v>
      </c>
    </row>
    <row r="384" spans="1:5" x14ac:dyDescent="0.25">
      <c r="A384" s="30">
        <v>8.8202246562419653E-4</v>
      </c>
    </row>
    <row r="385" spans="1:1" x14ac:dyDescent="0.25">
      <c r="A385" s="30">
        <v>8.3792134234298668E-4</v>
      </c>
    </row>
    <row r="386" spans="1:1" x14ac:dyDescent="0.25">
      <c r="A386" s="30">
        <v>7.9602527522583736E-4</v>
      </c>
    </row>
    <row r="387" spans="1:1" x14ac:dyDescent="0.25">
      <c r="A387" s="30">
        <v>7.5622401146454546E-4</v>
      </c>
    </row>
    <row r="388" spans="1:1" x14ac:dyDescent="0.25">
      <c r="A388" s="30">
        <v>7.1841281089131816E-4</v>
      </c>
    </row>
    <row r="389" spans="1:1" x14ac:dyDescent="0.25">
      <c r="A389" s="30">
        <v>6.8249217034675226E-4</v>
      </c>
    </row>
    <row r="390" spans="1:1" x14ac:dyDescent="0.25">
      <c r="A390" s="30">
        <v>6.4836756182941465E-4</v>
      </c>
    </row>
    <row r="391" spans="1:1" x14ac:dyDescent="0.25">
      <c r="A391" s="30">
        <v>6.1594918373794388E-4</v>
      </c>
    </row>
    <row r="392" spans="1:1" x14ac:dyDescent="0.25">
      <c r="A392" s="30">
        <v>5.8515172455104666E-4</v>
      </c>
    </row>
    <row r="393" spans="1:1" x14ac:dyDescent="0.25">
      <c r="A393" s="30">
        <v>5.5589413832349429E-4</v>
      </c>
    </row>
    <row r="394" spans="1:1" x14ac:dyDescent="0.25">
      <c r="A394" s="30">
        <v>5.2809943140731956E-4</v>
      </c>
    </row>
    <row r="395" spans="1:1" x14ac:dyDescent="0.25">
      <c r="A395" s="30">
        <v>5.0169445983695357E-4</v>
      </c>
    </row>
    <row r="396" spans="1:1" x14ac:dyDescent="0.25">
      <c r="A396" s="30">
        <v>4.7660973684510589E-4</v>
      </c>
    </row>
    <row r="397" spans="1:1" x14ac:dyDescent="0.25">
      <c r="A397" s="30">
        <v>4.5277925000285056E-4</v>
      </c>
    </row>
    <row r="398" spans="1:1" x14ac:dyDescent="0.25">
      <c r="A398" s="30">
        <v>4.3014028750270803E-4</v>
      </c>
    </row>
    <row r="399" spans="1:1" x14ac:dyDescent="0.25">
      <c r="A399" s="30">
        <v>4.0863327312757263E-4</v>
      </c>
    </row>
    <row r="400" spans="1:1" x14ac:dyDescent="0.25">
      <c r="A400" s="30">
        <v>3.8820160947119396E-4</v>
      </c>
    </row>
    <row r="401" spans="1:1" x14ac:dyDescent="0.25">
      <c r="A401" s="30">
        <v>3.6879152899763426E-4</v>
      </c>
    </row>
    <row r="402" spans="1:1" x14ac:dyDescent="0.25">
      <c r="A402" s="30">
        <v>3.5035195254775253E-4</v>
      </c>
    </row>
    <row r="403" spans="1:1" x14ac:dyDescent="0.25">
      <c r="A403" s="30">
        <v>3.3283435492036491E-4</v>
      </c>
    </row>
    <row r="404" spans="1:1" x14ac:dyDescent="0.25">
      <c r="A404" s="30">
        <v>3.1619263717434668E-4</v>
      </c>
    </row>
    <row r="405" spans="1:1" x14ac:dyDescent="0.25">
      <c r="A405" s="30">
        <v>3.0038300531562933E-4</v>
      </c>
    </row>
    <row r="406" spans="1:1" x14ac:dyDescent="0.25">
      <c r="A406" s="30">
        <v>2.8536385504984783E-4</v>
      </c>
    </row>
    <row r="407" spans="1:1" x14ac:dyDescent="0.25">
      <c r="A407" s="30">
        <v>2.7109566229735542E-4</v>
      </c>
    </row>
    <row r="408" spans="1:1" x14ac:dyDescent="0.25">
      <c r="A408" s="30">
        <v>2.5754087918248761E-4</v>
      </c>
    </row>
    <row r="409" spans="1:1" x14ac:dyDescent="0.25">
      <c r="A409" s="30">
        <v>2.4466383522336323E-4</v>
      </c>
    </row>
    <row r="410" spans="1:1" x14ac:dyDescent="0.25">
      <c r="A410" s="30">
        <v>2.3243064346219506E-4</v>
      </c>
    </row>
    <row r="411" spans="1:1" x14ac:dyDescent="0.25">
      <c r="A411" s="30">
        <v>2.2080911128908529E-4</v>
      </c>
    </row>
    <row r="412" spans="1:1" x14ac:dyDescent="0.25">
      <c r="A412" s="30">
        <v>2.0976865572463102E-4</v>
      </c>
    </row>
    <row r="413" spans="1:1" x14ac:dyDescent="0.25">
      <c r="A413" s="30">
        <v>1.9928022293839946E-4</v>
      </c>
    </row>
    <row r="414" spans="1:1" x14ac:dyDescent="0.25">
      <c r="A414" s="30">
        <v>1.8931621179147948E-4</v>
      </c>
    </row>
    <row r="415" spans="1:1" x14ac:dyDescent="0.25">
      <c r="A415" s="30">
        <v>1.798504012019055E-4</v>
      </c>
    </row>
    <row r="416" spans="1:1" x14ac:dyDescent="0.25">
      <c r="A416" s="30">
        <v>1.7085788114181021E-4</v>
      </c>
    </row>
    <row r="417" spans="1:1" x14ac:dyDescent="0.25">
      <c r="A417" s="30">
        <v>1.623149870847197E-4</v>
      </c>
    </row>
    <row r="418" spans="1:1" x14ac:dyDescent="0.25">
      <c r="A418" s="30">
        <v>1.541992377304837E-4</v>
      </c>
    </row>
    <row r="419" spans="1:1" x14ac:dyDescent="0.25">
      <c r="A419" s="30">
        <v>1.4648927584395952E-4</v>
      </c>
    </row>
    <row r="420" spans="1:1" x14ac:dyDescent="0.25">
      <c r="A420" s="30">
        <v>1.3916481205176153E-4</v>
      </c>
    </row>
    <row r="421" spans="1:1" x14ac:dyDescent="0.25">
      <c r="A421" s="30">
        <v>1.3220657144917344E-4</v>
      </c>
    </row>
    <row r="422" spans="1:1" x14ac:dyDescent="0.25">
      <c r="A422" s="30">
        <v>1.2559624287671476E-4</v>
      </c>
    </row>
    <row r="423" spans="1:1" x14ac:dyDescent="0.25">
      <c r="A423" s="30">
        <v>1.1931643073287902E-4</v>
      </c>
    </row>
    <row r="424" spans="1:1" x14ac:dyDescent="0.25">
      <c r="A424" s="30">
        <v>1.1335060919623506E-4</v>
      </c>
    </row>
    <row r="425" spans="1:1" x14ac:dyDescent="0.25">
      <c r="A425" s="30">
        <v>1.076830787364233E-4</v>
      </c>
    </row>
    <row r="426" spans="1:1" x14ac:dyDescent="0.25">
      <c r="A426" s="30">
        <v>1.0229892479960213E-4</v>
      </c>
    </row>
    <row r="427" spans="1:1" x14ac:dyDescent="0.25">
      <c r="A427" s="30">
        <v>9.7183978559622027E-5</v>
      </c>
    </row>
    <row r="428" spans="1:1" x14ac:dyDescent="0.25">
      <c r="A428" s="30">
        <v>9.2324779631640922E-5</v>
      </c>
    </row>
    <row r="429" spans="1:1" x14ac:dyDescent="0.25">
      <c r="A429" s="30">
        <v>8.7708540650058869E-5</v>
      </c>
    </row>
    <row r="430" spans="1:1" x14ac:dyDescent="0.25">
      <c r="A430" s="30">
        <v>8.3323113617555917E-5</v>
      </c>
    </row>
    <row r="431" spans="1:1" x14ac:dyDescent="0.25">
      <c r="A431" s="30">
        <v>7.9156957936678114E-5</v>
      </c>
    </row>
    <row r="432" spans="1:1" x14ac:dyDescent="0.25">
      <c r="A432" s="30">
        <v>7.5199110039844203E-5</v>
      </c>
    </row>
    <row r="433" spans="1:1" x14ac:dyDescent="0.25">
      <c r="A433" s="30">
        <v>7.1439154537851989E-5</v>
      </c>
    </row>
    <row r="434" spans="1:1" x14ac:dyDescent="0.25">
      <c r="A434" s="30">
        <v>6.7867196810959381E-5</v>
      </c>
    </row>
    <row r="435" spans="1:1" x14ac:dyDescent="0.25">
      <c r="A435" s="30">
        <v>6.4473836970411412E-5</v>
      </c>
    </row>
    <row r="436" spans="1:1" x14ac:dyDescent="0.25">
      <c r="A436" s="30">
        <v>6.1250145121890834E-5</v>
      </c>
    </row>
    <row r="437" spans="1:1" x14ac:dyDescent="0.25">
      <c r="A437" s="30">
        <v>5.8187637865796292E-5</v>
      </c>
    </row>
    <row r="438" spans="1:1" x14ac:dyDescent="0.25">
      <c r="A438" s="30">
        <v>5.5278255972506478E-5</v>
      </c>
    </row>
    <row r="439" spans="1:1" x14ac:dyDescent="0.25">
      <c r="A439" s="30">
        <v>5.251434317388115E-5</v>
      </c>
    </row>
    <row r="440" spans="1:1" x14ac:dyDescent="0.25">
      <c r="A440" s="30">
        <v>4.9888626015187091E-5</v>
      </c>
    </row>
    <row r="441" spans="1:1" x14ac:dyDescent="0.25">
      <c r="A441" s="30">
        <v>4.7394194714427735E-5</v>
      </c>
    </row>
    <row r="442" spans="1:1" x14ac:dyDescent="0.25">
      <c r="A442" s="30">
        <v>4.5024484978706345E-5</v>
      </c>
    </row>
    <row r="443" spans="1:1" x14ac:dyDescent="0.25">
      <c r="A443" s="30">
        <v>4.2773260729771024E-5</v>
      </c>
    </row>
    <row r="444" spans="1:1" x14ac:dyDescent="0.25">
      <c r="A444" s="30">
        <v>4.0634597693282472E-5</v>
      </c>
    </row>
    <row r="445" spans="1:1" x14ac:dyDescent="0.25">
      <c r="A445" s="30">
        <v>3.8602867808618349E-5</v>
      </c>
    </row>
    <row r="446" spans="1:1" x14ac:dyDescent="0.25">
      <c r="A446" s="30">
        <v>3.6672724418187428E-5</v>
      </c>
    </row>
    <row r="447" spans="1:1" x14ac:dyDescent="0.25">
      <c r="A447" s="30">
        <v>3.4839088197278057E-5</v>
      </c>
    </row>
    <row r="448" spans="1:1" x14ac:dyDescent="0.25">
      <c r="A448" s="30">
        <v>3.3097133787414149E-5</v>
      </c>
    </row>
    <row r="449" spans="1:1" x14ac:dyDescent="0.25">
      <c r="A449" s="30">
        <v>3.1442277098043439E-5</v>
      </c>
    </row>
    <row r="450" spans="1:1" x14ac:dyDescent="0.25">
      <c r="A450" s="30">
        <v>2.9870163243141264E-5</v>
      </c>
    </row>
    <row r="451" spans="1:1" x14ac:dyDescent="0.25">
      <c r="A451" s="30">
        <v>2.8376655080984199E-5</v>
      </c>
    </row>
    <row r="452" spans="1:1" x14ac:dyDescent="0.25">
      <c r="A452" s="30">
        <v>2.6957822326934987E-5</v>
      </c>
    </row>
    <row r="453" spans="1:1" x14ac:dyDescent="0.25">
      <c r="A453" s="30">
        <v>2.5609931210588235E-5</v>
      </c>
    </row>
    <row r="454" spans="1:1" x14ac:dyDescent="0.25">
      <c r="A454" s="30">
        <v>2.4329434650058821E-5</v>
      </c>
    </row>
    <row r="455" spans="1:1" x14ac:dyDescent="0.25">
      <c r="A455" s="30">
        <v>2.311296291755588E-5</v>
      </c>
    </row>
    <row r="456" spans="1:1" x14ac:dyDescent="0.25">
      <c r="A456" s="30">
        <v>2.1957314771678086E-5</v>
      </c>
    </row>
    <row r="457" spans="1:1" x14ac:dyDescent="0.25">
      <c r="A457" s="30">
        <v>2.085944903309418E-5</v>
      </c>
    </row>
    <row r="458" spans="1:1" x14ac:dyDescent="0.25">
      <c r="A458" s="30">
        <v>1.9816476581439472E-5</v>
      </c>
    </row>
    <row r="459" spans="1:1" x14ac:dyDescent="0.25">
      <c r="A459" s="30">
        <v>1.8825652752367499E-5</v>
      </c>
    </row>
    <row r="460" spans="1:1" x14ac:dyDescent="0.25">
      <c r="A460" s="30">
        <v>1.7884370114749124E-5</v>
      </c>
    </row>
    <row r="461" spans="1:1" x14ac:dyDescent="0.25">
      <c r="A461" s="30">
        <v>1.6990151609011666E-5</v>
      </c>
    </row>
    <row r="462" spans="1:1" x14ac:dyDescent="0.25">
      <c r="A462" s="30">
        <v>1.6140644028561083E-5</v>
      </c>
    </row>
    <row r="463" spans="1:1" x14ac:dyDescent="0.25">
      <c r="A463" s="30">
        <v>1.5333611827133028E-5</v>
      </c>
    </row>
    <row r="464" spans="1:1" x14ac:dyDescent="0.25">
      <c r="A464" s="30">
        <v>1.4566931235776375E-5</v>
      </c>
    </row>
    <row r="465" spans="1:1" x14ac:dyDescent="0.25">
      <c r="A465" s="30">
        <v>1.3838584673987556E-5</v>
      </c>
    </row>
    <row r="466" spans="1:1" x14ac:dyDescent="0.25">
      <c r="A466" s="30">
        <v>1.3146655440288178E-5</v>
      </c>
    </row>
    <row r="467" spans="1:1" x14ac:dyDescent="0.25">
      <c r="A467" s="30">
        <v>1.2489322668273768E-5</v>
      </c>
    </row>
    <row r="468" spans="1:1" x14ac:dyDescent="0.25">
      <c r="A468" s="30">
        <v>1.186485653486008E-5</v>
      </c>
    </row>
    <row r="469" spans="1:1" x14ac:dyDescent="0.25">
      <c r="A469" s="30">
        <v>1.1271613708117075E-5</v>
      </c>
    </row>
    <row r="470" spans="1:1" x14ac:dyDescent="0.25">
      <c r="A470" s="30">
        <v>1.0708033022711222E-5</v>
      </c>
    </row>
    <row r="471" spans="1:1" x14ac:dyDescent="0.25">
      <c r="A471" s="30">
        <v>1.0172631371575661E-5</v>
      </c>
    </row>
    <row r="472" spans="1:1" x14ac:dyDescent="0.25">
      <c r="A472" s="30">
        <v>9.6639998029968765E-6</v>
      </c>
    </row>
    <row r="473" spans="1:1" x14ac:dyDescent="0.25">
      <c r="A473" s="30">
        <v>9.1807998128470321E-6</v>
      </c>
    </row>
    <row r="474" spans="1:1" x14ac:dyDescent="0.25">
      <c r="A474" s="30">
        <v>8.7217598222046798E-6</v>
      </c>
    </row>
    <row r="475" spans="1:1" x14ac:dyDescent="0.25">
      <c r="A475" s="30">
        <v>8.2856718310944451E-6</v>
      </c>
    </row>
    <row r="476" spans="1:1" x14ac:dyDescent="0.25">
      <c r="A476" s="30">
        <v>7.8713882395397226E-6</v>
      </c>
    </row>
    <row r="477" spans="1:1" x14ac:dyDescent="0.25">
      <c r="A477" s="30">
        <v>7.4778188275627361E-6</v>
      </c>
    </row>
    <row r="478" spans="1:1" x14ac:dyDescent="0.25">
      <c r="A478" s="30">
        <v>7.1039278861845986E-6</v>
      </c>
    </row>
    <row r="479" spans="1:1" x14ac:dyDescent="0.25">
      <c r="A479" s="30">
        <v>6.7487314918753682E-6</v>
      </c>
    </row>
    <row r="480" spans="1:1" x14ac:dyDescent="0.25">
      <c r="A480" s="30">
        <v>6.4112949172815995E-6</v>
      </c>
    </row>
    <row r="481" spans="1:1" x14ac:dyDescent="0.25">
      <c r="A481" s="30">
        <v>6.0907301714175189E-6</v>
      </c>
    </row>
    <row r="482" spans="1:1" x14ac:dyDescent="0.25">
      <c r="A482" s="30">
        <v>5.7861936628466423E-6</v>
      </c>
    </row>
    <row r="483" spans="1:1" x14ac:dyDescent="0.25">
      <c r="A483" s="30">
        <v>5.4968839797043099E-6</v>
      </c>
    </row>
    <row r="484" spans="1:1" x14ac:dyDescent="0.25">
      <c r="A484" s="30">
        <v>5.2220397807190937E-6</v>
      </c>
    </row>
    <row r="485" spans="1:1" x14ac:dyDescent="0.25">
      <c r="A485" s="30">
        <v>4.9609377916831386E-6</v>
      </c>
    </row>
    <row r="486" spans="1:1" x14ac:dyDescent="0.25">
      <c r="A486" s="30">
        <v>4.7128909020989814E-6</v>
      </c>
    </row>
    <row r="487" spans="1:1" x14ac:dyDescent="0.25">
      <c r="A487" s="30">
        <v>4.4772463569940322E-6</v>
      </c>
    </row>
    <row r="488" spans="1:1" x14ac:dyDescent="0.25">
      <c r="A488" s="30">
        <v>4.2533840391443302E-6</v>
      </c>
    </row>
    <row r="489" spans="1:1" x14ac:dyDescent="0.25">
      <c r="A489" s="30">
        <v>4.0407148371871134E-6</v>
      </c>
    </row>
    <row r="490" spans="1:1" x14ac:dyDescent="0.25">
      <c r="A490" s="30">
        <v>3.838679095327758E-6</v>
      </c>
    </row>
    <row r="491" spans="1:1" x14ac:dyDescent="0.25">
      <c r="A491" s="30">
        <v>3.6467451405613698E-6</v>
      </c>
    </row>
    <row r="492" spans="1:1" x14ac:dyDescent="0.25">
      <c r="A492" s="30">
        <v>3.464407883533301E-6</v>
      </c>
    </row>
    <row r="493" spans="1:1" x14ac:dyDescent="0.25">
      <c r="A493" s="30">
        <v>3.2911874893566358E-6</v>
      </c>
    </row>
    <row r="494" spans="1:1" x14ac:dyDescent="0.25">
      <c r="A494" s="30">
        <v>3.1266281148888039E-6</v>
      </c>
    </row>
    <row r="495" spans="1:1" x14ac:dyDescent="0.25">
      <c r="A495" s="30">
        <v>2.9702967091443636E-6</v>
      </c>
    </row>
    <row r="496" spans="1:1" x14ac:dyDescent="0.25">
      <c r="A496" s="30">
        <v>2.8217818736871453E-6</v>
      </c>
    </row>
    <row r="497" spans="1:1" x14ac:dyDescent="0.25">
      <c r="A497" s="30">
        <v>2.6806927800027881E-6</v>
      </c>
    </row>
    <row r="498" spans="1:1" x14ac:dyDescent="0.25">
      <c r="A498" s="30">
        <v>2.5466581410026485E-6</v>
      </c>
    </row>
    <row r="499" spans="1:1" x14ac:dyDescent="0.25">
      <c r="A499" s="30">
        <v>2.4193252339525159E-6</v>
      </c>
    </row>
    <row r="500" spans="1:1" x14ac:dyDescent="0.25">
      <c r="A500" s="30">
        <v>2.2983589722548901E-6</v>
      </c>
    </row>
    <row r="501" spans="1:1" x14ac:dyDescent="0.25">
      <c r="A501" s="30">
        <v>2.1834410236421454E-6</v>
      </c>
    </row>
    <row r="502" spans="1:1" x14ac:dyDescent="0.25">
      <c r="A502" s="30">
        <v>2.0742689724600379E-6</v>
      </c>
    </row>
    <row r="503" spans="1:1" x14ac:dyDescent="0.25">
      <c r="A503" s="30">
        <v>1.9705555238370358E-6</v>
      </c>
    </row>
    <row r="504" spans="1:1" x14ac:dyDescent="0.25">
      <c r="A504" s="30">
        <v>1.8720277476451839E-6</v>
      </c>
    </row>
    <row r="505" spans="1:1" x14ac:dyDescent="0.25">
      <c r="A505" s="30">
        <v>1.7784263602629246E-6</v>
      </c>
    </row>
    <row r="506" spans="1:1" x14ac:dyDescent="0.25">
      <c r="A506" s="30">
        <v>1.6895050422497783E-6</v>
      </c>
    </row>
    <row r="507" spans="1:1" x14ac:dyDescent="0.25">
      <c r="A507" s="30">
        <v>1.6050297901372894E-6</v>
      </c>
    </row>
    <row r="508" spans="1:1" x14ac:dyDescent="0.25">
      <c r="A508" s="30">
        <v>1.5247783006304249E-6</v>
      </c>
    </row>
    <row r="509" spans="1:1" x14ac:dyDescent="0.25">
      <c r="A509" s="30">
        <v>1.4485393855989036E-6</v>
      </c>
    </row>
    <row r="510" spans="1:1" x14ac:dyDescent="0.25">
      <c r="A510" s="30">
        <v>1.3761124163189583E-6</v>
      </c>
    </row>
    <row r="511" spans="1:1" x14ac:dyDescent="0.25">
      <c r="A511" s="30">
        <v>1.3073067955030102E-6</v>
      </c>
    </row>
    <row r="512" spans="1:1" x14ac:dyDescent="0.25">
      <c r="A512" s="30">
        <v>1.2419414557278597E-6</v>
      </c>
    </row>
    <row r="513" spans="1:1" x14ac:dyDescent="0.25">
      <c r="A513" s="30">
        <v>1.1798443829414667E-6</v>
      </c>
    </row>
    <row r="514" spans="1:1" x14ac:dyDescent="0.25">
      <c r="A514" s="30">
        <v>1.1208521637943934E-6</v>
      </c>
    </row>
    <row r="515" spans="1:1" x14ac:dyDescent="0.25">
      <c r="A515" s="30">
        <v>1.0648095556046737E-6</v>
      </c>
    </row>
    <row r="516" spans="1:1" x14ac:dyDescent="0.25">
      <c r="A516" s="30">
        <v>1.01156907782444E-6</v>
      </c>
    </row>
    <row r="517" spans="1:1" x14ac:dyDescent="0.25">
      <c r="A517" s="30">
        <v>9.6099062393321788E-7</v>
      </c>
    </row>
    <row r="518" spans="1:1" x14ac:dyDescent="0.25">
      <c r="A518" s="30">
        <v>9.1294109273655694E-7</v>
      </c>
    </row>
    <row r="519" spans="1:1" x14ac:dyDescent="0.25">
      <c r="A519" s="30">
        <v>8.6729403809972904E-7</v>
      </c>
    </row>
    <row r="520" spans="1:1" x14ac:dyDescent="0.25">
      <c r="A520" s="30">
        <v>8.2392933619474258E-7</v>
      </c>
    </row>
    <row r="521" spans="1:1" x14ac:dyDescent="0.25">
      <c r="A521" s="30">
        <v>7.8273286938500543E-7</v>
      </c>
    </row>
    <row r="522" spans="1:1" x14ac:dyDescent="0.25">
      <c r="A522" s="30">
        <v>7.4359622591575509E-7</v>
      </c>
    </row>
    <row r="523" spans="1:1" x14ac:dyDescent="0.25">
      <c r="A523" s="30">
        <v>7.064164146199673E-7</v>
      </c>
    </row>
    <row r="524" spans="1:1" x14ac:dyDescent="0.25">
      <c r="A524" s="30">
        <v>6.7109559388896894E-7</v>
      </c>
    </row>
    <row r="525" spans="1:1" x14ac:dyDescent="0.25">
      <c r="A525" s="30">
        <v>6.3754081419452045E-7</v>
      </c>
    </row>
    <row r="526" spans="1:1" x14ac:dyDescent="0.25">
      <c r="A526" s="30">
        <v>6.056637734847944E-7</v>
      </c>
    </row>
    <row r="527" spans="1:1" x14ac:dyDescent="0.25">
      <c r="A527" s="30">
        <v>5.7538058481055464E-7</v>
      </c>
    </row>
    <row r="528" spans="1:1" x14ac:dyDescent="0.25">
      <c r="A528" s="30">
        <v>5.4661155557002689E-7</v>
      </c>
    </row>
    <row r="529" spans="1:1" x14ac:dyDescent="0.25">
      <c r="A529" s="30">
        <v>5.1928097779152547E-7</v>
      </c>
    </row>
    <row r="530" spans="1:1" x14ac:dyDescent="0.25">
      <c r="A530" s="30">
        <v>4.9331692890194916E-7</v>
      </c>
    </row>
    <row r="531" spans="1:1" x14ac:dyDescent="0.25">
      <c r="A531" s="30">
        <v>4.6865108245685168E-7</v>
      </c>
    </row>
    <row r="532" spans="1:1" x14ac:dyDescent="0.25">
      <c r="A532" s="30">
        <v>4.4521852833400909E-7</v>
      </c>
    </row>
    <row r="533" spans="1:1" x14ac:dyDescent="0.25">
      <c r="A533" s="30">
        <v>4.2295760191730863E-7</v>
      </c>
    </row>
    <row r="534" spans="1:1" x14ac:dyDescent="0.25">
      <c r="A534" s="30">
        <v>4.018097218214432E-7</v>
      </c>
    </row>
    <row r="535" spans="1:1" x14ac:dyDescent="0.25">
      <c r="A535" s="30">
        <v>3.8171923573037103E-7</v>
      </c>
    </row>
    <row r="536" spans="1:1" x14ac:dyDescent="0.25">
      <c r="A536" s="30">
        <v>3.6263327394385244E-7</v>
      </c>
    </row>
    <row r="537" spans="1:1" x14ac:dyDescent="0.25">
      <c r="A537" s="30">
        <v>3.4450161024665982E-7</v>
      </c>
    </row>
    <row r="538" spans="1:1" x14ac:dyDescent="0.25">
      <c r="A538" s="30">
        <v>3.2727652973432681E-7</v>
      </c>
    </row>
    <row r="539" spans="1:1" x14ac:dyDescent="0.25">
      <c r="A539" s="30">
        <v>3.1091270324761048E-7</v>
      </c>
    </row>
    <row r="540" spans="1:1" x14ac:dyDescent="0.25">
      <c r="A540" s="30">
        <v>2.9536706808522992E-7</v>
      </c>
    </row>
    <row r="541" spans="1:1" x14ac:dyDescent="0.25">
      <c r="A541" s="30">
        <v>2.8059871468096844E-7</v>
      </c>
    </row>
    <row r="542" spans="1:1" x14ac:dyDescent="0.25">
      <c r="A542" s="30">
        <v>2.6656877894691999E-7</v>
      </c>
    </row>
    <row r="543" spans="1:1" x14ac:dyDescent="0.25">
      <c r="A543" s="30">
        <v>2.5324033999957397E-7</v>
      </c>
    </row>
    <row r="544" spans="1:1" x14ac:dyDescent="0.25">
      <c r="A544" s="30">
        <v>2.4057832299959528E-7</v>
      </c>
    </row>
    <row r="545" spans="1:1" x14ac:dyDescent="0.25">
      <c r="A545" s="30">
        <v>2.2854940684961551E-7</v>
      </c>
    </row>
    <row r="546" spans="1:1" x14ac:dyDescent="0.25">
      <c r="A546" s="30">
        <v>2.1712193650713473E-7</v>
      </c>
    </row>
    <row r="547" spans="1:1" x14ac:dyDescent="0.25">
      <c r="A547" s="30">
        <v>2.0626583968177798E-7</v>
      </c>
    </row>
    <row r="548" spans="1:1" x14ac:dyDescent="0.25">
      <c r="A548" s="30">
        <v>1.9595254769768908E-7</v>
      </c>
    </row>
    <row r="549" spans="1:1" x14ac:dyDescent="0.25">
      <c r="A549" s="30">
        <v>1.8615492031280462E-7</v>
      </c>
    </row>
    <row r="550" spans="1:1" x14ac:dyDescent="0.25">
      <c r="A550" s="30">
        <v>1.7684717429716437E-7</v>
      </c>
    </row>
    <row r="551" spans="1:1" x14ac:dyDescent="0.25">
      <c r="A551" s="30">
        <v>1.6800481558230616E-7</v>
      </c>
    </row>
    <row r="552" spans="1:1" x14ac:dyDescent="0.25">
      <c r="A552" s="30">
        <v>1.5960457480319083E-7</v>
      </c>
    </row>
    <row r="553" spans="1:1" x14ac:dyDescent="0.25">
      <c r="A553" s="30">
        <v>1.5162434606303129E-7</v>
      </c>
    </row>
    <row r="554" spans="1:1" x14ac:dyDescent="0.25">
      <c r="A554" s="30">
        <v>1.4404312875987972E-7</v>
      </c>
    </row>
    <row r="555" spans="1:1" x14ac:dyDescent="0.25">
      <c r="A555" s="30">
        <v>1.3684097232188573E-7</v>
      </c>
    </row>
    <row r="556" spans="1:1" x14ac:dyDescent="0.25">
      <c r="A556" s="30">
        <v>1.2999892370579143E-7</v>
      </c>
    </row>
    <row r="557" spans="1:1" x14ac:dyDescent="0.25">
      <c r="A557" s="30">
        <v>1.2349897752050186E-7</v>
      </c>
    </row>
    <row r="558" spans="1:1" x14ac:dyDescent="0.25">
      <c r="A558" s="30">
        <v>1.1732402864447677E-7</v>
      </c>
    </row>
    <row r="559" spans="1:1" x14ac:dyDescent="0.25">
      <c r="A559" s="30">
        <v>1.1145782721225292E-7</v>
      </c>
    </row>
    <row r="560" spans="1:1" x14ac:dyDescent="0.25">
      <c r="A560" s="30">
        <v>1.0588493585164026E-7</v>
      </c>
    </row>
    <row r="561" spans="1:1" x14ac:dyDescent="0.25">
      <c r="A561" s="30">
        <v>1.0059068905905825E-7</v>
      </c>
    </row>
    <row r="562" spans="1:1" x14ac:dyDescent="0.25">
      <c r="A562" s="30">
        <v>9.5561154606105325E-8</v>
      </c>
    </row>
    <row r="563" spans="1:1" x14ac:dyDescent="0.25">
      <c r="A563" s="30">
        <v>9.0783096875800056E-8</v>
      </c>
    </row>
    <row r="564" spans="1:1" x14ac:dyDescent="0.25">
      <c r="A564" s="30">
        <v>8.6243942032010053E-8</v>
      </c>
    </row>
    <row r="565" spans="1:1" x14ac:dyDescent="0.25">
      <c r="A565" s="30">
        <v>8.1931744930409543E-8</v>
      </c>
    </row>
    <row r="566" spans="1:1" x14ac:dyDescent="0.25">
      <c r="A566" s="30">
        <v>7.7835157683889064E-8</v>
      </c>
    </row>
    <row r="567" spans="1:1" x14ac:dyDescent="0.25">
      <c r="A567" s="30">
        <v>7.3943399799694612E-8</v>
      </c>
    </row>
    <row r="568" spans="1:1" x14ac:dyDescent="0.25">
      <c r="A568" s="30">
        <v>7.0246229809709872E-8</v>
      </c>
    </row>
    <row r="569" spans="1:1" x14ac:dyDescent="0.25">
      <c r="A569" s="30">
        <v>6.6733918319224378E-8</v>
      </c>
    </row>
    <row r="570" spans="1:1" x14ac:dyDescent="0.25">
      <c r="A570" s="30">
        <v>6.3397222403263155E-8</v>
      </c>
    </row>
    <row r="571" spans="1:1" x14ac:dyDescent="0.25">
      <c r="A571" s="30">
        <v>6.0227361283099997E-8</v>
      </c>
    </row>
    <row r="572" spans="1:1" x14ac:dyDescent="0.25">
      <c r="A572" s="30">
        <v>5.7215993218944996E-8</v>
      </c>
    </row>
    <row r="573" spans="1:1" x14ac:dyDescent="0.25">
      <c r="A573" s="30">
        <v>5.4355193557997742E-8</v>
      </c>
    </row>
    <row r="574" spans="1:1" x14ac:dyDescent="0.25">
      <c r="A574" s="30">
        <v>5.1637433880097855E-8</v>
      </c>
    </row>
    <row r="575" spans="1:1" x14ac:dyDescent="0.25">
      <c r="A575" s="30">
        <v>4.9055562186092959E-8</v>
      </c>
    </row>
    <row r="576" spans="1:1" x14ac:dyDescent="0.25">
      <c r="A576" s="30">
        <v>4.6602784076788309E-8</v>
      </c>
    </row>
    <row r="577" spans="1:1" x14ac:dyDescent="0.25">
      <c r="A577" s="30">
        <v>4.4272644872948894E-8</v>
      </c>
    </row>
    <row r="578" spans="1:1" x14ac:dyDescent="0.25">
      <c r="A578" s="30">
        <v>4.2059012629301451E-8</v>
      </c>
    </row>
    <row r="579" spans="1:1" x14ac:dyDescent="0.25">
      <c r="A579" s="30">
        <v>3.9956061997836377E-8</v>
      </c>
    </row>
    <row r="580" spans="1:1" x14ac:dyDescent="0.25">
      <c r="A580" s="30">
        <v>3.7958258897944555E-8</v>
      </c>
    </row>
    <row r="581" spans="1:1" x14ac:dyDescent="0.25">
      <c r="A581" s="30">
        <v>3.6060345953047327E-8</v>
      </c>
    </row>
    <row r="582" spans="1:1" x14ac:dyDescent="0.25">
      <c r="A582" s="30">
        <v>3.4257328655394958E-8</v>
      </c>
    </row>
    <row r="583" spans="1:1" x14ac:dyDescent="0.25">
      <c r="A583" s="30">
        <v>3.2544462222625211E-8</v>
      </c>
    </row>
    <row r="584" spans="1:1" x14ac:dyDescent="0.25">
      <c r="A584" s="30">
        <v>3.0917239111493953E-8</v>
      </c>
    </row>
    <row r="585" spans="1:1" x14ac:dyDescent="0.25">
      <c r="A585" s="30">
        <v>2.9371377155919254E-8</v>
      </c>
    </row>
    <row r="586" spans="1:1" x14ac:dyDescent="0.25">
      <c r="A586" s="30">
        <v>2.7902808298123291E-8</v>
      </c>
    </row>
    <row r="587" spans="1:1" x14ac:dyDescent="0.25">
      <c r="A587" s="30">
        <v>2.6507667883217124E-8</v>
      </c>
    </row>
    <row r="588" spans="1:1" x14ac:dyDescent="0.25">
      <c r="A588" s="30">
        <v>2.5182284489056268E-8</v>
      </c>
    </row>
    <row r="589" spans="1:1" x14ac:dyDescent="0.25">
      <c r="A589" s="30">
        <v>2.3923170264603454E-8</v>
      </c>
    </row>
    <row r="590" spans="1:1" x14ac:dyDescent="0.25">
      <c r="A590" s="30">
        <v>2.2727011751373281E-8</v>
      </c>
    </row>
    <row r="591" spans="1:1" x14ac:dyDescent="0.25">
      <c r="A591" s="30">
        <v>2.1590661163804617E-8</v>
      </c>
    </row>
    <row r="592" spans="1:1" x14ac:dyDescent="0.25">
      <c r="A592" s="30">
        <v>2.0511128105614386E-8</v>
      </c>
    </row>
    <row r="593" spans="1:1" x14ac:dyDescent="0.25">
      <c r="A593" s="30">
        <v>1.9485571700333666E-8</v>
      </c>
    </row>
    <row r="594" spans="1:1" x14ac:dyDescent="0.25">
      <c r="A594" s="30">
        <v>1.8511293115316981E-8</v>
      </c>
    </row>
    <row r="595" spans="1:1" x14ac:dyDescent="0.25">
      <c r="A595" s="30">
        <v>1.758572845955113E-8</v>
      </c>
    </row>
    <row r="596" spans="1:1" x14ac:dyDescent="0.25">
      <c r="A596" s="30">
        <v>1.6706442036573572E-8</v>
      </c>
    </row>
    <row r="597" spans="1:1" x14ac:dyDescent="0.25">
      <c r="A597" s="30">
        <v>1.5871119934744892E-8</v>
      </c>
    </row>
    <row r="598" spans="1:1" x14ac:dyDescent="0.25">
      <c r="A598" s="30">
        <v>1.5077563938007645E-8</v>
      </c>
    </row>
    <row r="599" spans="1:1" x14ac:dyDescent="0.25">
      <c r="A599" s="30">
        <v>1.4323685741107262E-8</v>
      </c>
    </row>
    <row r="600" spans="1:1" x14ac:dyDescent="0.25">
      <c r="A600" s="30">
        <v>1.3607501454051899E-8</v>
      </c>
    </row>
    <row r="601" spans="1:1" x14ac:dyDescent="0.25">
      <c r="A601" s="30">
        <v>1.2927126381349303E-8</v>
      </c>
    </row>
    <row r="602" spans="1:1" x14ac:dyDescent="0.25">
      <c r="A602" s="30">
        <v>1.2280770062281838E-8</v>
      </c>
    </row>
    <row r="603" spans="1:1" x14ac:dyDescent="0.25">
      <c r="A603" s="30">
        <v>1.1666731559167746E-8</v>
      </c>
    </row>
    <row r="604" spans="1:1" x14ac:dyDescent="0.25">
      <c r="A604" s="30">
        <v>1.1083394981209357E-8</v>
      </c>
    </row>
    <row r="605" spans="1:1" x14ac:dyDescent="0.25">
      <c r="A605" s="30">
        <v>1.0529225232148889E-8</v>
      </c>
    </row>
    <row r="606" spans="1:1" x14ac:dyDescent="0.25">
      <c r="A606" s="30">
        <v>1.0002763970541444E-8</v>
      </c>
    </row>
    <row r="607" spans="1:1" x14ac:dyDescent="0.25">
      <c r="A607" s="30">
        <v>9.5026257720143712E-9</v>
      </c>
    </row>
    <row r="608" spans="1:1" x14ac:dyDescent="0.25">
      <c r="A608" s="30">
        <v>9.0274944834136515E-9</v>
      </c>
    </row>
    <row r="609" spans="1:1" x14ac:dyDescent="0.25">
      <c r="A609" s="30">
        <v>8.5761197592429686E-9</v>
      </c>
    </row>
    <row r="610" spans="1:1" x14ac:dyDescent="0.25">
      <c r="A610" s="30">
        <v>8.1473137712808194E-9</v>
      </c>
    </row>
    <row r="611" spans="1:1" x14ac:dyDescent="0.25">
      <c r="A611" s="30">
        <v>7.7399480827167776E-9</v>
      </c>
    </row>
    <row r="612" spans="1:1" x14ac:dyDescent="0.25">
      <c r="A612" s="30">
        <v>7.3529506785809386E-9</v>
      </c>
    </row>
    <row r="613" spans="1:1" x14ac:dyDescent="0.25">
      <c r="A613" s="30">
        <v>6.9853031446518911E-9</v>
      </c>
    </row>
    <row r="614" spans="1:1" x14ac:dyDescent="0.25">
      <c r="A614" s="30">
        <v>6.6360379874192963E-9</v>
      </c>
    </row>
    <row r="615" spans="1:1" x14ac:dyDescent="0.25">
      <c r="A615" s="30">
        <v>6.3042360880483309E-9</v>
      </c>
    </row>
    <row r="616" spans="1:1" x14ac:dyDescent="0.25">
      <c r="A616" s="30">
        <v>5.989024283645914E-9</v>
      </c>
    </row>
    <row r="617" spans="1:1" x14ac:dyDescent="0.25">
      <c r="A617" s="30">
        <v>5.6895730694636181E-9</v>
      </c>
    </row>
    <row r="618" spans="1:1" x14ac:dyDescent="0.25">
      <c r="A618" s="30">
        <v>5.4050944159904366E-9</v>
      </c>
    </row>
    <row r="619" spans="1:1" x14ac:dyDescent="0.25">
      <c r="A619" s="30">
        <v>5.1348396951909145E-9</v>
      </c>
    </row>
    <row r="620" spans="1:1" x14ac:dyDescent="0.25">
      <c r="A620" s="30">
        <v>4.8780977104313684E-9</v>
      </c>
    </row>
    <row r="621" spans="1:1" x14ac:dyDescent="0.25">
      <c r="A621" s="30">
        <v>4.6341928249097994E-9</v>
      </c>
    </row>
    <row r="622" spans="1:1" x14ac:dyDescent="0.25">
      <c r="A622" s="30">
        <v>4.4024831836643092E-9</v>
      </c>
    </row>
    <row r="623" spans="1:1" x14ac:dyDescent="0.25">
      <c r="A623" s="30">
        <v>4.1823590244810936E-9</v>
      </c>
    </row>
    <row r="624" spans="1:1" x14ac:dyDescent="0.25">
      <c r="A624" s="30">
        <v>3.9732410732570384E-9</v>
      </c>
    </row>
    <row r="625" spans="1:1" x14ac:dyDescent="0.25">
      <c r="A625" s="30">
        <v>3.7745790195941862E-9</v>
      </c>
    </row>
    <row r="626" spans="1:1" x14ac:dyDescent="0.25">
      <c r="A626" s="30">
        <v>3.5858500686144767E-9</v>
      </c>
    </row>
    <row r="627" spans="1:1" x14ac:dyDescent="0.25">
      <c r="A627" s="30">
        <v>3.4065575651837529E-9</v>
      </c>
    </row>
    <row r="628" spans="1:1" x14ac:dyDescent="0.25">
      <c r="A628" s="30">
        <v>3.236229686924565E-9</v>
      </c>
    </row>
    <row r="629" spans="1:1" x14ac:dyDescent="0.25">
      <c r="A629" s="30">
        <v>3.0744182025783365E-9</v>
      </c>
    </row>
    <row r="630" spans="1:1" x14ac:dyDescent="0.25">
      <c r="A630" s="30">
        <v>2.9206972924494197E-9</v>
      </c>
    </row>
    <row r="631" spans="1:1" x14ac:dyDescent="0.25">
      <c r="A631" s="30">
        <v>2.7746624278269484E-9</v>
      </c>
    </row>
    <row r="632" spans="1:1" x14ac:dyDescent="0.25">
      <c r="A632" s="30">
        <v>2.635929306435601E-9</v>
      </c>
    </row>
    <row r="633" spans="1:1" x14ac:dyDescent="0.25">
      <c r="A633" s="30">
        <v>2.504132841113821E-9</v>
      </c>
    </row>
    <row r="634" spans="1:1" x14ac:dyDescent="0.25">
      <c r="A634" s="30">
        <v>2.3789261990581298E-9</v>
      </c>
    </row>
    <row r="635" spans="1:1" x14ac:dyDescent="0.25">
      <c r="A635" s="30">
        <v>2.259979889105223E-9</v>
      </c>
    </row>
    <row r="636" spans="1:1" x14ac:dyDescent="0.25">
      <c r="A636" s="30">
        <v>2.1469808946499619E-9</v>
      </c>
    </row>
    <row r="637" spans="1:1" x14ac:dyDescent="0.25">
      <c r="A637" s="30">
        <v>2.0396318499174636E-9</v>
      </c>
    </row>
    <row r="638" spans="1:1" x14ac:dyDescent="0.25">
      <c r="A638" s="30">
        <v>1.9376502574215905E-9</v>
      </c>
    </row>
    <row r="639" spans="1:1" x14ac:dyDescent="0.25">
      <c r="A639" s="30">
        <v>1.8407677445505109E-9</v>
      </c>
    </row>
    <row r="640" spans="1:1" x14ac:dyDescent="0.25">
      <c r="A640" s="30">
        <v>1.7487293573229853E-9</v>
      </c>
    </row>
    <row r="641" spans="1:1" x14ac:dyDescent="0.25">
      <c r="A641" s="30">
        <v>1.661292889456836E-9</v>
      </c>
    </row>
    <row r="642" spans="1:1" x14ac:dyDescent="0.25">
      <c r="A642" s="30">
        <v>1.578228244983994E-9</v>
      </c>
    </row>
    <row r="643" spans="1:1" x14ac:dyDescent="0.25">
      <c r="A643" s="30">
        <v>1.4993168327347942E-9</v>
      </c>
    </row>
    <row r="644" spans="1:1" x14ac:dyDescent="0.25">
      <c r="A644" s="30">
        <v>1.4243509910980544E-9</v>
      </c>
    </row>
    <row r="645" spans="1:1" x14ac:dyDescent="0.25">
      <c r="A645" s="30">
        <v>1.3531334415431516E-9</v>
      </c>
    </row>
    <row r="646" spans="1:1" x14ac:dyDescent="0.25">
      <c r="A646" s="30">
        <v>1.285476769465994E-9</v>
      </c>
    </row>
    <row r="647" spans="1:1" x14ac:dyDescent="0.25">
      <c r="A647" s="30">
        <v>1.2212029309926942E-9</v>
      </c>
    </row>
    <row r="648" spans="1:1" x14ac:dyDescent="0.25">
      <c r="A648" s="30">
        <v>1.1601427844430595E-9</v>
      </c>
    </row>
    <row r="649" spans="1:1" x14ac:dyDescent="0.25">
      <c r="A649" s="30">
        <v>1.1021356452209065E-9</v>
      </c>
    </row>
    <row r="650" spans="1:1" x14ac:dyDescent="0.25">
      <c r="A650" s="30">
        <v>1.047028862959861E-9</v>
      </c>
    </row>
    <row r="651" spans="1:1" x14ac:dyDescent="0.25">
      <c r="A651" s="30">
        <v>9.9467741981186791E-10</v>
      </c>
    </row>
    <row r="652" spans="1:1" x14ac:dyDescent="0.25">
      <c r="A652" s="30">
        <v>9.4494354882127439E-10</v>
      </c>
    </row>
    <row r="653" spans="1:1" x14ac:dyDescent="0.25">
      <c r="A653" s="30">
        <v>8.9769637138021059E-10</v>
      </c>
    </row>
    <row r="654" spans="1:1" x14ac:dyDescent="0.25">
      <c r="A654" s="30">
        <v>8.5281155281120004E-10</v>
      </c>
    </row>
    <row r="655" spans="1:1" x14ac:dyDescent="0.25">
      <c r="A655" s="30">
        <v>8.1017097517064003E-10</v>
      </c>
    </row>
    <row r="656" spans="1:1" x14ac:dyDescent="0.25">
      <c r="A656" s="30">
        <v>7.69662426412108E-10</v>
      </c>
    </row>
    <row r="657" spans="1:1" x14ac:dyDescent="0.25">
      <c r="A657" s="30">
        <v>7.3117930509150257E-10</v>
      </c>
    </row>
    <row r="658" spans="1:1" x14ac:dyDescent="0.25">
      <c r="A658" s="30">
        <v>6.9462033983692743E-10</v>
      </c>
    </row>
    <row r="659" spans="1:1" x14ac:dyDescent="0.25">
      <c r="A659" s="30">
        <v>6.5988932284508105E-10</v>
      </c>
    </row>
    <row r="660" spans="1:1" x14ac:dyDescent="0.25">
      <c r="A660" s="30">
        <v>6.2689485670282699E-10</v>
      </c>
    </row>
    <row r="661" spans="1:1" x14ac:dyDescent="0.25">
      <c r="A661" s="30">
        <v>5.9555011386768556E-10</v>
      </c>
    </row>
    <row r="662" spans="1:1" x14ac:dyDescent="0.25">
      <c r="A662" s="30">
        <v>5.6577260817430128E-10</v>
      </c>
    </row>
    <row r="663" spans="1:1" x14ac:dyDescent="0.25">
      <c r="A663" s="30">
        <v>5.3748397776558616E-10</v>
      </c>
    </row>
    <row r="664" spans="1:1" x14ac:dyDescent="0.25">
      <c r="A664" s="30">
        <v>5.1060977887730685E-10</v>
      </c>
    </row>
    <row r="665" spans="1:1" x14ac:dyDescent="0.25">
      <c r="A665" s="30">
        <v>4.8507928993344152E-10</v>
      </c>
    </row>
    <row r="666" spans="1:1" x14ac:dyDescent="0.25">
      <c r="A666" s="30">
        <v>4.6082532543676942E-10</v>
      </c>
    </row>
    <row r="667" spans="1:1" x14ac:dyDescent="0.25">
      <c r="A667" s="30">
        <v>4.3778405916493093E-10</v>
      </c>
    </row>
    <row r="668" spans="1:1" x14ac:dyDescent="0.25">
      <c r="A668" s="30">
        <v>4.1589485620668437E-10</v>
      </c>
    </row>
    <row r="669" spans="1:1" x14ac:dyDescent="0.25">
      <c r="A669" s="30">
        <v>3.9510011339635012E-10</v>
      </c>
    </row>
    <row r="670" spans="1:1" x14ac:dyDescent="0.25">
      <c r="A670" s="30">
        <v>3.7534510772653259E-10</v>
      </c>
    </row>
    <row r="671" spans="1:1" x14ac:dyDescent="0.25">
      <c r="A671" s="30">
        <v>3.5657785234020594E-10</v>
      </c>
    </row>
    <row r="672" spans="1:1" x14ac:dyDescent="0.25">
      <c r="A672" s="30">
        <v>3.3874895972319565E-10</v>
      </c>
    </row>
    <row r="673" spans="1:1" x14ac:dyDescent="0.25">
      <c r="A673" s="30">
        <v>3.2181151173703586E-10</v>
      </c>
    </row>
    <row r="674" spans="1:1" x14ac:dyDescent="0.25">
      <c r="A674" s="30">
        <v>3.0572093615018408E-10</v>
      </c>
    </row>
    <row r="675" spans="1:1" x14ac:dyDescent="0.25">
      <c r="A675" s="30">
        <v>2.9043488934267484E-10</v>
      </c>
    </row>
    <row r="676" spans="1:1" x14ac:dyDescent="0.25">
      <c r="A676" s="30">
        <v>2.7591314487554109E-10</v>
      </c>
    </row>
    <row r="677" spans="1:1" x14ac:dyDescent="0.25">
      <c r="A677" s="30">
        <v>2.6211748763176403E-10</v>
      </c>
    </row>
    <row r="678" spans="1:1" x14ac:dyDescent="0.25">
      <c r="A678" s="30">
        <v>2.4901161325017583E-10</v>
      </c>
    </row>
    <row r="679" spans="1:1" x14ac:dyDescent="0.25">
      <c r="A679" s="30">
        <v>2.3656103258766704E-10</v>
      </c>
    </row>
    <row r="680" spans="1:1" x14ac:dyDescent="0.25">
      <c r="A680" s="30">
        <v>2.2473298095828367E-10</v>
      </c>
    </row>
    <row r="681" spans="1:1" x14ac:dyDescent="0.25">
      <c r="A681" s="30">
        <v>2.1349633191036949E-10</v>
      </c>
    </row>
    <row r="682" spans="1:1" x14ac:dyDescent="0.25">
      <c r="A682" s="30">
        <v>2.02821515314851E-10</v>
      </c>
    </row>
    <row r="683" spans="1:1" x14ac:dyDescent="0.25">
      <c r="A683" s="30">
        <v>1.9268043954910845E-10</v>
      </c>
    </row>
    <row r="684" spans="1:1" x14ac:dyDescent="0.25">
      <c r="A684" s="30">
        <v>1.8304641757165302E-10</v>
      </c>
    </row>
    <row r="685" spans="1:1" x14ac:dyDescent="0.25">
      <c r="A685" s="30">
        <v>1.7389409669307036E-10</v>
      </c>
    </row>
    <row r="686" spans="1:1" x14ac:dyDescent="0.25">
      <c r="A686" s="30">
        <v>1.6519939185841684E-10</v>
      </c>
    </row>
    <row r="687" spans="1:1" x14ac:dyDescent="0.25">
      <c r="A687" s="30">
        <v>1.5693942226549599E-10</v>
      </c>
    </row>
    <row r="688" spans="1:1" x14ac:dyDescent="0.25">
      <c r="A688" s="30">
        <v>1.4909245115222119E-10</v>
      </c>
    </row>
    <row r="689" spans="1:1" x14ac:dyDescent="0.25">
      <c r="A689" s="30">
        <v>1.4163782859461013E-10</v>
      </c>
    </row>
    <row r="690" spans="1:1" x14ac:dyDescent="0.25">
      <c r="A690" s="30">
        <v>1.3455593716487961E-10</v>
      </c>
    </row>
    <row r="691" spans="1:1" x14ac:dyDescent="0.25">
      <c r="A691" s="30">
        <v>1.2782814030663562E-10</v>
      </c>
    </row>
    <row r="692" spans="1:1" x14ac:dyDescent="0.25">
      <c r="A692" s="30">
        <v>1.2143673329130384E-10</v>
      </c>
    </row>
    <row r="693" spans="1:1" x14ac:dyDescent="0.25">
      <c r="A693" s="30">
        <v>1.1536489662673864E-10</v>
      </c>
    </row>
    <row r="694" spans="1:1" x14ac:dyDescent="0.25">
      <c r="A694" s="30">
        <v>1.095966517954017E-10</v>
      </c>
    </row>
    <row r="695" spans="1:1" x14ac:dyDescent="0.25">
      <c r="A695" s="30">
        <v>1.0411681920563161E-10</v>
      </c>
    </row>
    <row r="696" spans="1:1" x14ac:dyDescent="0.25">
      <c r="A696" s="30">
        <v>9.8910978245350022E-11</v>
      </c>
    </row>
    <row r="697" spans="1:1" x14ac:dyDescent="0.25">
      <c r="A697" s="30">
        <v>9.3965429333082514E-11</v>
      </c>
    </row>
    <row r="698" spans="1:1" x14ac:dyDescent="0.25">
      <c r="A698" s="30">
        <v>8.926715786642838E-11</v>
      </c>
    </row>
    <row r="699" spans="1:1" x14ac:dyDescent="0.25">
      <c r="A699" s="30">
        <v>8.4803799973106953E-11</v>
      </c>
    </row>
    <row r="700" spans="1:1" x14ac:dyDescent="0.25">
      <c r="A700" s="30">
        <v>8.0563609974451603E-11</v>
      </c>
    </row>
    <row r="701" spans="1:1" x14ac:dyDescent="0.25">
      <c r="A701" s="30">
        <v>7.6535429475729024E-11</v>
      </c>
    </row>
    <row r="702" spans="1:1" x14ac:dyDescent="0.25">
      <c r="A702" s="30">
        <v>7.270865800194257E-11</v>
      </c>
    </row>
    <row r="703" spans="1:1" x14ac:dyDescent="0.25">
      <c r="A703" s="30">
        <v>6.9073225101845444E-11</v>
      </c>
    </row>
    <row r="704" spans="1:1" x14ac:dyDescent="0.25">
      <c r="A704" s="30">
        <v>6.5619563846753168E-11</v>
      </c>
    </row>
    <row r="705" spans="1:1" x14ac:dyDescent="0.25">
      <c r="A705" s="30">
        <v>6.2338585654415507E-11</v>
      </c>
    </row>
    <row r="706" spans="1:1" x14ac:dyDescent="0.25">
      <c r="A706" s="30">
        <v>5.9221656371694723E-11</v>
      </c>
    </row>
    <row r="707" spans="1:1" x14ac:dyDescent="0.25">
      <c r="A707" s="30">
        <v>5.6260573553109984E-11</v>
      </c>
    </row>
    <row r="708" spans="1:1" x14ac:dyDescent="0.25">
      <c r="A708" s="30">
        <v>5.3447544875454483E-11</v>
      </c>
    </row>
    <row r="709" spans="1:1" x14ac:dyDescent="0.25">
      <c r="A709" s="30">
        <v>5.0775167631681754E-11</v>
      </c>
    </row>
    <row r="710" spans="1:1" x14ac:dyDescent="0.25">
      <c r="A710" s="30">
        <v>4.8236409250097665E-11</v>
      </c>
    </row>
    <row r="711" spans="1:1" x14ac:dyDescent="0.25">
      <c r="A711" s="30">
        <v>4.5824588787592778E-11</v>
      </c>
    </row>
    <row r="712" spans="1:1" x14ac:dyDescent="0.25">
      <c r="A712" s="30">
        <v>4.3533359348213134E-11</v>
      </c>
    </row>
    <row r="713" spans="1:1" x14ac:dyDescent="0.25">
      <c r="A713" s="30">
        <v>4.1356691380802478E-11</v>
      </c>
    </row>
    <row r="714" spans="1:1" x14ac:dyDescent="0.25">
      <c r="A714" s="30">
        <v>3.9288856811762353E-11</v>
      </c>
    </row>
    <row r="715" spans="1:1" x14ac:dyDescent="0.25">
      <c r="A715" s="30">
        <v>3.7324413971174231E-11</v>
      </c>
    </row>
    <row r="716" spans="1:1" x14ac:dyDescent="0.25">
      <c r="A716" s="30">
        <v>3.545819327261552E-11</v>
      </c>
    </row>
    <row r="717" spans="1:1" x14ac:dyDescent="0.25">
      <c r="A717" s="30">
        <v>3.3685283608984745E-11</v>
      </c>
    </row>
    <row r="718" spans="1:1" x14ac:dyDescent="0.25">
      <c r="A718" s="30">
        <v>3.2001019428535508E-11</v>
      </c>
    </row>
    <row r="719" spans="1:1" x14ac:dyDescent="0.25">
      <c r="A719" s="30">
        <v>3.0400968457108733E-11</v>
      </c>
    </row>
    <row r="720" spans="1:1" x14ac:dyDescent="0.25">
      <c r="A720" s="30">
        <v>2.8880920034253296E-11</v>
      </c>
    </row>
    <row r="721" spans="1:1" x14ac:dyDescent="0.25">
      <c r="A721" s="30">
        <v>2.7436874032540629E-11</v>
      </c>
    </row>
    <row r="722" spans="1:1" x14ac:dyDescent="0.25">
      <c r="A722" s="30">
        <v>2.6065030330913595E-11</v>
      </c>
    </row>
    <row r="723" spans="1:1" x14ac:dyDescent="0.25">
      <c r="A723" s="30">
        <v>2.4761778814367914E-11</v>
      </c>
    </row>
    <row r="724" spans="1:1" x14ac:dyDescent="0.25">
      <c r="A724" s="30">
        <v>2.3523689873649516E-11</v>
      </c>
    </row>
    <row r="725" spans="1:1" x14ac:dyDescent="0.25">
      <c r="A725" s="30">
        <v>2.234750537996704E-11</v>
      </c>
    </row>
    <row r="726" spans="1:1" x14ac:dyDescent="0.25">
      <c r="A726" s="30">
        <v>2.1230130110968688E-11</v>
      </c>
    </row>
    <row r="727" spans="1:1" x14ac:dyDescent="0.25">
      <c r="A727" s="30">
        <v>2.0168623605420253E-11</v>
      </c>
    </row>
    <row r="728" spans="1:1" x14ac:dyDescent="0.25">
      <c r="A728" s="30">
        <v>1.916019242514924E-11</v>
      </c>
    </row>
    <row r="729" spans="1:1" x14ac:dyDescent="0.25">
      <c r="A729" s="30">
        <v>1.8202182803891777E-11</v>
      </c>
    </row>
    <row r="730" spans="1:1" x14ac:dyDescent="0.25">
      <c r="A730" s="30">
        <v>1.7292073663697186E-11</v>
      </c>
    </row>
    <row r="731" spans="1:1" x14ac:dyDescent="0.25">
      <c r="A731" s="30">
        <v>1.6427469980512324E-11</v>
      </c>
    </row>
    <row r="732" spans="1:1" x14ac:dyDescent="0.25">
      <c r="A732" s="30">
        <v>1.5606096481486706E-11</v>
      </c>
    </row>
    <row r="733" spans="1:1" x14ac:dyDescent="0.25">
      <c r="A733" s="30">
        <v>1.482579165741237E-11</v>
      </c>
    </row>
    <row r="734" spans="1:1" x14ac:dyDescent="0.25">
      <c r="A734" s="30">
        <v>1.408450207454175E-11</v>
      </c>
    </row>
    <row r="735" spans="1:1" x14ac:dyDescent="0.25">
      <c r="A735" s="30">
        <v>1.3380276970814662E-11</v>
      </c>
    </row>
    <row r="736" spans="1:1" x14ac:dyDescent="0.25">
      <c r="A736" s="30">
        <v>1.2711263122273928E-11</v>
      </c>
    </row>
    <row r="737" spans="1:1" x14ac:dyDescent="0.25">
      <c r="A737" s="30">
        <v>1.2075699966160231E-11</v>
      </c>
    </row>
    <row r="738" spans="1:1" x14ac:dyDescent="0.25">
      <c r="A738" s="30">
        <v>1.1471914967852219E-11</v>
      </c>
    </row>
    <row r="739" spans="1:1" x14ac:dyDescent="0.25">
      <c r="A739" s="30">
        <v>1.0898319219459608E-11</v>
      </c>
    </row>
    <row r="740" spans="1:1" x14ac:dyDescent="0.25">
      <c r="A740" s="30">
        <v>1.0353403258486628E-11</v>
      </c>
    </row>
    <row r="741" spans="1:1" x14ac:dyDescent="0.25">
      <c r="A741" s="30">
        <v>9.8357330955622963E-12</v>
      </c>
    </row>
    <row r="742" spans="1:1" x14ac:dyDescent="0.25">
      <c r="A742" s="30">
        <v>9.3439464407841808E-12</v>
      </c>
    </row>
    <row r="743" spans="1:1" x14ac:dyDescent="0.25">
      <c r="A743" s="30">
        <v>8.8767491187449709E-12</v>
      </c>
    </row>
    <row r="744" spans="1:1" x14ac:dyDescent="0.25">
      <c r="A744" s="30">
        <v>8.4329116628077213E-12</v>
      </c>
    </row>
    <row r="745" spans="1:1" x14ac:dyDescent="0.25">
      <c r="A745" s="30">
        <v>8.0112660796673341E-12</v>
      </c>
    </row>
    <row r="746" spans="1:1" x14ac:dyDescent="0.25">
      <c r="A746" s="30">
        <v>7.6107027756839663E-12</v>
      </c>
    </row>
    <row r="747" spans="1:1" x14ac:dyDescent="0.25">
      <c r="A747" s="30">
        <v>7.2301676368997673E-12</v>
      </c>
    </row>
    <row r="748" spans="1:1" x14ac:dyDescent="0.25">
      <c r="A748" s="30">
        <v>6.8686592550547782E-12</v>
      </c>
    </row>
    <row r="749" spans="1:1" x14ac:dyDescent="0.25">
      <c r="A749" s="30">
        <v>6.5252262923020387E-12</v>
      </c>
    </row>
    <row r="750" spans="1:1" x14ac:dyDescent="0.25">
      <c r="A750" s="30">
        <v>6.1989649776869368E-12</v>
      </c>
    </row>
    <row r="751" spans="1:1" x14ac:dyDescent="0.25">
      <c r="A751" s="30">
        <v>5.8890167288025901E-12</v>
      </c>
    </row>
    <row r="752" spans="1:1" x14ac:dyDescent="0.25">
      <c r="A752" s="30">
        <v>5.5945658923624606E-12</v>
      </c>
    </row>
    <row r="753" spans="1:1" x14ac:dyDescent="0.25">
      <c r="A753" s="30">
        <v>5.3148375977443373E-12</v>
      </c>
    </row>
    <row r="754" spans="1:1" x14ac:dyDescent="0.25">
      <c r="A754" s="30">
        <v>5.0490957178571204E-12</v>
      </c>
    </row>
    <row r="755" spans="1:1" x14ac:dyDescent="0.25">
      <c r="A755" s="30">
        <v>4.796640931964264E-12</v>
      </c>
    </row>
    <row r="756" spans="1:1" x14ac:dyDescent="0.25">
      <c r="A756" s="30">
        <v>4.5568088853660509E-12</v>
      </c>
    </row>
    <row r="757" spans="1:1" x14ac:dyDescent="0.25">
      <c r="A757" s="30">
        <v>4.3289684410977484E-12</v>
      </c>
    </row>
    <row r="758" spans="1:1" x14ac:dyDescent="0.25">
      <c r="A758" s="30">
        <v>4.1125200190428609E-12</v>
      </c>
    </row>
    <row r="759" spans="1:1" x14ac:dyDescent="0.25">
      <c r="A759" s="30">
        <v>3.9068940180907175E-12</v>
      </c>
    </row>
    <row r="760" spans="1:1" x14ac:dyDescent="0.25">
      <c r="A760" s="30">
        <v>3.7115493171861816E-12</v>
      </c>
    </row>
    <row r="761" spans="1:1" x14ac:dyDescent="0.25">
      <c r="A761" s="30">
        <v>3.5259718513268725E-12</v>
      </c>
    </row>
    <row r="762" spans="1:1" x14ac:dyDescent="0.25">
      <c r="A762" s="30">
        <v>3.3496732587605286E-12</v>
      </c>
    </row>
    <row r="763" spans="1:1" x14ac:dyDescent="0.25">
      <c r="A763" s="30">
        <v>3.182189595822502E-12</v>
      </c>
    </row>
    <row r="764" spans="1:1" x14ac:dyDescent="0.25">
      <c r="A764" s="30">
        <v>3.0230801160313768E-12</v>
      </c>
    </row>
    <row r="765" spans="1:1" x14ac:dyDescent="0.25">
      <c r="A765" s="30">
        <v>2.8719261102298077E-12</v>
      </c>
    </row>
    <row r="766" spans="1:1" x14ac:dyDescent="0.25">
      <c r="A766" s="30">
        <v>2.7283298047183172E-12</v>
      </c>
    </row>
    <row r="767" spans="1:1" x14ac:dyDescent="0.25">
      <c r="A767" s="30">
        <v>2.5919133144824012E-12</v>
      </c>
    </row>
    <row r="768" spans="1:1" x14ac:dyDescent="0.25">
      <c r="A768" s="30">
        <v>2.4623176487582809E-12</v>
      </c>
    </row>
    <row r="769" spans="1:1" x14ac:dyDescent="0.25">
      <c r="A769" s="30">
        <v>2.339201766320367E-12</v>
      </c>
    </row>
    <row r="770" spans="1:1" x14ac:dyDescent="0.25">
      <c r="A770" s="30">
        <v>2.2222416780043484E-12</v>
      </c>
    </row>
    <row r="771" spans="1:1" x14ac:dyDescent="0.25">
      <c r="A771" s="30">
        <v>2.1111295941041311E-12</v>
      </c>
    </row>
    <row r="772" spans="1:1" x14ac:dyDescent="0.25">
      <c r="A772" s="30">
        <v>2.0055731143989244E-12</v>
      </c>
    </row>
    <row r="773" spans="1:1" x14ac:dyDescent="0.25">
      <c r="A773" s="30">
        <v>1.9052944586789781E-12</v>
      </c>
    </row>
    <row r="774" spans="1:1" x14ac:dyDescent="0.25">
      <c r="A774" s="30">
        <v>1.8100297357450291E-12</v>
      </c>
    </row>
    <row r="775" spans="1:1" x14ac:dyDescent="0.25">
      <c r="A775" s="30">
        <v>1.7195282489577775E-12</v>
      </c>
    </row>
    <row r="776" spans="1:1" x14ac:dyDescent="0.25">
      <c r="A776" s="30">
        <v>1.6335518365098885E-12</v>
      </c>
    </row>
    <row r="777" spans="1:1" x14ac:dyDescent="0.25">
      <c r="A777" s="30">
        <v>1.551874244684394E-12</v>
      </c>
    </row>
    <row r="778" spans="1:1" x14ac:dyDescent="0.25">
      <c r="A778" s="30">
        <v>1.4742805324501742E-12</v>
      </c>
    </row>
    <row r="779" spans="1:1" x14ac:dyDescent="0.25">
      <c r="A779" s="30">
        <v>1.4005665058276655E-12</v>
      </c>
    </row>
    <row r="780" spans="1:1" x14ac:dyDescent="0.25">
      <c r="A780" s="30">
        <v>1.3305381805362821E-12</v>
      </c>
    </row>
    <row r="781" spans="1:1" x14ac:dyDescent="0.25">
      <c r="A781" s="30">
        <v>1.264011271509468E-12</v>
      </c>
    </row>
    <row r="782" spans="1:1" x14ac:dyDescent="0.25">
      <c r="A782" s="30">
        <v>1.2008107079339945E-12</v>
      </c>
    </row>
    <row r="783" spans="1:1" x14ac:dyDescent="0.25">
      <c r="A783" s="30">
        <v>1.1407701725372948E-12</v>
      </c>
    </row>
    <row r="784" spans="1:1" x14ac:dyDescent="0.25">
      <c r="A784" s="30">
        <v>1.08373166391043E-12</v>
      </c>
    </row>
    <row r="785" spans="1:1" x14ac:dyDescent="0.25">
      <c r="A785" s="30">
        <v>1.0295450807149084E-12</v>
      </c>
    </row>
    <row r="786" spans="1:1" x14ac:dyDescent="0.25">
      <c r="A786" s="30">
        <v>9.7806782667916296E-13</v>
      </c>
    </row>
    <row r="787" spans="1:1" x14ac:dyDescent="0.25">
      <c r="A787" s="30">
        <v>9.2916443534520479E-13</v>
      </c>
    </row>
    <row r="788" spans="1:1" x14ac:dyDescent="0.25">
      <c r="A788" s="30">
        <v>8.8270621357794449E-13</v>
      </c>
    </row>
    <row r="789" spans="1:1" x14ac:dyDescent="0.25">
      <c r="A789" s="30">
        <v>8.3857090289904726E-13</v>
      </c>
    </row>
    <row r="790" spans="1:1" x14ac:dyDescent="0.25">
      <c r="A790" s="30">
        <v>7.9664235775409483E-13</v>
      </c>
    </row>
    <row r="791" spans="1:1" x14ac:dyDescent="0.25">
      <c r="A791" s="30">
        <v>7.5681023986639008E-13</v>
      </c>
    </row>
    <row r="792" spans="1:1" x14ac:dyDescent="0.25">
      <c r="A792" s="30">
        <v>7.1896972787307055E-13</v>
      </c>
    </row>
    <row r="793" spans="1:1" x14ac:dyDescent="0.25">
      <c r="A793" s="30">
        <v>6.8302124147941695E-13</v>
      </c>
    </row>
    <row r="794" spans="1:1" x14ac:dyDescent="0.25">
      <c r="A794" s="30">
        <v>6.4887017940544605E-13</v>
      </c>
    </row>
    <row r="795" spans="1:1" x14ac:dyDescent="0.25">
      <c r="A795" s="30">
        <v>6.1642667043517373E-13</v>
      </c>
    </row>
    <row r="796" spans="1:1" x14ac:dyDescent="0.25">
      <c r="A796" s="30">
        <v>5.8560533691341505E-13</v>
      </c>
    </row>
    <row r="797" spans="1:1" x14ac:dyDescent="0.25">
      <c r="A797" s="30">
        <v>5.5632507006774425E-13</v>
      </c>
    </row>
    <row r="798" spans="1:1" x14ac:dyDescent="0.25">
      <c r="A798" s="30">
        <v>5.2850881656435705E-13</v>
      </c>
    </row>
    <row r="799" spans="1:1" x14ac:dyDescent="0.25">
      <c r="A799" s="30">
        <v>5.0208337573613919E-13</v>
      </c>
    </row>
    <row r="800" spans="1:1" x14ac:dyDescent="0.25">
      <c r="A800" s="30">
        <v>4.7697920694933223E-13</v>
      </c>
    </row>
    <row r="801" spans="1:1" x14ac:dyDescent="0.25">
      <c r="A801" s="30">
        <v>4.5313024660186561E-13</v>
      </c>
    </row>
    <row r="802" spans="1:1" x14ac:dyDescent="0.25">
      <c r="A802" s="30">
        <v>4.3047373427177233E-13</v>
      </c>
    </row>
    <row r="803" spans="1:1" x14ac:dyDescent="0.25">
      <c r="A803" s="30">
        <v>4.089500475581837E-13</v>
      </c>
    </row>
    <row r="804" spans="1:1" x14ac:dyDescent="0.25">
      <c r="A804" s="30">
        <v>3.8850254518027451E-13</v>
      </c>
    </row>
    <row r="805" spans="1:1" x14ac:dyDescent="0.25">
      <c r="A805" s="30">
        <v>3.6907741792126075E-13</v>
      </c>
    </row>
    <row r="806" spans="1:1" x14ac:dyDescent="0.25">
      <c r="A806" s="30">
        <v>3.506235470251977E-13</v>
      </c>
    </row>
    <row r="807" spans="1:1" x14ac:dyDescent="0.25">
      <c r="A807" s="30">
        <v>3.3309236967393782E-13</v>
      </c>
    </row>
  </sheetData>
  <conditionalFormatting sqref="C136">
    <cfRule type="cellIs" dxfId="68" priority="1045" operator="equal">
      <formula>$U$1</formula>
    </cfRule>
    <cfRule type="cellIs" dxfId="67" priority="1046" operator="equal">
      <formula>$S$1</formula>
    </cfRule>
  </conditionalFormatting>
  <conditionalFormatting sqref="D136">
    <cfRule type="cellIs" dxfId="66" priority="1043" operator="equal">
      <formula>$S$1</formula>
    </cfRule>
    <cfRule type="cellIs" dxfId="65" priority="1044" operator="equal">
      <formula>$U$1</formula>
    </cfRule>
  </conditionalFormatting>
  <conditionalFormatting sqref="C162">
    <cfRule type="cellIs" dxfId="64" priority="1041" operator="equal">
      <formula>$U$1</formula>
    </cfRule>
    <cfRule type="cellIs" dxfId="63" priority="1042" operator="equal">
      <formula>$S$1</formula>
    </cfRule>
  </conditionalFormatting>
  <conditionalFormatting sqref="D162">
    <cfRule type="cellIs" dxfId="62" priority="1039" operator="equal">
      <formula>$S$1</formula>
    </cfRule>
    <cfRule type="cellIs" dxfId="61" priority="1040" operator="equal">
      <formula>$U$1</formula>
    </cfRule>
  </conditionalFormatting>
  <conditionalFormatting sqref="C187">
    <cfRule type="cellIs" dxfId="60" priority="1037" operator="equal">
      <formula>$U$1</formula>
    </cfRule>
    <cfRule type="cellIs" dxfId="59" priority="1038" operator="equal">
      <formula>$S$1</formula>
    </cfRule>
  </conditionalFormatting>
  <conditionalFormatting sqref="D187">
    <cfRule type="cellIs" dxfId="58" priority="1035" operator="equal">
      <formula>$S$1</formula>
    </cfRule>
    <cfRule type="cellIs" dxfId="57" priority="1036" operator="equal">
      <formula>$U$1</formula>
    </cfRule>
  </conditionalFormatting>
  <conditionalFormatting sqref="C212">
    <cfRule type="cellIs" dxfId="56" priority="1033" operator="equal">
      <formula>$U$1</formula>
    </cfRule>
    <cfRule type="cellIs" dxfId="55" priority="1034" operator="equal">
      <formula>$S$1</formula>
    </cfRule>
  </conditionalFormatting>
  <conditionalFormatting sqref="D212">
    <cfRule type="cellIs" dxfId="54" priority="1031" operator="equal">
      <formula>$S$1</formula>
    </cfRule>
    <cfRule type="cellIs" dxfId="53" priority="1032" operator="equal">
      <formula>$U$1</formula>
    </cfRule>
  </conditionalFormatting>
  <conditionalFormatting sqref="C237">
    <cfRule type="cellIs" dxfId="52" priority="1029" operator="equal">
      <formula>$U$1</formula>
    </cfRule>
    <cfRule type="cellIs" dxfId="51" priority="1030" operator="equal">
      <formula>$S$1</formula>
    </cfRule>
  </conditionalFormatting>
  <conditionalFormatting sqref="D237">
    <cfRule type="cellIs" dxfId="50" priority="1027" operator="equal">
      <formula>$S$1</formula>
    </cfRule>
    <cfRule type="cellIs" dxfId="49" priority="1028" operator="equal">
      <formula>$U$1</formula>
    </cfRule>
  </conditionalFormatting>
  <conditionalFormatting sqref="C106">
    <cfRule type="cellIs" dxfId="48" priority="1025" operator="equal">
      <formula>$U$1</formula>
    </cfRule>
    <cfRule type="cellIs" dxfId="47" priority="1026" operator="equal">
      <formula>$S$1</formula>
    </cfRule>
  </conditionalFormatting>
  <conditionalFormatting sqref="D106">
    <cfRule type="cellIs" dxfId="46" priority="1023" operator="equal">
      <formula>$S$1</formula>
    </cfRule>
    <cfRule type="cellIs" dxfId="45" priority="1024" operator="equal">
      <formula>$U$1</formula>
    </cfRule>
  </conditionalFormatting>
  <conditionalFormatting sqref="C81">
    <cfRule type="cellIs" dxfId="44" priority="1021" operator="equal">
      <formula>$U$1</formula>
    </cfRule>
    <cfRule type="cellIs" dxfId="43" priority="1022" operator="equal">
      <formula>$S$1</formula>
    </cfRule>
  </conditionalFormatting>
  <conditionalFormatting sqref="D81">
    <cfRule type="cellIs" dxfId="42" priority="1019" operator="equal">
      <formula>$S$1</formula>
    </cfRule>
    <cfRule type="cellIs" dxfId="41" priority="1020" operator="equal">
      <formula>$U$1</formula>
    </cfRule>
  </conditionalFormatting>
  <conditionalFormatting sqref="C56">
    <cfRule type="cellIs" dxfId="40" priority="1017" operator="equal">
      <formula>$U$1</formula>
    </cfRule>
    <cfRule type="cellIs" dxfId="39" priority="1018" operator="equal">
      <formula>$S$1</formula>
    </cfRule>
  </conditionalFormatting>
  <conditionalFormatting sqref="D56">
    <cfRule type="cellIs" dxfId="38" priority="1015" operator="equal">
      <formula>$S$1</formula>
    </cfRule>
    <cfRule type="cellIs" dxfId="37" priority="1016" operator="equal">
      <formula>$U$1</formula>
    </cfRule>
  </conditionalFormatting>
  <conditionalFormatting sqref="C31">
    <cfRule type="cellIs" dxfId="36" priority="1013" operator="equal">
      <formula>$U$1</formula>
    </cfRule>
    <cfRule type="cellIs" dxfId="35" priority="1014" operator="equal">
      <formula>$S$1</formula>
    </cfRule>
  </conditionalFormatting>
  <conditionalFormatting sqref="D31">
    <cfRule type="cellIs" dxfId="34" priority="1011" operator="equal">
      <formula>$S$1</formula>
    </cfRule>
    <cfRule type="cellIs" dxfId="33" priority="1012" operator="equal">
      <formula>$U$1</formula>
    </cfRule>
  </conditionalFormatting>
  <conditionalFormatting sqref="D130">
    <cfRule type="cellIs" dxfId="3" priority="1" operator="lessThan">
      <formula>$A$2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>
    <tabColor rgb="FF00B0F0"/>
  </sheetPr>
  <dimension ref="A1:ZZ489"/>
  <sheetViews>
    <sheetView topLeftCell="A192" zoomScale="90" zoomScaleNormal="90" workbookViewId="0">
      <pane xSplit="4" topLeftCell="G1" activePane="topRight" state="frozen"/>
      <selection activeCell="A109" sqref="A109"/>
      <selection pane="topRight" activeCell="BB119" sqref="BB119"/>
    </sheetView>
  </sheetViews>
  <sheetFormatPr defaultRowHeight="15" x14ac:dyDescent="0.25"/>
  <cols>
    <col min="1" max="1" width="10.7109375" style="30" customWidth="1"/>
    <col min="2" max="4" width="10.7109375" style="1" hidden="1" customWidth="1"/>
    <col min="5" max="5" width="3" style="1" hidden="1" customWidth="1"/>
    <col min="6" max="6" width="3" style="27" hidden="1" customWidth="1"/>
    <col min="7" max="702" width="3" style="27" customWidth="1"/>
  </cols>
  <sheetData>
    <row r="1" spans="1:21" x14ac:dyDescent="0.25">
      <c r="S1" s="27" t="s">
        <v>7</v>
      </c>
      <c r="U1" s="27" t="s">
        <v>8</v>
      </c>
    </row>
    <row r="3" spans="1:21" x14ac:dyDescent="0.25">
      <c r="A3" s="30">
        <v>76619.065138703256</v>
      </c>
    </row>
    <row r="4" spans="1:21" x14ac:dyDescent="0.25">
      <c r="A4" s="30">
        <v>69653.695580639323</v>
      </c>
    </row>
    <row r="5" spans="1:21" x14ac:dyDescent="0.25">
      <c r="A5" s="30">
        <v>63321.541436944834</v>
      </c>
    </row>
    <row r="6" spans="1:21" x14ac:dyDescent="0.25">
      <c r="A6" s="30">
        <v>57565.037669949845</v>
      </c>
    </row>
    <row r="7" spans="1:21" x14ac:dyDescent="0.25">
      <c r="A7" s="30">
        <v>52331.852427227124</v>
      </c>
    </row>
    <row r="8" spans="1:21" x14ac:dyDescent="0.25">
      <c r="A8" s="30">
        <v>47574.411297479201</v>
      </c>
    </row>
    <row r="9" spans="1:21" x14ac:dyDescent="0.25">
      <c r="A9" s="30">
        <v>43249.464815890176</v>
      </c>
    </row>
    <row r="10" spans="1:21" x14ac:dyDescent="0.25">
      <c r="A10" s="30">
        <v>39317.695287172886</v>
      </c>
    </row>
    <row r="11" spans="1:21" x14ac:dyDescent="0.25">
      <c r="A11" s="30">
        <v>35743.359351975349</v>
      </c>
    </row>
    <row r="12" spans="1:21" x14ac:dyDescent="0.25">
      <c r="A12" s="30">
        <v>32493.963047250312</v>
      </c>
    </row>
    <row r="13" spans="1:21" x14ac:dyDescent="0.25">
      <c r="A13" s="30">
        <v>29539.966406591189</v>
      </c>
    </row>
    <row r="14" spans="1:21" x14ac:dyDescent="0.25">
      <c r="A14" s="30">
        <v>26854.514915082898</v>
      </c>
    </row>
    <row r="15" spans="1:21" x14ac:dyDescent="0.25">
      <c r="A15" s="30">
        <v>24413.195377348089</v>
      </c>
    </row>
    <row r="16" spans="1:21" x14ac:dyDescent="0.25">
      <c r="A16" s="30">
        <v>22193.81397940735</v>
      </c>
      <c r="C16" s="1" t="s">
        <v>15</v>
      </c>
    </row>
    <row r="17" spans="1:5" x14ac:dyDescent="0.25">
      <c r="A17" s="30">
        <v>20176.194526733954</v>
      </c>
      <c r="C17" s="7">
        <v>0.11167815779424731</v>
      </c>
      <c r="D17"/>
      <c r="E17"/>
    </row>
    <row r="18" spans="1:5" x14ac:dyDescent="0.25">
      <c r="A18" s="30">
        <v>18341.995024303593</v>
      </c>
      <c r="E18"/>
    </row>
    <row r="19" spans="1:5" x14ac:dyDescent="0.25">
      <c r="A19" s="30">
        <v>16674.540931185082</v>
      </c>
      <c r="C19" s="1" t="s">
        <v>11</v>
      </c>
      <c r="D19" s="1" t="s">
        <v>12</v>
      </c>
      <c r="E19"/>
    </row>
    <row r="20" spans="1:5" x14ac:dyDescent="0.25">
      <c r="A20" s="30">
        <v>15158.673573804617</v>
      </c>
      <c r="C20"/>
      <c r="D20"/>
      <c r="E20"/>
    </row>
    <row r="21" spans="1:5" x14ac:dyDescent="0.25">
      <c r="A21" s="30">
        <v>13780.612339822379</v>
      </c>
      <c r="E21"/>
    </row>
    <row r="22" spans="1:5" x14ac:dyDescent="0.25">
      <c r="A22" s="30">
        <v>12527.829399838525</v>
      </c>
      <c r="C22" s="1" t="s">
        <v>13</v>
      </c>
      <c r="E22"/>
    </row>
    <row r="23" spans="1:5" x14ac:dyDescent="0.25">
      <c r="A23" s="30">
        <v>11388.935818035023</v>
      </c>
      <c r="C23" s="1">
        <f>C12</f>
        <v>0</v>
      </c>
      <c r="E23"/>
    </row>
    <row r="24" spans="1:5" x14ac:dyDescent="0.25">
      <c r="A24" s="30">
        <v>10353.578016395475</v>
      </c>
      <c r="C24"/>
      <c r="D24"/>
      <c r="E24"/>
    </row>
    <row r="25" spans="1:5" x14ac:dyDescent="0.25">
      <c r="A25" s="30">
        <v>9412.343651268613</v>
      </c>
      <c r="C25" s="1" t="s">
        <v>14</v>
      </c>
      <c r="E25"/>
    </row>
    <row r="26" spans="1:5" x14ac:dyDescent="0.25">
      <c r="A26" s="30">
        <v>8556.6760466078285</v>
      </c>
      <c r="C26" s="1" t="str">
        <f>IF(C23=$S$1,IF(D20&lt;(C17*0.909090909090909),$S$1,IF(C20&gt;(C17*1.331),$U$1,"")),"")</f>
        <v/>
      </c>
      <c r="D26" s="1" t="str">
        <f>IF(C23=$U$1,IF(C20&gt;(C17*1.1),$U$1,IF(D20&lt;(C17*0.751314800901578),$S$1,"")),"")</f>
        <v/>
      </c>
      <c r="E26"/>
    </row>
    <row r="27" spans="1:5" x14ac:dyDescent="0.25">
      <c r="A27" s="30">
        <v>7778.7964060071163</v>
      </c>
      <c r="E27"/>
    </row>
    <row r="28" spans="1:5" x14ac:dyDescent="0.25">
      <c r="A28" s="30">
        <v>7071.6330963701048</v>
      </c>
      <c r="E28"/>
    </row>
    <row r="29" spans="1:5" x14ac:dyDescent="0.25">
      <c r="A29" s="30">
        <v>6428.7573603364581</v>
      </c>
      <c r="E29"/>
    </row>
    <row r="30" spans="1:5" x14ac:dyDescent="0.25">
      <c r="A30" s="30">
        <v>5844.3248730331434</v>
      </c>
      <c r="E30"/>
    </row>
    <row r="31" spans="1:5" x14ac:dyDescent="0.25">
      <c r="A31" s="30">
        <v>5313.0226118483115</v>
      </c>
      <c r="E31"/>
    </row>
    <row r="32" spans="1:5" x14ac:dyDescent="0.25">
      <c r="A32" s="30">
        <v>4830.020556225737</v>
      </c>
      <c r="E32"/>
    </row>
    <row r="33" spans="1:5" x14ac:dyDescent="0.25">
      <c r="A33" s="30">
        <v>4390.927778387033</v>
      </c>
      <c r="E33"/>
    </row>
    <row r="34" spans="1:5" x14ac:dyDescent="0.25">
      <c r="A34" s="30">
        <v>3991.7525258063934</v>
      </c>
      <c r="E34"/>
    </row>
    <row r="35" spans="1:5" x14ac:dyDescent="0.25">
      <c r="A35" s="30">
        <v>3628.8659325512663</v>
      </c>
      <c r="E35"/>
    </row>
    <row r="36" spans="1:5" x14ac:dyDescent="0.25">
      <c r="A36" s="30">
        <v>3298.96902959206</v>
      </c>
      <c r="E36"/>
    </row>
    <row r="37" spans="1:5" x14ac:dyDescent="0.25">
      <c r="A37" s="30">
        <v>2999.0627541745998</v>
      </c>
      <c r="E37"/>
    </row>
    <row r="38" spans="1:5" x14ac:dyDescent="0.25">
      <c r="A38" s="30">
        <v>2726.4206856132723</v>
      </c>
      <c r="E38"/>
    </row>
    <row r="39" spans="1:5" x14ac:dyDescent="0.25">
      <c r="A39" s="30">
        <v>2478.564259648429</v>
      </c>
      <c r="E39"/>
    </row>
    <row r="40" spans="1:5" x14ac:dyDescent="0.25">
      <c r="A40" s="30">
        <v>2253.240236044026</v>
      </c>
      <c r="E40"/>
    </row>
    <row r="41" spans="1:5" x14ac:dyDescent="0.25">
      <c r="A41" s="30">
        <v>2048.4002145854779</v>
      </c>
      <c r="E41"/>
    </row>
    <row r="42" spans="1:5" x14ac:dyDescent="0.25">
      <c r="A42" s="30">
        <v>1862.1820132595253</v>
      </c>
      <c r="C42" s="1" t="s">
        <v>15</v>
      </c>
      <c r="E42"/>
    </row>
    <row r="43" spans="1:5" x14ac:dyDescent="0.25">
      <c r="A43" s="30">
        <v>1692.8927393268411</v>
      </c>
      <c r="C43" s="7">
        <v>0.11167815779424731</v>
      </c>
      <c r="D43"/>
      <c r="E43"/>
    </row>
    <row r="44" spans="1:5" x14ac:dyDescent="0.25">
      <c r="A44" s="30">
        <v>1538.9933993880372</v>
      </c>
      <c r="E44"/>
    </row>
    <row r="45" spans="1:5" x14ac:dyDescent="0.25">
      <c r="A45" s="30">
        <v>1399.0849085345792</v>
      </c>
      <c r="C45" s="1" t="s">
        <v>11</v>
      </c>
      <c r="D45" s="1" t="s">
        <v>12</v>
      </c>
      <c r="E45"/>
    </row>
    <row r="46" spans="1:5" x14ac:dyDescent="0.25">
      <c r="A46" s="30">
        <v>1271.8953713950718</v>
      </c>
      <c r="C46"/>
      <c r="D46"/>
      <c r="E46"/>
    </row>
    <row r="47" spans="1:5" x14ac:dyDescent="0.25">
      <c r="A47" s="30">
        <v>1156.2685194500652</v>
      </c>
      <c r="E47"/>
    </row>
    <row r="48" spans="1:5" x14ac:dyDescent="0.25">
      <c r="A48" s="30">
        <v>1051.1531995000591</v>
      </c>
      <c r="C48" s="1" t="s">
        <v>13</v>
      </c>
      <c r="E48"/>
    </row>
    <row r="49" spans="1:5" x14ac:dyDescent="0.25">
      <c r="A49" s="30">
        <v>955.59381772732638</v>
      </c>
      <c r="C49" s="1">
        <f>C38</f>
        <v>0</v>
      </c>
      <c r="E49"/>
    </row>
    <row r="50" spans="1:5" x14ac:dyDescent="0.25">
      <c r="A50" s="30">
        <v>868.72165247938756</v>
      </c>
      <c r="C50"/>
      <c r="D50"/>
      <c r="E50"/>
    </row>
    <row r="51" spans="1:5" x14ac:dyDescent="0.25">
      <c r="A51" s="30">
        <v>789.74695679944318</v>
      </c>
      <c r="C51" s="1" t="s">
        <v>14</v>
      </c>
      <c r="E51"/>
    </row>
    <row r="52" spans="1:5" x14ac:dyDescent="0.25">
      <c r="A52" s="30">
        <v>717.95177890858463</v>
      </c>
      <c r="C52" s="1" t="str">
        <f>IF(C49=$S$1,IF(D46&lt;(C43*0.909090909090909),$S$1,IF(C46&gt;(C43*1.331),$U$1,"")),"")</f>
        <v/>
      </c>
      <c r="D52" s="1" t="str">
        <f>IF(C49=$U$1,IF(C46&gt;(C43*1.1),$U$1,IF(D46&lt;(C43*0.751314800901578),$S$1,"")),"")</f>
        <v/>
      </c>
      <c r="E52"/>
    </row>
    <row r="53" spans="1:5" x14ac:dyDescent="0.25">
      <c r="A53" s="30">
        <v>652.68343537144051</v>
      </c>
      <c r="E53"/>
    </row>
    <row r="54" spans="1:5" x14ac:dyDescent="0.25">
      <c r="A54" s="30">
        <v>593.34857761040041</v>
      </c>
      <c r="E54"/>
    </row>
    <row r="55" spans="1:5" x14ac:dyDescent="0.25">
      <c r="A55" s="30">
        <v>539.40779782763673</v>
      </c>
      <c r="E55"/>
    </row>
    <row r="56" spans="1:5" x14ac:dyDescent="0.25">
      <c r="A56" s="30">
        <v>490.37072529785149</v>
      </c>
      <c r="E56"/>
    </row>
    <row r="57" spans="1:5" x14ac:dyDescent="0.25">
      <c r="A57" s="30">
        <v>445.79156845259223</v>
      </c>
      <c r="E57"/>
    </row>
    <row r="58" spans="1:5" x14ac:dyDescent="0.25">
      <c r="A58" s="30">
        <v>405.26506222962928</v>
      </c>
      <c r="E58"/>
    </row>
    <row r="59" spans="1:5" x14ac:dyDescent="0.25">
      <c r="A59" s="30">
        <v>368.42278384511752</v>
      </c>
      <c r="E59"/>
    </row>
    <row r="60" spans="1:5" x14ac:dyDescent="0.25">
      <c r="A60" s="30">
        <v>334.92980349556137</v>
      </c>
      <c r="E60"/>
    </row>
    <row r="61" spans="1:5" x14ac:dyDescent="0.25">
      <c r="A61" s="30">
        <v>304.48163954141938</v>
      </c>
      <c r="E61"/>
    </row>
    <row r="62" spans="1:5" x14ac:dyDescent="0.25">
      <c r="A62" s="30">
        <v>276.80149049219943</v>
      </c>
      <c r="E62"/>
    </row>
    <row r="63" spans="1:5" x14ac:dyDescent="0.25">
      <c r="A63" s="30">
        <v>251.63771862927217</v>
      </c>
      <c r="E63"/>
    </row>
    <row r="64" spans="1:5" x14ac:dyDescent="0.25">
      <c r="A64" s="30">
        <v>228.76156239024741</v>
      </c>
      <c r="E64"/>
    </row>
    <row r="65" spans="1:5" x14ac:dyDescent="0.25">
      <c r="A65" s="30">
        <v>207.96505671840671</v>
      </c>
      <c r="E65"/>
    </row>
    <row r="66" spans="1:5" x14ac:dyDescent="0.25">
      <c r="A66" s="30">
        <v>189.05914247127882</v>
      </c>
      <c r="E66"/>
    </row>
    <row r="67" spans="1:5" x14ac:dyDescent="0.25">
      <c r="A67" s="30">
        <v>171.87194770116255</v>
      </c>
      <c r="C67" s="1" t="s">
        <v>15</v>
      </c>
      <c r="E67"/>
    </row>
    <row r="68" spans="1:5" x14ac:dyDescent="0.25">
      <c r="A68" s="30">
        <v>156.24722518287504</v>
      </c>
      <c r="C68" s="7">
        <v>0.11167815779424731</v>
      </c>
      <c r="D68"/>
      <c r="E68"/>
    </row>
    <row r="69" spans="1:5" x14ac:dyDescent="0.25">
      <c r="A69" s="30">
        <v>142.04293198443185</v>
      </c>
      <c r="E69"/>
    </row>
    <row r="70" spans="1:5" x14ac:dyDescent="0.25">
      <c r="A70" s="30">
        <v>129.1299381676653</v>
      </c>
      <c r="C70" s="1" t="s">
        <v>11</v>
      </c>
      <c r="D70" s="1" t="s">
        <v>12</v>
      </c>
      <c r="E70"/>
    </row>
    <row r="71" spans="1:5" x14ac:dyDescent="0.25">
      <c r="A71" s="30">
        <v>117.39085287969573</v>
      </c>
      <c r="C71"/>
      <c r="D71"/>
      <c r="E71"/>
    </row>
    <row r="72" spans="1:5" x14ac:dyDescent="0.25">
      <c r="A72" s="30">
        <v>106.71895716335975</v>
      </c>
      <c r="E72"/>
    </row>
    <row r="73" spans="1:5" x14ac:dyDescent="0.25">
      <c r="A73" s="30">
        <v>97.017233784872488</v>
      </c>
      <c r="C73" s="1" t="s">
        <v>13</v>
      </c>
      <c r="E73"/>
    </row>
    <row r="74" spans="1:5" x14ac:dyDescent="0.25">
      <c r="A74" s="30">
        <v>88.197485258974979</v>
      </c>
      <c r="C74" s="1">
        <f>C63</f>
        <v>0</v>
      </c>
      <c r="E74"/>
    </row>
    <row r="75" spans="1:5" x14ac:dyDescent="0.25">
      <c r="A75" s="30">
        <v>80.179532053613613</v>
      </c>
      <c r="C75"/>
      <c r="D75"/>
      <c r="E75"/>
    </row>
    <row r="76" spans="1:5" x14ac:dyDescent="0.25">
      <c r="A76" s="30">
        <v>72.890483685103277</v>
      </c>
      <c r="C76" s="1" t="s">
        <v>14</v>
      </c>
      <c r="E76"/>
    </row>
    <row r="77" spans="1:5" x14ac:dyDescent="0.25">
      <c r="A77" s="30">
        <v>66.26407607736661</v>
      </c>
      <c r="C77" s="1" t="str">
        <f>IF(C74=$S$1,IF(D71&lt;(C68*0.909090909090909),$S$1,IF(C71&gt;(C68*1.331),$U$1,"")),"")</f>
        <v/>
      </c>
      <c r="D77" s="1" t="str">
        <f>IF(C74=$U$1,IF(C71&gt;(C68*1.1),$U$1,IF(D71&lt;(C68*0.751314800901578),$S$1,"")),"")</f>
        <v/>
      </c>
      <c r="E77"/>
    </row>
    <row r="78" spans="1:5" x14ac:dyDescent="0.25">
      <c r="A78" s="30">
        <v>60.240069161242367</v>
      </c>
      <c r="E78"/>
    </row>
    <row r="79" spans="1:5" x14ac:dyDescent="0.25">
      <c r="A79" s="30">
        <v>54.763699237493057</v>
      </c>
      <c r="E79"/>
    </row>
    <row r="80" spans="1:5" x14ac:dyDescent="0.25">
      <c r="A80" s="30">
        <v>49.785181124993684</v>
      </c>
      <c r="E80"/>
    </row>
    <row r="81" spans="1:5" x14ac:dyDescent="0.25">
      <c r="A81" s="30">
        <v>45.259255568176073</v>
      </c>
      <c r="E81"/>
    </row>
    <row r="82" spans="1:5" x14ac:dyDescent="0.25">
      <c r="A82" s="30">
        <v>41.144777789250973</v>
      </c>
      <c r="E82"/>
    </row>
    <row r="83" spans="1:5" x14ac:dyDescent="0.25">
      <c r="A83" s="30">
        <v>37.404343444773609</v>
      </c>
      <c r="E83"/>
    </row>
    <row r="84" spans="1:5" x14ac:dyDescent="0.25">
      <c r="A84" s="30">
        <v>34.003948586157826</v>
      </c>
      <c r="E84"/>
    </row>
    <row r="85" spans="1:5" x14ac:dyDescent="0.25">
      <c r="A85" s="30">
        <v>30.912680532870748</v>
      </c>
      <c r="E85"/>
    </row>
    <row r="86" spans="1:5" x14ac:dyDescent="0.25">
      <c r="A86" s="30">
        <v>28.102436848064315</v>
      </c>
      <c r="E86"/>
    </row>
    <row r="87" spans="1:5" x14ac:dyDescent="0.25">
      <c r="A87" s="30">
        <v>25.547669861876649</v>
      </c>
      <c r="E87"/>
    </row>
    <row r="88" spans="1:5" x14ac:dyDescent="0.25">
      <c r="A88" s="30">
        <v>23.225154419887861</v>
      </c>
      <c r="E88"/>
    </row>
    <row r="89" spans="1:5" x14ac:dyDescent="0.25">
      <c r="A89" s="30">
        <v>21.113776745352599</v>
      </c>
      <c r="E89"/>
    </row>
    <row r="90" spans="1:5" x14ac:dyDescent="0.25">
      <c r="A90" s="30">
        <v>19.194342495775089</v>
      </c>
      <c r="E90"/>
    </row>
    <row r="91" spans="1:5" x14ac:dyDescent="0.25">
      <c r="A91" s="30">
        <v>17.449402268886445</v>
      </c>
      <c r="E91"/>
    </row>
    <row r="92" spans="1:5" x14ac:dyDescent="0.25">
      <c r="A92" s="30">
        <v>15.863092971714948</v>
      </c>
      <c r="C92" s="1" t="s">
        <v>15</v>
      </c>
      <c r="E92"/>
    </row>
    <row r="93" spans="1:5" x14ac:dyDescent="0.25">
      <c r="A93" s="30">
        <v>14.420993610649951</v>
      </c>
      <c r="C93" s="7">
        <v>0.11167815779424731</v>
      </c>
      <c r="D93"/>
      <c r="E93"/>
    </row>
    <row r="94" spans="1:5" x14ac:dyDescent="0.25">
      <c r="A94" s="30">
        <v>13.109994191499954</v>
      </c>
      <c r="E94"/>
    </row>
    <row r="95" spans="1:5" x14ac:dyDescent="0.25">
      <c r="A95" s="30">
        <v>11.918176537727231</v>
      </c>
      <c r="C95" s="1" t="s">
        <v>11</v>
      </c>
      <c r="D95" s="1" t="s">
        <v>12</v>
      </c>
      <c r="E95"/>
    </row>
    <row r="96" spans="1:5" x14ac:dyDescent="0.25">
      <c r="A96" s="30">
        <v>10.834705943388391</v>
      </c>
      <c r="C96"/>
      <c r="D96"/>
      <c r="E96"/>
    </row>
    <row r="97" spans="1:54" x14ac:dyDescent="0.25">
      <c r="A97" s="30">
        <v>9.849732675807628</v>
      </c>
      <c r="E97"/>
    </row>
    <row r="98" spans="1:54" x14ac:dyDescent="0.25">
      <c r="A98" s="30">
        <v>8.9543024325523888</v>
      </c>
      <c r="C98" s="1" t="s">
        <v>13</v>
      </c>
      <c r="E98"/>
    </row>
    <row r="99" spans="1:54" x14ac:dyDescent="0.25">
      <c r="A99" s="30">
        <v>8.140274938683989</v>
      </c>
      <c r="C99" s="1">
        <f>C88</f>
        <v>0</v>
      </c>
      <c r="E99"/>
    </row>
    <row r="100" spans="1:54" x14ac:dyDescent="0.25">
      <c r="A100" s="30">
        <v>7.4002499442581717</v>
      </c>
      <c r="C100"/>
      <c r="D100"/>
      <c r="E100"/>
    </row>
    <row r="101" spans="1:54" x14ac:dyDescent="0.25">
      <c r="A101" s="30">
        <v>6.72749994932561</v>
      </c>
      <c r="C101" s="1" t="s">
        <v>14</v>
      </c>
      <c r="E101"/>
    </row>
    <row r="102" spans="1:54" x14ac:dyDescent="0.25">
      <c r="A102" s="30">
        <v>6.1159090448414632</v>
      </c>
      <c r="C102" s="1" t="str">
        <f>IF(C99=$S$1,IF(D96&lt;(C93*0.909090909090909),$S$1,IF(C96&gt;(C93*1.331),$U$1,"")),"")</f>
        <v/>
      </c>
      <c r="D102" s="1" t="str">
        <f>IF(C99=$U$1,IF(C96&gt;(C93*1.1),$U$1,IF(D96&lt;(C93*0.751314800901578),$S$1,"")),"")</f>
        <v/>
      </c>
      <c r="E102"/>
    </row>
    <row r="103" spans="1:54" x14ac:dyDescent="0.25">
      <c r="A103" s="30">
        <v>5.5599173134922388</v>
      </c>
      <c r="E103"/>
      <c r="AS103" s="27" t="s">
        <v>8</v>
      </c>
    </row>
    <row r="104" spans="1:54" x14ac:dyDescent="0.25">
      <c r="A104" s="30">
        <v>5.0544702849929442</v>
      </c>
      <c r="E104"/>
      <c r="AS104" s="27" t="s">
        <v>8</v>
      </c>
      <c r="AT104" s="27" t="s">
        <v>7</v>
      </c>
    </row>
    <row r="105" spans="1:54" x14ac:dyDescent="0.25">
      <c r="A105" s="30">
        <v>4.594972986357222</v>
      </c>
      <c r="E105"/>
      <c r="AS105" s="27" t="s">
        <v>8</v>
      </c>
      <c r="AT105" s="27" t="s">
        <v>7</v>
      </c>
    </row>
    <row r="106" spans="1:54" x14ac:dyDescent="0.25">
      <c r="A106" s="30">
        <v>4.1772481694156562</v>
      </c>
      <c r="E106"/>
      <c r="AS106" s="27" t="s">
        <v>8</v>
      </c>
      <c r="AT106" s="27" t="s">
        <v>7</v>
      </c>
    </row>
    <row r="107" spans="1:54" x14ac:dyDescent="0.25">
      <c r="A107" s="30">
        <v>3.7974983358324148</v>
      </c>
      <c r="E107"/>
      <c r="AS107" s="27" t="s">
        <v>8</v>
      </c>
      <c r="AT107" s="27" t="s">
        <v>7</v>
      </c>
    </row>
    <row r="108" spans="1:54" x14ac:dyDescent="0.25">
      <c r="A108" s="30">
        <v>3.4522712143931042</v>
      </c>
      <c r="E108"/>
      <c r="AS108" s="27" t="s">
        <v>8</v>
      </c>
      <c r="AT108" s="27" t="s">
        <v>7</v>
      </c>
      <c r="AU108" s="27" t="s">
        <v>8</v>
      </c>
    </row>
    <row r="109" spans="1:54" x14ac:dyDescent="0.25">
      <c r="A109" s="30">
        <v>3.1384283767210035</v>
      </c>
      <c r="E109"/>
      <c r="AS109" s="27" t="s">
        <v>8</v>
      </c>
      <c r="AT109" s="27" t="s">
        <v>7</v>
      </c>
      <c r="AU109" s="27" t="s">
        <v>8</v>
      </c>
      <c r="AV109" s="27" t="s">
        <v>7</v>
      </c>
    </row>
    <row r="110" spans="1:54" x14ac:dyDescent="0.25">
      <c r="A110" s="30">
        <v>2.8531167061100029</v>
      </c>
      <c r="E110"/>
      <c r="AS110" s="27" t="s">
        <v>8</v>
      </c>
      <c r="AT110" s="27" t="s">
        <v>7</v>
      </c>
      <c r="AU110" s="27" t="s">
        <v>8</v>
      </c>
      <c r="AV110" s="27" t="s">
        <v>7</v>
      </c>
      <c r="AW110" s="27" t="s">
        <v>8</v>
      </c>
      <c r="AY110" s="27" t="s">
        <v>8</v>
      </c>
    </row>
    <row r="111" spans="1:54" x14ac:dyDescent="0.25">
      <c r="A111" s="30">
        <v>2.5937424601000023</v>
      </c>
      <c r="C111" s="1" t="str">
        <f>ADDRESS(C121-1,1,1,1)</f>
        <v>$A$118</v>
      </c>
      <c r="D111" s="1" t="str">
        <f>ADDRESS(C121-1,D121,1,1)</f>
        <v>$BB$118</v>
      </c>
      <c r="E111"/>
      <c r="AS111" s="27" t="s">
        <v>8</v>
      </c>
      <c r="AT111" s="27" t="s">
        <v>7</v>
      </c>
      <c r="AU111" s="27" t="s">
        <v>8</v>
      </c>
      <c r="AV111" s="27" t="s">
        <v>7</v>
      </c>
      <c r="AW111" s="27" t="s">
        <v>8</v>
      </c>
      <c r="AX111" s="27" t="s">
        <v>7</v>
      </c>
      <c r="AY111" s="27" t="s">
        <v>8</v>
      </c>
      <c r="AZ111" s="27" t="s">
        <v>7</v>
      </c>
      <c r="BA111" s="27" t="s">
        <v>8</v>
      </c>
    </row>
    <row r="112" spans="1:54" x14ac:dyDescent="0.25">
      <c r="A112" s="30">
        <v>2.3579476910000019</v>
      </c>
      <c r="C112" s="1" t="str">
        <f>ADDRESS(C121,1,1,1)</f>
        <v>$A$119</v>
      </c>
      <c r="D112" s="1" t="str">
        <f>ADDRESS(C121,D121-1,1,1)</f>
        <v>$BA$119</v>
      </c>
      <c r="E112"/>
      <c r="AS112" s="27" t="s">
        <v>8</v>
      </c>
      <c r="AT112" s="27" t="s">
        <v>7</v>
      </c>
      <c r="AU112" s="27" t="s">
        <v>8</v>
      </c>
      <c r="AV112" s="27" t="s">
        <v>7</v>
      </c>
      <c r="AW112" s="27" t="s">
        <v>8</v>
      </c>
      <c r="AX112" s="27" t="s">
        <v>7</v>
      </c>
      <c r="AY112" s="27" t="s">
        <v>8</v>
      </c>
      <c r="AZ112" s="27" t="s">
        <v>7</v>
      </c>
      <c r="BA112" s="27" t="s">
        <v>8</v>
      </c>
      <c r="BB112" s="27" t="s">
        <v>7</v>
      </c>
    </row>
    <row r="113" spans="1:54" x14ac:dyDescent="0.25">
      <c r="A113" s="30">
        <v>2.1435888100000016</v>
      </c>
      <c r="C113" s="1" t="str">
        <f>ADDRESS(C121+1,1,1,1)</f>
        <v>$A$120</v>
      </c>
      <c r="D113" s="1" t="str">
        <f>ADDRESS(C121-1,D121+1,1,1)</f>
        <v>$BC$118</v>
      </c>
      <c r="AS113" s="27" t="s">
        <v>8</v>
      </c>
      <c r="AT113" s="27" t="s">
        <v>7</v>
      </c>
      <c r="AV113" s="27" t="s">
        <v>7</v>
      </c>
      <c r="AW113" s="27" t="s">
        <v>8</v>
      </c>
      <c r="AX113" s="27" t="s">
        <v>7</v>
      </c>
      <c r="AY113" s="27" t="s">
        <v>8</v>
      </c>
      <c r="AZ113" s="27" t="s">
        <v>7</v>
      </c>
      <c r="BA113" s="27" t="s">
        <v>8</v>
      </c>
      <c r="BB113" s="27" t="s">
        <v>7</v>
      </c>
    </row>
    <row r="114" spans="1:54" x14ac:dyDescent="0.25">
      <c r="A114" s="30">
        <v>1.9487171000000014</v>
      </c>
      <c r="C114" s="1" t="str">
        <f>ADDRESS(C121,D121,1,1)</f>
        <v>$BB$119</v>
      </c>
      <c r="D114" s="1" t="str">
        <f>ADDRESS(C121+1,D121+1,1,1)</f>
        <v>$BC$120</v>
      </c>
      <c r="AA114" s="27" t="s">
        <v>8</v>
      </c>
      <c r="AS114" s="27" t="s">
        <v>8</v>
      </c>
      <c r="AV114" s="27" t="s">
        <v>7</v>
      </c>
      <c r="AW114" s="27" t="s">
        <v>8</v>
      </c>
      <c r="AX114" s="27" t="s">
        <v>7</v>
      </c>
      <c r="AY114" s="27" t="s">
        <v>8</v>
      </c>
      <c r="AZ114" s="27" t="s">
        <v>7</v>
      </c>
      <c r="BB114" s="27" t="s">
        <v>7</v>
      </c>
    </row>
    <row r="115" spans="1:54" x14ac:dyDescent="0.25">
      <c r="A115" s="30">
        <v>1.7715610000000011</v>
      </c>
      <c r="C115" s="1" t="str">
        <f>ADDRESS(C121+1,D121,1,1)</f>
        <v>$BB$120</v>
      </c>
      <c r="AA115" s="27" t="s">
        <v>8</v>
      </c>
      <c r="AB115" s="27" t="s">
        <v>7</v>
      </c>
      <c r="AS115" s="27" t="s">
        <v>8</v>
      </c>
      <c r="AV115" s="27" t="s">
        <v>7</v>
      </c>
      <c r="AW115" s="27" t="s">
        <v>8</v>
      </c>
      <c r="AX115" s="27" t="s">
        <v>7</v>
      </c>
      <c r="BB115" s="27" t="s">
        <v>7</v>
      </c>
    </row>
    <row r="116" spans="1:54" x14ac:dyDescent="0.25">
      <c r="A116" s="30">
        <v>1.6105100000000008</v>
      </c>
      <c r="C116" s="1">
        <f>C117-1</f>
        <v>118</v>
      </c>
      <c r="AA116" s="27" t="s">
        <v>8</v>
      </c>
      <c r="AB116" s="27" t="s">
        <v>7</v>
      </c>
      <c r="AS116" s="27" t="s">
        <v>8</v>
      </c>
      <c r="AV116" s="27" t="s">
        <v>7</v>
      </c>
      <c r="AW116" s="27" t="s">
        <v>8</v>
      </c>
      <c r="BB116" s="27" t="s">
        <v>7</v>
      </c>
    </row>
    <row r="117" spans="1:54" x14ac:dyDescent="0.25">
      <c r="A117" s="30">
        <v>1.4641000000000006</v>
      </c>
      <c r="C117" s="1">
        <f>C121</f>
        <v>119</v>
      </c>
      <c r="D117" s="1">
        <f>D121</f>
        <v>54</v>
      </c>
      <c r="AA117" s="27" t="s">
        <v>8</v>
      </c>
      <c r="AB117" s="27" t="s">
        <v>7</v>
      </c>
      <c r="AC117" s="27" t="s">
        <v>8</v>
      </c>
      <c r="AS117" s="27" t="s">
        <v>8</v>
      </c>
      <c r="AV117" s="27" t="s">
        <v>7</v>
      </c>
      <c r="AW117" s="27" t="s">
        <v>8</v>
      </c>
      <c r="BB117" s="27" t="s">
        <v>7</v>
      </c>
    </row>
    <row r="118" spans="1:54" x14ac:dyDescent="0.25">
      <c r="A118" s="30">
        <v>1.3310000000000004</v>
      </c>
      <c r="C118" s="1">
        <f>C117+1</f>
        <v>120</v>
      </c>
      <c r="D118" s="1">
        <f>D117+1</f>
        <v>55</v>
      </c>
      <c r="S118" s="27" t="s">
        <v>8</v>
      </c>
      <c r="Y118" s="27" t="s">
        <v>8</v>
      </c>
      <c r="AA118" s="27" t="s">
        <v>8</v>
      </c>
      <c r="AB118" s="27" t="s">
        <v>7</v>
      </c>
      <c r="AC118" s="27" t="s">
        <v>8</v>
      </c>
      <c r="AD118" s="27" t="s">
        <v>7</v>
      </c>
      <c r="AS118" s="27" t="s">
        <v>8</v>
      </c>
      <c r="AV118" s="27" t="s">
        <v>7</v>
      </c>
      <c r="AW118" s="27" t="s">
        <v>8</v>
      </c>
      <c r="BB118" s="27" t="s">
        <v>7</v>
      </c>
    </row>
    <row r="119" spans="1:54" x14ac:dyDescent="0.25">
      <c r="A119" s="30">
        <v>1.2100000000000002</v>
      </c>
      <c r="S119" s="27" t="s">
        <v>8</v>
      </c>
      <c r="T119" s="27" t="s">
        <v>7</v>
      </c>
      <c r="Y119" s="27" t="s">
        <v>8</v>
      </c>
      <c r="Z119" s="27" t="s">
        <v>7</v>
      </c>
      <c r="AA119" s="27" t="s">
        <v>8</v>
      </c>
      <c r="AB119" s="27" t="s">
        <v>7</v>
      </c>
      <c r="AC119" s="27" t="s">
        <v>8</v>
      </c>
      <c r="AD119" s="27" t="s">
        <v>7</v>
      </c>
      <c r="AG119" s="27" t="s">
        <v>8</v>
      </c>
      <c r="AS119" s="27" t="s">
        <v>8</v>
      </c>
      <c r="AV119" s="27" t="s">
        <v>7</v>
      </c>
      <c r="BB119" s="27" t="s">
        <v>7</v>
      </c>
    </row>
    <row r="120" spans="1:54" x14ac:dyDescent="0.25">
      <c r="A120" s="30">
        <v>1.1000000000000001</v>
      </c>
      <c r="C120" s="1" t="s">
        <v>9</v>
      </c>
      <c r="S120" s="27" t="s">
        <v>8</v>
      </c>
      <c r="T120" s="27" t="s">
        <v>7</v>
      </c>
      <c r="U120" s="27" t="s">
        <v>8</v>
      </c>
      <c r="Y120" s="27" t="s">
        <v>8</v>
      </c>
      <c r="Z120" s="27" t="s">
        <v>7</v>
      </c>
      <c r="AA120" s="27" t="s">
        <v>8</v>
      </c>
      <c r="AB120" s="27" t="s">
        <v>7</v>
      </c>
      <c r="AC120" s="27" t="s">
        <v>8</v>
      </c>
      <c r="AD120" s="27" t="s">
        <v>7</v>
      </c>
      <c r="AG120" s="27" t="s">
        <v>8</v>
      </c>
      <c r="AH120" s="27" t="s">
        <v>7</v>
      </c>
      <c r="AS120" s="27" t="s">
        <v>8</v>
      </c>
    </row>
    <row r="121" spans="1:54" x14ac:dyDescent="0.25">
      <c r="A121" s="30">
        <v>1</v>
      </c>
      <c r="C121" s="18">
        <v>119</v>
      </c>
      <c r="D121" s="19">
        <v>54</v>
      </c>
      <c r="E121" s="18" t="s">
        <v>8</v>
      </c>
      <c r="K121" s="27" t="s">
        <v>8</v>
      </c>
      <c r="S121" s="27" t="s">
        <v>8</v>
      </c>
      <c r="T121" s="27" t="s">
        <v>7</v>
      </c>
      <c r="U121" s="27" t="s">
        <v>8</v>
      </c>
      <c r="V121" s="27" t="s">
        <v>7</v>
      </c>
      <c r="W121" s="27" t="s">
        <v>8</v>
      </c>
      <c r="Y121" s="27" t="s">
        <v>8</v>
      </c>
      <c r="Z121" s="27" t="s">
        <v>7</v>
      </c>
      <c r="AB121" s="27" t="s">
        <v>7</v>
      </c>
      <c r="AD121" s="27" t="s">
        <v>7</v>
      </c>
      <c r="AG121" s="27" t="s">
        <v>8</v>
      </c>
      <c r="AH121" s="27" t="s">
        <v>7</v>
      </c>
      <c r="AS121" s="27" t="s">
        <v>8</v>
      </c>
    </row>
    <row r="122" spans="1:54" x14ac:dyDescent="0.25">
      <c r="A122" s="30">
        <v>0.90909090909090895</v>
      </c>
      <c r="C122" s="1" t="str">
        <f>INDEX(1:1048576,C117,D117)</f>
        <v>O</v>
      </c>
      <c r="F122" s="27" t="s">
        <v>7</v>
      </c>
      <c r="K122" s="27" t="s">
        <v>8</v>
      </c>
      <c r="L122" s="27" t="s">
        <v>7</v>
      </c>
      <c r="S122" s="27" t="s">
        <v>8</v>
      </c>
      <c r="T122" s="27" t="s">
        <v>7</v>
      </c>
      <c r="U122" s="27" t="s">
        <v>8</v>
      </c>
      <c r="V122" s="27" t="s">
        <v>7</v>
      </c>
      <c r="W122" s="27" t="s">
        <v>8</v>
      </c>
      <c r="X122" s="27" t="s">
        <v>7</v>
      </c>
      <c r="Y122" s="27" t="s">
        <v>8</v>
      </c>
      <c r="AD122" s="27" t="s">
        <v>7</v>
      </c>
      <c r="AE122" s="27" t="s">
        <v>8</v>
      </c>
      <c r="AG122" s="27" t="s">
        <v>8</v>
      </c>
      <c r="AH122" s="27" t="s">
        <v>7</v>
      </c>
      <c r="AS122" s="27" t="s">
        <v>8</v>
      </c>
    </row>
    <row r="123" spans="1:54" x14ac:dyDescent="0.25">
      <c r="A123" s="30">
        <v>0.82644628099173523</v>
      </c>
      <c r="C123" s="1" t="str">
        <f>"R"&amp;C121</f>
        <v>R119</v>
      </c>
      <c r="D123" s="1" t="str">
        <f>"C"&amp;D121</f>
        <v>C54</v>
      </c>
      <c r="F123" s="27" t="s">
        <v>7</v>
      </c>
      <c r="I123" s="27" t="s">
        <v>8</v>
      </c>
      <c r="K123" s="27" t="s">
        <v>8</v>
      </c>
      <c r="L123" s="27" t="s">
        <v>7</v>
      </c>
      <c r="Q123" s="27" t="s">
        <v>8</v>
      </c>
      <c r="S123" s="27" t="s">
        <v>8</v>
      </c>
      <c r="T123" s="27" t="s">
        <v>7</v>
      </c>
      <c r="V123" s="27" t="s">
        <v>7</v>
      </c>
      <c r="W123" s="27" t="s">
        <v>8</v>
      </c>
      <c r="X123" s="27" t="s">
        <v>7</v>
      </c>
      <c r="Y123" s="27" t="s">
        <v>8</v>
      </c>
      <c r="AD123" s="27" t="s">
        <v>7</v>
      </c>
      <c r="AE123" s="27" t="s">
        <v>8</v>
      </c>
      <c r="AF123" s="27" t="s">
        <v>7</v>
      </c>
      <c r="AG123" s="27" t="s">
        <v>8</v>
      </c>
      <c r="AH123" s="27" t="s">
        <v>7</v>
      </c>
      <c r="AI123" s="27" t="s">
        <v>8</v>
      </c>
      <c r="AK123" s="27" t="s">
        <v>8</v>
      </c>
      <c r="AQ123" s="27" t="s">
        <v>8</v>
      </c>
      <c r="AS123" s="27" t="s">
        <v>8</v>
      </c>
    </row>
    <row r="124" spans="1:54" x14ac:dyDescent="0.25">
      <c r="A124" s="30">
        <v>0.75131480090157732</v>
      </c>
      <c r="C124" s="1">
        <f>SUM(C130:D130)</f>
        <v>0</v>
      </c>
      <c r="D124" s="1">
        <f>IF(C124=0,0,1)</f>
        <v>0</v>
      </c>
      <c r="F124" s="27" t="s">
        <v>7</v>
      </c>
      <c r="G124" s="27" t="s">
        <v>8</v>
      </c>
      <c r="I124" s="27" t="s">
        <v>8</v>
      </c>
      <c r="J124" s="27" t="s">
        <v>7</v>
      </c>
      <c r="K124" s="27" t="s">
        <v>8</v>
      </c>
      <c r="L124" s="27" t="s">
        <v>7</v>
      </c>
      <c r="Q124" s="27" t="s">
        <v>8</v>
      </c>
      <c r="R124" s="27" t="s">
        <v>7</v>
      </c>
      <c r="S124" s="27" t="s">
        <v>8</v>
      </c>
      <c r="V124" s="27" t="s">
        <v>7</v>
      </c>
      <c r="W124" s="27" t="s">
        <v>8</v>
      </c>
      <c r="X124" s="27" t="s">
        <v>7</v>
      </c>
      <c r="AD124" s="27" t="s">
        <v>7</v>
      </c>
      <c r="AE124" s="27" t="s">
        <v>8</v>
      </c>
      <c r="AF124" s="27" t="s">
        <v>7</v>
      </c>
      <c r="AG124" s="27" t="s">
        <v>8</v>
      </c>
      <c r="AH124" s="27" t="s">
        <v>7</v>
      </c>
      <c r="AI124" s="27" t="s">
        <v>8</v>
      </c>
      <c r="AJ124" s="27" t="s">
        <v>7</v>
      </c>
      <c r="AK124" s="27" t="s">
        <v>8</v>
      </c>
      <c r="AL124" s="27" t="s">
        <v>7</v>
      </c>
      <c r="AM124" s="27" t="s">
        <v>8</v>
      </c>
      <c r="AO124" s="27" t="s">
        <v>8</v>
      </c>
      <c r="AQ124" s="27" t="s">
        <v>8</v>
      </c>
      <c r="AR124" s="27" t="s">
        <v>7</v>
      </c>
      <c r="AS124" s="27" t="s">
        <v>8</v>
      </c>
    </row>
    <row r="125" spans="1:54" x14ac:dyDescent="0.25">
      <c r="A125" s="30">
        <v>0.68301345536507019</v>
      </c>
      <c r="F125" s="27" t="s">
        <v>7</v>
      </c>
      <c r="G125" s="27" t="s">
        <v>8</v>
      </c>
      <c r="H125" s="27" t="s">
        <v>7</v>
      </c>
      <c r="I125" s="27" t="s">
        <v>8</v>
      </c>
      <c r="J125" s="27" t="s">
        <v>7</v>
      </c>
      <c r="K125" s="27" t="s">
        <v>8</v>
      </c>
      <c r="L125" s="27" t="s">
        <v>7</v>
      </c>
      <c r="Q125" s="27" t="s">
        <v>8</v>
      </c>
      <c r="R125" s="27" t="s">
        <v>7</v>
      </c>
      <c r="S125" s="27" t="s">
        <v>8</v>
      </c>
      <c r="V125" s="27" t="s">
        <v>7</v>
      </c>
      <c r="W125" s="27" t="s">
        <v>8</v>
      </c>
      <c r="AD125" s="27" t="s">
        <v>7</v>
      </c>
      <c r="AE125" s="27" t="s">
        <v>8</v>
      </c>
      <c r="AF125" s="27" t="s">
        <v>7</v>
      </c>
      <c r="AG125" s="27" t="s">
        <v>8</v>
      </c>
      <c r="AH125" s="27" t="s">
        <v>7</v>
      </c>
      <c r="AI125" s="27" t="s">
        <v>8</v>
      </c>
      <c r="AJ125" s="27" t="s">
        <v>7</v>
      </c>
      <c r="AK125" s="27" t="s">
        <v>8</v>
      </c>
      <c r="AL125" s="27" t="s">
        <v>7</v>
      </c>
      <c r="AM125" s="27" t="s">
        <v>8</v>
      </c>
      <c r="AN125" s="27" t="s">
        <v>7</v>
      </c>
      <c r="AO125" s="27" t="s">
        <v>8</v>
      </c>
      <c r="AP125" s="27" t="s">
        <v>7</v>
      </c>
      <c r="AQ125" s="27" t="s">
        <v>8</v>
      </c>
      <c r="AR125" s="27" t="s">
        <v>7</v>
      </c>
      <c r="AS125" s="27" t="s">
        <v>8</v>
      </c>
    </row>
    <row r="126" spans="1:54" x14ac:dyDescent="0.25">
      <c r="A126" s="30">
        <v>0.6209213230591546</v>
      </c>
      <c r="C126" s="1" t="s">
        <v>10</v>
      </c>
      <c r="F126" s="27" t="s">
        <v>7</v>
      </c>
      <c r="G126" s="27" t="s">
        <v>8</v>
      </c>
      <c r="H126" s="27" t="s">
        <v>7</v>
      </c>
      <c r="I126" s="27" t="s">
        <v>8</v>
      </c>
      <c r="J126" s="27" t="s">
        <v>7</v>
      </c>
      <c r="L126" s="27" t="s">
        <v>7</v>
      </c>
      <c r="Q126" s="27" t="s">
        <v>8</v>
      </c>
      <c r="R126" s="27" t="s">
        <v>7</v>
      </c>
      <c r="S126" s="27" t="s">
        <v>8</v>
      </c>
      <c r="V126" s="27" t="s">
        <v>7</v>
      </c>
      <c r="AD126" s="27" t="s">
        <v>7</v>
      </c>
      <c r="AE126" s="27" t="s">
        <v>8</v>
      </c>
      <c r="AF126" s="27" t="s">
        <v>7</v>
      </c>
      <c r="AG126" s="27" t="s">
        <v>8</v>
      </c>
      <c r="AH126" s="27" t="s">
        <v>7</v>
      </c>
      <c r="AI126" s="27" t="s">
        <v>8</v>
      </c>
      <c r="AJ126" s="27" t="s">
        <v>7</v>
      </c>
      <c r="AL126" s="27" t="s">
        <v>7</v>
      </c>
      <c r="AM126" s="27" t="s">
        <v>8</v>
      </c>
      <c r="AN126" s="27" t="s">
        <v>7</v>
      </c>
      <c r="AO126" s="27" t="s">
        <v>8</v>
      </c>
      <c r="AP126" s="27" t="s">
        <v>7</v>
      </c>
      <c r="AQ126" s="27" t="s">
        <v>8</v>
      </c>
      <c r="AR126" s="27" t="s">
        <v>7</v>
      </c>
      <c r="AS126" s="27" t="s">
        <v>8</v>
      </c>
    </row>
    <row r="127" spans="1:54" x14ac:dyDescent="0.25">
      <c r="A127" s="30">
        <v>0.56447393005377677</v>
      </c>
      <c r="C127" s="30">
        <v>1.2100000000000002</v>
      </c>
      <c r="D127"/>
      <c r="F127" s="27" t="s">
        <v>7</v>
      </c>
      <c r="G127" s="27" t="s">
        <v>8</v>
      </c>
      <c r="H127" s="27" t="s">
        <v>7</v>
      </c>
      <c r="I127" s="27" t="s">
        <v>8</v>
      </c>
      <c r="L127" s="27" t="s">
        <v>7</v>
      </c>
      <c r="Q127" s="27" t="s">
        <v>8</v>
      </c>
      <c r="R127" s="27" t="s">
        <v>7</v>
      </c>
      <c r="S127" s="27" t="s">
        <v>8</v>
      </c>
      <c r="AD127" s="27" t="s">
        <v>7</v>
      </c>
      <c r="AE127" s="27" t="s">
        <v>8</v>
      </c>
      <c r="AF127" s="27" t="s">
        <v>7</v>
      </c>
      <c r="AG127" s="27" t="s">
        <v>8</v>
      </c>
      <c r="AH127" s="27" t="s">
        <v>7</v>
      </c>
      <c r="AI127" s="27" t="s">
        <v>8</v>
      </c>
      <c r="AL127" s="27" t="s">
        <v>7</v>
      </c>
      <c r="AN127" s="27" t="s">
        <v>7</v>
      </c>
      <c r="AO127" s="27" t="s">
        <v>8</v>
      </c>
      <c r="AP127" s="27" t="s">
        <v>7</v>
      </c>
      <c r="AR127" s="27" t="s">
        <v>7</v>
      </c>
    </row>
    <row r="128" spans="1:54" x14ac:dyDescent="0.25">
      <c r="A128" s="30">
        <v>0.51315811823070612</v>
      </c>
      <c r="F128" s="27" t="s">
        <v>7</v>
      </c>
      <c r="G128" s="27" t="s">
        <v>8</v>
      </c>
      <c r="H128" s="27" t="s">
        <v>7</v>
      </c>
      <c r="I128" s="27" t="s">
        <v>8</v>
      </c>
      <c r="L128" s="27" t="s">
        <v>7</v>
      </c>
      <c r="Q128" s="27" t="s">
        <v>8</v>
      </c>
      <c r="R128" s="27" t="s">
        <v>7</v>
      </c>
      <c r="S128" s="27" t="s">
        <v>8</v>
      </c>
      <c r="AD128" s="27" t="s">
        <v>7</v>
      </c>
      <c r="AF128" s="27" t="s">
        <v>7</v>
      </c>
      <c r="AH128" s="27" t="s">
        <v>7</v>
      </c>
      <c r="AI128" s="27" t="s">
        <v>8</v>
      </c>
      <c r="AN128" s="27" t="s">
        <v>7</v>
      </c>
    </row>
    <row r="129" spans="1:35" x14ac:dyDescent="0.25">
      <c r="A129" s="30">
        <v>0.46650738020973276</v>
      </c>
      <c r="C129" s="1" t="s">
        <v>11</v>
      </c>
      <c r="D129" s="1" t="s">
        <v>12</v>
      </c>
      <c r="E129"/>
      <c r="F129" s="27" t="s">
        <v>7</v>
      </c>
      <c r="G129" s="27" t="s">
        <v>8</v>
      </c>
      <c r="H129" s="27" t="s">
        <v>7</v>
      </c>
      <c r="L129" s="27" t="s">
        <v>7</v>
      </c>
      <c r="M129" s="27" t="s">
        <v>8</v>
      </c>
      <c r="Q129" s="27" t="s">
        <v>8</v>
      </c>
      <c r="R129" s="27" t="s">
        <v>7</v>
      </c>
      <c r="AH129" s="27" t="s">
        <v>7</v>
      </c>
      <c r="AI129" s="27" t="s">
        <v>8</v>
      </c>
    </row>
    <row r="130" spans="1:35" x14ac:dyDescent="0.25">
      <c r="A130" s="30">
        <v>0.42409761837248428</v>
      </c>
      <c r="C130" s="6"/>
      <c r="D130" s="6"/>
      <c r="E130"/>
      <c r="F130" s="27" t="s">
        <v>7</v>
      </c>
      <c r="G130" s="27" t="s">
        <v>8</v>
      </c>
      <c r="L130" s="27" t="s">
        <v>7</v>
      </c>
      <c r="M130" s="27" t="s">
        <v>8</v>
      </c>
      <c r="N130" s="27" t="s">
        <v>7</v>
      </c>
      <c r="O130" s="27" t="s">
        <v>8</v>
      </c>
      <c r="Q130" s="27" t="s">
        <v>8</v>
      </c>
      <c r="AH130" s="18" t="s">
        <v>7</v>
      </c>
      <c r="AI130" s="27" t="s">
        <v>8</v>
      </c>
    </row>
    <row r="131" spans="1:35" x14ac:dyDescent="0.25">
      <c r="A131" s="30">
        <v>0.38554328942953109</v>
      </c>
      <c r="E131"/>
      <c r="F131" s="27" t="s">
        <v>7</v>
      </c>
      <c r="L131" s="27" t="s">
        <v>7</v>
      </c>
      <c r="M131" s="27" t="s">
        <v>8</v>
      </c>
      <c r="N131" s="27" t="s">
        <v>7</v>
      </c>
      <c r="O131" s="27" t="s">
        <v>8</v>
      </c>
      <c r="P131" s="27" t="s">
        <v>7</v>
      </c>
      <c r="Q131" s="27" t="s">
        <v>8</v>
      </c>
      <c r="AH131" s="27" t="s">
        <v>7</v>
      </c>
    </row>
    <row r="132" spans="1:35" x14ac:dyDescent="0.25">
      <c r="A132" s="30">
        <v>0.35049389948139187</v>
      </c>
      <c r="C132" s="1" t="s">
        <v>13</v>
      </c>
      <c r="E132"/>
      <c r="L132" s="27" t="s">
        <v>7</v>
      </c>
      <c r="M132" s="27" t="s">
        <v>8</v>
      </c>
      <c r="N132" s="27" t="s">
        <v>7</v>
      </c>
      <c r="O132" s="27" t="s">
        <v>8</v>
      </c>
      <c r="P132" s="27" t="s">
        <v>7</v>
      </c>
      <c r="Q132" s="27" t="s">
        <v>8</v>
      </c>
    </row>
    <row r="133" spans="1:35" x14ac:dyDescent="0.25">
      <c r="A133" s="30">
        <v>0.31863081771035617</v>
      </c>
      <c r="C133" s="1" t="str">
        <f>C122</f>
        <v>O</v>
      </c>
      <c r="E133"/>
      <c r="L133" s="27" t="s">
        <v>7</v>
      </c>
      <c r="N133" s="27" t="s">
        <v>7</v>
      </c>
      <c r="O133" s="27" t="s">
        <v>8</v>
      </c>
      <c r="P133" s="27" t="s">
        <v>7</v>
      </c>
    </row>
    <row r="134" spans="1:35" x14ac:dyDescent="0.25">
      <c r="A134" s="30">
        <v>0.28966437973668741</v>
      </c>
      <c r="C134"/>
      <c r="D134"/>
      <c r="E134"/>
      <c r="N134" s="27" t="s">
        <v>7</v>
      </c>
    </row>
    <row r="135" spans="1:35" x14ac:dyDescent="0.25">
      <c r="A135" s="30">
        <v>0.2633312543060794</v>
      </c>
      <c r="C135" s="1" t="s">
        <v>14</v>
      </c>
      <c r="E135"/>
    </row>
    <row r="136" spans="1:35" x14ac:dyDescent="0.25">
      <c r="A136" s="30">
        <v>0.23939204936916306</v>
      </c>
      <c r="C136" s="1" t="str">
        <f>IF(C133=$S$1,IF(D130&lt;(C127*0.909090909090909),$S$1,IF(C130&gt;(C127*1.331),$U$1,"")),"")</f>
        <v>O</v>
      </c>
      <c r="D136" s="1" t="str">
        <f>IF(C133=$U$1,IF(C130&gt;(C127*1.1),$U$1,IF(D130&lt;(C127*0.751314800901578),$S$1,"")),"")</f>
        <v/>
      </c>
      <c r="E136"/>
    </row>
    <row r="137" spans="1:35" x14ac:dyDescent="0.25">
      <c r="A137" s="30">
        <v>0.2176291357901482</v>
      </c>
      <c r="E137"/>
    </row>
    <row r="138" spans="1:35" x14ac:dyDescent="0.25">
      <c r="A138" s="30">
        <v>0.19784466890013469</v>
      </c>
      <c r="C138" s="1">
        <f>IF(AND(C136="",D136=""),0,IF(AND(C133="X",D136="X"),1,IF(AND(C133="O",C136="O"),2,(IF(AND(C133="X",D136="O"),3,4)))))</f>
        <v>2</v>
      </c>
      <c r="E138"/>
    </row>
    <row r="139" spans="1:35" x14ac:dyDescent="0.25">
      <c r="A139" s="30">
        <v>0.17985878990921333</v>
      </c>
      <c r="E139"/>
    </row>
    <row r="140" spans="1:35" x14ac:dyDescent="0.25">
      <c r="A140" s="30">
        <v>0.16350799082655756</v>
      </c>
      <c r="C140" s="1">
        <v>0</v>
      </c>
      <c r="E140"/>
    </row>
    <row r="141" spans="1:35" x14ac:dyDescent="0.25">
      <c r="A141" s="30">
        <v>0.14864362802414322</v>
      </c>
      <c r="C141" s="1">
        <v>1</v>
      </c>
      <c r="E141"/>
    </row>
    <row r="142" spans="1:35" x14ac:dyDescent="0.25">
      <c r="A142" s="30">
        <v>0.13513057093103928</v>
      </c>
      <c r="C142" s="1">
        <v>2</v>
      </c>
      <c r="E142"/>
    </row>
    <row r="143" spans="1:35" x14ac:dyDescent="0.25">
      <c r="A143" s="30">
        <v>0.12284597357367205</v>
      </c>
      <c r="C143" s="1">
        <v>3</v>
      </c>
      <c r="E143"/>
    </row>
    <row r="144" spans="1:35" x14ac:dyDescent="0.25">
      <c r="A144" s="30">
        <v>0.11167815779424731</v>
      </c>
      <c r="C144" s="1">
        <v>4</v>
      </c>
      <c r="E144"/>
    </row>
    <row r="145" spans="1:5" x14ac:dyDescent="0.25">
      <c r="A145" s="30">
        <v>0.10152559799477026</v>
      </c>
      <c r="B145"/>
      <c r="C145"/>
      <c r="D145"/>
      <c r="E145"/>
    </row>
    <row r="146" spans="1:5" x14ac:dyDescent="0.25">
      <c r="A146" s="30">
        <v>9.2295998177063854E-2</v>
      </c>
      <c r="B146"/>
      <c r="C146"/>
      <c r="D146"/>
      <c r="E146"/>
    </row>
    <row r="147" spans="1:5" x14ac:dyDescent="0.25">
      <c r="A147" s="30">
        <v>8.3905452888239848E-2</v>
      </c>
      <c r="B147"/>
      <c r="C147"/>
      <c r="D147"/>
      <c r="E147"/>
    </row>
    <row r="148" spans="1:5" x14ac:dyDescent="0.25">
      <c r="A148" s="30">
        <v>7.6277684443854396E-2</v>
      </c>
      <c r="B148"/>
      <c r="C148"/>
      <c r="D148"/>
      <c r="E148"/>
    </row>
    <row r="149" spans="1:5" x14ac:dyDescent="0.25">
      <c r="A149" s="30">
        <v>6.9343349494413078E-2</v>
      </c>
      <c r="B149"/>
      <c r="C149"/>
      <c r="D149"/>
      <c r="E149"/>
    </row>
    <row r="150" spans="1:5" x14ac:dyDescent="0.25">
      <c r="A150" s="30">
        <v>6.3039408631284613E-2</v>
      </c>
      <c r="B150"/>
      <c r="C150"/>
      <c r="D150"/>
      <c r="E150"/>
    </row>
    <row r="151" spans="1:5" x14ac:dyDescent="0.25">
      <c r="A151" s="30">
        <v>5.7308553301167818E-2</v>
      </c>
      <c r="B151"/>
      <c r="C151"/>
      <c r="D151"/>
      <c r="E151"/>
    </row>
    <row r="152" spans="1:5" x14ac:dyDescent="0.25">
      <c r="A152" s="30">
        <v>5.2098684819243464E-2</v>
      </c>
      <c r="B152"/>
      <c r="C152"/>
      <c r="D152"/>
      <c r="E152"/>
    </row>
    <row r="153" spans="1:5" x14ac:dyDescent="0.25">
      <c r="A153" s="30">
        <v>4.7362440744766775E-2</v>
      </c>
      <c r="B153"/>
      <c r="C153"/>
      <c r="D153"/>
      <c r="E153"/>
    </row>
    <row r="154" spans="1:5" x14ac:dyDescent="0.25">
      <c r="A154" s="30">
        <v>4.3056764313424332E-2</v>
      </c>
      <c r="B154"/>
      <c r="C154"/>
      <c r="D154"/>
      <c r="E154"/>
    </row>
    <row r="155" spans="1:5" x14ac:dyDescent="0.25">
      <c r="A155" s="30">
        <v>3.9142513012203929E-2</v>
      </c>
      <c r="B155"/>
      <c r="C155"/>
      <c r="D155"/>
      <c r="E155"/>
    </row>
    <row r="156" spans="1:5" x14ac:dyDescent="0.25">
      <c r="A156" s="30">
        <v>3.55841027383672E-2</v>
      </c>
      <c r="B156"/>
      <c r="C156"/>
      <c r="D156"/>
      <c r="E156"/>
    </row>
    <row r="157" spans="1:5" x14ac:dyDescent="0.25">
      <c r="A157" s="30">
        <v>3.2349184307606541E-2</v>
      </c>
      <c r="B157"/>
      <c r="C157"/>
      <c r="D157"/>
      <c r="E157"/>
    </row>
    <row r="158" spans="1:5" x14ac:dyDescent="0.25">
      <c r="A158" s="30">
        <v>2.9408349370551395E-2</v>
      </c>
      <c r="B158"/>
      <c r="C158"/>
      <c r="D158"/>
      <c r="E158"/>
    </row>
    <row r="159" spans="1:5" x14ac:dyDescent="0.25">
      <c r="A159" s="30">
        <v>2.6734863064137627E-2</v>
      </c>
      <c r="B159"/>
      <c r="C159"/>
      <c r="D159"/>
      <c r="E159"/>
    </row>
    <row r="160" spans="1:5" x14ac:dyDescent="0.25">
      <c r="A160" s="30">
        <v>2.4304420967397839E-2</v>
      </c>
      <c r="B160"/>
      <c r="C160"/>
      <c r="D160"/>
      <c r="E160"/>
    </row>
    <row r="161" spans="1:5" x14ac:dyDescent="0.25">
      <c r="A161" s="30">
        <v>2.2094928152179852E-2</v>
      </c>
      <c r="B161"/>
      <c r="C161"/>
      <c r="D161"/>
      <c r="E161"/>
    </row>
    <row r="162" spans="1:5" x14ac:dyDescent="0.25">
      <c r="A162" s="30">
        <v>2.0086298320163499E-2</v>
      </c>
      <c r="B162"/>
      <c r="C162"/>
      <c r="D162"/>
      <c r="E162"/>
    </row>
    <row r="163" spans="1:5" x14ac:dyDescent="0.25">
      <c r="A163" s="30">
        <v>1.8260271200148632E-2</v>
      </c>
      <c r="B163"/>
      <c r="C163"/>
      <c r="D163"/>
      <c r="E163"/>
    </row>
    <row r="164" spans="1:5" x14ac:dyDescent="0.25">
      <c r="A164" s="30">
        <v>1.6600246545589663E-2</v>
      </c>
      <c r="B164"/>
      <c r="C164"/>
      <c r="D164"/>
      <c r="E164"/>
    </row>
    <row r="165" spans="1:5" x14ac:dyDescent="0.25">
      <c r="A165" s="30">
        <v>1.5091133223263328E-2</v>
      </c>
      <c r="B165"/>
      <c r="C165"/>
      <c r="D165"/>
      <c r="E165"/>
    </row>
    <row r="166" spans="1:5" x14ac:dyDescent="0.25">
      <c r="A166" s="30">
        <v>1.3719212021148477E-2</v>
      </c>
      <c r="B166"/>
      <c r="C166"/>
      <c r="D166"/>
      <c r="E166"/>
    </row>
    <row r="167" spans="1:5" x14ac:dyDescent="0.25">
      <c r="A167" s="30">
        <v>1.2472010928316795E-2</v>
      </c>
      <c r="B167"/>
      <c r="C167"/>
      <c r="D167"/>
      <c r="E167"/>
    </row>
    <row r="168" spans="1:5" x14ac:dyDescent="0.25">
      <c r="A168" s="30">
        <v>1.1338191753015267E-2</v>
      </c>
      <c r="B168"/>
      <c r="C168"/>
      <c r="D168"/>
      <c r="E168"/>
    </row>
    <row r="169" spans="1:5" x14ac:dyDescent="0.25">
      <c r="A169" s="30">
        <v>1.0307447048195697E-2</v>
      </c>
      <c r="B169"/>
      <c r="C169"/>
      <c r="D169"/>
      <c r="E169"/>
    </row>
    <row r="170" spans="1:5" x14ac:dyDescent="0.25">
      <c r="A170" s="30">
        <v>9.3704064074506318E-3</v>
      </c>
      <c r="B170"/>
      <c r="C170"/>
      <c r="D170"/>
      <c r="E170"/>
    </row>
    <row r="171" spans="1:5" x14ac:dyDescent="0.25">
      <c r="A171" s="30">
        <v>8.5185512795005747E-3</v>
      </c>
    </row>
    <row r="172" spans="1:5" x14ac:dyDescent="0.25">
      <c r="A172" s="30">
        <v>7.744137526818704E-3</v>
      </c>
    </row>
    <row r="173" spans="1:5" x14ac:dyDescent="0.25">
      <c r="A173" s="30">
        <v>7.0401250243806394E-3</v>
      </c>
    </row>
    <row r="174" spans="1:5" x14ac:dyDescent="0.25">
      <c r="A174" s="30">
        <v>6.4001136585278536E-3</v>
      </c>
    </row>
    <row r="175" spans="1:5" x14ac:dyDescent="0.25">
      <c r="A175" s="30">
        <v>5.8182851441162305E-3</v>
      </c>
    </row>
    <row r="176" spans="1:5" x14ac:dyDescent="0.25">
      <c r="A176" s="30">
        <v>5.2893501310147546E-3</v>
      </c>
    </row>
    <row r="177" spans="1:1" x14ac:dyDescent="0.25">
      <c r="A177" s="30">
        <v>4.8085001191043222E-3</v>
      </c>
    </row>
    <row r="178" spans="1:1" x14ac:dyDescent="0.25">
      <c r="A178" s="30">
        <v>4.3713637446402926E-3</v>
      </c>
    </row>
    <row r="179" spans="1:1" x14ac:dyDescent="0.25">
      <c r="A179" s="30">
        <v>3.9739670405820838E-3</v>
      </c>
    </row>
    <row r="180" spans="1:1" x14ac:dyDescent="0.25">
      <c r="A180" s="30">
        <v>3.6126973096200759E-3</v>
      </c>
    </row>
    <row r="181" spans="1:1" x14ac:dyDescent="0.25">
      <c r="A181" s="30">
        <v>3.2842702814727962E-3</v>
      </c>
    </row>
    <row r="182" spans="1:1" x14ac:dyDescent="0.25">
      <c r="A182" s="30">
        <v>2.9857002558843601E-3</v>
      </c>
    </row>
    <row r="183" spans="1:1" x14ac:dyDescent="0.25">
      <c r="A183" s="30">
        <v>2.7142729598948726E-3</v>
      </c>
    </row>
    <row r="184" spans="1:1" x14ac:dyDescent="0.25">
      <c r="A184" s="30">
        <v>2.4675208726317021E-3</v>
      </c>
    </row>
    <row r="185" spans="1:1" x14ac:dyDescent="0.25">
      <c r="A185" s="30">
        <v>2.2432007933015472E-3</v>
      </c>
    </row>
    <row r="186" spans="1:1" x14ac:dyDescent="0.25">
      <c r="A186" s="30">
        <v>2.0392734484559519E-3</v>
      </c>
    </row>
    <row r="187" spans="1:1" x14ac:dyDescent="0.25">
      <c r="A187" s="30">
        <v>1.8538849531417744E-3</v>
      </c>
    </row>
    <row r="188" spans="1:1" x14ac:dyDescent="0.25">
      <c r="A188" s="30">
        <v>1.6853499574016129E-3</v>
      </c>
    </row>
    <row r="189" spans="1:1" x14ac:dyDescent="0.25">
      <c r="A189" s="30">
        <v>1.5321363249105571E-3</v>
      </c>
    </row>
    <row r="190" spans="1:1" x14ac:dyDescent="0.25">
      <c r="A190" s="30">
        <v>1.3928512044641427E-3</v>
      </c>
    </row>
    <row r="191" spans="1:1" x14ac:dyDescent="0.25">
      <c r="A191" s="30">
        <v>1.2662283676946752E-3</v>
      </c>
    </row>
    <row r="192" spans="1:1" x14ac:dyDescent="0.25">
      <c r="A192" s="30">
        <v>1.15111669790425E-3</v>
      </c>
    </row>
    <row r="193" spans="1:1" x14ac:dyDescent="0.25">
      <c r="A193" s="30">
        <v>1.0464697253675E-3</v>
      </c>
    </row>
    <row r="194" spans="1:1" x14ac:dyDescent="0.25">
      <c r="A194" s="30">
        <v>9.5133611397045449E-4</v>
      </c>
    </row>
    <row r="195" spans="1:1" x14ac:dyDescent="0.25">
      <c r="A195" s="30">
        <v>8.6485101270041313E-4</v>
      </c>
    </row>
    <row r="196" spans="1:1" x14ac:dyDescent="0.25">
      <c r="A196" s="30">
        <v>7.862281933640119E-4</v>
      </c>
    </row>
    <row r="197" spans="1:1" x14ac:dyDescent="0.25">
      <c r="A197" s="30">
        <v>7.0760537402761068E-4</v>
      </c>
    </row>
    <row r="198" spans="1:1" x14ac:dyDescent="0.25">
      <c r="A198" s="30">
        <v>6.368448366248496E-4</v>
      </c>
    </row>
    <row r="199" spans="1:1" x14ac:dyDescent="0.25">
      <c r="A199" s="30">
        <v>5.7316035296236471E-4</v>
      </c>
    </row>
    <row r="200" spans="1:1" x14ac:dyDescent="0.25">
      <c r="A200" s="30">
        <v>5.1584431766612821E-4</v>
      </c>
    </row>
    <row r="201" spans="1:1" x14ac:dyDescent="0.25">
      <c r="A201" s="30">
        <v>4.6425988589951538E-4</v>
      </c>
    </row>
    <row r="202" spans="1:1" x14ac:dyDescent="0.25">
      <c r="A202" s="30">
        <v>4.1783389730956383E-4</v>
      </c>
    </row>
    <row r="203" spans="1:1" x14ac:dyDescent="0.25">
      <c r="A203" s="30">
        <v>3.7605050757860746E-4</v>
      </c>
    </row>
    <row r="204" spans="1:1" x14ac:dyDescent="0.25">
      <c r="A204" s="30">
        <v>3.3844545682074675E-4</v>
      </c>
    </row>
    <row r="205" spans="1:1" x14ac:dyDescent="0.25">
      <c r="A205" s="30">
        <v>3.0460091113867208E-4</v>
      </c>
    </row>
    <row r="206" spans="1:1" x14ac:dyDescent="0.25">
      <c r="A206" s="30">
        <v>2.7414082002480487E-4</v>
      </c>
    </row>
    <row r="207" spans="1:1" x14ac:dyDescent="0.25">
      <c r="A207" s="30">
        <v>2.4672673802232442E-4</v>
      </c>
    </row>
    <row r="208" spans="1:1" x14ac:dyDescent="0.25">
      <c r="A208" s="30">
        <v>2.2205406422009198E-4</v>
      </c>
    </row>
    <row r="209" spans="1:1" x14ac:dyDescent="0.25">
      <c r="A209" s="30">
        <v>1.998486577980828E-4</v>
      </c>
    </row>
    <row r="210" spans="1:1" x14ac:dyDescent="0.25">
      <c r="A210" s="30">
        <v>1.7986379201827453E-4</v>
      </c>
    </row>
    <row r="211" spans="1:1" x14ac:dyDescent="0.25">
      <c r="A211" s="30">
        <v>1.6187741281644709E-4</v>
      </c>
    </row>
    <row r="212" spans="1:1" x14ac:dyDescent="0.25">
      <c r="A212" s="30">
        <v>1.4568967153480238E-4</v>
      </c>
    </row>
    <row r="213" spans="1:1" x14ac:dyDescent="0.25">
      <c r="A213" s="30">
        <v>1.3112070438132215E-4</v>
      </c>
    </row>
    <row r="214" spans="1:1" x14ac:dyDescent="0.25">
      <c r="A214" s="30">
        <v>1.1800863394318995E-4</v>
      </c>
    </row>
    <row r="215" spans="1:1" x14ac:dyDescent="0.25">
      <c r="A215" s="30">
        <v>1.0620777054887096E-4</v>
      </c>
    </row>
    <row r="216" spans="1:1" x14ac:dyDescent="0.25">
      <c r="A216" s="30">
        <v>9.5586993493983861E-5</v>
      </c>
    </row>
    <row r="217" spans="1:1" x14ac:dyDescent="0.25">
      <c r="A217" s="30">
        <v>8.6028294144585476E-5</v>
      </c>
    </row>
    <row r="218" spans="1:1" x14ac:dyDescent="0.25">
      <c r="A218" s="30">
        <v>7.7425464730126924E-5</v>
      </c>
    </row>
    <row r="219" spans="1:1" x14ac:dyDescent="0.25">
      <c r="A219" s="30">
        <v>6.9682918257114228E-5</v>
      </c>
    </row>
    <row r="220" spans="1:1" x14ac:dyDescent="0.25">
      <c r="A220" s="30">
        <v>6.2714626431402813E-5</v>
      </c>
    </row>
    <row r="221" spans="1:1" x14ac:dyDescent="0.25">
      <c r="A221" s="30">
        <v>5.6443163788262536E-5</v>
      </c>
    </row>
    <row r="222" spans="1:1" x14ac:dyDescent="0.25">
      <c r="A222" s="30">
        <v>5.0798847409436286E-5</v>
      </c>
    </row>
    <row r="223" spans="1:1" x14ac:dyDescent="0.25">
      <c r="A223" s="30">
        <v>4.5718962668492656E-5</v>
      </c>
    </row>
    <row r="224" spans="1:1" x14ac:dyDescent="0.25">
      <c r="A224" s="30">
        <v>4.1147066401643391E-5</v>
      </c>
    </row>
    <row r="225" spans="1:1" x14ac:dyDescent="0.25">
      <c r="A225" s="30">
        <v>3.7032359761479051E-5</v>
      </c>
    </row>
    <row r="226" spans="1:1" x14ac:dyDescent="0.25">
      <c r="A226" s="30">
        <v>3.3329123785331146E-5</v>
      </c>
    </row>
    <row r="227" spans="1:1" x14ac:dyDescent="0.25">
      <c r="A227" s="30">
        <v>2.9996211406798031E-5</v>
      </c>
    </row>
    <row r="228" spans="1:1" x14ac:dyDescent="0.25">
      <c r="A228" s="30">
        <v>2.6996590266118227E-5</v>
      </c>
    </row>
    <row r="229" spans="1:1" x14ac:dyDescent="0.25">
      <c r="A229" s="30">
        <v>2.4296931239506405E-5</v>
      </c>
    </row>
    <row r="230" spans="1:1" x14ac:dyDescent="0.25">
      <c r="A230" s="30">
        <v>2.1867238115555765E-5</v>
      </c>
    </row>
    <row r="231" spans="1:1" x14ac:dyDescent="0.25">
      <c r="A231" s="30">
        <v>1.968051430400019E-5</v>
      </c>
    </row>
    <row r="232" spans="1:1" x14ac:dyDescent="0.25">
      <c r="A232" s="30">
        <v>1.7712462873600173E-5</v>
      </c>
    </row>
    <row r="233" spans="1:1" x14ac:dyDescent="0.25">
      <c r="A233" s="30">
        <v>1.5941216586240156E-5</v>
      </c>
    </row>
    <row r="234" spans="1:1" x14ac:dyDescent="0.25">
      <c r="A234" s="30">
        <v>1.434709492761614E-5</v>
      </c>
    </row>
    <row r="235" spans="1:1" x14ac:dyDescent="0.25">
      <c r="A235" s="30">
        <v>1.2912385434854527E-5</v>
      </c>
    </row>
    <row r="236" spans="1:1" x14ac:dyDescent="0.25">
      <c r="A236" s="30">
        <v>1.1621146891369075E-5</v>
      </c>
    </row>
    <row r="237" spans="1:1" x14ac:dyDescent="0.25">
      <c r="A237" s="30">
        <v>1.0459032202232167E-5</v>
      </c>
    </row>
    <row r="238" spans="1:1" x14ac:dyDescent="0.25">
      <c r="A238" s="30">
        <v>9.4131289820089515E-6</v>
      </c>
    </row>
    <row r="239" spans="1:1" x14ac:dyDescent="0.25">
      <c r="A239" s="30">
        <v>8.4718160838080567E-6</v>
      </c>
    </row>
    <row r="240" spans="1:1" x14ac:dyDescent="0.25">
      <c r="A240" s="30">
        <v>7.6246344754272515E-6</v>
      </c>
    </row>
    <row r="241" spans="1:1" x14ac:dyDescent="0.25">
      <c r="A241" s="30">
        <v>6.8621710278845262E-6</v>
      </c>
    </row>
    <row r="242" spans="1:1" x14ac:dyDescent="0.25">
      <c r="A242" s="30">
        <v>6.1759539250960733E-6</v>
      </c>
    </row>
    <row r="243" spans="1:1" x14ac:dyDescent="0.25">
      <c r="A243" s="30">
        <v>5.5583585325864661E-6</v>
      </c>
    </row>
    <row r="244" spans="1:1" x14ac:dyDescent="0.25">
      <c r="A244" s="30">
        <v>5.0025226793278193E-6</v>
      </c>
    </row>
    <row r="245" spans="1:1" x14ac:dyDescent="0.25">
      <c r="A245" s="30">
        <v>4.5022704113950371E-6</v>
      </c>
    </row>
    <row r="246" spans="1:1" x14ac:dyDescent="0.25">
      <c r="A246" s="30">
        <v>4.0520433702555336E-6</v>
      </c>
    </row>
    <row r="247" spans="1:1" x14ac:dyDescent="0.25">
      <c r="A247" s="30">
        <v>3.6468390332299805E-6</v>
      </c>
    </row>
    <row r="248" spans="1:1" x14ac:dyDescent="0.25">
      <c r="A248" s="30">
        <v>3.2821551299069824E-6</v>
      </c>
    </row>
    <row r="249" spans="1:1" x14ac:dyDescent="0.25">
      <c r="A249" s="30">
        <v>2.9539396169162842E-6</v>
      </c>
    </row>
    <row r="250" spans="1:1" x14ac:dyDescent="0.25">
      <c r="A250" s="30">
        <v>2.6585456552246558E-6</v>
      </c>
    </row>
    <row r="251" spans="1:1" x14ac:dyDescent="0.25">
      <c r="A251" s="30">
        <v>2.39269108970219E-6</v>
      </c>
    </row>
    <row r="252" spans="1:1" x14ac:dyDescent="0.25">
      <c r="A252" s="30">
        <v>2.1534219807319713E-6</v>
      </c>
    </row>
    <row r="253" spans="1:1" x14ac:dyDescent="0.25">
      <c r="A253" s="30">
        <v>1.9380797826587742E-6</v>
      </c>
    </row>
    <row r="254" spans="1:1" x14ac:dyDescent="0.25">
      <c r="A254" s="30">
        <v>1.7442718043928968E-6</v>
      </c>
    </row>
    <row r="255" spans="1:1" x14ac:dyDescent="0.25">
      <c r="A255" s="30">
        <v>1.5698446239536072E-6</v>
      </c>
    </row>
    <row r="256" spans="1:1" x14ac:dyDescent="0.25">
      <c r="A256" s="30">
        <v>1.4128601615582464E-6</v>
      </c>
    </row>
    <row r="257" spans="1:1" x14ac:dyDescent="0.25">
      <c r="A257" s="30">
        <v>1.2715741454024219E-6</v>
      </c>
    </row>
    <row r="258" spans="1:1" x14ac:dyDescent="0.25">
      <c r="A258" s="30">
        <v>1.1444167308621797E-6</v>
      </c>
    </row>
    <row r="259" spans="1:1" x14ac:dyDescent="0.25">
      <c r="A259" s="30">
        <v>1.0299750577759617E-6</v>
      </c>
    </row>
    <row r="260" spans="1:1" x14ac:dyDescent="0.25">
      <c r="A260" s="30">
        <v>9.2697755199836562E-7</v>
      </c>
    </row>
    <row r="261" spans="1:1" x14ac:dyDescent="0.25">
      <c r="A261" s="30">
        <v>8.3427979679852907E-7</v>
      </c>
    </row>
    <row r="262" spans="1:1" x14ac:dyDescent="0.25">
      <c r="A262" s="30">
        <v>7.508518171186762E-7</v>
      </c>
    </row>
    <row r="263" spans="1:1" x14ac:dyDescent="0.25">
      <c r="A263" s="30">
        <v>6.7576663540680858E-7</v>
      </c>
    </row>
    <row r="264" spans="1:1" x14ac:dyDescent="0.25">
      <c r="A264" s="30">
        <v>6.0818997186612771E-7</v>
      </c>
    </row>
    <row r="265" spans="1:1" x14ac:dyDescent="0.25">
      <c r="A265" s="30">
        <v>5.4737097467951492E-7</v>
      </c>
    </row>
    <row r="266" spans="1:1" x14ac:dyDescent="0.25">
      <c r="A266" s="30">
        <v>4.9263387721156344E-7</v>
      </c>
    </row>
    <row r="267" spans="1:1" x14ac:dyDescent="0.25">
      <c r="A267" s="30">
        <v>4.4337048949040709E-7</v>
      </c>
    </row>
    <row r="268" spans="1:1" x14ac:dyDescent="0.25">
      <c r="A268" s="30">
        <v>3.9903344054136637E-7</v>
      </c>
    </row>
    <row r="269" spans="1:1" x14ac:dyDescent="0.25">
      <c r="A269" s="30">
        <v>3.5913009648722975E-7</v>
      </c>
    </row>
    <row r="270" spans="1:1" x14ac:dyDescent="0.25">
      <c r="A270" s="30">
        <v>3.2321708683850679E-7</v>
      </c>
    </row>
    <row r="271" spans="1:1" x14ac:dyDescent="0.25">
      <c r="A271" s="30">
        <v>2.908953781546561E-7</v>
      </c>
    </row>
    <row r="272" spans="1:1" x14ac:dyDescent="0.25">
      <c r="A272" s="30">
        <v>2.6180584033919052E-7</v>
      </c>
    </row>
    <row r="273" spans="1:1" x14ac:dyDescent="0.25">
      <c r="A273" s="30">
        <v>2.3562525630527146E-7</v>
      </c>
    </row>
    <row r="274" spans="1:1" x14ac:dyDescent="0.25">
      <c r="A274" s="30">
        <v>2.1206273067474431E-7</v>
      </c>
    </row>
    <row r="275" spans="1:1" x14ac:dyDescent="0.25">
      <c r="A275" s="30">
        <v>1.9085645760726988E-7</v>
      </c>
    </row>
    <row r="276" spans="1:1" x14ac:dyDescent="0.25">
      <c r="A276" s="30">
        <v>1.717708118465429E-7</v>
      </c>
    </row>
    <row r="277" spans="1:1" x14ac:dyDescent="0.25">
      <c r="A277" s="30">
        <v>1.5459373066188861E-7</v>
      </c>
    </row>
    <row r="278" spans="1:1" x14ac:dyDescent="0.25">
      <c r="A278" s="30">
        <v>1.3913435759569975E-7</v>
      </c>
    </row>
    <row r="279" spans="1:1" x14ac:dyDescent="0.25">
      <c r="A279" s="30">
        <v>1.2522092183612977E-7</v>
      </c>
    </row>
    <row r="280" spans="1:1" x14ac:dyDescent="0.25">
      <c r="A280" s="30">
        <v>1.1269882965251679E-7</v>
      </c>
    </row>
    <row r="281" spans="1:1" x14ac:dyDescent="0.25">
      <c r="A281" s="30">
        <v>1.0142894668726512E-7</v>
      </c>
    </row>
    <row r="282" spans="1:1" x14ac:dyDescent="0.25">
      <c r="A282" s="30">
        <v>9.1286052018538604E-8</v>
      </c>
    </row>
    <row r="283" spans="1:1" x14ac:dyDescent="0.25">
      <c r="A283" s="30">
        <v>8.2157446816684752E-8</v>
      </c>
    </row>
    <row r="284" spans="1:1" x14ac:dyDescent="0.25">
      <c r="A284" s="30">
        <v>7.3941702135016276E-8</v>
      </c>
    </row>
    <row r="285" spans="1:1" x14ac:dyDescent="0.25">
      <c r="A285" s="30">
        <v>6.6547531921514646E-8</v>
      </c>
    </row>
    <row r="286" spans="1:1" x14ac:dyDescent="0.25">
      <c r="A286" s="30">
        <v>5.9892778729363178E-8</v>
      </c>
    </row>
    <row r="287" spans="1:1" x14ac:dyDescent="0.25">
      <c r="A287" s="30">
        <v>5.3903500856426864E-8</v>
      </c>
    </row>
    <row r="288" spans="1:1" x14ac:dyDescent="0.25">
      <c r="A288" s="30">
        <v>4.851315077078418E-8</v>
      </c>
    </row>
    <row r="289" spans="1:1" x14ac:dyDescent="0.25">
      <c r="A289" s="30">
        <v>4.3661835693705764E-8</v>
      </c>
    </row>
    <row r="290" spans="1:1" x14ac:dyDescent="0.25">
      <c r="A290" s="30">
        <v>3.929565212433519E-8</v>
      </c>
    </row>
    <row r="291" spans="1:1" x14ac:dyDescent="0.25">
      <c r="A291" s="30">
        <v>3.536608691190167E-8</v>
      </c>
    </row>
    <row r="292" spans="1:1" x14ac:dyDescent="0.25">
      <c r="A292" s="30">
        <v>3.1829478220711501E-8</v>
      </c>
    </row>
    <row r="293" spans="1:1" x14ac:dyDescent="0.25">
      <c r="A293" s="30">
        <v>2.8646530398640351E-8</v>
      </c>
    </row>
    <row r="294" spans="1:1" x14ac:dyDescent="0.25">
      <c r="A294" s="30">
        <v>2.5781877358776315E-8</v>
      </c>
    </row>
    <row r="295" spans="1:1" x14ac:dyDescent="0.25">
      <c r="A295" s="30">
        <v>2.3203689622898683E-8</v>
      </c>
    </row>
    <row r="296" spans="1:1" x14ac:dyDescent="0.25">
      <c r="A296" s="30">
        <v>2.0883320660608816E-8</v>
      </c>
    </row>
    <row r="297" spans="1:1" x14ac:dyDescent="0.25">
      <c r="A297" s="30">
        <v>1.8794988594547934E-8</v>
      </c>
    </row>
    <row r="298" spans="1:1" x14ac:dyDescent="0.25">
      <c r="A298" s="30">
        <v>1.6915489735093139E-8</v>
      </c>
    </row>
    <row r="299" spans="1:1" x14ac:dyDescent="0.25">
      <c r="A299" s="30">
        <v>1.5223940761583825E-8</v>
      </c>
    </row>
    <row r="300" spans="1:1" x14ac:dyDescent="0.25">
      <c r="A300" s="30">
        <v>1.3701546685425444E-8</v>
      </c>
    </row>
    <row r="301" spans="1:1" x14ac:dyDescent="0.25">
      <c r="A301" s="30">
        <v>1.2331392016882899E-8</v>
      </c>
    </row>
    <row r="302" spans="1:1" x14ac:dyDescent="0.25">
      <c r="A302" s="30">
        <v>1.1098252815194609E-8</v>
      </c>
    </row>
    <row r="303" spans="1:1" x14ac:dyDescent="0.25">
      <c r="A303" s="30">
        <v>9.9884275336751485E-9</v>
      </c>
    </row>
    <row r="304" spans="1:1" x14ac:dyDescent="0.25">
      <c r="A304" s="30">
        <v>8.9895847803076335E-9</v>
      </c>
    </row>
    <row r="305" spans="1:1" x14ac:dyDescent="0.25">
      <c r="A305" s="30">
        <v>8.0906263022768703E-9</v>
      </c>
    </row>
    <row r="306" spans="1:1" x14ac:dyDescent="0.25">
      <c r="A306" s="30">
        <v>7.2815636720491835E-9</v>
      </c>
    </row>
    <row r="307" spans="1:1" x14ac:dyDescent="0.25">
      <c r="A307" s="30">
        <v>6.553407304844265E-9</v>
      </c>
    </row>
    <row r="308" spans="1:1" x14ac:dyDescent="0.25">
      <c r="A308" s="30">
        <v>5.8980665743598385E-9</v>
      </c>
    </row>
    <row r="309" spans="1:1" x14ac:dyDescent="0.25">
      <c r="A309" s="30">
        <v>5.3082599169238552E-9</v>
      </c>
    </row>
    <row r="310" spans="1:1" x14ac:dyDescent="0.25">
      <c r="A310" s="30">
        <v>4.7774339252314701E-9</v>
      </c>
    </row>
    <row r="311" spans="1:1" x14ac:dyDescent="0.25">
      <c r="A311" s="30">
        <v>4.2996905327083231E-9</v>
      </c>
    </row>
    <row r="312" spans="1:1" x14ac:dyDescent="0.25">
      <c r="A312" s="30">
        <v>3.8697214794374908E-9</v>
      </c>
    </row>
    <row r="313" spans="1:1" x14ac:dyDescent="0.25">
      <c r="A313" s="30">
        <v>3.4827493314937417E-9</v>
      </c>
    </row>
    <row r="314" spans="1:1" x14ac:dyDescent="0.25">
      <c r="A314" s="30">
        <v>3.1344743983443674E-9</v>
      </c>
    </row>
    <row r="315" spans="1:1" x14ac:dyDescent="0.25">
      <c r="A315" s="30">
        <v>2.8210269585099307E-9</v>
      </c>
    </row>
    <row r="316" spans="1:1" x14ac:dyDescent="0.25">
      <c r="A316" s="30">
        <v>2.5389242626589379E-9</v>
      </c>
    </row>
    <row r="317" spans="1:1" x14ac:dyDescent="0.25">
      <c r="A317" s="30">
        <v>2.285031836393044E-9</v>
      </c>
    </row>
    <row r="318" spans="1:1" x14ac:dyDescent="0.25">
      <c r="A318" s="30">
        <v>2.0565286527537398E-9</v>
      </c>
    </row>
    <row r="319" spans="1:1" x14ac:dyDescent="0.25">
      <c r="A319" s="30">
        <v>1.8508757874783659E-9</v>
      </c>
    </row>
    <row r="320" spans="1:1" x14ac:dyDescent="0.25">
      <c r="A320" s="30">
        <v>1.6657882087305294E-9</v>
      </c>
    </row>
    <row r="321" spans="1:1" x14ac:dyDescent="0.25">
      <c r="A321" s="30">
        <v>1.4992093878574765E-9</v>
      </c>
    </row>
    <row r="322" spans="1:1" x14ac:dyDescent="0.25">
      <c r="A322" s="30">
        <v>1.3492884490717289E-9</v>
      </c>
    </row>
    <row r="323" spans="1:1" x14ac:dyDescent="0.25">
      <c r="A323" s="30">
        <v>1.214359604164556E-9</v>
      </c>
    </row>
    <row r="324" spans="1:1" x14ac:dyDescent="0.25">
      <c r="A324" s="30">
        <v>1.0929236437481004E-9</v>
      </c>
    </row>
    <row r="325" spans="1:1" x14ac:dyDescent="0.25">
      <c r="A325" s="30">
        <v>9.8363127937329029E-10</v>
      </c>
    </row>
    <row r="326" spans="1:1" x14ac:dyDescent="0.25">
      <c r="A326" s="30">
        <v>8.8526815143596126E-10</v>
      </c>
    </row>
    <row r="327" spans="1:1" x14ac:dyDescent="0.25">
      <c r="A327" s="30">
        <v>7.967413362923651E-10</v>
      </c>
    </row>
    <row r="328" spans="1:1" x14ac:dyDescent="0.25">
      <c r="A328" s="30">
        <v>7.1706720266312858E-10</v>
      </c>
    </row>
    <row r="329" spans="1:1" x14ac:dyDescent="0.25">
      <c r="A329" s="30">
        <v>6.4536048239681569E-10</v>
      </c>
    </row>
    <row r="330" spans="1:1" x14ac:dyDescent="0.25">
      <c r="A330" s="30">
        <v>5.8082443415713415E-10</v>
      </c>
    </row>
    <row r="331" spans="1:1" x14ac:dyDescent="0.25">
      <c r="A331" s="30">
        <v>5.2274199074142077E-10</v>
      </c>
    </row>
    <row r="332" spans="1:1" x14ac:dyDescent="0.25">
      <c r="A332" s="30">
        <v>4.7046779166727869E-10</v>
      </c>
    </row>
    <row r="333" spans="1:1" x14ac:dyDescent="0.25">
      <c r="A333" s="30">
        <v>4.2342101250055083E-10</v>
      </c>
    </row>
    <row r="334" spans="1:1" x14ac:dyDescent="0.25">
      <c r="A334" s="30">
        <v>3.8107891125049577E-10</v>
      </c>
    </row>
    <row r="335" spans="1:1" x14ac:dyDescent="0.25">
      <c r="A335" s="30">
        <v>3.4297102012544618E-10</v>
      </c>
    </row>
    <row r="336" spans="1:1" x14ac:dyDescent="0.25">
      <c r="A336" s="30">
        <v>3.0867391811290155E-10</v>
      </c>
    </row>
    <row r="337" spans="1:1" x14ac:dyDescent="0.25">
      <c r="A337" s="30">
        <v>2.7780652630161142E-10</v>
      </c>
    </row>
    <row r="338" spans="1:1" x14ac:dyDescent="0.25">
      <c r="A338" s="30">
        <v>2.5002587367145027E-10</v>
      </c>
    </row>
    <row r="339" spans="1:1" x14ac:dyDescent="0.25">
      <c r="A339" s="30">
        <v>2.2502328630430526E-10</v>
      </c>
    </row>
    <row r="340" spans="1:1" x14ac:dyDescent="0.25">
      <c r="A340" s="30">
        <v>2.0252095767387472E-10</v>
      </c>
    </row>
    <row r="341" spans="1:1" x14ac:dyDescent="0.25">
      <c r="A341" s="30">
        <v>1.8226886190648727E-10</v>
      </c>
    </row>
    <row r="342" spans="1:1" x14ac:dyDescent="0.25">
      <c r="A342" s="30">
        <v>1.6404197571583855E-10</v>
      </c>
    </row>
    <row r="343" spans="1:1" x14ac:dyDescent="0.25">
      <c r="A343" s="30">
        <v>1.4763777814425471E-10</v>
      </c>
    </row>
    <row r="344" spans="1:1" x14ac:dyDescent="0.25">
      <c r="A344" s="30">
        <v>1.3287400032982923E-10</v>
      </c>
    </row>
    <row r="345" spans="1:1" x14ac:dyDescent="0.25">
      <c r="A345" s="30">
        <v>1.1958660029684632E-10</v>
      </c>
    </row>
    <row r="346" spans="1:1" x14ac:dyDescent="0.25">
      <c r="A346" s="30">
        <v>1.0762794026716169E-10</v>
      </c>
    </row>
    <row r="347" spans="1:1" x14ac:dyDescent="0.25">
      <c r="A347" s="30">
        <v>9.686514624044552E-11</v>
      </c>
    </row>
    <row r="348" spans="1:1" x14ac:dyDescent="0.25">
      <c r="A348" s="30">
        <v>8.7178631616400964E-11</v>
      </c>
    </row>
    <row r="349" spans="1:1" x14ac:dyDescent="0.25">
      <c r="A349" s="30">
        <v>7.8460768454760866E-11</v>
      </c>
    </row>
    <row r="350" spans="1:1" x14ac:dyDescent="0.25">
      <c r="A350" s="30">
        <v>7.0614691609284776E-11</v>
      </c>
    </row>
    <row r="351" spans="1:1" x14ac:dyDescent="0.25">
      <c r="A351" s="30">
        <v>6.3553222448356295E-11</v>
      </c>
    </row>
    <row r="352" spans="1:1" x14ac:dyDescent="0.25">
      <c r="A352" s="30">
        <v>5.7197900203520665E-11</v>
      </c>
    </row>
    <row r="353" spans="1:1" x14ac:dyDescent="0.25">
      <c r="A353" s="30">
        <v>5.1478110183168601E-11</v>
      </c>
    </row>
    <row r="354" spans="1:1" x14ac:dyDescent="0.25">
      <c r="A354" s="30">
        <v>4.633029916485174E-11</v>
      </c>
    </row>
    <row r="355" spans="1:1" x14ac:dyDescent="0.25">
      <c r="A355" s="30">
        <v>4.1697269248366565E-11</v>
      </c>
    </row>
    <row r="356" spans="1:1" x14ac:dyDescent="0.25">
      <c r="A356" s="30">
        <v>3.7527542323529907E-11</v>
      </c>
    </row>
    <row r="357" spans="1:1" x14ac:dyDescent="0.25">
      <c r="A357" s="30">
        <v>3.3774788091176915E-11</v>
      </c>
    </row>
    <row r="358" spans="1:1" x14ac:dyDescent="0.25">
      <c r="A358" s="30">
        <v>3.0397309282059222E-11</v>
      </c>
    </row>
    <row r="359" spans="1:1" x14ac:dyDescent="0.25">
      <c r="A359" s="30">
        <v>2.7357578353853301E-11</v>
      </c>
    </row>
    <row r="360" spans="1:1" x14ac:dyDescent="0.25">
      <c r="A360" s="30">
        <v>2.4621820518467972E-11</v>
      </c>
    </row>
    <row r="361" spans="1:1" x14ac:dyDescent="0.25">
      <c r="A361" s="30">
        <v>2.2159638466621177E-11</v>
      </c>
    </row>
    <row r="362" spans="1:1" x14ac:dyDescent="0.25">
      <c r="A362" s="30">
        <v>1.994367461995906E-11</v>
      </c>
    </row>
    <row r="363" spans="1:1" x14ac:dyDescent="0.25">
      <c r="A363" s="30">
        <v>1.7949307157963154E-11</v>
      </c>
    </row>
    <row r="364" spans="1:1" x14ac:dyDescent="0.25">
      <c r="A364" s="30">
        <v>1.615437644216684E-11</v>
      </c>
    </row>
    <row r="365" spans="1:1" x14ac:dyDescent="0.25">
      <c r="A365" s="30">
        <v>1.4538938797950156E-11</v>
      </c>
    </row>
    <row r="366" spans="1:1" x14ac:dyDescent="0.25">
      <c r="A366" s="30">
        <v>1.308504491815514E-11</v>
      </c>
    </row>
    <row r="367" spans="1:1" x14ac:dyDescent="0.25">
      <c r="A367" s="30">
        <v>1.1776540426339626E-11</v>
      </c>
    </row>
    <row r="368" spans="1:1" x14ac:dyDescent="0.25">
      <c r="A368" s="30">
        <v>1.0598886383705664E-11</v>
      </c>
    </row>
    <row r="369" spans="1:1" x14ac:dyDescent="0.25">
      <c r="A369" s="30">
        <v>9.5389977453350987E-12</v>
      </c>
    </row>
    <row r="370" spans="1:1" x14ac:dyDescent="0.25">
      <c r="A370" s="30">
        <v>8.5850979708015893E-12</v>
      </c>
    </row>
    <row r="371" spans="1:1" x14ac:dyDescent="0.25">
      <c r="A371" s="30">
        <v>7.7265881737214303E-12</v>
      </c>
    </row>
    <row r="372" spans="1:1" x14ac:dyDescent="0.25">
      <c r="A372" s="30">
        <v>6.9539293563492874E-12</v>
      </c>
    </row>
    <row r="373" spans="1:1" x14ac:dyDescent="0.25">
      <c r="A373" s="30">
        <v>6.2585364207143591E-12</v>
      </c>
    </row>
    <row r="374" spans="1:1" x14ac:dyDescent="0.25">
      <c r="A374" s="30">
        <v>5.632682778642923E-12</v>
      </c>
    </row>
    <row r="375" spans="1:1" x14ac:dyDescent="0.25">
      <c r="A375" s="30">
        <v>5.0694145007786311E-12</v>
      </c>
    </row>
    <row r="376" spans="1:1" x14ac:dyDescent="0.25">
      <c r="A376" s="30">
        <v>4.5624730507007684E-12</v>
      </c>
    </row>
    <row r="377" spans="1:1" x14ac:dyDescent="0.25">
      <c r="A377" s="30">
        <v>4.1062257456306914E-12</v>
      </c>
    </row>
    <row r="378" spans="1:1" x14ac:dyDescent="0.25">
      <c r="A378" s="30">
        <v>3.6956031710676221E-12</v>
      </c>
    </row>
    <row r="379" spans="1:1" x14ac:dyDescent="0.25">
      <c r="A379" s="30">
        <v>3.3260428539608601E-12</v>
      </c>
    </row>
    <row r="380" spans="1:1" x14ac:dyDescent="0.25">
      <c r="A380" s="30">
        <v>2.9934385685647741E-12</v>
      </c>
    </row>
    <row r="381" spans="1:1" x14ac:dyDescent="0.25">
      <c r="A381" s="30">
        <v>2.6940947117082966E-12</v>
      </c>
    </row>
    <row r="382" spans="1:1" x14ac:dyDescent="0.25">
      <c r="A382" s="30">
        <v>2.4246852405374669E-12</v>
      </c>
    </row>
    <row r="383" spans="1:1" x14ac:dyDescent="0.25">
      <c r="A383" s="30">
        <v>2.1822167164837201E-12</v>
      </c>
    </row>
    <row r="384" spans="1:1" x14ac:dyDescent="0.25">
      <c r="A384" s="30">
        <v>1.9639950448353481E-12</v>
      </c>
    </row>
    <row r="385" spans="1:1" x14ac:dyDescent="0.25">
      <c r="A385" s="30">
        <v>1.7675955403518133E-12</v>
      </c>
    </row>
    <row r="386" spans="1:1" x14ac:dyDescent="0.25">
      <c r="A386" s="30">
        <v>1.5908359863166319E-12</v>
      </c>
    </row>
    <row r="387" spans="1:1" x14ac:dyDescent="0.25">
      <c r="A387" s="30">
        <v>1.4317523876849688E-12</v>
      </c>
    </row>
    <row r="388" spans="1:1" x14ac:dyDescent="0.25">
      <c r="A388" s="30">
        <v>1.2885771489164719E-12</v>
      </c>
    </row>
    <row r="389" spans="1:1" x14ac:dyDescent="0.25">
      <c r="A389" s="30">
        <v>1.1597194340248247E-12</v>
      </c>
    </row>
    <row r="390" spans="1:1" x14ac:dyDescent="0.25">
      <c r="A390" s="30">
        <v>1.0437474906223423E-12</v>
      </c>
    </row>
    <row r="391" spans="1:1" x14ac:dyDescent="0.25">
      <c r="A391" s="30">
        <v>9.3937274156010802E-13</v>
      </c>
    </row>
    <row r="392" spans="1:1" x14ac:dyDescent="0.25">
      <c r="A392" s="30">
        <v>8.4543546740409726E-13</v>
      </c>
    </row>
    <row r="393" spans="1:1" x14ac:dyDescent="0.25">
      <c r="A393" s="30">
        <v>7.608919206636876E-13</v>
      </c>
    </row>
    <row r="394" spans="1:1" x14ac:dyDescent="0.25">
      <c r="A394" s="30">
        <v>6.8480272859731885E-13</v>
      </c>
    </row>
    <row r="395" spans="1:1" x14ac:dyDescent="0.25">
      <c r="A395" s="30">
        <v>6.16322455737587E-13</v>
      </c>
    </row>
    <row r="396" spans="1:1" x14ac:dyDescent="0.25">
      <c r="A396" s="30">
        <v>5.5469021016382834E-13</v>
      </c>
    </row>
    <row r="397" spans="1:1" x14ac:dyDescent="0.25">
      <c r="A397" s="30">
        <v>4.9922118914744555E-13</v>
      </c>
    </row>
    <row r="398" spans="1:1" x14ac:dyDescent="0.25">
      <c r="A398" s="30">
        <v>4.4929907023270098E-13</v>
      </c>
    </row>
    <row r="399" spans="1:1" x14ac:dyDescent="0.25">
      <c r="A399" s="30">
        <v>4.0436916320943091E-13</v>
      </c>
    </row>
    <row r="400" spans="1:1" x14ac:dyDescent="0.25">
      <c r="A400" s="30">
        <v>3.6393224688848781E-13</v>
      </c>
    </row>
    <row r="401" spans="1:1" x14ac:dyDescent="0.25">
      <c r="A401" s="30">
        <v>3.2753902219963903E-13</v>
      </c>
    </row>
    <row r="402" spans="1:1" x14ac:dyDescent="0.25">
      <c r="A402" s="30">
        <v>2.9478511997967513E-13</v>
      </c>
    </row>
    <row r="403" spans="1:1" x14ac:dyDescent="0.25">
      <c r="A403" s="30">
        <v>2.6530660798170763E-13</v>
      </c>
    </row>
    <row r="404" spans="1:1" x14ac:dyDescent="0.25">
      <c r="A404" s="30">
        <v>2.3877594718353686E-13</v>
      </c>
    </row>
    <row r="405" spans="1:1" x14ac:dyDescent="0.25">
      <c r="A405" s="30">
        <v>2.1489835246518316E-13</v>
      </c>
    </row>
    <row r="406" spans="1:1" x14ac:dyDescent="0.25">
      <c r="A406" s="30">
        <v>1.9340851721866486E-13</v>
      </c>
    </row>
    <row r="407" spans="1:1" x14ac:dyDescent="0.25">
      <c r="A407" s="30">
        <v>1.7406766549679839E-13</v>
      </c>
    </row>
    <row r="408" spans="1:1" x14ac:dyDescent="0.25">
      <c r="A408" s="30">
        <v>1.5666089894711856E-13</v>
      </c>
    </row>
    <row r="409" spans="1:1" x14ac:dyDescent="0.25">
      <c r="A409" s="30">
        <v>1.4099480905240672E-13</v>
      </c>
    </row>
    <row r="410" spans="1:1" x14ac:dyDescent="0.25">
      <c r="A410" s="30">
        <v>1.2689532814716606E-13</v>
      </c>
    </row>
    <row r="411" spans="1:1" x14ac:dyDescent="0.25">
      <c r="A411" s="30">
        <v>1.1420579533244944E-13</v>
      </c>
    </row>
    <row r="412" spans="1:1" x14ac:dyDescent="0.25">
      <c r="A412" s="30">
        <v>1.0278521579920451E-13</v>
      </c>
    </row>
    <row r="413" spans="1:1" x14ac:dyDescent="0.25">
      <c r="A413" s="30">
        <v>9.2506694219284062E-14</v>
      </c>
    </row>
    <row r="414" spans="1:1" x14ac:dyDescent="0.25">
      <c r="A414" s="30">
        <v>8.3256024797355662E-14</v>
      </c>
    </row>
    <row r="415" spans="1:1" x14ac:dyDescent="0.25">
      <c r="A415" s="30">
        <v>7.4930422317620103E-14</v>
      </c>
    </row>
    <row r="416" spans="1:1" x14ac:dyDescent="0.25">
      <c r="A416" s="30">
        <v>6.7437380085858099E-14</v>
      </c>
    </row>
    <row r="417" spans="1:1" x14ac:dyDescent="0.25">
      <c r="A417" s="30">
        <v>6.0693642077272288E-14</v>
      </c>
    </row>
    <row r="418" spans="1:1" x14ac:dyDescent="0.25">
      <c r="A418" s="30">
        <v>5.4624277869545061E-14</v>
      </c>
    </row>
    <row r="419" spans="1:1" x14ac:dyDescent="0.25">
      <c r="A419" s="30">
        <v>4.9161850082590553E-14</v>
      </c>
    </row>
    <row r="420" spans="1:1" x14ac:dyDescent="0.25">
      <c r="A420" s="30">
        <v>4.4245665074331497E-14</v>
      </c>
    </row>
    <row r="421" spans="1:1" x14ac:dyDescent="0.25">
      <c r="A421" s="30">
        <v>3.9821098566898348E-14</v>
      </c>
    </row>
    <row r="422" spans="1:1" x14ac:dyDescent="0.25">
      <c r="A422" s="30">
        <v>3.5838988710208514E-14</v>
      </c>
    </row>
    <row r="423" spans="1:1" x14ac:dyDescent="0.25">
      <c r="A423" s="30">
        <v>3.2255089839187663E-14</v>
      </c>
    </row>
    <row r="424" spans="1:1" x14ac:dyDescent="0.25">
      <c r="A424" s="30">
        <v>2.9029580855268898E-14</v>
      </c>
    </row>
    <row r="425" spans="1:1" x14ac:dyDescent="0.25">
      <c r="A425" s="30">
        <v>2.612662276974201E-14</v>
      </c>
    </row>
    <row r="426" spans="1:1" x14ac:dyDescent="0.25">
      <c r="A426" s="30">
        <v>2.3513960492767811E-14</v>
      </c>
    </row>
    <row r="427" spans="1:1" x14ac:dyDescent="0.25">
      <c r="A427" s="30">
        <v>2.1162564443491029E-14</v>
      </c>
    </row>
    <row r="428" spans="1:1" x14ac:dyDescent="0.25">
      <c r="A428" s="30">
        <v>1.9046307999141925E-14</v>
      </c>
    </row>
    <row r="429" spans="1:1" x14ac:dyDescent="0.25">
      <c r="A429" s="30">
        <v>1.7141677199227731E-14</v>
      </c>
    </row>
    <row r="430" spans="1:1" x14ac:dyDescent="0.25">
      <c r="A430" s="30">
        <v>1.5427509479304957E-14</v>
      </c>
    </row>
    <row r="431" spans="1:1" x14ac:dyDescent="0.25">
      <c r="A431" s="30">
        <v>1.3884758531374462E-14</v>
      </c>
    </row>
    <row r="432" spans="1:1" x14ac:dyDescent="0.25">
      <c r="A432" s="30">
        <v>1.2496282678237016E-14</v>
      </c>
    </row>
    <row r="433" spans="1:1" x14ac:dyDescent="0.25">
      <c r="A433" s="30">
        <v>1.1246654410413315E-14</v>
      </c>
    </row>
    <row r="434" spans="1:1" x14ac:dyDescent="0.25">
      <c r="A434" s="30">
        <v>1.0121988969371984E-14</v>
      </c>
    </row>
    <row r="435" spans="1:1" x14ac:dyDescent="0.25">
      <c r="A435" s="30">
        <v>9.1097900724347861E-15</v>
      </c>
    </row>
    <row r="436" spans="1:1" x14ac:dyDescent="0.25">
      <c r="A436" s="30">
        <v>8.1988110651913077E-15</v>
      </c>
    </row>
    <row r="437" spans="1:1" x14ac:dyDescent="0.25">
      <c r="A437" s="30">
        <v>7.3789299586721777E-15</v>
      </c>
    </row>
    <row r="438" spans="1:1" x14ac:dyDescent="0.25">
      <c r="A438" s="30">
        <v>6.6410369628049599E-15</v>
      </c>
    </row>
    <row r="439" spans="1:1" x14ac:dyDescent="0.25">
      <c r="A439" s="30">
        <v>5.9769332665244643E-15</v>
      </c>
    </row>
    <row r="440" spans="1:1" x14ac:dyDescent="0.25">
      <c r="A440" s="30">
        <v>5.3792399398720178E-15</v>
      </c>
    </row>
    <row r="441" spans="1:1" x14ac:dyDescent="0.25">
      <c r="A441" s="30">
        <v>4.8413159458848159E-15</v>
      </c>
    </row>
    <row r="442" spans="1:1" x14ac:dyDescent="0.25">
      <c r="A442" s="30">
        <v>4.3571843512963347E-15</v>
      </c>
    </row>
    <row r="443" spans="1:1" x14ac:dyDescent="0.25">
      <c r="A443" s="30">
        <v>3.921465916166701E-15</v>
      </c>
    </row>
    <row r="444" spans="1:1" x14ac:dyDescent="0.25">
      <c r="A444" s="30">
        <v>3.529319324550031E-15</v>
      </c>
    </row>
    <row r="445" spans="1:1" x14ac:dyDescent="0.25">
      <c r="A445" s="30">
        <v>3.176387392095028E-15</v>
      </c>
    </row>
    <row r="446" spans="1:1" x14ac:dyDescent="0.25">
      <c r="A446" s="30">
        <v>2.8587486528855254E-15</v>
      </c>
    </row>
    <row r="447" spans="1:1" x14ac:dyDescent="0.25">
      <c r="A447" s="30">
        <v>2.5728737875969727E-15</v>
      </c>
    </row>
    <row r="448" spans="1:1" x14ac:dyDescent="0.25">
      <c r="A448" s="30">
        <v>2.3155864088372755E-15</v>
      </c>
    </row>
    <row r="449" spans="1:1" x14ac:dyDescent="0.25">
      <c r="A449" s="30">
        <v>2.0840277679535482E-15</v>
      </c>
    </row>
    <row r="450" spans="1:1" x14ac:dyDescent="0.25">
      <c r="A450" s="30">
        <v>1.8756249911581935E-15</v>
      </c>
    </row>
    <row r="451" spans="1:1" x14ac:dyDescent="0.25">
      <c r="A451" s="30">
        <v>1.6880624920423743E-15</v>
      </c>
    </row>
    <row r="452" spans="1:1" x14ac:dyDescent="0.25">
      <c r="A452" s="30">
        <v>1.519256242838137E-15</v>
      </c>
    </row>
    <row r="453" spans="1:1" x14ac:dyDescent="0.25">
      <c r="A453" s="30">
        <v>1.3673306185543234E-15</v>
      </c>
    </row>
    <row r="454" spans="1:1" x14ac:dyDescent="0.25">
      <c r="A454" s="30">
        <v>1.230597556698891E-15</v>
      </c>
    </row>
    <row r="455" spans="1:1" x14ac:dyDescent="0.25">
      <c r="A455" s="30">
        <v>1.1075378010290018E-15</v>
      </c>
    </row>
    <row r="456" spans="1:1" x14ac:dyDescent="0.25">
      <c r="A456" s="30">
        <v>9.9678402092610166E-16</v>
      </c>
    </row>
    <row r="457" spans="1:1" x14ac:dyDescent="0.25">
      <c r="A457" s="30">
        <v>8.9710561883349156E-16</v>
      </c>
    </row>
    <row r="458" spans="1:1" x14ac:dyDescent="0.25">
      <c r="A458" s="30">
        <v>8.0739505695014242E-16</v>
      </c>
    </row>
    <row r="459" spans="1:1" x14ac:dyDescent="0.25">
      <c r="A459" s="30">
        <v>7.2665555125512816E-16</v>
      </c>
    </row>
    <row r="460" spans="1:1" x14ac:dyDescent="0.25">
      <c r="A460" s="30">
        <v>6.5398999612961539E-16</v>
      </c>
    </row>
    <row r="461" spans="1:1" x14ac:dyDescent="0.25">
      <c r="A461" s="30">
        <v>5.885909965166539E-16</v>
      </c>
    </row>
    <row r="462" spans="1:1" x14ac:dyDescent="0.25">
      <c r="A462" s="30">
        <v>5.2973189686498855E-16</v>
      </c>
    </row>
    <row r="463" spans="1:1" x14ac:dyDescent="0.25">
      <c r="A463" s="30">
        <v>4.767587071784897E-16</v>
      </c>
    </row>
    <row r="464" spans="1:1" x14ac:dyDescent="0.25">
      <c r="A464" s="30">
        <v>4.2908283646064075E-16</v>
      </c>
    </row>
    <row r="465" spans="1:1" x14ac:dyDescent="0.25">
      <c r="A465" s="30">
        <v>3.8617455281457667E-16</v>
      </c>
    </row>
    <row r="466" spans="1:1" x14ac:dyDescent="0.25">
      <c r="A466" s="30">
        <v>3.47557097533119E-16</v>
      </c>
    </row>
    <row r="467" spans="1:1" x14ac:dyDescent="0.25">
      <c r="A467" s="30">
        <v>3.1280138777980711E-16</v>
      </c>
    </row>
    <row r="468" spans="1:1" x14ac:dyDescent="0.25">
      <c r="A468" s="30">
        <v>2.815212490018264E-16</v>
      </c>
    </row>
    <row r="469" spans="1:1" x14ac:dyDescent="0.25">
      <c r="A469" s="30">
        <v>2.5336912410164374E-16</v>
      </c>
    </row>
    <row r="470" spans="1:1" x14ac:dyDescent="0.25">
      <c r="A470" s="30">
        <v>2.2803221169147938E-16</v>
      </c>
    </row>
    <row r="471" spans="1:1" x14ac:dyDescent="0.25">
      <c r="A471" s="30">
        <v>2.0522899052233145E-16</v>
      </c>
    </row>
    <row r="472" spans="1:1" x14ac:dyDescent="0.25">
      <c r="A472" s="30">
        <v>1.8470609147009832E-16</v>
      </c>
    </row>
    <row r="473" spans="1:1" x14ac:dyDescent="0.25">
      <c r="A473" s="30">
        <v>1.6623548232308849E-16</v>
      </c>
    </row>
    <row r="474" spans="1:1" x14ac:dyDescent="0.25">
      <c r="A474" s="30">
        <v>1.4961193409077965E-16</v>
      </c>
    </row>
    <row r="475" spans="1:1" x14ac:dyDescent="0.25">
      <c r="A475" s="30">
        <v>1.3465074068170169E-16</v>
      </c>
    </row>
    <row r="476" spans="1:1" x14ac:dyDescent="0.25">
      <c r="A476" s="30">
        <v>1.2118566661353153E-16</v>
      </c>
    </row>
    <row r="477" spans="1:1" x14ac:dyDescent="0.25">
      <c r="A477" s="30">
        <v>1.0906709995217838E-16</v>
      </c>
    </row>
    <row r="478" spans="1:1" x14ac:dyDescent="0.25">
      <c r="A478" s="30">
        <v>9.8160389956960543E-17</v>
      </c>
    </row>
    <row r="479" spans="1:1" x14ac:dyDescent="0.25">
      <c r="A479" s="30">
        <v>8.8344350961264486E-17</v>
      </c>
    </row>
    <row r="480" spans="1:1" x14ac:dyDescent="0.25">
      <c r="A480" s="30">
        <v>7.9509915865138035E-17</v>
      </c>
    </row>
    <row r="481" spans="1:1" x14ac:dyDescent="0.25">
      <c r="A481" s="30">
        <v>7.1558924278624229E-17</v>
      </c>
    </row>
    <row r="482" spans="1:1" x14ac:dyDescent="0.25">
      <c r="A482" s="30">
        <v>6.440303185076181E-17</v>
      </c>
    </row>
    <row r="483" spans="1:1" x14ac:dyDescent="0.25">
      <c r="A483" s="30">
        <v>5.7962728665685633E-17</v>
      </c>
    </row>
    <row r="484" spans="1:1" x14ac:dyDescent="0.25">
      <c r="A484" s="30">
        <v>5.2166455799117073E-17</v>
      </c>
    </row>
    <row r="485" spans="1:1" x14ac:dyDescent="0.25">
      <c r="A485" s="30">
        <v>4.6949810219205366E-17</v>
      </c>
    </row>
    <row r="486" spans="1:1" x14ac:dyDescent="0.25">
      <c r="A486" s="30">
        <v>4.2254829197284832E-17</v>
      </c>
    </row>
    <row r="487" spans="1:1" x14ac:dyDescent="0.25">
      <c r="A487" s="30">
        <v>3.8029346277556347E-17</v>
      </c>
    </row>
    <row r="488" spans="1:1" x14ac:dyDescent="0.25">
      <c r="A488" s="30">
        <v>3.4226411649800712E-17</v>
      </c>
    </row>
    <row r="489" spans="1:1" x14ac:dyDescent="0.25">
      <c r="A489" s="30">
        <v>3.0803770484820639E-17</v>
      </c>
    </row>
  </sheetData>
  <conditionalFormatting sqref="C136">
    <cfRule type="cellIs" dxfId="31" priority="1029" operator="equal">
      <formula>$U$1</formula>
    </cfRule>
    <cfRule type="cellIs" dxfId="30" priority="1030" operator="equal">
      <formula>$S$1</formula>
    </cfRule>
  </conditionalFormatting>
  <conditionalFormatting sqref="D136">
    <cfRule type="cellIs" dxfId="29" priority="1027" operator="equal">
      <formula>$S$1</formula>
    </cfRule>
    <cfRule type="cellIs" dxfId="28" priority="1028" operator="equal">
      <formula>$U$1</formula>
    </cfRule>
  </conditionalFormatting>
  <conditionalFormatting sqref="C102">
    <cfRule type="cellIs" dxfId="27" priority="1025" operator="equal">
      <formula>$U$1</formula>
    </cfRule>
    <cfRule type="cellIs" dxfId="26" priority="1026" operator="equal">
      <formula>$S$1</formula>
    </cfRule>
  </conditionalFormatting>
  <conditionalFormatting sqref="D102">
    <cfRule type="cellIs" dxfId="25" priority="1023" operator="equal">
      <formula>$S$1</formula>
    </cfRule>
    <cfRule type="cellIs" dxfId="24" priority="1024" operator="equal">
      <formula>$U$1</formula>
    </cfRule>
  </conditionalFormatting>
  <conditionalFormatting sqref="C77">
    <cfRule type="cellIs" dxfId="23" priority="1021" operator="equal">
      <formula>$U$1</formula>
    </cfRule>
    <cfRule type="cellIs" dxfId="22" priority="1022" operator="equal">
      <formula>$S$1</formula>
    </cfRule>
  </conditionalFormatting>
  <conditionalFormatting sqref="D77">
    <cfRule type="cellIs" dxfId="21" priority="1019" operator="equal">
      <formula>$S$1</formula>
    </cfRule>
    <cfRule type="cellIs" dxfId="20" priority="1020" operator="equal">
      <formula>$U$1</formula>
    </cfRule>
  </conditionalFormatting>
  <conditionalFormatting sqref="C52">
    <cfRule type="cellIs" dxfId="19" priority="1017" operator="equal">
      <formula>$U$1</formula>
    </cfRule>
    <cfRule type="cellIs" dxfId="18" priority="1018" operator="equal">
      <formula>$S$1</formula>
    </cfRule>
  </conditionalFormatting>
  <conditionalFormatting sqref="D52">
    <cfRule type="cellIs" dxfId="17" priority="1015" operator="equal">
      <formula>$S$1</formula>
    </cfRule>
    <cfRule type="cellIs" dxfId="16" priority="1016" operator="equal">
      <formula>$U$1</formula>
    </cfRule>
  </conditionalFormatting>
  <conditionalFormatting sqref="C26">
    <cfRule type="cellIs" dxfId="15" priority="1013" operator="equal">
      <formula>$U$1</formula>
    </cfRule>
    <cfRule type="cellIs" dxfId="14" priority="1014" operator="equal">
      <formula>$S$1</formula>
    </cfRule>
  </conditionalFormatting>
  <conditionalFormatting sqref="D26">
    <cfRule type="cellIs" dxfId="13" priority="1011" operator="equal">
      <formula>$S$1</formula>
    </cfRule>
    <cfRule type="cellIs" dxfId="12" priority="1012" operator="equal">
      <formula>$U$1</formula>
    </cfRule>
  </conditionalFormatting>
  <conditionalFormatting sqref="D130">
    <cfRule type="cellIs" dxfId="0" priority="1" operator="lessThan">
      <formula>$A$2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I64"/>
  <sheetViews>
    <sheetView workbookViewId="0">
      <selection activeCell="E3" sqref="E3"/>
    </sheetView>
  </sheetViews>
  <sheetFormatPr defaultRowHeight="15" x14ac:dyDescent="0.25"/>
  <cols>
    <col min="1" max="1" width="7.5703125" style="1" customWidth="1"/>
    <col min="2" max="2" width="11" style="1" customWidth="1"/>
    <col min="3" max="3" width="11.5703125" style="1" customWidth="1"/>
    <col min="4" max="35" width="8.7109375" style="1" customWidth="1"/>
  </cols>
  <sheetData>
    <row r="1" spans="1:35" x14ac:dyDescent="0.25">
      <c r="A1" s="1" t="s">
        <v>16</v>
      </c>
      <c r="B1" s="31" t="s">
        <v>17</v>
      </c>
      <c r="C1" s="31"/>
      <c r="D1" s="20" t="s">
        <v>18</v>
      </c>
      <c r="E1" s="1" t="s">
        <v>19</v>
      </c>
      <c r="F1" s="1" t="s">
        <v>20</v>
      </c>
      <c r="G1" s="1" t="s">
        <v>21</v>
      </c>
      <c r="H1" s="21" t="s">
        <v>22</v>
      </c>
      <c r="I1" s="1" t="s">
        <v>23</v>
      </c>
      <c r="J1" s="22" t="s">
        <v>24</v>
      </c>
      <c r="K1" s="22" t="s">
        <v>25</v>
      </c>
      <c r="L1" s="22"/>
      <c r="M1" s="21" t="s">
        <v>22</v>
      </c>
      <c r="N1" s="21" t="s">
        <v>26</v>
      </c>
      <c r="O1" s="23" t="s">
        <v>27</v>
      </c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</row>
    <row r="2" spans="1:35" x14ac:dyDescent="0.25">
      <c r="B2" s="1" t="s">
        <v>28</v>
      </c>
      <c r="C2" s="1" t="s">
        <v>29</v>
      </c>
      <c r="D2" s="20" t="s">
        <v>30</v>
      </c>
      <c r="H2" s="21"/>
      <c r="J2" s="1" t="s">
        <v>28</v>
      </c>
      <c r="K2" s="1" t="s">
        <v>28</v>
      </c>
      <c r="L2" s="1" t="s">
        <v>31</v>
      </c>
      <c r="M2" s="21" t="s">
        <v>32</v>
      </c>
      <c r="N2" s="21" t="s">
        <v>33</v>
      </c>
      <c r="O2" s="23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</row>
    <row r="3" spans="1:35" x14ac:dyDescent="0.25">
      <c r="B3" s="24"/>
      <c r="C3" s="24"/>
      <c r="D3" s="20"/>
      <c r="E3" s="7"/>
      <c r="F3" s="7"/>
      <c r="G3" s="7"/>
      <c r="H3" s="25" t="str">
        <f>IF(G3="","",(3*(G3-F3))+E3)</f>
        <v/>
      </c>
      <c r="I3" s="7"/>
      <c r="J3" s="7">
        <f>(E3+G3)/2</f>
        <v>0</v>
      </c>
      <c r="K3" s="7" t="e">
        <f>H3/2</f>
        <v>#VALUE!</v>
      </c>
      <c r="M3" s="26" t="str">
        <f>IF(OR(J3="",H3=""),"",H3/J3)</f>
        <v/>
      </c>
      <c r="N3" s="26" t="str">
        <f>IF(L3="","",L3/J3)</f>
        <v/>
      </c>
      <c r="O3" s="23" t="str">
        <f>IF(C3="","",(C3-B3)/7)</f>
        <v/>
      </c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</row>
    <row r="4" spans="1:35" x14ac:dyDescent="0.25">
      <c r="B4" s="24"/>
      <c r="C4" s="24"/>
      <c r="D4" s="20"/>
      <c r="E4" s="7"/>
      <c r="F4" s="7"/>
      <c r="G4" s="7"/>
      <c r="H4" s="25" t="str">
        <f t="shared" ref="H4:H25" si="0">IF(G4="","",(3*(G4-F4))+E4)</f>
        <v/>
      </c>
      <c r="I4" s="7"/>
      <c r="J4" s="7"/>
      <c r="K4" s="7"/>
      <c r="M4" s="26" t="str">
        <f t="shared" ref="M4:M25" si="1">IF(OR(J4="",H4=""),"",H4/J4)</f>
        <v/>
      </c>
      <c r="N4" s="26" t="str">
        <f t="shared" ref="N4:N25" si="2">IF(L4="","",L4/J4)</f>
        <v/>
      </c>
      <c r="O4" s="23" t="str">
        <f t="shared" ref="O4:O25" si="3">IF(C4="","",(C4-B4)/7)</f>
        <v/>
      </c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</row>
    <row r="5" spans="1:35" x14ac:dyDescent="0.25">
      <c r="B5" s="24"/>
      <c r="C5" s="24"/>
      <c r="D5" s="20"/>
      <c r="E5" s="7"/>
      <c r="F5" s="7"/>
      <c r="G5" s="7"/>
      <c r="H5" s="25" t="str">
        <f t="shared" si="0"/>
        <v/>
      </c>
      <c r="I5" s="7"/>
      <c r="J5" s="7"/>
      <c r="K5" s="7"/>
      <c r="M5" s="26" t="str">
        <f t="shared" si="1"/>
        <v/>
      </c>
      <c r="N5" s="26" t="str">
        <f t="shared" si="2"/>
        <v/>
      </c>
      <c r="O5" s="23" t="str">
        <f t="shared" si="3"/>
        <v/>
      </c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</row>
    <row r="6" spans="1:35" x14ac:dyDescent="0.25">
      <c r="B6" s="24"/>
      <c r="C6" s="24"/>
      <c r="D6" s="20"/>
      <c r="E6" s="7"/>
      <c r="F6" s="7"/>
      <c r="G6" s="7"/>
      <c r="H6" s="25" t="str">
        <f t="shared" si="0"/>
        <v/>
      </c>
      <c r="I6" s="7"/>
      <c r="J6" s="7"/>
      <c r="K6" s="7"/>
      <c r="L6" s="7"/>
      <c r="M6" s="26" t="str">
        <f t="shared" si="1"/>
        <v/>
      </c>
      <c r="N6" s="26" t="str">
        <f t="shared" si="2"/>
        <v/>
      </c>
      <c r="O6" s="23" t="str">
        <f t="shared" si="3"/>
        <v/>
      </c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</row>
    <row r="7" spans="1:35" x14ac:dyDescent="0.25">
      <c r="B7" s="24"/>
      <c r="C7" s="24"/>
      <c r="D7" s="20"/>
      <c r="E7" s="7"/>
      <c r="F7" s="7"/>
      <c r="G7" s="7"/>
      <c r="H7" s="25" t="str">
        <f t="shared" si="0"/>
        <v/>
      </c>
      <c r="I7" s="7"/>
      <c r="J7" s="7"/>
      <c r="K7" s="7"/>
      <c r="L7" s="7"/>
      <c r="M7" s="26" t="str">
        <f t="shared" si="1"/>
        <v/>
      </c>
      <c r="N7" s="26" t="str">
        <f t="shared" si="2"/>
        <v/>
      </c>
      <c r="O7" s="23" t="str">
        <f t="shared" si="3"/>
        <v/>
      </c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</row>
    <row r="8" spans="1:35" x14ac:dyDescent="0.25">
      <c r="B8" s="24"/>
      <c r="C8" s="24"/>
      <c r="D8" s="20"/>
      <c r="E8" s="7"/>
      <c r="F8" s="7"/>
      <c r="G8" s="7"/>
      <c r="H8" s="25" t="str">
        <f t="shared" si="0"/>
        <v/>
      </c>
      <c r="I8" s="7"/>
      <c r="J8" s="7"/>
      <c r="K8" s="7"/>
      <c r="L8" s="7"/>
      <c r="M8" s="26" t="str">
        <f t="shared" si="1"/>
        <v/>
      </c>
      <c r="N8" s="26" t="str">
        <f t="shared" si="2"/>
        <v/>
      </c>
      <c r="O8" s="23" t="str">
        <f t="shared" si="3"/>
        <v/>
      </c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</row>
    <row r="9" spans="1:35" x14ac:dyDescent="0.25">
      <c r="B9" s="24"/>
      <c r="C9" s="24"/>
      <c r="D9" s="20"/>
      <c r="E9" s="7"/>
      <c r="F9" s="7"/>
      <c r="G9" s="7"/>
      <c r="H9" s="25" t="str">
        <f t="shared" si="0"/>
        <v/>
      </c>
      <c r="I9" s="7"/>
      <c r="J9" s="7"/>
      <c r="K9" s="7"/>
      <c r="L9" s="7"/>
      <c r="M9" s="26" t="str">
        <f t="shared" si="1"/>
        <v/>
      </c>
      <c r="N9" s="26" t="str">
        <f t="shared" si="2"/>
        <v/>
      </c>
      <c r="O9" s="23" t="str">
        <f t="shared" si="3"/>
        <v/>
      </c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</row>
    <row r="10" spans="1:35" x14ac:dyDescent="0.25">
      <c r="B10" s="24"/>
      <c r="D10" s="20"/>
      <c r="E10" s="7"/>
      <c r="F10" s="7"/>
      <c r="G10" s="7"/>
      <c r="H10" s="25" t="str">
        <f t="shared" si="0"/>
        <v/>
      </c>
      <c r="I10" s="7"/>
      <c r="J10" s="7"/>
      <c r="K10" s="7"/>
      <c r="M10" s="26" t="str">
        <f t="shared" si="1"/>
        <v/>
      </c>
      <c r="N10" s="26" t="str">
        <f t="shared" si="2"/>
        <v/>
      </c>
      <c r="O10" s="23" t="str">
        <f t="shared" si="3"/>
        <v/>
      </c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</row>
    <row r="11" spans="1:35" x14ac:dyDescent="0.25">
      <c r="B11" s="24"/>
      <c r="D11" s="20"/>
      <c r="E11" s="7"/>
      <c r="F11" s="7"/>
      <c r="G11" s="7"/>
      <c r="H11" s="25" t="str">
        <f t="shared" si="0"/>
        <v/>
      </c>
      <c r="I11" s="7"/>
      <c r="J11" s="7"/>
      <c r="K11" s="7"/>
      <c r="M11" s="26" t="str">
        <f t="shared" si="1"/>
        <v/>
      </c>
      <c r="N11" s="26" t="str">
        <f t="shared" si="2"/>
        <v/>
      </c>
      <c r="O11" s="23" t="str">
        <f t="shared" si="3"/>
        <v/>
      </c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</row>
    <row r="12" spans="1:35" x14ac:dyDescent="0.25">
      <c r="B12" s="24"/>
      <c r="D12" s="20"/>
      <c r="E12" s="7"/>
      <c r="F12" s="7"/>
      <c r="G12" s="7"/>
      <c r="H12" s="25" t="str">
        <f t="shared" si="0"/>
        <v/>
      </c>
      <c r="I12" s="7"/>
      <c r="J12" s="7"/>
      <c r="K12" s="7"/>
      <c r="M12" s="26" t="str">
        <f t="shared" si="1"/>
        <v/>
      </c>
      <c r="N12" s="26" t="str">
        <f t="shared" si="2"/>
        <v/>
      </c>
      <c r="O12" s="23" t="str">
        <f t="shared" si="3"/>
        <v/>
      </c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</row>
    <row r="13" spans="1:35" x14ac:dyDescent="0.25">
      <c r="B13" s="24"/>
      <c r="D13" s="20"/>
      <c r="E13" s="7"/>
      <c r="F13" s="7"/>
      <c r="G13" s="7"/>
      <c r="H13" s="25" t="str">
        <f t="shared" si="0"/>
        <v/>
      </c>
      <c r="I13" s="7"/>
      <c r="J13" s="7"/>
      <c r="K13" s="7"/>
      <c r="M13" s="26" t="str">
        <f t="shared" si="1"/>
        <v/>
      </c>
      <c r="N13" s="26" t="str">
        <f t="shared" si="2"/>
        <v/>
      </c>
      <c r="O13" s="23" t="str">
        <f t="shared" si="3"/>
        <v/>
      </c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</row>
    <row r="14" spans="1:35" x14ac:dyDescent="0.25">
      <c r="B14" s="24"/>
      <c r="D14" s="20"/>
      <c r="E14" s="7"/>
      <c r="F14" s="7"/>
      <c r="G14" s="7"/>
      <c r="H14" s="25" t="str">
        <f t="shared" si="0"/>
        <v/>
      </c>
      <c r="I14" s="7"/>
      <c r="J14" s="7"/>
      <c r="K14" s="7"/>
      <c r="M14" s="26" t="str">
        <f t="shared" si="1"/>
        <v/>
      </c>
      <c r="N14" s="26" t="str">
        <f t="shared" si="2"/>
        <v/>
      </c>
      <c r="O14" s="23" t="str">
        <f t="shared" si="3"/>
        <v/>
      </c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</row>
    <row r="15" spans="1:35" x14ac:dyDescent="0.25">
      <c r="B15" s="24"/>
      <c r="D15" s="20"/>
      <c r="E15" s="7"/>
      <c r="F15" s="7"/>
      <c r="G15" s="7"/>
      <c r="H15" s="25" t="str">
        <f t="shared" si="0"/>
        <v/>
      </c>
      <c r="I15" s="7"/>
      <c r="J15" s="7"/>
      <c r="K15" s="7"/>
      <c r="M15" s="26" t="str">
        <f t="shared" si="1"/>
        <v/>
      </c>
      <c r="N15" s="26" t="str">
        <f t="shared" si="2"/>
        <v/>
      </c>
      <c r="O15" s="23" t="str">
        <f t="shared" si="3"/>
        <v/>
      </c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</row>
    <row r="16" spans="1:35" x14ac:dyDescent="0.25">
      <c r="B16" s="24"/>
      <c r="D16" s="20"/>
      <c r="E16" s="7"/>
      <c r="F16" s="7"/>
      <c r="G16" s="7"/>
      <c r="H16" s="25" t="str">
        <f t="shared" si="0"/>
        <v/>
      </c>
      <c r="I16" s="7"/>
      <c r="J16" s="7"/>
      <c r="K16" s="7"/>
      <c r="M16" s="26" t="str">
        <f t="shared" si="1"/>
        <v/>
      </c>
      <c r="N16" s="26" t="str">
        <f t="shared" si="2"/>
        <v/>
      </c>
      <c r="O16" s="23" t="str">
        <f t="shared" si="3"/>
        <v/>
      </c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</row>
    <row r="17" spans="1:35" x14ac:dyDescent="0.25">
      <c r="B17" s="24"/>
      <c r="D17" s="20"/>
      <c r="E17" s="7"/>
      <c r="F17" s="7"/>
      <c r="G17" s="7"/>
      <c r="H17" s="25" t="str">
        <f t="shared" si="0"/>
        <v/>
      </c>
      <c r="I17" s="7"/>
      <c r="J17" s="7"/>
      <c r="K17" s="7"/>
      <c r="M17" s="26" t="str">
        <f t="shared" si="1"/>
        <v/>
      </c>
      <c r="N17" s="26" t="str">
        <f t="shared" si="2"/>
        <v/>
      </c>
      <c r="O17" s="23" t="str">
        <f t="shared" si="3"/>
        <v/>
      </c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</row>
    <row r="18" spans="1:35" x14ac:dyDescent="0.25">
      <c r="B18" s="24"/>
      <c r="D18" s="20"/>
      <c r="E18" s="7"/>
      <c r="F18" s="7"/>
      <c r="G18" s="7"/>
      <c r="H18" s="25" t="str">
        <f t="shared" si="0"/>
        <v/>
      </c>
      <c r="I18" s="7"/>
      <c r="J18" s="7"/>
      <c r="K18" s="7"/>
      <c r="M18" s="26" t="str">
        <f t="shared" si="1"/>
        <v/>
      </c>
      <c r="N18" s="26" t="str">
        <f t="shared" si="2"/>
        <v/>
      </c>
      <c r="O18" s="23" t="str">
        <f t="shared" si="3"/>
        <v/>
      </c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</row>
    <row r="19" spans="1:35" x14ac:dyDescent="0.25">
      <c r="B19" s="24"/>
      <c r="D19" s="20"/>
      <c r="E19" s="7"/>
      <c r="F19" s="7"/>
      <c r="G19" s="7"/>
      <c r="H19" s="25" t="str">
        <f t="shared" si="0"/>
        <v/>
      </c>
      <c r="I19" s="7"/>
      <c r="J19" s="7"/>
      <c r="K19" s="7"/>
      <c r="M19" s="26" t="str">
        <f t="shared" si="1"/>
        <v/>
      </c>
      <c r="N19" s="26" t="str">
        <f t="shared" si="2"/>
        <v/>
      </c>
      <c r="O19" s="23" t="str">
        <f t="shared" si="3"/>
        <v/>
      </c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</row>
    <row r="20" spans="1:35" x14ac:dyDescent="0.25">
      <c r="B20" s="24"/>
      <c r="D20" s="20"/>
      <c r="E20" s="7"/>
      <c r="F20" s="7"/>
      <c r="G20" s="7"/>
      <c r="H20" s="25" t="str">
        <f t="shared" si="0"/>
        <v/>
      </c>
      <c r="I20" s="7"/>
      <c r="J20" s="7"/>
      <c r="K20" s="7"/>
      <c r="M20" s="26" t="str">
        <f t="shared" si="1"/>
        <v/>
      </c>
      <c r="N20" s="26" t="str">
        <f t="shared" si="2"/>
        <v/>
      </c>
      <c r="O20" s="23" t="str">
        <f t="shared" si="3"/>
        <v/>
      </c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</row>
    <row r="21" spans="1:35" x14ac:dyDescent="0.25">
      <c r="B21" s="24"/>
      <c r="D21" s="20"/>
      <c r="E21" s="7"/>
      <c r="F21" s="7"/>
      <c r="G21" s="7"/>
      <c r="H21" s="25" t="str">
        <f t="shared" si="0"/>
        <v/>
      </c>
      <c r="I21" s="7"/>
      <c r="J21" s="7"/>
      <c r="K21" s="7"/>
      <c r="M21" s="26" t="str">
        <f t="shared" si="1"/>
        <v/>
      </c>
      <c r="N21" s="26" t="str">
        <f t="shared" si="2"/>
        <v/>
      </c>
      <c r="O21" s="23" t="str">
        <f t="shared" si="3"/>
        <v/>
      </c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</row>
    <row r="22" spans="1:35" x14ac:dyDescent="0.25">
      <c r="B22" s="24"/>
      <c r="D22" s="20"/>
      <c r="E22" s="7"/>
      <c r="F22" s="7"/>
      <c r="G22" s="7"/>
      <c r="H22" s="25" t="str">
        <f t="shared" si="0"/>
        <v/>
      </c>
      <c r="I22" s="7"/>
      <c r="J22" s="7"/>
      <c r="K22" s="7"/>
      <c r="M22" s="26" t="str">
        <f t="shared" si="1"/>
        <v/>
      </c>
      <c r="N22" s="26" t="str">
        <f t="shared" si="2"/>
        <v/>
      </c>
      <c r="O22" s="23" t="str">
        <f t="shared" si="3"/>
        <v/>
      </c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</row>
    <row r="23" spans="1:35" x14ac:dyDescent="0.25">
      <c r="B23" s="24"/>
      <c r="D23" s="20"/>
      <c r="E23" s="7"/>
      <c r="F23" s="7"/>
      <c r="G23" s="7"/>
      <c r="H23" s="25" t="str">
        <f t="shared" si="0"/>
        <v/>
      </c>
      <c r="I23" s="7"/>
      <c r="J23" s="7"/>
      <c r="K23" s="7"/>
      <c r="M23" s="26" t="str">
        <f t="shared" si="1"/>
        <v/>
      </c>
      <c r="N23" s="26" t="str">
        <f t="shared" si="2"/>
        <v/>
      </c>
      <c r="O23" s="23" t="str">
        <f t="shared" si="3"/>
        <v/>
      </c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</row>
    <row r="24" spans="1:35" x14ac:dyDescent="0.25">
      <c r="B24" s="24"/>
      <c r="D24" s="20"/>
      <c r="E24" s="7"/>
      <c r="F24" s="7"/>
      <c r="G24" s="7"/>
      <c r="H24" s="25" t="str">
        <f t="shared" si="0"/>
        <v/>
      </c>
      <c r="I24" s="7"/>
      <c r="J24" s="7"/>
      <c r="K24" s="7"/>
      <c r="M24" s="26" t="str">
        <f t="shared" si="1"/>
        <v/>
      </c>
      <c r="N24" s="26" t="str">
        <f t="shared" si="2"/>
        <v/>
      </c>
      <c r="O24" s="23" t="str">
        <f t="shared" si="3"/>
        <v/>
      </c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</row>
    <row r="25" spans="1:35" x14ac:dyDescent="0.25">
      <c r="B25" s="24"/>
      <c r="D25" s="20"/>
      <c r="E25" s="7"/>
      <c r="F25" s="7"/>
      <c r="G25" s="7"/>
      <c r="H25" s="25" t="str">
        <f t="shared" si="0"/>
        <v/>
      </c>
      <c r="I25" s="7"/>
      <c r="J25" s="7"/>
      <c r="K25" s="7"/>
      <c r="M25" s="26" t="str">
        <f t="shared" si="1"/>
        <v/>
      </c>
      <c r="N25" s="26" t="str">
        <f t="shared" si="2"/>
        <v/>
      </c>
      <c r="O25" s="23" t="str">
        <f t="shared" si="3"/>
        <v/>
      </c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</row>
    <row r="26" spans="1:35" x14ac:dyDescent="0.25">
      <c r="A26" s="7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</row>
    <row r="27" spans="1:35" x14ac:dyDescent="0.25">
      <c r="A27" s="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</row>
    <row r="28" spans="1:35" x14ac:dyDescent="0.25">
      <c r="A28" s="7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</row>
    <row r="29" spans="1:35" x14ac:dyDescent="0.25">
      <c r="A29" s="7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</row>
    <row r="30" spans="1:35" x14ac:dyDescent="0.25">
      <c r="A30" s="7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</row>
    <row r="31" spans="1:35" x14ac:dyDescent="0.25">
      <c r="A31" s="7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</row>
    <row r="32" spans="1:35" x14ac:dyDescent="0.25">
      <c r="A32" s="7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</row>
    <row r="33" spans="1:35" x14ac:dyDescent="0.25">
      <c r="A33" s="7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</row>
    <row r="34" spans="1:35" x14ac:dyDescent="0.25">
      <c r="A34" s="7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</row>
    <row r="35" spans="1:35" x14ac:dyDescent="0.25">
      <c r="A35" s="7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</row>
    <row r="36" spans="1:35" x14ac:dyDescent="0.25">
      <c r="A36" s="7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</row>
    <row r="37" spans="1:35" x14ac:dyDescent="0.25">
      <c r="A37" s="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</row>
    <row r="38" spans="1:35" x14ac:dyDescent="0.25">
      <c r="A38" s="7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</row>
    <row r="39" spans="1:35" x14ac:dyDescent="0.25">
      <c r="A39" s="7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</row>
    <row r="40" spans="1:35" x14ac:dyDescent="0.25">
      <c r="A40" s="7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</row>
    <row r="41" spans="1:35" x14ac:dyDescent="0.25">
      <c r="A41" s="7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</row>
    <row r="42" spans="1:35" x14ac:dyDescent="0.25">
      <c r="A42" s="7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</row>
    <row r="43" spans="1:35" x14ac:dyDescent="0.25">
      <c r="A43" s="7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</row>
    <row r="44" spans="1:35" x14ac:dyDescent="0.25">
      <c r="A44" s="7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</row>
    <row r="45" spans="1:35" x14ac:dyDescent="0.25">
      <c r="A45" s="7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</row>
    <row r="46" spans="1:35" x14ac:dyDescent="0.25">
      <c r="A46" s="7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</row>
    <row r="47" spans="1:35" x14ac:dyDescent="0.25">
      <c r="A47" s="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</row>
    <row r="48" spans="1:35" x14ac:dyDescent="0.25">
      <c r="A48" s="7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</row>
    <row r="49" spans="1:35" x14ac:dyDescent="0.25">
      <c r="A49" s="7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</row>
    <row r="50" spans="1:35" x14ac:dyDescent="0.25">
      <c r="A50" s="7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</row>
    <row r="51" spans="1:35" x14ac:dyDescent="0.25">
      <c r="A51" s="7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</row>
    <row r="52" spans="1:35" x14ac:dyDescent="0.25">
      <c r="A52" s="7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</row>
    <row r="53" spans="1:35" x14ac:dyDescent="0.25">
      <c r="A53" s="7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</row>
    <row r="54" spans="1:35" x14ac:dyDescent="0.25">
      <c r="A54" s="7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</row>
    <row r="55" spans="1:35" x14ac:dyDescent="0.25">
      <c r="A55" s="7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</row>
    <row r="56" spans="1:35" x14ac:dyDescent="0.25">
      <c r="A56" s="7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</row>
    <row r="57" spans="1:35" x14ac:dyDescent="0.25">
      <c r="A57" s="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</row>
    <row r="58" spans="1:35" x14ac:dyDescent="0.25">
      <c r="A58" s="7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</row>
    <row r="59" spans="1:35" x14ac:dyDescent="0.25">
      <c r="A59" s="7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</row>
    <row r="60" spans="1:35" x14ac:dyDescent="0.25">
      <c r="A60" s="7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</row>
    <row r="61" spans="1:35" x14ac:dyDescent="0.25">
      <c r="A61" s="7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</row>
    <row r="62" spans="1:35" x14ac:dyDescent="0.25">
      <c r="A62" s="7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</row>
    <row r="63" spans="1:35" x14ac:dyDescent="0.25">
      <c r="A63" s="7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</row>
    <row r="64" spans="1:35" x14ac:dyDescent="0.25">
      <c r="A64" s="7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</row>
  </sheetData>
  <mergeCells count="1">
    <mergeCell ref="B1:C1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CZ1503"/>
  <sheetViews>
    <sheetView zoomScale="90" zoomScaleNormal="90" workbookViewId="0">
      <selection activeCell="A5" sqref="A5"/>
    </sheetView>
  </sheetViews>
  <sheetFormatPr defaultRowHeight="15" x14ac:dyDescent="0.25"/>
  <cols>
    <col min="1" max="1" width="11" customWidth="1"/>
    <col min="2" max="2" width="6" customWidth="1"/>
    <col min="3" max="4" width="9.140625" style="6"/>
    <col min="5" max="5" width="7" customWidth="1"/>
  </cols>
  <sheetData>
    <row r="1" spans="1:14" x14ac:dyDescent="0.25">
      <c r="A1" s="28" t="s">
        <v>0</v>
      </c>
      <c r="B1" s="28" t="s">
        <v>1</v>
      </c>
      <c r="C1" s="2" t="s">
        <v>2</v>
      </c>
      <c r="D1" s="2" t="s">
        <v>3</v>
      </c>
      <c r="E1" s="28" t="s">
        <v>4</v>
      </c>
      <c r="F1" s="28" t="s">
        <v>5</v>
      </c>
      <c r="G1" s="28" t="s">
        <v>6</v>
      </c>
      <c r="I1">
        <v>5.6055499999999999E-3</v>
      </c>
      <c r="K1" s="3">
        <v>0.01</v>
      </c>
      <c r="L1" s="3">
        <v>0.02</v>
      </c>
      <c r="M1" s="3">
        <v>0.05</v>
      </c>
      <c r="N1" s="3">
        <v>0.1</v>
      </c>
    </row>
    <row r="2" spans="1:14" x14ac:dyDescent="0.25">
      <c r="A2" s="28"/>
      <c r="B2" s="28"/>
      <c r="C2" s="4">
        <f>MAX(C3:C1700)</f>
        <v>0</v>
      </c>
      <c r="D2" s="4">
        <f>MIN(D3:D1700)</f>
        <v>0</v>
      </c>
      <c r="E2" s="28"/>
      <c r="F2" s="28"/>
      <c r="G2" s="28"/>
    </row>
    <row r="5" spans="1:14" x14ac:dyDescent="0.25">
      <c r="A5" s="5"/>
    </row>
    <row r="6" spans="1:14" x14ac:dyDescent="0.25">
      <c r="A6" s="5"/>
    </row>
    <row r="7" spans="1:14" x14ac:dyDescent="0.25">
      <c r="A7" s="5"/>
    </row>
    <row r="8" spans="1:14" x14ac:dyDescent="0.25">
      <c r="A8" s="5"/>
    </row>
    <row r="9" spans="1:14" x14ac:dyDescent="0.25">
      <c r="A9" s="5"/>
    </row>
    <row r="10" spans="1:14" x14ac:dyDescent="0.25">
      <c r="A10" s="5"/>
    </row>
    <row r="11" spans="1:14" x14ac:dyDescent="0.25">
      <c r="A11" s="5"/>
    </row>
    <row r="12" spans="1:14" x14ac:dyDescent="0.25">
      <c r="A12" s="5"/>
    </row>
    <row r="13" spans="1:14" x14ac:dyDescent="0.25">
      <c r="A13" s="5"/>
    </row>
    <row r="14" spans="1:14" x14ac:dyDescent="0.25">
      <c r="A14" s="5"/>
    </row>
    <row r="15" spans="1:14" x14ac:dyDescent="0.25">
      <c r="A15" s="5"/>
      <c r="B15" s="28"/>
      <c r="C15" s="2"/>
      <c r="D15" s="2"/>
      <c r="E15" s="28"/>
      <c r="F15" s="28"/>
    </row>
    <row r="16" spans="1:14" x14ac:dyDescent="0.25">
      <c r="A16" s="5"/>
      <c r="B16" s="28"/>
      <c r="C16" s="2"/>
      <c r="D16" s="2"/>
      <c r="E16" s="28"/>
      <c r="F16" s="28"/>
    </row>
    <row r="17" spans="1:6" x14ac:dyDescent="0.25">
      <c r="A17" s="5"/>
      <c r="B17" s="28"/>
      <c r="C17" s="2"/>
      <c r="D17" s="2"/>
      <c r="E17" s="28"/>
      <c r="F17" s="28"/>
    </row>
    <row r="18" spans="1:6" x14ac:dyDescent="0.25">
      <c r="A18" s="5"/>
      <c r="B18" s="28"/>
      <c r="C18" s="2"/>
      <c r="D18" s="2"/>
      <c r="E18" s="28"/>
      <c r="F18" s="28"/>
    </row>
    <row r="19" spans="1:6" x14ac:dyDescent="0.25">
      <c r="A19" s="5"/>
      <c r="B19" s="28"/>
      <c r="C19" s="2"/>
      <c r="D19" s="2"/>
      <c r="E19" s="28"/>
      <c r="F19" s="28"/>
    </row>
    <row r="20" spans="1:6" x14ac:dyDescent="0.25">
      <c r="A20" s="5"/>
      <c r="B20" s="28"/>
      <c r="C20" s="2"/>
      <c r="D20" s="2"/>
      <c r="E20" s="28"/>
      <c r="F20" s="28"/>
    </row>
    <row r="21" spans="1:6" x14ac:dyDescent="0.25">
      <c r="A21" s="5"/>
      <c r="B21" s="28"/>
      <c r="C21" s="2"/>
      <c r="D21" s="2"/>
      <c r="E21" s="28"/>
      <c r="F21" s="28"/>
    </row>
    <row r="22" spans="1:6" x14ac:dyDescent="0.25">
      <c r="A22" s="5"/>
      <c r="B22" s="28"/>
      <c r="C22" s="2"/>
      <c r="D22" s="2"/>
      <c r="E22" s="28"/>
      <c r="F22" s="28"/>
    </row>
    <row r="23" spans="1:6" x14ac:dyDescent="0.25">
      <c r="A23" s="5"/>
      <c r="B23" s="28"/>
      <c r="C23" s="2"/>
      <c r="D23" s="2"/>
      <c r="E23" s="28"/>
      <c r="F23" s="28"/>
    </row>
    <row r="24" spans="1:6" x14ac:dyDescent="0.25">
      <c r="A24" s="5"/>
      <c r="B24" s="28"/>
      <c r="C24" s="2"/>
      <c r="D24" s="2"/>
      <c r="E24" s="28"/>
      <c r="F24" s="28"/>
    </row>
    <row r="25" spans="1:6" x14ac:dyDescent="0.25">
      <c r="A25" s="5"/>
      <c r="B25" s="28"/>
      <c r="C25" s="2"/>
      <c r="D25" s="2"/>
      <c r="E25" s="28"/>
      <c r="F25" s="28"/>
    </row>
    <row r="26" spans="1:6" x14ac:dyDescent="0.25">
      <c r="A26" s="5"/>
      <c r="B26" s="28"/>
      <c r="C26" s="2"/>
      <c r="D26" s="2"/>
      <c r="E26" s="28"/>
      <c r="F26" s="28"/>
    </row>
    <row r="27" spans="1:6" x14ac:dyDescent="0.25">
      <c r="A27" s="5"/>
      <c r="B27" s="28"/>
      <c r="C27" s="2"/>
      <c r="D27" s="2"/>
      <c r="E27" s="28"/>
      <c r="F27" s="28"/>
    </row>
    <row r="28" spans="1:6" x14ac:dyDescent="0.25">
      <c r="A28" s="5"/>
      <c r="B28" s="28"/>
      <c r="C28" s="2"/>
      <c r="D28" s="2"/>
      <c r="E28" s="28"/>
      <c r="F28" s="28"/>
    </row>
    <row r="29" spans="1:6" x14ac:dyDescent="0.25">
      <c r="A29" s="5"/>
      <c r="B29" s="28"/>
      <c r="C29" s="2"/>
      <c r="D29" s="2"/>
      <c r="E29" s="28"/>
      <c r="F29" s="28"/>
    </row>
    <row r="30" spans="1:6" x14ac:dyDescent="0.25">
      <c r="A30" s="5"/>
      <c r="B30" s="28"/>
      <c r="C30" s="2"/>
      <c r="D30" s="2"/>
      <c r="E30" s="28"/>
      <c r="F30" s="28"/>
    </row>
    <row r="31" spans="1:6" x14ac:dyDescent="0.25">
      <c r="A31" s="5"/>
      <c r="B31" s="28"/>
      <c r="C31" s="2"/>
      <c r="D31" s="2"/>
      <c r="E31" s="28"/>
      <c r="F31" s="28"/>
    </row>
    <row r="32" spans="1:6" x14ac:dyDescent="0.25">
      <c r="A32" s="5"/>
      <c r="B32" s="28"/>
      <c r="C32" s="2"/>
      <c r="D32" s="2"/>
      <c r="E32" s="28"/>
      <c r="F32" s="28"/>
    </row>
    <row r="33" spans="1:6" x14ac:dyDescent="0.25">
      <c r="A33" s="5"/>
      <c r="B33" s="28"/>
      <c r="C33" s="2"/>
      <c r="D33" s="2"/>
      <c r="E33" s="28"/>
      <c r="F33" s="28"/>
    </row>
    <row r="34" spans="1:6" x14ac:dyDescent="0.25">
      <c r="A34" s="5"/>
      <c r="B34" s="28"/>
      <c r="C34" s="2"/>
      <c r="D34" s="2"/>
      <c r="E34" s="28"/>
      <c r="F34" s="28"/>
    </row>
    <row r="35" spans="1:6" x14ac:dyDescent="0.25">
      <c r="A35" s="5"/>
      <c r="B35" s="28"/>
      <c r="C35" s="2"/>
      <c r="D35" s="2"/>
      <c r="E35" s="28"/>
      <c r="F35" s="28"/>
    </row>
    <row r="36" spans="1:6" x14ac:dyDescent="0.25">
      <c r="A36" s="5"/>
      <c r="B36" s="28"/>
      <c r="C36" s="2"/>
      <c r="D36" s="2"/>
      <c r="E36" s="28"/>
      <c r="F36" s="28"/>
    </row>
    <row r="37" spans="1:6" x14ac:dyDescent="0.25">
      <c r="A37" s="5"/>
      <c r="B37" s="28"/>
      <c r="C37" s="2"/>
      <c r="D37" s="2"/>
      <c r="E37" s="28"/>
      <c r="F37" s="28"/>
    </row>
    <row r="38" spans="1:6" x14ac:dyDescent="0.25">
      <c r="A38" s="5"/>
      <c r="B38" s="28"/>
      <c r="C38" s="2"/>
      <c r="D38" s="2"/>
      <c r="E38" s="28"/>
      <c r="F38" s="28"/>
    </row>
    <row r="39" spans="1:6" x14ac:dyDescent="0.25">
      <c r="A39" s="5"/>
      <c r="B39" s="28"/>
      <c r="C39" s="2"/>
      <c r="D39" s="2"/>
      <c r="E39" s="28"/>
      <c r="F39" s="28"/>
    </row>
    <row r="40" spans="1:6" x14ac:dyDescent="0.25">
      <c r="A40" s="5"/>
      <c r="B40" s="28"/>
      <c r="C40" s="2"/>
      <c r="D40" s="2"/>
      <c r="E40" s="28"/>
      <c r="F40" s="28"/>
    </row>
    <row r="41" spans="1:6" x14ac:dyDescent="0.25">
      <c r="A41" s="5"/>
      <c r="B41" s="28"/>
      <c r="C41" s="2"/>
      <c r="D41" s="2"/>
      <c r="E41" s="28"/>
      <c r="F41" s="28"/>
    </row>
    <row r="42" spans="1:6" x14ac:dyDescent="0.25">
      <c r="A42" s="5"/>
      <c r="B42" s="28"/>
      <c r="C42" s="2"/>
      <c r="D42" s="2"/>
      <c r="E42" s="28"/>
      <c r="F42" s="28"/>
    </row>
    <row r="43" spans="1:6" x14ac:dyDescent="0.25">
      <c r="A43" s="5"/>
      <c r="B43" s="28"/>
      <c r="C43" s="2"/>
      <c r="D43" s="2"/>
      <c r="E43" s="28"/>
      <c r="F43" s="28"/>
    </row>
    <row r="44" spans="1:6" x14ac:dyDescent="0.25">
      <c r="A44" s="5"/>
      <c r="B44" s="28"/>
      <c r="C44" s="2"/>
      <c r="D44" s="2"/>
      <c r="E44" s="28"/>
      <c r="F44" s="28"/>
    </row>
    <row r="45" spans="1:6" x14ac:dyDescent="0.25">
      <c r="A45" s="5"/>
      <c r="B45" s="28"/>
      <c r="C45" s="2"/>
      <c r="D45" s="2"/>
      <c r="E45" s="28"/>
      <c r="F45" s="28"/>
    </row>
    <row r="46" spans="1:6" x14ac:dyDescent="0.25">
      <c r="A46" s="5"/>
      <c r="B46" s="28"/>
      <c r="C46" s="2"/>
      <c r="D46" s="2"/>
      <c r="E46" s="28"/>
      <c r="F46" s="28"/>
    </row>
    <row r="47" spans="1:6" x14ac:dyDescent="0.25">
      <c r="A47" s="5"/>
      <c r="B47" s="28"/>
      <c r="C47" s="2"/>
      <c r="D47" s="2"/>
      <c r="E47" s="28"/>
      <c r="F47" s="28"/>
    </row>
    <row r="48" spans="1:6" x14ac:dyDescent="0.25">
      <c r="A48" s="5"/>
      <c r="B48" s="28"/>
      <c r="C48" s="2"/>
      <c r="D48" s="2"/>
      <c r="E48" s="28"/>
      <c r="F48" s="28"/>
    </row>
    <row r="49" spans="1:6" x14ac:dyDescent="0.25">
      <c r="A49" s="5"/>
      <c r="B49" s="28"/>
      <c r="C49" s="2"/>
      <c r="D49" s="2"/>
      <c r="E49" s="28"/>
      <c r="F49" s="28"/>
    </row>
    <row r="50" spans="1:6" x14ac:dyDescent="0.25">
      <c r="A50" s="5"/>
      <c r="B50" s="28"/>
      <c r="C50" s="2"/>
      <c r="D50" s="2"/>
      <c r="E50" s="28"/>
      <c r="F50" s="28"/>
    </row>
    <row r="51" spans="1:6" x14ac:dyDescent="0.25">
      <c r="A51" s="5"/>
      <c r="B51" s="28"/>
      <c r="C51" s="2"/>
      <c r="D51" s="2"/>
      <c r="E51" s="28"/>
      <c r="F51" s="28"/>
    </row>
    <row r="52" spans="1:6" x14ac:dyDescent="0.25">
      <c r="A52" s="5"/>
      <c r="B52" s="28"/>
      <c r="C52" s="2"/>
      <c r="D52" s="2"/>
      <c r="E52" s="28"/>
      <c r="F52" s="28"/>
    </row>
    <row r="53" spans="1:6" x14ac:dyDescent="0.25">
      <c r="A53" s="5"/>
      <c r="B53" s="28"/>
      <c r="C53" s="2"/>
      <c r="D53" s="2"/>
      <c r="E53" s="28"/>
      <c r="F53" s="28"/>
    </row>
    <row r="54" spans="1:6" x14ac:dyDescent="0.25">
      <c r="A54" s="5"/>
      <c r="B54" s="28"/>
      <c r="C54" s="2"/>
      <c r="D54" s="2"/>
      <c r="E54" s="28"/>
      <c r="F54" s="28"/>
    </row>
    <row r="55" spans="1:6" x14ac:dyDescent="0.25">
      <c r="A55" s="5"/>
      <c r="B55" s="28"/>
      <c r="C55" s="2"/>
      <c r="D55" s="2"/>
      <c r="E55" s="28"/>
      <c r="F55" s="28"/>
    </row>
    <row r="56" spans="1:6" x14ac:dyDescent="0.25">
      <c r="A56" s="5"/>
      <c r="B56" s="28"/>
      <c r="C56" s="2"/>
      <c r="D56" s="2"/>
      <c r="E56" s="28"/>
      <c r="F56" s="28"/>
    </row>
    <row r="57" spans="1:6" x14ac:dyDescent="0.25">
      <c r="A57" s="5"/>
      <c r="B57" s="28"/>
      <c r="C57" s="2"/>
      <c r="D57" s="2"/>
      <c r="E57" s="28"/>
      <c r="F57" s="28"/>
    </row>
    <row r="58" spans="1:6" x14ac:dyDescent="0.25">
      <c r="A58" s="5"/>
      <c r="B58" s="28"/>
      <c r="C58" s="2"/>
      <c r="D58" s="2"/>
      <c r="E58" s="28"/>
      <c r="F58" s="28"/>
    </row>
    <row r="59" spans="1:6" x14ac:dyDescent="0.25">
      <c r="A59" s="5"/>
      <c r="B59" s="28"/>
      <c r="C59" s="2"/>
      <c r="D59" s="2"/>
      <c r="E59" s="28"/>
      <c r="F59" s="28"/>
    </row>
    <row r="60" spans="1:6" x14ac:dyDescent="0.25">
      <c r="A60" s="5"/>
      <c r="B60" s="28"/>
      <c r="C60" s="2"/>
      <c r="D60" s="2"/>
      <c r="E60" s="28"/>
      <c r="F60" s="28"/>
    </row>
    <row r="61" spans="1:6" x14ac:dyDescent="0.25">
      <c r="A61" s="5"/>
      <c r="B61" s="28"/>
      <c r="C61" s="2"/>
      <c r="D61" s="2"/>
      <c r="E61" s="28"/>
      <c r="F61" s="28"/>
    </row>
    <row r="62" spans="1:6" x14ac:dyDescent="0.25">
      <c r="A62" s="5"/>
      <c r="B62" s="28"/>
      <c r="C62" s="2"/>
      <c r="D62" s="2"/>
      <c r="E62" s="28"/>
      <c r="F62" s="28"/>
    </row>
    <row r="63" spans="1:6" x14ac:dyDescent="0.25">
      <c r="A63" s="5"/>
      <c r="B63" s="28"/>
      <c r="C63" s="2"/>
      <c r="D63" s="2"/>
      <c r="E63" s="28"/>
      <c r="F63" s="28"/>
    </row>
    <row r="64" spans="1:6" x14ac:dyDescent="0.25">
      <c r="A64" s="5"/>
      <c r="B64" s="28"/>
      <c r="C64" s="2"/>
      <c r="D64" s="2"/>
      <c r="E64" s="28"/>
      <c r="F64" s="28"/>
    </row>
    <row r="65" spans="1:6" x14ac:dyDescent="0.25">
      <c r="A65" s="5"/>
      <c r="B65" s="28"/>
      <c r="C65" s="2"/>
      <c r="D65" s="2"/>
      <c r="E65" s="28"/>
      <c r="F65" s="28"/>
    </row>
    <row r="66" spans="1:6" x14ac:dyDescent="0.25">
      <c r="A66" s="5"/>
      <c r="B66" s="28"/>
      <c r="C66" s="2"/>
      <c r="D66" s="2"/>
      <c r="E66" s="28"/>
      <c r="F66" s="28"/>
    </row>
    <row r="67" spans="1:6" x14ac:dyDescent="0.25">
      <c r="A67" s="5"/>
      <c r="B67" s="28"/>
      <c r="C67" s="2"/>
      <c r="D67" s="2"/>
      <c r="E67" s="28"/>
      <c r="F67" s="28"/>
    </row>
    <row r="68" spans="1:6" x14ac:dyDescent="0.25">
      <c r="A68" s="5"/>
      <c r="B68" s="28"/>
      <c r="C68" s="2"/>
      <c r="D68" s="2"/>
      <c r="E68" s="28"/>
      <c r="F68" s="28"/>
    </row>
    <row r="69" spans="1:6" x14ac:dyDescent="0.25">
      <c r="A69" s="5"/>
      <c r="B69" s="28"/>
      <c r="C69" s="2"/>
      <c r="D69" s="2"/>
      <c r="E69" s="28"/>
      <c r="F69" s="28"/>
    </row>
    <row r="70" spans="1:6" x14ac:dyDescent="0.25">
      <c r="A70" s="5"/>
      <c r="B70" s="28"/>
      <c r="C70" s="2"/>
      <c r="D70" s="2"/>
      <c r="E70" s="28"/>
      <c r="F70" s="28"/>
    </row>
    <row r="71" spans="1:6" x14ac:dyDescent="0.25">
      <c r="A71" s="5"/>
      <c r="B71" s="28"/>
      <c r="C71" s="2"/>
      <c r="D71" s="2"/>
      <c r="E71" s="28"/>
      <c r="F71" s="28"/>
    </row>
    <row r="72" spans="1:6" x14ac:dyDescent="0.25">
      <c r="A72" s="5"/>
      <c r="B72" s="28"/>
      <c r="C72" s="2"/>
      <c r="D72" s="2"/>
      <c r="E72" s="28"/>
      <c r="F72" s="28"/>
    </row>
    <row r="73" spans="1:6" x14ac:dyDescent="0.25">
      <c r="A73" s="5"/>
      <c r="B73" s="28"/>
      <c r="C73" s="2"/>
      <c r="D73" s="2"/>
      <c r="E73" s="28"/>
      <c r="F73" s="28"/>
    </row>
    <row r="74" spans="1:6" x14ac:dyDescent="0.25">
      <c r="A74" s="5"/>
      <c r="B74" s="28"/>
      <c r="C74" s="2"/>
      <c r="D74" s="2"/>
      <c r="E74" s="28"/>
      <c r="F74" s="28"/>
    </row>
    <row r="75" spans="1:6" x14ac:dyDescent="0.25">
      <c r="A75" s="5"/>
      <c r="B75" s="28"/>
      <c r="C75" s="2"/>
      <c r="D75" s="2"/>
      <c r="E75" s="28"/>
      <c r="F75" s="28"/>
    </row>
    <row r="76" spans="1:6" x14ac:dyDescent="0.25">
      <c r="A76" s="5"/>
      <c r="B76" s="28"/>
      <c r="C76" s="2"/>
      <c r="D76" s="2"/>
      <c r="E76" s="28"/>
      <c r="F76" s="28"/>
    </row>
    <row r="77" spans="1:6" x14ac:dyDescent="0.25">
      <c r="A77" s="5"/>
      <c r="B77" s="28"/>
      <c r="C77" s="2"/>
      <c r="D77" s="2"/>
      <c r="E77" s="28"/>
      <c r="F77" s="28"/>
    </row>
    <row r="78" spans="1:6" x14ac:dyDescent="0.25">
      <c r="A78" s="5"/>
      <c r="B78" s="28"/>
      <c r="C78" s="2"/>
      <c r="D78" s="2"/>
      <c r="E78" s="28"/>
      <c r="F78" s="28"/>
    </row>
    <row r="79" spans="1:6" x14ac:dyDescent="0.25">
      <c r="A79" s="5"/>
      <c r="B79" s="28"/>
      <c r="C79" s="2"/>
      <c r="D79" s="2"/>
      <c r="E79" s="28"/>
      <c r="F79" s="28"/>
    </row>
    <row r="80" spans="1:6" x14ac:dyDescent="0.25">
      <c r="A80" s="5"/>
      <c r="B80" s="28"/>
      <c r="C80" s="2"/>
      <c r="D80" s="2"/>
      <c r="E80" s="28"/>
      <c r="F80" s="28"/>
    </row>
    <row r="81" spans="1:6" x14ac:dyDescent="0.25">
      <c r="A81" s="5"/>
      <c r="B81" s="28"/>
      <c r="C81" s="2"/>
      <c r="D81" s="2"/>
      <c r="E81" s="28"/>
      <c r="F81" s="28"/>
    </row>
    <row r="82" spans="1:6" x14ac:dyDescent="0.25">
      <c r="A82" s="5"/>
      <c r="B82" s="28"/>
      <c r="C82" s="2"/>
      <c r="D82" s="2"/>
      <c r="E82" s="28"/>
      <c r="F82" s="28"/>
    </row>
    <row r="83" spans="1:6" x14ac:dyDescent="0.25">
      <c r="A83" s="5"/>
      <c r="B83" s="28"/>
      <c r="C83" s="2"/>
      <c r="D83" s="2"/>
      <c r="E83" s="28"/>
      <c r="F83" s="28"/>
    </row>
    <row r="84" spans="1:6" x14ac:dyDescent="0.25">
      <c r="A84" s="5"/>
      <c r="B84" s="28"/>
      <c r="C84" s="2"/>
      <c r="D84" s="2"/>
      <c r="E84" s="28"/>
      <c r="F84" s="28"/>
    </row>
    <row r="85" spans="1:6" x14ac:dyDescent="0.25">
      <c r="A85" s="5"/>
      <c r="B85" s="28"/>
      <c r="C85" s="2"/>
      <c r="D85" s="2"/>
      <c r="E85" s="28"/>
      <c r="F85" s="28"/>
    </row>
    <row r="86" spans="1:6" x14ac:dyDescent="0.25">
      <c r="A86" s="5"/>
      <c r="B86" s="28"/>
      <c r="C86" s="2"/>
      <c r="D86" s="2"/>
      <c r="E86" s="28"/>
      <c r="F86" s="28"/>
    </row>
    <row r="87" spans="1:6" x14ac:dyDescent="0.25">
      <c r="A87" s="5"/>
      <c r="B87" s="28"/>
      <c r="C87" s="2"/>
      <c r="D87" s="2"/>
      <c r="E87" s="28"/>
      <c r="F87" s="28"/>
    </row>
    <row r="88" spans="1:6" x14ac:dyDescent="0.25">
      <c r="A88" s="5"/>
      <c r="B88" s="28"/>
      <c r="C88" s="2"/>
      <c r="D88" s="2"/>
      <c r="E88" s="28"/>
      <c r="F88" s="28"/>
    </row>
    <row r="89" spans="1:6" x14ac:dyDescent="0.25">
      <c r="A89" s="5"/>
      <c r="B89" s="28"/>
      <c r="C89" s="2"/>
      <c r="D89" s="2"/>
      <c r="E89" s="28"/>
      <c r="F89" s="28"/>
    </row>
    <row r="90" spans="1:6" x14ac:dyDescent="0.25">
      <c r="A90" s="5"/>
      <c r="B90" s="28"/>
      <c r="C90" s="2"/>
      <c r="D90" s="2"/>
      <c r="E90" s="28"/>
      <c r="F90" s="28"/>
    </row>
    <row r="91" spans="1:6" x14ac:dyDescent="0.25">
      <c r="A91" s="5"/>
      <c r="B91" s="28"/>
      <c r="C91" s="2"/>
      <c r="D91" s="2"/>
      <c r="E91" s="28"/>
      <c r="F91" s="28"/>
    </row>
    <row r="92" spans="1:6" x14ac:dyDescent="0.25">
      <c r="A92" s="5"/>
      <c r="B92" s="28"/>
      <c r="C92" s="2"/>
      <c r="D92" s="2"/>
      <c r="E92" s="28"/>
      <c r="F92" s="28"/>
    </row>
    <row r="93" spans="1:6" x14ac:dyDescent="0.25">
      <c r="A93" s="5"/>
      <c r="B93" s="28"/>
      <c r="C93" s="2"/>
      <c r="D93" s="2"/>
      <c r="E93" s="28"/>
      <c r="F93" s="28"/>
    </row>
    <row r="94" spans="1:6" x14ac:dyDescent="0.25">
      <c r="A94" s="5"/>
      <c r="B94" s="28"/>
      <c r="C94" s="2"/>
      <c r="D94" s="2"/>
      <c r="E94" s="28"/>
      <c r="F94" s="28"/>
    </row>
    <row r="95" spans="1:6" x14ac:dyDescent="0.25">
      <c r="A95" s="5"/>
      <c r="B95" s="28"/>
      <c r="C95" s="2"/>
      <c r="D95" s="2"/>
      <c r="E95" s="28"/>
      <c r="F95" s="28"/>
    </row>
    <row r="96" spans="1:6" x14ac:dyDescent="0.25">
      <c r="A96" s="5"/>
      <c r="B96" s="28"/>
      <c r="C96" s="2"/>
      <c r="D96" s="2"/>
      <c r="E96" s="28"/>
      <c r="F96" s="28"/>
    </row>
    <row r="97" spans="1:6" x14ac:dyDescent="0.25">
      <c r="A97" s="5"/>
      <c r="B97" s="28"/>
      <c r="C97" s="2"/>
      <c r="D97" s="2"/>
      <c r="E97" s="28"/>
      <c r="F97" s="28"/>
    </row>
    <row r="98" spans="1:6" x14ac:dyDescent="0.25">
      <c r="A98" s="5"/>
      <c r="B98" s="28"/>
      <c r="C98" s="2"/>
      <c r="D98" s="2"/>
      <c r="E98" s="28"/>
      <c r="F98" s="28"/>
    </row>
    <row r="99" spans="1:6" x14ac:dyDescent="0.25">
      <c r="A99" s="5"/>
      <c r="B99" s="28"/>
      <c r="C99" s="2"/>
      <c r="D99" s="2"/>
      <c r="E99" s="28"/>
      <c r="F99" s="28"/>
    </row>
    <row r="100" spans="1:6" x14ac:dyDescent="0.25">
      <c r="A100" s="5"/>
      <c r="B100" s="28"/>
      <c r="C100" s="2"/>
      <c r="D100" s="2"/>
      <c r="E100" s="28"/>
      <c r="F100" s="28"/>
    </row>
    <row r="101" spans="1:6" x14ac:dyDescent="0.25">
      <c r="A101" s="5"/>
      <c r="B101" s="28"/>
      <c r="C101" s="2"/>
      <c r="D101" s="2"/>
      <c r="E101" s="28"/>
      <c r="F101" s="28"/>
    </row>
    <row r="102" spans="1:6" x14ac:dyDescent="0.25">
      <c r="A102" s="5"/>
    </row>
    <row r="103" spans="1:6" x14ac:dyDescent="0.25">
      <c r="A103" s="5"/>
    </row>
    <row r="104" spans="1:6" x14ac:dyDescent="0.25">
      <c r="A104" s="5"/>
    </row>
    <row r="105" spans="1:6" x14ac:dyDescent="0.25">
      <c r="A105" s="5"/>
    </row>
    <row r="106" spans="1:6" x14ac:dyDescent="0.25">
      <c r="A106" s="5"/>
    </row>
    <row r="107" spans="1:6" x14ac:dyDescent="0.25">
      <c r="A107" s="5"/>
    </row>
    <row r="108" spans="1:6" x14ac:dyDescent="0.25">
      <c r="A108" s="5"/>
    </row>
    <row r="109" spans="1:6" x14ac:dyDescent="0.25">
      <c r="A109" s="5"/>
    </row>
    <row r="110" spans="1:6" x14ac:dyDescent="0.25">
      <c r="A110" s="5"/>
    </row>
    <row r="111" spans="1:6" x14ac:dyDescent="0.25">
      <c r="A111" s="5"/>
    </row>
    <row r="112" spans="1:6" x14ac:dyDescent="0.25">
      <c r="A112" s="5"/>
    </row>
    <row r="113" spans="1:1" customFormat="1" x14ac:dyDescent="0.25">
      <c r="A113" s="5"/>
    </row>
    <row r="114" spans="1:1" customFormat="1" x14ac:dyDescent="0.25">
      <c r="A114" s="5"/>
    </row>
    <row r="115" spans="1:1" customFormat="1" x14ac:dyDescent="0.25">
      <c r="A115" s="5"/>
    </row>
    <row r="116" spans="1:1" customFormat="1" x14ac:dyDescent="0.25">
      <c r="A116" s="5"/>
    </row>
    <row r="117" spans="1:1" customFormat="1" x14ac:dyDescent="0.25">
      <c r="A117" s="5"/>
    </row>
    <row r="118" spans="1:1" customFormat="1" x14ac:dyDescent="0.25">
      <c r="A118" s="5"/>
    </row>
    <row r="119" spans="1:1" customFormat="1" x14ac:dyDescent="0.25">
      <c r="A119" s="5"/>
    </row>
    <row r="120" spans="1:1" customFormat="1" x14ac:dyDescent="0.25">
      <c r="A120" s="5"/>
    </row>
    <row r="121" spans="1:1" customFormat="1" x14ac:dyDescent="0.25">
      <c r="A121" s="5"/>
    </row>
    <row r="122" spans="1:1" customFormat="1" x14ac:dyDescent="0.25">
      <c r="A122" s="5"/>
    </row>
    <row r="123" spans="1:1" customFormat="1" x14ac:dyDescent="0.25">
      <c r="A123" s="5"/>
    </row>
    <row r="124" spans="1:1" customFormat="1" x14ac:dyDescent="0.25">
      <c r="A124" s="5"/>
    </row>
    <row r="125" spans="1:1" customFormat="1" x14ac:dyDescent="0.25">
      <c r="A125" s="5"/>
    </row>
    <row r="126" spans="1:1" customFormat="1" x14ac:dyDescent="0.25">
      <c r="A126" s="5"/>
    </row>
    <row r="127" spans="1:1" customFormat="1" x14ac:dyDescent="0.25">
      <c r="A127" s="5"/>
    </row>
    <row r="128" spans="1:1" customFormat="1" x14ac:dyDescent="0.25">
      <c r="A128" s="5"/>
    </row>
    <row r="129" spans="1:1" customFormat="1" x14ac:dyDescent="0.25">
      <c r="A129" s="5"/>
    </row>
    <row r="130" spans="1:1" customFormat="1" x14ac:dyDescent="0.25">
      <c r="A130" s="5"/>
    </row>
    <row r="131" spans="1:1" customFormat="1" x14ac:dyDescent="0.25">
      <c r="A131" s="5"/>
    </row>
    <row r="132" spans="1:1" customFormat="1" x14ac:dyDescent="0.25">
      <c r="A132" s="5"/>
    </row>
    <row r="133" spans="1:1" customFormat="1" x14ac:dyDescent="0.25">
      <c r="A133" s="5"/>
    </row>
    <row r="134" spans="1:1" customFormat="1" x14ac:dyDescent="0.25">
      <c r="A134" s="5"/>
    </row>
    <row r="135" spans="1:1" customFormat="1" x14ac:dyDescent="0.25">
      <c r="A135" s="5"/>
    </row>
    <row r="136" spans="1:1" customFormat="1" x14ac:dyDescent="0.25">
      <c r="A136" s="5"/>
    </row>
    <row r="137" spans="1:1" customFormat="1" x14ac:dyDescent="0.25">
      <c r="A137" s="5"/>
    </row>
    <row r="138" spans="1:1" customFormat="1" x14ac:dyDescent="0.25">
      <c r="A138" s="5"/>
    </row>
    <row r="139" spans="1:1" customFormat="1" x14ac:dyDescent="0.25">
      <c r="A139" s="5"/>
    </row>
    <row r="140" spans="1:1" customFormat="1" x14ac:dyDescent="0.25">
      <c r="A140" s="5"/>
    </row>
    <row r="141" spans="1:1" customFormat="1" x14ac:dyDescent="0.25">
      <c r="A141" s="5"/>
    </row>
    <row r="142" spans="1:1" customFormat="1" x14ac:dyDescent="0.25">
      <c r="A142" s="5"/>
    </row>
    <row r="143" spans="1:1" customFormat="1" x14ac:dyDescent="0.25">
      <c r="A143" s="5"/>
    </row>
    <row r="144" spans="1:1" customFormat="1" x14ac:dyDescent="0.25">
      <c r="A144" s="5"/>
    </row>
    <row r="145" spans="1:1" customFormat="1" x14ac:dyDescent="0.25">
      <c r="A145" s="5"/>
    </row>
    <row r="146" spans="1:1" customFormat="1" x14ac:dyDescent="0.25">
      <c r="A146" s="5"/>
    </row>
    <row r="147" spans="1:1" customFormat="1" x14ac:dyDescent="0.25">
      <c r="A147" s="5"/>
    </row>
    <row r="148" spans="1:1" customFormat="1" x14ac:dyDescent="0.25">
      <c r="A148" s="5"/>
    </row>
    <row r="149" spans="1:1" customFormat="1" x14ac:dyDescent="0.25">
      <c r="A149" s="5"/>
    </row>
    <row r="150" spans="1:1" customFormat="1" x14ac:dyDescent="0.25">
      <c r="A150" s="5"/>
    </row>
    <row r="151" spans="1:1" customFormat="1" x14ac:dyDescent="0.25">
      <c r="A151" s="5"/>
    </row>
    <row r="152" spans="1:1" customFormat="1" x14ac:dyDescent="0.25">
      <c r="A152" s="5"/>
    </row>
    <row r="153" spans="1:1" customFormat="1" x14ac:dyDescent="0.25">
      <c r="A153" s="5"/>
    </row>
    <row r="154" spans="1:1" customFormat="1" x14ac:dyDescent="0.25">
      <c r="A154" s="5"/>
    </row>
    <row r="155" spans="1:1" customFormat="1" x14ac:dyDescent="0.25">
      <c r="A155" s="5"/>
    </row>
    <row r="156" spans="1:1" customFormat="1" x14ac:dyDescent="0.25">
      <c r="A156" s="5"/>
    </row>
    <row r="157" spans="1:1" customFormat="1" x14ac:dyDescent="0.25">
      <c r="A157" s="5"/>
    </row>
    <row r="158" spans="1:1" customFormat="1" x14ac:dyDescent="0.25">
      <c r="A158" s="5"/>
    </row>
    <row r="159" spans="1:1" customFormat="1" x14ac:dyDescent="0.25">
      <c r="A159" s="5"/>
    </row>
    <row r="160" spans="1:1" customFormat="1" x14ac:dyDescent="0.25">
      <c r="A160" s="5"/>
    </row>
    <row r="161" spans="1:1" customFormat="1" x14ac:dyDescent="0.25">
      <c r="A161" s="5"/>
    </row>
    <row r="162" spans="1:1" customFormat="1" x14ac:dyDescent="0.25">
      <c r="A162" s="5"/>
    </row>
    <row r="163" spans="1:1" customFormat="1" x14ac:dyDescent="0.25">
      <c r="A163" s="5"/>
    </row>
    <row r="164" spans="1:1" customFormat="1" x14ac:dyDescent="0.25">
      <c r="A164" s="5"/>
    </row>
    <row r="165" spans="1:1" customFormat="1" x14ac:dyDescent="0.25">
      <c r="A165" s="5"/>
    </row>
    <row r="166" spans="1:1" customFormat="1" x14ac:dyDescent="0.25">
      <c r="A166" s="5"/>
    </row>
    <row r="167" spans="1:1" customFormat="1" x14ac:dyDescent="0.25">
      <c r="A167" s="5"/>
    </row>
    <row r="168" spans="1:1" customFormat="1" x14ac:dyDescent="0.25">
      <c r="A168" s="5"/>
    </row>
    <row r="169" spans="1:1" customFormat="1" x14ac:dyDescent="0.25">
      <c r="A169" s="5"/>
    </row>
    <row r="170" spans="1:1" customFormat="1" x14ac:dyDescent="0.25">
      <c r="A170" s="5"/>
    </row>
    <row r="171" spans="1:1" customFormat="1" x14ac:dyDescent="0.25">
      <c r="A171" s="5"/>
    </row>
    <row r="172" spans="1:1" customFormat="1" x14ac:dyDescent="0.25">
      <c r="A172" s="5"/>
    </row>
    <row r="173" spans="1:1" customFormat="1" x14ac:dyDescent="0.25">
      <c r="A173" s="5"/>
    </row>
    <row r="174" spans="1:1" customFormat="1" x14ac:dyDescent="0.25">
      <c r="A174" s="5"/>
    </row>
    <row r="175" spans="1:1" customFormat="1" x14ac:dyDescent="0.25">
      <c r="A175" s="5"/>
    </row>
    <row r="176" spans="1:1" customFormat="1" x14ac:dyDescent="0.25">
      <c r="A176" s="5"/>
    </row>
    <row r="177" spans="1:1" customFormat="1" x14ac:dyDescent="0.25">
      <c r="A177" s="5"/>
    </row>
    <row r="178" spans="1:1" customFormat="1" x14ac:dyDescent="0.25">
      <c r="A178" s="5"/>
    </row>
    <row r="179" spans="1:1" customFormat="1" x14ac:dyDescent="0.25">
      <c r="A179" s="5"/>
    </row>
    <row r="180" spans="1:1" customFormat="1" x14ac:dyDescent="0.25">
      <c r="A180" s="5"/>
    </row>
    <row r="181" spans="1:1" customFormat="1" x14ac:dyDescent="0.25">
      <c r="A181" s="5"/>
    </row>
    <row r="182" spans="1:1" customFormat="1" x14ac:dyDescent="0.25">
      <c r="A182" s="5"/>
    </row>
    <row r="183" spans="1:1" customFormat="1" x14ac:dyDescent="0.25">
      <c r="A183" s="5"/>
    </row>
    <row r="184" spans="1:1" customFormat="1" x14ac:dyDescent="0.25">
      <c r="A184" s="5"/>
    </row>
    <row r="185" spans="1:1" customFormat="1" x14ac:dyDescent="0.25">
      <c r="A185" s="5"/>
    </row>
    <row r="186" spans="1:1" customFormat="1" x14ac:dyDescent="0.25">
      <c r="A186" s="5"/>
    </row>
    <row r="187" spans="1:1" customFormat="1" x14ac:dyDescent="0.25">
      <c r="A187" s="5"/>
    </row>
    <row r="188" spans="1:1" customFormat="1" x14ac:dyDescent="0.25">
      <c r="A188" s="5"/>
    </row>
    <row r="189" spans="1:1" customFormat="1" x14ac:dyDescent="0.25">
      <c r="A189" s="5"/>
    </row>
    <row r="190" spans="1:1" customFormat="1" x14ac:dyDescent="0.25">
      <c r="A190" s="5"/>
    </row>
    <row r="191" spans="1:1" customFormat="1" x14ac:dyDescent="0.25">
      <c r="A191" s="5"/>
    </row>
    <row r="192" spans="1:1" customFormat="1" x14ac:dyDescent="0.25">
      <c r="A192" s="5"/>
    </row>
    <row r="193" spans="1:1" customFormat="1" x14ac:dyDescent="0.25">
      <c r="A193" s="5"/>
    </row>
    <row r="194" spans="1:1" customFormat="1" x14ac:dyDescent="0.25">
      <c r="A194" s="5"/>
    </row>
    <row r="195" spans="1:1" customFormat="1" x14ac:dyDescent="0.25">
      <c r="A195" s="5"/>
    </row>
    <row r="196" spans="1:1" customFormat="1" x14ac:dyDescent="0.25">
      <c r="A196" s="5"/>
    </row>
    <row r="197" spans="1:1" customFormat="1" x14ac:dyDescent="0.25">
      <c r="A197" s="5"/>
    </row>
    <row r="198" spans="1:1" customFormat="1" x14ac:dyDescent="0.25">
      <c r="A198" s="5"/>
    </row>
    <row r="199" spans="1:1" customFormat="1" x14ac:dyDescent="0.25">
      <c r="A199" s="5"/>
    </row>
    <row r="200" spans="1:1" customFormat="1" x14ac:dyDescent="0.25">
      <c r="A200" s="5"/>
    </row>
    <row r="201" spans="1:1" customFormat="1" x14ac:dyDescent="0.25">
      <c r="A201" s="5"/>
    </row>
    <row r="202" spans="1:1" customFormat="1" x14ac:dyDescent="0.25">
      <c r="A202" s="5"/>
    </row>
    <row r="203" spans="1:1" customFormat="1" x14ac:dyDescent="0.25">
      <c r="A203" s="5"/>
    </row>
    <row r="204" spans="1:1" customFormat="1" x14ac:dyDescent="0.25">
      <c r="A204" s="5"/>
    </row>
    <row r="205" spans="1:1" customFormat="1" x14ac:dyDescent="0.25">
      <c r="A205" s="5"/>
    </row>
    <row r="206" spans="1:1" customFormat="1" x14ac:dyDescent="0.25">
      <c r="A206" s="5"/>
    </row>
    <row r="207" spans="1:1" customFormat="1" x14ac:dyDescent="0.25">
      <c r="A207" s="5"/>
    </row>
    <row r="208" spans="1:1" customFormat="1" x14ac:dyDescent="0.25">
      <c r="A208" s="5"/>
    </row>
    <row r="209" spans="1:1" customFormat="1" x14ac:dyDescent="0.25">
      <c r="A209" s="5"/>
    </row>
    <row r="210" spans="1:1" customFormat="1" x14ac:dyDescent="0.25">
      <c r="A210" s="5"/>
    </row>
    <row r="211" spans="1:1" customFormat="1" x14ac:dyDescent="0.25">
      <c r="A211" s="5"/>
    </row>
    <row r="212" spans="1:1" customFormat="1" x14ac:dyDescent="0.25">
      <c r="A212" s="5"/>
    </row>
    <row r="213" spans="1:1" customFormat="1" x14ac:dyDescent="0.25">
      <c r="A213" s="5"/>
    </row>
    <row r="214" spans="1:1" customFormat="1" x14ac:dyDescent="0.25">
      <c r="A214" s="5"/>
    </row>
    <row r="215" spans="1:1" customFormat="1" x14ac:dyDescent="0.25">
      <c r="A215" s="5"/>
    </row>
    <row r="216" spans="1:1" customFormat="1" x14ac:dyDescent="0.25">
      <c r="A216" s="5"/>
    </row>
    <row r="217" spans="1:1" customFormat="1" x14ac:dyDescent="0.25">
      <c r="A217" s="5"/>
    </row>
    <row r="218" spans="1:1" customFormat="1" x14ac:dyDescent="0.25">
      <c r="A218" s="5"/>
    </row>
    <row r="219" spans="1:1" customFormat="1" x14ac:dyDescent="0.25">
      <c r="A219" s="5"/>
    </row>
    <row r="220" spans="1:1" customFormat="1" x14ac:dyDescent="0.25">
      <c r="A220" s="5"/>
    </row>
    <row r="221" spans="1:1" customFormat="1" x14ac:dyDescent="0.25">
      <c r="A221" s="5"/>
    </row>
    <row r="222" spans="1:1" customFormat="1" x14ac:dyDescent="0.25">
      <c r="A222" s="5"/>
    </row>
    <row r="223" spans="1:1" customFormat="1" x14ac:dyDescent="0.25">
      <c r="A223" s="5"/>
    </row>
    <row r="224" spans="1:1" customFormat="1" x14ac:dyDescent="0.25">
      <c r="A224" s="5"/>
    </row>
    <row r="225" spans="1:1" customFormat="1" x14ac:dyDescent="0.25">
      <c r="A225" s="5"/>
    </row>
    <row r="226" spans="1:1" customFormat="1" x14ac:dyDescent="0.25">
      <c r="A226" s="5"/>
    </row>
    <row r="227" spans="1:1" customFormat="1" x14ac:dyDescent="0.25">
      <c r="A227" s="5"/>
    </row>
    <row r="228" spans="1:1" customFormat="1" x14ac:dyDescent="0.25">
      <c r="A228" s="5"/>
    </row>
    <row r="229" spans="1:1" customFormat="1" x14ac:dyDescent="0.25">
      <c r="A229" s="5"/>
    </row>
    <row r="230" spans="1:1" customFormat="1" x14ac:dyDescent="0.25">
      <c r="A230" s="5"/>
    </row>
    <row r="231" spans="1:1" customFormat="1" x14ac:dyDescent="0.25">
      <c r="A231" s="5"/>
    </row>
    <row r="232" spans="1:1" customFormat="1" x14ac:dyDescent="0.25">
      <c r="A232" s="5"/>
    </row>
    <row r="233" spans="1:1" customFormat="1" x14ac:dyDescent="0.25">
      <c r="A233" s="5"/>
    </row>
    <row r="234" spans="1:1" customFormat="1" x14ac:dyDescent="0.25">
      <c r="A234" s="5"/>
    </row>
    <row r="235" spans="1:1" customFormat="1" x14ac:dyDescent="0.25">
      <c r="A235" s="5"/>
    </row>
    <row r="236" spans="1:1" customFormat="1" x14ac:dyDescent="0.25">
      <c r="A236" s="5"/>
    </row>
    <row r="237" spans="1:1" customFormat="1" x14ac:dyDescent="0.25">
      <c r="A237" s="5"/>
    </row>
    <row r="238" spans="1:1" customFormat="1" x14ac:dyDescent="0.25">
      <c r="A238" s="5"/>
    </row>
    <row r="239" spans="1:1" customFormat="1" x14ac:dyDescent="0.25">
      <c r="A239" s="5"/>
    </row>
    <row r="240" spans="1:1" customFormat="1" x14ac:dyDescent="0.25">
      <c r="A240" s="5"/>
    </row>
    <row r="241" spans="1:1" customFormat="1" x14ac:dyDescent="0.25">
      <c r="A241" s="5"/>
    </row>
    <row r="242" spans="1:1" customFormat="1" x14ac:dyDescent="0.25">
      <c r="A242" s="5"/>
    </row>
    <row r="243" spans="1:1" customFormat="1" x14ac:dyDescent="0.25">
      <c r="A243" s="5"/>
    </row>
    <row r="244" spans="1:1" customFormat="1" x14ac:dyDescent="0.25">
      <c r="A244" s="5"/>
    </row>
    <row r="245" spans="1:1" customFormat="1" x14ac:dyDescent="0.25">
      <c r="A245" s="5"/>
    </row>
    <row r="246" spans="1:1" customFormat="1" x14ac:dyDescent="0.25">
      <c r="A246" s="5"/>
    </row>
    <row r="247" spans="1:1" customFormat="1" x14ac:dyDescent="0.25">
      <c r="A247" s="5"/>
    </row>
    <row r="248" spans="1:1" customFormat="1" x14ac:dyDescent="0.25">
      <c r="A248" s="5"/>
    </row>
    <row r="249" spans="1:1" customFormat="1" x14ac:dyDescent="0.25">
      <c r="A249" s="5"/>
    </row>
    <row r="250" spans="1:1" customFormat="1" x14ac:dyDescent="0.25">
      <c r="A250" s="5"/>
    </row>
    <row r="251" spans="1:1" customFormat="1" x14ac:dyDescent="0.25">
      <c r="A251" s="5"/>
    </row>
    <row r="252" spans="1:1" customFormat="1" x14ac:dyDescent="0.25">
      <c r="A252" s="5"/>
    </row>
    <row r="253" spans="1:1" customFormat="1" x14ac:dyDescent="0.25">
      <c r="A253" s="5"/>
    </row>
    <row r="254" spans="1:1" customFormat="1" x14ac:dyDescent="0.25">
      <c r="A254" s="5"/>
    </row>
    <row r="255" spans="1:1" customFormat="1" x14ac:dyDescent="0.25">
      <c r="A255" s="5"/>
    </row>
    <row r="256" spans="1:1" customFormat="1" x14ac:dyDescent="0.25">
      <c r="A256" s="5"/>
    </row>
    <row r="257" spans="1:1" customFormat="1" x14ac:dyDescent="0.25">
      <c r="A257" s="5"/>
    </row>
    <row r="258" spans="1:1" customFormat="1" x14ac:dyDescent="0.25">
      <c r="A258" s="5"/>
    </row>
    <row r="259" spans="1:1" customFormat="1" x14ac:dyDescent="0.25">
      <c r="A259" s="5"/>
    </row>
    <row r="260" spans="1:1" customFormat="1" x14ac:dyDescent="0.25">
      <c r="A260" s="5"/>
    </row>
    <row r="261" spans="1:1" customFormat="1" x14ac:dyDescent="0.25">
      <c r="A261" s="5"/>
    </row>
    <row r="262" spans="1:1" customFormat="1" x14ac:dyDescent="0.25">
      <c r="A262" s="5"/>
    </row>
    <row r="263" spans="1:1" customFormat="1" x14ac:dyDescent="0.25">
      <c r="A263" s="5"/>
    </row>
    <row r="264" spans="1:1" customFormat="1" x14ac:dyDescent="0.25">
      <c r="A264" s="5"/>
    </row>
    <row r="265" spans="1:1" customFormat="1" x14ac:dyDescent="0.25">
      <c r="A265" s="5"/>
    </row>
    <row r="266" spans="1:1" customFormat="1" x14ac:dyDescent="0.25">
      <c r="A266" s="5"/>
    </row>
    <row r="267" spans="1:1" customFormat="1" x14ac:dyDescent="0.25">
      <c r="A267" s="5"/>
    </row>
    <row r="268" spans="1:1" customFormat="1" x14ac:dyDescent="0.25">
      <c r="A268" s="5"/>
    </row>
    <row r="269" spans="1:1" customFormat="1" x14ac:dyDescent="0.25">
      <c r="A269" s="5"/>
    </row>
    <row r="270" spans="1:1" customFormat="1" x14ac:dyDescent="0.25">
      <c r="A270" s="5"/>
    </row>
    <row r="271" spans="1:1" customFormat="1" x14ac:dyDescent="0.25">
      <c r="A271" s="5"/>
    </row>
    <row r="272" spans="1:1" customFormat="1" x14ac:dyDescent="0.25">
      <c r="A272" s="5"/>
    </row>
    <row r="273" spans="1:1" customFormat="1" x14ac:dyDescent="0.25">
      <c r="A273" s="5"/>
    </row>
    <row r="274" spans="1:1" customFormat="1" x14ac:dyDescent="0.25">
      <c r="A274" s="5"/>
    </row>
    <row r="275" spans="1:1" customFormat="1" x14ac:dyDescent="0.25">
      <c r="A275" s="5"/>
    </row>
    <row r="276" spans="1:1" customFormat="1" x14ac:dyDescent="0.25">
      <c r="A276" s="5"/>
    </row>
    <row r="277" spans="1:1" customFormat="1" x14ac:dyDescent="0.25">
      <c r="A277" s="5"/>
    </row>
    <row r="278" spans="1:1" customFormat="1" x14ac:dyDescent="0.25">
      <c r="A278" s="5"/>
    </row>
    <row r="279" spans="1:1" customFormat="1" x14ac:dyDescent="0.25">
      <c r="A279" s="5"/>
    </row>
    <row r="280" spans="1:1" customFormat="1" x14ac:dyDescent="0.25">
      <c r="A280" s="5"/>
    </row>
    <row r="281" spans="1:1" customFormat="1" x14ac:dyDescent="0.25">
      <c r="A281" s="5"/>
    </row>
    <row r="282" spans="1:1" customFormat="1" x14ac:dyDescent="0.25">
      <c r="A282" s="5"/>
    </row>
    <row r="283" spans="1:1" customFormat="1" x14ac:dyDescent="0.25">
      <c r="A283" s="5"/>
    </row>
    <row r="284" spans="1:1" customFormat="1" x14ac:dyDescent="0.25">
      <c r="A284" s="5"/>
    </row>
    <row r="285" spans="1:1" customFormat="1" x14ac:dyDescent="0.25">
      <c r="A285" s="5"/>
    </row>
    <row r="286" spans="1:1" customFormat="1" x14ac:dyDescent="0.25">
      <c r="A286" s="5"/>
    </row>
    <row r="287" spans="1:1" customFormat="1" x14ac:dyDescent="0.25">
      <c r="A287" s="5"/>
    </row>
    <row r="288" spans="1:1" customFormat="1" x14ac:dyDescent="0.25">
      <c r="A288" s="5"/>
    </row>
    <row r="289" spans="1:1" customFormat="1" x14ac:dyDescent="0.25">
      <c r="A289" s="5"/>
    </row>
    <row r="290" spans="1:1" customFormat="1" x14ac:dyDescent="0.25">
      <c r="A290" s="5"/>
    </row>
    <row r="291" spans="1:1" customFormat="1" x14ac:dyDescent="0.25">
      <c r="A291" s="5"/>
    </row>
    <row r="292" spans="1:1" customFormat="1" x14ac:dyDescent="0.25">
      <c r="A292" s="5"/>
    </row>
    <row r="293" spans="1:1" customFormat="1" x14ac:dyDescent="0.25">
      <c r="A293" s="5"/>
    </row>
    <row r="294" spans="1:1" customFormat="1" x14ac:dyDescent="0.25">
      <c r="A294" s="5"/>
    </row>
    <row r="295" spans="1:1" customFormat="1" x14ac:dyDescent="0.25">
      <c r="A295" s="5"/>
    </row>
    <row r="296" spans="1:1" customFormat="1" x14ac:dyDescent="0.25">
      <c r="A296" s="5"/>
    </row>
    <row r="297" spans="1:1" customFormat="1" x14ac:dyDescent="0.25">
      <c r="A297" s="5"/>
    </row>
    <row r="298" spans="1:1" customFormat="1" x14ac:dyDescent="0.25">
      <c r="A298" s="5"/>
    </row>
    <row r="299" spans="1:1" customFormat="1" x14ac:dyDescent="0.25">
      <c r="A299" s="5"/>
    </row>
    <row r="300" spans="1:1" customFormat="1" x14ac:dyDescent="0.25">
      <c r="A300" s="5"/>
    </row>
    <row r="301" spans="1:1" customFormat="1" x14ac:dyDescent="0.25">
      <c r="A301" s="5"/>
    </row>
    <row r="302" spans="1:1" customFormat="1" x14ac:dyDescent="0.25">
      <c r="A302" s="5"/>
    </row>
    <row r="303" spans="1:1" customFormat="1" x14ac:dyDescent="0.25">
      <c r="A303" s="5"/>
    </row>
    <row r="304" spans="1:1" customFormat="1" x14ac:dyDescent="0.25">
      <c r="A304" s="5"/>
    </row>
    <row r="305" spans="1:1" customFormat="1" x14ac:dyDescent="0.25">
      <c r="A305" s="5"/>
    </row>
    <row r="306" spans="1:1" customFormat="1" x14ac:dyDescent="0.25">
      <c r="A306" s="5"/>
    </row>
    <row r="307" spans="1:1" customFormat="1" x14ac:dyDescent="0.25">
      <c r="A307" s="5"/>
    </row>
    <row r="308" spans="1:1" customFormat="1" x14ac:dyDescent="0.25">
      <c r="A308" s="5"/>
    </row>
    <row r="309" spans="1:1" customFormat="1" x14ac:dyDescent="0.25">
      <c r="A309" s="5"/>
    </row>
    <row r="310" spans="1:1" customFormat="1" x14ac:dyDescent="0.25">
      <c r="A310" s="5"/>
    </row>
    <row r="311" spans="1:1" customFormat="1" x14ac:dyDescent="0.25">
      <c r="A311" s="5"/>
    </row>
    <row r="312" spans="1:1" customFormat="1" x14ac:dyDescent="0.25">
      <c r="A312" s="5"/>
    </row>
    <row r="313" spans="1:1" customFormat="1" x14ac:dyDescent="0.25">
      <c r="A313" s="5"/>
    </row>
    <row r="314" spans="1:1" customFormat="1" x14ac:dyDescent="0.25">
      <c r="A314" s="5"/>
    </row>
    <row r="315" spans="1:1" customFormat="1" x14ac:dyDescent="0.25">
      <c r="A315" s="5"/>
    </row>
    <row r="316" spans="1:1" customFormat="1" x14ac:dyDescent="0.25">
      <c r="A316" s="5"/>
    </row>
    <row r="317" spans="1:1" customFormat="1" x14ac:dyDescent="0.25">
      <c r="A317" s="5"/>
    </row>
    <row r="318" spans="1:1" customFormat="1" x14ac:dyDescent="0.25">
      <c r="A318" s="5"/>
    </row>
    <row r="319" spans="1:1" customFormat="1" x14ac:dyDescent="0.25">
      <c r="A319" s="5"/>
    </row>
    <row r="320" spans="1:1" customFormat="1" x14ac:dyDescent="0.25">
      <c r="A320" s="5"/>
    </row>
    <row r="321" spans="1:1" customFormat="1" x14ac:dyDescent="0.25">
      <c r="A321" s="5"/>
    </row>
    <row r="322" spans="1:1" customFormat="1" x14ac:dyDescent="0.25">
      <c r="A322" s="5"/>
    </row>
    <row r="323" spans="1:1" customFormat="1" x14ac:dyDescent="0.25">
      <c r="A323" s="5"/>
    </row>
    <row r="324" spans="1:1" customFormat="1" x14ac:dyDescent="0.25">
      <c r="A324" s="5"/>
    </row>
    <row r="325" spans="1:1" customFormat="1" x14ac:dyDescent="0.25">
      <c r="A325" s="5"/>
    </row>
    <row r="326" spans="1:1" customFormat="1" x14ac:dyDescent="0.25">
      <c r="A326" s="5"/>
    </row>
    <row r="327" spans="1:1" customFormat="1" x14ac:dyDescent="0.25">
      <c r="A327" s="5"/>
    </row>
    <row r="328" spans="1:1" customFormat="1" x14ac:dyDescent="0.25">
      <c r="A328" s="5"/>
    </row>
    <row r="329" spans="1:1" customFormat="1" x14ac:dyDescent="0.25">
      <c r="A329" s="5"/>
    </row>
    <row r="330" spans="1:1" customFormat="1" x14ac:dyDescent="0.25">
      <c r="A330" s="5"/>
    </row>
    <row r="331" spans="1:1" customFormat="1" x14ac:dyDescent="0.25">
      <c r="A331" s="5"/>
    </row>
    <row r="332" spans="1:1" customFormat="1" x14ac:dyDescent="0.25">
      <c r="A332" s="5"/>
    </row>
    <row r="333" spans="1:1" customFormat="1" x14ac:dyDescent="0.25">
      <c r="A333" s="5"/>
    </row>
    <row r="334" spans="1:1" customFormat="1" x14ac:dyDescent="0.25">
      <c r="A334" s="5"/>
    </row>
    <row r="335" spans="1:1" customFormat="1" x14ac:dyDescent="0.25">
      <c r="A335" s="5"/>
    </row>
    <row r="336" spans="1:1" customFormat="1" x14ac:dyDescent="0.25">
      <c r="A336" s="5"/>
    </row>
    <row r="337" spans="1:104" x14ac:dyDescent="0.25">
      <c r="A337" s="5"/>
    </row>
    <row r="338" spans="1:104" x14ac:dyDescent="0.25">
      <c r="A338" s="5"/>
    </row>
    <row r="339" spans="1:104" x14ac:dyDescent="0.25">
      <c r="A339" s="5"/>
    </row>
    <row r="340" spans="1:104" x14ac:dyDescent="0.25">
      <c r="A340" s="5"/>
    </row>
    <row r="341" spans="1:104" x14ac:dyDescent="0.25">
      <c r="A341" s="5"/>
    </row>
    <row r="342" spans="1:104" x14ac:dyDescent="0.25">
      <c r="A342" s="5"/>
    </row>
    <row r="343" spans="1:104" x14ac:dyDescent="0.25">
      <c r="A343" s="5"/>
    </row>
    <row r="344" spans="1:104" x14ac:dyDescent="0.25">
      <c r="A344" s="5"/>
    </row>
    <row r="345" spans="1:104" x14ac:dyDescent="0.25">
      <c r="A345" s="5"/>
    </row>
    <row r="346" spans="1:104" x14ac:dyDescent="0.25">
      <c r="A346" s="5"/>
    </row>
    <row r="347" spans="1:104" x14ac:dyDescent="0.25">
      <c r="A347" s="5"/>
    </row>
    <row r="348" spans="1:104" x14ac:dyDescent="0.25">
      <c r="A348" s="5"/>
    </row>
    <row r="349" spans="1:104" x14ac:dyDescent="0.25">
      <c r="A349" s="5"/>
      <c r="CZ349" t="s">
        <v>7</v>
      </c>
    </row>
    <row r="350" spans="1:104" x14ac:dyDescent="0.25">
      <c r="A350" s="5"/>
      <c r="CZ350" t="s">
        <v>7</v>
      </c>
    </row>
    <row r="351" spans="1:104" x14ac:dyDescent="0.25">
      <c r="A351" s="5"/>
      <c r="CZ351" t="s">
        <v>7</v>
      </c>
    </row>
    <row r="352" spans="1:104" x14ac:dyDescent="0.25">
      <c r="A352" s="5"/>
    </row>
    <row r="353" spans="1:1" customFormat="1" x14ac:dyDescent="0.25">
      <c r="A353" s="5"/>
    </row>
    <row r="354" spans="1:1" customFormat="1" x14ac:dyDescent="0.25">
      <c r="A354" s="5"/>
    </row>
    <row r="355" spans="1:1" customFormat="1" x14ac:dyDescent="0.25">
      <c r="A355" s="5"/>
    </row>
    <row r="356" spans="1:1" customFormat="1" x14ac:dyDescent="0.25">
      <c r="A356" s="5"/>
    </row>
    <row r="357" spans="1:1" customFormat="1" x14ac:dyDescent="0.25">
      <c r="A357" s="5"/>
    </row>
    <row r="358" spans="1:1" customFormat="1" x14ac:dyDescent="0.25">
      <c r="A358" s="5"/>
    </row>
    <row r="359" spans="1:1" customFormat="1" x14ac:dyDescent="0.25">
      <c r="A359" s="5"/>
    </row>
    <row r="360" spans="1:1" customFormat="1" x14ac:dyDescent="0.25">
      <c r="A360" s="5"/>
    </row>
    <row r="361" spans="1:1" customFormat="1" x14ac:dyDescent="0.25">
      <c r="A361" s="5"/>
    </row>
    <row r="362" spans="1:1" customFormat="1" x14ac:dyDescent="0.25">
      <c r="A362" s="5"/>
    </row>
    <row r="363" spans="1:1" customFormat="1" x14ac:dyDescent="0.25">
      <c r="A363" s="5"/>
    </row>
    <row r="364" spans="1:1" customFormat="1" x14ac:dyDescent="0.25">
      <c r="A364" s="5"/>
    </row>
    <row r="365" spans="1:1" customFormat="1" x14ac:dyDescent="0.25">
      <c r="A365" s="5"/>
    </row>
    <row r="366" spans="1:1" customFormat="1" x14ac:dyDescent="0.25">
      <c r="A366" s="5"/>
    </row>
    <row r="367" spans="1:1" customFormat="1" x14ac:dyDescent="0.25">
      <c r="A367" s="5"/>
    </row>
    <row r="368" spans="1:1" customFormat="1" x14ac:dyDescent="0.25">
      <c r="A368" s="5"/>
    </row>
    <row r="369" spans="1:1" customFormat="1" x14ac:dyDescent="0.25">
      <c r="A369" s="5"/>
    </row>
    <row r="370" spans="1:1" customFormat="1" x14ac:dyDescent="0.25">
      <c r="A370" s="5"/>
    </row>
    <row r="371" spans="1:1" customFormat="1" x14ac:dyDescent="0.25">
      <c r="A371" s="5"/>
    </row>
    <row r="372" spans="1:1" customFormat="1" x14ac:dyDescent="0.25">
      <c r="A372" s="5"/>
    </row>
    <row r="373" spans="1:1" customFormat="1" x14ac:dyDescent="0.25">
      <c r="A373" s="5"/>
    </row>
    <row r="374" spans="1:1" customFormat="1" x14ac:dyDescent="0.25">
      <c r="A374" s="5"/>
    </row>
    <row r="375" spans="1:1" customFormat="1" x14ac:dyDescent="0.25">
      <c r="A375" s="5"/>
    </row>
    <row r="376" spans="1:1" customFormat="1" x14ac:dyDescent="0.25">
      <c r="A376" s="5"/>
    </row>
    <row r="377" spans="1:1" customFormat="1" x14ac:dyDescent="0.25">
      <c r="A377" s="5"/>
    </row>
    <row r="378" spans="1:1" customFormat="1" x14ac:dyDescent="0.25">
      <c r="A378" s="5"/>
    </row>
    <row r="379" spans="1:1" customFormat="1" x14ac:dyDescent="0.25">
      <c r="A379" s="5"/>
    </row>
    <row r="380" spans="1:1" customFormat="1" x14ac:dyDescent="0.25">
      <c r="A380" s="5"/>
    </row>
    <row r="381" spans="1:1" customFormat="1" x14ac:dyDescent="0.25">
      <c r="A381" s="5"/>
    </row>
    <row r="382" spans="1:1" customFormat="1" x14ac:dyDescent="0.25">
      <c r="A382" s="5"/>
    </row>
    <row r="383" spans="1:1" customFormat="1" x14ac:dyDescent="0.25">
      <c r="A383" s="5"/>
    </row>
    <row r="384" spans="1:1" customFormat="1" x14ac:dyDescent="0.25">
      <c r="A384" s="5"/>
    </row>
    <row r="385" spans="1:1" customFormat="1" x14ac:dyDescent="0.25">
      <c r="A385" s="5"/>
    </row>
    <row r="386" spans="1:1" customFormat="1" x14ac:dyDescent="0.25">
      <c r="A386" s="5"/>
    </row>
    <row r="387" spans="1:1" customFormat="1" x14ac:dyDescent="0.25">
      <c r="A387" s="5"/>
    </row>
    <row r="388" spans="1:1" customFormat="1" x14ac:dyDescent="0.25">
      <c r="A388" s="5"/>
    </row>
    <row r="389" spans="1:1" customFormat="1" x14ac:dyDescent="0.25">
      <c r="A389" s="5"/>
    </row>
    <row r="390" spans="1:1" customFormat="1" x14ac:dyDescent="0.25">
      <c r="A390" s="5"/>
    </row>
    <row r="391" spans="1:1" customFormat="1" x14ac:dyDescent="0.25">
      <c r="A391" s="5"/>
    </row>
    <row r="392" spans="1:1" customFormat="1" x14ac:dyDescent="0.25">
      <c r="A392" s="5"/>
    </row>
    <row r="393" spans="1:1" customFormat="1" x14ac:dyDescent="0.25">
      <c r="A393" s="5"/>
    </row>
    <row r="394" spans="1:1" customFormat="1" x14ac:dyDescent="0.25">
      <c r="A394" s="5"/>
    </row>
    <row r="395" spans="1:1" customFormat="1" x14ac:dyDescent="0.25">
      <c r="A395" s="5"/>
    </row>
    <row r="396" spans="1:1" customFormat="1" x14ac:dyDescent="0.25">
      <c r="A396" s="5"/>
    </row>
    <row r="397" spans="1:1" customFormat="1" x14ac:dyDescent="0.25">
      <c r="A397" s="5"/>
    </row>
    <row r="398" spans="1:1" customFormat="1" x14ac:dyDescent="0.25">
      <c r="A398" s="5"/>
    </row>
    <row r="399" spans="1:1" customFormat="1" x14ac:dyDescent="0.25">
      <c r="A399" s="5"/>
    </row>
    <row r="400" spans="1:1" customFormat="1" x14ac:dyDescent="0.25">
      <c r="A400" s="5"/>
    </row>
    <row r="401" spans="1:1" customFormat="1" x14ac:dyDescent="0.25">
      <c r="A401" s="5"/>
    </row>
    <row r="402" spans="1:1" customFormat="1" x14ac:dyDescent="0.25">
      <c r="A402" s="5"/>
    </row>
    <row r="403" spans="1:1" customFormat="1" x14ac:dyDescent="0.25">
      <c r="A403" s="5"/>
    </row>
    <row r="404" spans="1:1" customFormat="1" x14ac:dyDescent="0.25">
      <c r="A404" s="5"/>
    </row>
    <row r="405" spans="1:1" customFormat="1" x14ac:dyDescent="0.25">
      <c r="A405" s="5"/>
    </row>
    <row r="406" spans="1:1" customFormat="1" x14ac:dyDescent="0.25">
      <c r="A406" s="5"/>
    </row>
    <row r="407" spans="1:1" customFormat="1" x14ac:dyDescent="0.25">
      <c r="A407" s="5"/>
    </row>
    <row r="408" spans="1:1" customFormat="1" x14ac:dyDescent="0.25">
      <c r="A408" s="5"/>
    </row>
    <row r="409" spans="1:1" customFormat="1" x14ac:dyDescent="0.25">
      <c r="A409" s="5"/>
    </row>
    <row r="410" spans="1:1" customFormat="1" x14ac:dyDescent="0.25">
      <c r="A410" s="5"/>
    </row>
    <row r="411" spans="1:1" customFormat="1" x14ac:dyDescent="0.25">
      <c r="A411" s="5"/>
    </row>
    <row r="412" spans="1:1" customFormat="1" x14ac:dyDescent="0.25">
      <c r="A412" s="5"/>
    </row>
    <row r="413" spans="1:1" customFormat="1" x14ac:dyDescent="0.25">
      <c r="A413" s="5"/>
    </row>
    <row r="414" spans="1:1" customFormat="1" x14ac:dyDescent="0.25">
      <c r="A414" s="5"/>
    </row>
    <row r="415" spans="1:1" customFormat="1" x14ac:dyDescent="0.25">
      <c r="A415" s="5"/>
    </row>
    <row r="416" spans="1:1" customFormat="1" x14ac:dyDescent="0.25">
      <c r="A416" s="5"/>
    </row>
    <row r="417" spans="1:1" customFormat="1" x14ac:dyDescent="0.25">
      <c r="A417" s="5"/>
    </row>
    <row r="418" spans="1:1" customFormat="1" x14ac:dyDescent="0.25">
      <c r="A418" s="5"/>
    </row>
    <row r="419" spans="1:1" customFormat="1" x14ac:dyDescent="0.25">
      <c r="A419" s="5"/>
    </row>
    <row r="420" spans="1:1" customFormat="1" x14ac:dyDescent="0.25">
      <c r="A420" s="5"/>
    </row>
    <row r="421" spans="1:1" customFormat="1" x14ac:dyDescent="0.25">
      <c r="A421" s="5"/>
    </row>
    <row r="422" spans="1:1" customFormat="1" x14ac:dyDescent="0.25">
      <c r="A422" s="5"/>
    </row>
    <row r="423" spans="1:1" customFormat="1" x14ac:dyDescent="0.25">
      <c r="A423" s="5"/>
    </row>
    <row r="424" spans="1:1" customFormat="1" x14ac:dyDescent="0.25">
      <c r="A424" s="5"/>
    </row>
    <row r="425" spans="1:1" customFormat="1" x14ac:dyDescent="0.25">
      <c r="A425" s="5"/>
    </row>
    <row r="426" spans="1:1" customFormat="1" x14ac:dyDescent="0.25">
      <c r="A426" s="5"/>
    </row>
    <row r="427" spans="1:1" customFormat="1" x14ac:dyDescent="0.25">
      <c r="A427" s="5"/>
    </row>
    <row r="428" spans="1:1" customFormat="1" x14ac:dyDescent="0.25">
      <c r="A428" s="5"/>
    </row>
    <row r="429" spans="1:1" customFormat="1" x14ac:dyDescent="0.25">
      <c r="A429" s="5"/>
    </row>
    <row r="430" spans="1:1" customFormat="1" x14ac:dyDescent="0.25">
      <c r="A430" s="5"/>
    </row>
    <row r="431" spans="1:1" customFormat="1" x14ac:dyDescent="0.25">
      <c r="A431" s="5"/>
    </row>
    <row r="432" spans="1:1" customFormat="1" x14ac:dyDescent="0.25">
      <c r="A432" s="5"/>
    </row>
    <row r="433" spans="1:1" customFormat="1" x14ac:dyDescent="0.25">
      <c r="A433" s="5"/>
    </row>
    <row r="434" spans="1:1" customFormat="1" x14ac:dyDescent="0.25">
      <c r="A434" s="5"/>
    </row>
    <row r="435" spans="1:1" customFormat="1" x14ac:dyDescent="0.25">
      <c r="A435" s="5"/>
    </row>
    <row r="436" spans="1:1" customFormat="1" x14ac:dyDescent="0.25">
      <c r="A436" s="5"/>
    </row>
    <row r="437" spans="1:1" customFormat="1" x14ac:dyDescent="0.25">
      <c r="A437" s="5"/>
    </row>
    <row r="438" spans="1:1" customFormat="1" x14ac:dyDescent="0.25">
      <c r="A438" s="5"/>
    </row>
    <row r="439" spans="1:1" customFormat="1" x14ac:dyDescent="0.25">
      <c r="A439" s="5"/>
    </row>
    <row r="440" spans="1:1" customFormat="1" x14ac:dyDescent="0.25">
      <c r="A440" s="5"/>
    </row>
    <row r="441" spans="1:1" customFormat="1" x14ac:dyDescent="0.25">
      <c r="A441" s="5"/>
    </row>
    <row r="442" spans="1:1" customFormat="1" x14ac:dyDescent="0.25">
      <c r="A442" s="5"/>
    </row>
    <row r="443" spans="1:1" customFormat="1" x14ac:dyDescent="0.25">
      <c r="A443" s="5"/>
    </row>
    <row r="444" spans="1:1" customFormat="1" x14ac:dyDescent="0.25">
      <c r="A444" s="5"/>
    </row>
    <row r="445" spans="1:1" customFormat="1" x14ac:dyDescent="0.25">
      <c r="A445" s="5"/>
    </row>
    <row r="446" spans="1:1" customFormat="1" x14ac:dyDescent="0.25">
      <c r="A446" s="5"/>
    </row>
    <row r="447" spans="1:1" customFormat="1" x14ac:dyDescent="0.25">
      <c r="A447" s="5"/>
    </row>
    <row r="448" spans="1:1" customFormat="1" x14ac:dyDescent="0.25">
      <c r="A448" s="5"/>
    </row>
    <row r="449" spans="1:4" x14ac:dyDescent="0.25">
      <c r="A449" s="5"/>
    </row>
    <row r="450" spans="1:4" x14ac:dyDescent="0.25">
      <c r="A450" s="5"/>
    </row>
    <row r="451" spans="1:4" x14ac:dyDescent="0.25">
      <c r="A451" s="5"/>
    </row>
    <row r="452" spans="1:4" x14ac:dyDescent="0.25">
      <c r="A452" s="5"/>
      <c r="C452" s="4"/>
      <c r="D452" s="4"/>
    </row>
    <row r="453" spans="1:4" x14ac:dyDescent="0.25">
      <c r="A453" s="5"/>
      <c r="C453" s="4"/>
      <c r="D453" s="4"/>
    </row>
    <row r="454" spans="1:4" x14ac:dyDescent="0.25">
      <c r="A454" s="5"/>
      <c r="C454" s="4"/>
      <c r="D454" s="4"/>
    </row>
    <row r="455" spans="1:4" x14ac:dyDescent="0.25">
      <c r="A455" s="5"/>
      <c r="C455" s="4"/>
      <c r="D455" s="4"/>
    </row>
    <row r="456" spans="1:4" x14ac:dyDescent="0.25">
      <c r="A456" s="5"/>
      <c r="C456" s="4"/>
      <c r="D456" s="4"/>
    </row>
    <row r="457" spans="1:4" x14ac:dyDescent="0.25">
      <c r="A457" s="5"/>
      <c r="C457" s="4"/>
      <c r="D457" s="4"/>
    </row>
    <row r="458" spans="1:4" x14ac:dyDescent="0.25">
      <c r="A458" s="5"/>
      <c r="C458" s="4"/>
      <c r="D458" s="4"/>
    </row>
    <row r="459" spans="1:4" x14ac:dyDescent="0.25">
      <c r="A459" s="5"/>
      <c r="C459" s="4"/>
      <c r="D459" s="4"/>
    </row>
    <row r="460" spans="1:4" x14ac:dyDescent="0.25">
      <c r="A460" s="5"/>
      <c r="C460" s="4"/>
      <c r="D460" s="4"/>
    </row>
    <row r="461" spans="1:4" x14ac:dyDescent="0.25">
      <c r="A461" s="5"/>
      <c r="C461" s="4"/>
      <c r="D461" s="4"/>
    </row>
    <row r="462" spans="1:4" x14ac:dyDescent="0.25">
      <c r="A462" s="5"/>
      <c r="C462" s="4"/>
      <c r="D462" s="4"/>
    </row>
    <row r="463" spans="1:4" x14ac:dyDescent="0.25">
      <c r="A463" s="5"/>
      <c r="C463" s="4"/>
      <c r="D463" s="4"/>
    </row>
    <row r="464" spans="1:4" x14ac:dyDescent="0.25">
      <c r="A464" s="5"/>
      <c r="C464" s="4"/>
      <c r="D464" s="4"/>
    </row>
    <row r="465" spans="1:4" x14ac:dyDescent="0.25">
      <c r="A465" s="5"/>
      <c r="C465" s="4"/>
      <c r="D465" s="4"/>
    </row>
    <row r="466" spans="1:4" x14ac:dyDescent="0.25">
      <c r="A466" s="5"/>
      <c r="C466" s="4"/>
      <c r="D466" s="4"/>
    </row>
    <row r="467" spans="1:4" x14ac:dyDescent="0.25">
      <c r="A467" s="5"/>
      <c r="C467" s="4"/>
      <c r="D467" s="4"/>
    </row>
    <row r="468" spans="1:4" x14ac:dyDescent="0.25">
      <c r="A468" s="5"/>
      <c r="C468" s="4"/>
      <c r="D468" s="4"/>
    </row>
    <row r="469" spans="1:4" x14ac:dyDescent="0.25">
      <c r="A469" s="5"/>
      <c r="C469" s="4"/>
      <c r="D469" s="4"/>
    </row>
    <row r="470" spans="1:4" x14ac:dyDescent="0.25">
      <c r="A470" s="5"/>
      <c r="C470" s="4"/>
      <c r="D470" s="4"/>
    </row>
    <row r="471" spans="1:4" x14ac:dyDescent="0.25">
      <c r="A471" s="5"/>
      <c r="C471" s="4"/>
      <c r="D471" s="4"/>
    </row>
    <row r="472" spans="1:4" x14ac:dyDescent="0.25">
      <c r="A472" s="5"/>
      <c r="C472" s="4"/>
      <c r="D472" s="4"/>
    </row>
    <row r="473" spans="1:4" x14ac:dyDescent="0.25">
      <c r="A473" s="5"/>
      <c r="C473" s="4"/>
      <c r="D473" s="4"/>
    </row>
    <row r="474" spans="1:4" x14ac:dyDescent="0.25">
      <c r="A474" s="5"/>
      <c r="C474" s="4"/>
      <c r="D474" s="4"/>
    </row>
    <row r="475" spans="1:4" x14ac:dyDescent="0.25">
      <c r="A475" s="5"/>
      <c r="C475" s="4"/>
      <c r="D475" s="4"/>
    </row>
    <row r="476" spans="1:4" x14ac:dyDescent="0.25">
      <c r="A476" s="5"/>
      <c r="C476" s="4"/>
      <c r="D476" s="4"/>
    </row>
    <row r="477" spans="1:4" x14ac:dyDescent="0.25">
      <c r="A477" s="5"/>
      <c r="C477" s="4"/>
      <c r="D477" s="4"/>
    </row>
    <row r="478" spans="1:4" x14ac:dyDescent="0.25">
      <c r="A478" s="5"/>
      <c r="C478" s="4"/>
      <c r="D478" s="4"/>
    </row>
    <row r="479" spans="1:4" x14ac:dyDescent="0.25">
      <c r="A479" s="5"/>
      <c r="C479" s="4"/>
      <c r="D479" s="4"/>
    </row>
    <row r="480" spans="1:4" x14ac:dyDescent="0.25">
      <c r="A480" s="5"/>
      <c r="C480" s="4"/>
      <c r="D480" s="4"/>
    </row>
    <row r="481" spans="1:4" x14ac:dyDescent="0.25">
      <c r="A481" s="5"/>
      <c r="C481" s="4"/>
      <c r="D481" s="4"/>
    </row>
    <row r="482" spans="1:4" x14ac:dyDescent="0.25">
      <c r="A482" s="5"/>
      <c r="C482" s="4"/>
      <c r="D482" s="4"/>
    </row>
    <row r="483" spans="1:4" x14ac:dyDescent="0.25">
      <c r="A483" s="5"/>
      <c r="C483" s="4"/>
      <c r="D483" s="4"/>
    </row>
    <row r="484" spans="1:4" x14ac:dyDescent="0.25">
      <c r="A484" s="5"/>
      <c r="C484" s="4"/>
      <c r="D484" s="4"/>
    </row>
    <row r="485" spans="1:4" x14ac:dyDescent="0.25">
      <c r="A485" s="5"/>
      <c r="C485" s="4"/>
      <c r="D485" s="4"/>
    </row>
    <row r="486" spans="1:4" x14ac:dyDescent="0.25">
      <c r="A486" s="5"/>
      <c r="C486" s="4"/>
      <c r="D486" s="4"/>
    </row>
    <row r="487" spans="1:4" x14ac:dyDescent="0.25">
      <c r="A487" s="5"/>
      <c r="C487" s="4"/>
      <c r="D487" s="4"/>
    </row>
    <row r="488" spans="1:4" x14ac:dyDescent="0.25">
      <c r="A488" s="5"/>
      <c r="C488" s="4"/>
      <c r="D488" s="4"/>
    </row>
    <row r="489" spans="1:4" x14ac:dyDescent="0.25">
      <c r="A489" s="5"/>
      <c r="C489" s="4"/>
      <c r="D489" s="4"/>
    </row>
    <row r="490" spans="1:4" x14ac:dyDescent="0.25">
      <c r="A490" s="5"/>
      <c r="C490" s="4"/>
      <c r="D490" s="4"/>
    </row>
    <row r="491" spans="1:4" x14ac:dyDescent="0.25">
      <c r="A491" s="5"/>
      <c r="C491" s="4"/>
      <c r="D491" s="4"/>
    </row>
    <row r="492" spans="1:4" x14ac:dyDescent="0.25">
      <c r="A492" s="5"/>
      <c r="C492" s="4"/>
      <c r="D492" s="4"/>
    </row>
    <row r="493" spans="1:4" x14ac:dyDescent="0.25">
      <c r="A493" s="5"/>
      <c r="C493" s="4"/>
      <c r="D493" s="4"/>
    </row>
    <row r="494" spans="1:4" x14ac:dyDescent="0.25">
      <c r="A494" s="5"/>
      <c r="C494" s="4"/>
      <c r="D494" s="4"/>
    </row>
    <row r="495" spans="1:4" x14ac:dyDescent="0.25">
      <c r="A495" s="5"/>
      <c r="C495" s="4"/>
      <c r="D495" s="4"/>
    </row>
    <row r="496" spans="1:4" x14ac:dyDescent="0.25">
      <c r="A496" s="5"/>
      <c r="C496" s="4"/>
      <c r="D496" s="4"/>
    </row>
    <row r="497" spans="1:4" x14ac:dyDescent="0.25">
      <c r="A497" s="5"/>
      <c r="C497" s="4"/>
      <c r="D497" s="4"/>
    </row>
    <row r="498" spans="1:4" x14ac:dyDescent="0.25">
      <c r="A498" s="5"/>
      <c r="C498" s="4"/>
      <c r="D498" s="4"/>
    </row>
    <row r="499" spans="1:4" x14ac:dyDescent="0.25">
      <c r="A499" s="5"/>
      <c r="C499" s="4"/>
      <c r="D499" s="4"/>
    </row>
    <row r="500" spans="1:4" x14ac:dyDescent="0.25">
      <c r="A500" s="5"/>
      <c r="C500" s="4"/>
      <c r="D500" s="4"/>
    </row>
    <row r="501" spans="1:4" x14ac:dyDescent="0.25">
      <c r="A501" s="5"/>
      <c r="C501" s="4"/>
      <c r="D501" s="4"/>
    </row>
    <row r="502" spans="1:4" x14ac:dyDescent="0.25">
      <c r="A502" s="5"/>
      <c r="C502" s="4"/>
      <c r="D502" s="4"/>
    </row>
    <row r="503" spans="1:4" x14ac:dyDescent="0.25">
      <c r="A503" s="5"/>
      <c r="C503" s="4"/>
      <c r="D503" s="4"/>
    </row>
    <row r="504" spans="1:4" x14ac:dyDescent="0.25">
      <c r="A504" s="5"/>
      <c r="C504" s="4"/>
      <c r="D504" s="4"/>
    </row>
    <row r="505" spans="1:4" x14ac:dyDescent="0.25">
      <c r="A505" s="5"/>
      <c r="C505" s="4"/>
      <c r="D505" s="4"/>
    </row>
    <row r="506" spans="1:4" x14ac:dyDescent="0.25">
      <c r="A506" s="5"/>
      <c r="C506" s="4"/>
      <c r="D506" s="4"/>
    </row>
    <row r="507" spans="1:4" x14ac:dyDescent="0.25">
      <c r="A507" s="5"/>
      <c r="C507" s="4"/>
      <c r="D507" s="4"/>
    </row>
    <row r="508" spans="1:4" x14ac:dyDescent="0.25">
      <c r="A508" s="5"/>
      <c r="C508" s="4"/>
      <c r="D508" s="4"/>
    </row>
    <row r="509" spans="1:4" x14ac:dyDescent="0.25">
      <c r="A509" s="5"/>
      <c r="C509" s="4"/>
      <c r="D509" s="4"/>
    </row>
    <row r="510" spans="1:4" x14ac:dyDescent="0.25">
      <c r="A510" s="5"/>
      <c r="C510" s="4"/>
      <c r="D510" s="4"/>
    </row>
    <row r="511" spans="1:4" x14ac:dyDescent="0.25">
      <c r="A511" s="5"/>
      <c r="C511" s="4"/>
      <c r="D511" s="4"/>
    </row>
    <row r="512" spans="1:4" x14ac:dyDescent="0.25">
      <c r="A512" s="5"/>
      <c r="C512" s="4"/>
      <c r="D512" s="4"/>
    </row>
    <row r="513" spans="1:4" x14ac:dyDescent="0.25">
      <c r="A513" s="5"/>
      <c r="C513" s="4"/>
      <c r="D513" s="4"/>
    </row>
    <row r="514" spans="1:4" x14ac:dyDescent="0.25">
      <c r="A514" s="5"/>
      <c r="C514" s="4"/>
      <c r="D514" s="4"/>
    </row>
    <row r="515" spans="1:4" x14ac:dyDescent="0.25">
      <c r="A515" s="5"/>
      <c r="C515" s="4"/>
      <c r="D515" s="4"/>
    </row>
    <row r="516" spans="1:4" x14ac:dyDescent="0.25">
      <c r="A516" s="5"/>
      <c r="C516" s="4"/>
      <c r="D516" s="4"/>
    </row>
    <row r="517" spans="1:4" x14ac:dyDescent="0.25">
      <c r="A517" s="5"/>
      <c r="C517" s="4"/>
      <c r="D517" s="4"/>
    </row>
    <row r="518" spans="1:4" x14ac:dyDescent="0.25">
      <c r="A518" s="5"/>
      <c r="C518" s="4"/>
      <c r="D518" s="4"/>
    </row>
    <row r="519" spans="1:4" x14ac:dyDescent="0.25">
      <c r="A519" s="5"/>
      <c r="C519" s="4"/>
      <c r="D519" s="4"/>
    </row>
    <row r="520" spans="1:4" x14ac:dyDescent="0.25">
      <c r="A520" s="5"/>
      <c r="C520" s="4"/>
      <c r="D520" s="4"/>
    </row>
    <row r="521" spans="1:4" x14ac:dyDescent="0.25">
      <c r="A521" s="5"/>
      <c r="C521" s="4"/>
      <c r="D521" s="4"/>
    </row>
    <row r="522" spans="1:4" x14ac:dyDescent="0.25">
      <c r="A522" s="5"/>
      <c r="C522" s="4"/>
      <c r="D522" s="4"/>
    </row>
    <row r="523" spans="1:4" x14ac:dyDescent="0.25">
      <c r="A523" s="5"/>
      <c r="C523" s="4"/>
      <c r="D523" s="4"/>
    </row>
    <row r="524" spans="1:4" x14ac:dyDescent="0.25">
      <c r="A524" s="5"/>
      <c r="C524" s="4"/>
      <c r="D524" s="4"/>
    </row>
    <row r="525" spans="1:4" x14ac:dyDescent="0.25">
      <c r="A525" s="5"/>
      <c r="C525" s="4"/>
      <c r="D525" s="4"/>
    </row>
    <row r="526" spans="1:4" x14ac:dyDescent="0.25">
      <c r="A526" s="5"/>
      <c r="C526" s="4"/>
      <c r="D526" s="4"/>
    </row>
    <row r="527" spans="1:4" x14ac:dyDescent="0.25">
      <c r="A527" s="5"/>
      <c r="C527" s="4"/>
      <c r="D527" s="4"/>
    </row>
    <row r="528" spans="1:4" x14ac:dyDescent="0.25">
      <c r="A528" s="5"/>
      <c r="C528" s="4"/>
      <c r="D528" s="4"/>
    </row>
    <row r="529" spans="1:4" x14ac:dyDescent="0.25">
      <c r="A529" s="5"/>
      <c r="C529" s="4"/>
      <c r="D529" s="4"/>
    </row>
    <row r="530" spans="1:4" x14ac:dyDescent="0.25">
      <c r="A530" s="5"/>
      <c r="C530" s="4"/>
      <c r="D530" s="4"/>
    </row>
    <row r="531" spans="1:4" x14ac:dyDescent="0.25">
      <c r="A531" s="5"/>
      <c r="C531" s="4"/>
      <c r="D531" s="4"/>
    </row>
    <row r="532" spans="1:4" x14ac:dyDescent="0.25">
      <c r="A532" s="5"/>
      <c r="C532" s="4"/>
      <c r="D532" s="4"/>
    </row>
    <row r="533" spans="1:4" x14ac:dyDescent="0.25">
      <c r="A533" s="5"/>
      <c r="C533" s="4"/>
      <c r="D533" s="4"/>
    </row>
    <row r="534" spans="1:4" x14ac:dyDescent="0.25">
      <c r="A534" s="5"/>
      <c r="C534" s="4"/>
      <c r="D534" s="4"/>
    </row>
    <row r="535" spans="1:4" x14ac:dyDescent="0.25">
      <c r="A535" s="5"/>
      <c r="C535" s="4"/>
      <c r="D535" s="4"/>
    </row>
    <row r="536" spans="1:4" x14ac:dyDescent="0.25">
      <c r="A536" s="5"/>
      <c r="C536" s="4"/>
      <c r="D536" s="4"/>
    </row>
    <row r="537" spans="1:4" x14ac:dyDescent="0.25">
      <c r="A537" s="5"/>
      <c r="C537" s="4"/>
      <c r="D537" s="4"/>
    </row>
    <row r="538" spans="1:4" x14ac:dyDescent="0.25">
      <c r="A538" s="5"/>
      <c r="C538" s="4"/>
      <c r="D538" s="4"/>
    </row>
    <row r="539" spans="1:4" x14ac:dyDescent="0.25">
      <c r="A539" s="5"/>
      <c r="C539" s="4"/>
      <c r="D539" s="4"/>
    </row>
    <row r="540" spans="1:4" x14ac:dyDescent="0.25">
      <c r="A540" s="5"/>
      <c r="C540" s="4"/>
      <c r="D540" s="4"/>
    </row>
    <row r="541" spans="1:4" x14ac:dyDescent="0.25">
      <c r="A541" s="5"/>
      <c r="C541" s="4"/>
      <c r="D541" s="4"/>
    </row>
    <row r="542" spans="1:4" x14ac:dyDescent="0.25">
      <c r="A542" s="5"/>
      <c r="C542" s="4"/>
      <c r="D542" s="4"/>
    </row>
    <row r="543" spans="1:4" x14ac:dyDescent="0.25">
      <c r="A543" s="5"/>
      <c r="C543" s="4"/>
      <c r="D543" s="4"/>
    </row>
    <row r="544" spans="1:4" x14ac:dyDescent="0.25">
      <c r="A544" s="5"/>
      <c r="C544" s="4"/>
      <c r="D544" s="4"/>
    </row>
    <row r="545" spans="1:4" x14ac:dyDescent="0.25">
      <c r="A545" s="5"/>
      <c r="C545" s="4"/>
      <c r="D545" s="4"/>
    </row>
    <row r="546" spans="1:4" x14ac:dyDescent="0.25">
      <c r="A546" s="5"/>
      <c r="C546" s="4"/>
      <c r="D546" s="4"/>
    </row>
    <row r="547" spans="1:4" x14ac:dyDescent="0.25">
      <c r="A547" s="5"/>
      <c r="C547" s="4"/>
      <c r="D547" s="4"/>
    </row>
    <row r="548" spans="1:4" x14ac:dyDescent="0.25">
      <c r="A548" s="5"/>
      <c r="C548" s="4"/>
      <c r="D548" s="4"/>
    </row>
    <row r="549" spans="1:4" x14ac:dyDescent="0.25">
      <c r="A549" s="5"/>
      <c r="C549" s="4"/>
      <c r="D549" s="4"/>
    </row>
    <row r="550" spans="1:4" x14ac:dyDescent="0.25">
      <c r="A550" s="5"/>
      <c r="C550" s="4"/>
      <c r="D550" s="4"/>
    </row>
    <row r="551" spans="1:4" x14ac:dyDescent="0.25">
      <c r="A551" s="5"/>
      <c r="C551" s="4"/>
      <c r="D551" s="4"/>
    </row>
    <row r="552" spans="1:4" x14ac:dyDescent="0.25">
      <c r="A552" s="5"/>
      <c r="C552" s="4"/>
      <c r="D552" s="4"/>
    </row>
    <row r="553" spans="1:4" x14ac:dyDescent="0.25">
      <c r="A553" s="5"/>
      <c r="C553" s="4"/>
      <c r="D553" s="4"/>
    </row>
    <row r="554" spans="1:4" x14ac:dyDescent="0.25">
      <c r="A554" s="5"/>
      <c r="C554" s="4"/>
      <c r="D554" s="4"/>
    </row>
    <row r="555" spans="1:4" x14ac:dyDescent="0.25">
      <c r="A555" s="5"/>
      <c r="C555" s="4"/>
      <c r="D555" s="4"/>
    </row>
    <row r="556" spans="1:4" x14ac:dyDescent="0.25">
      <c r="A556" s="5"/>
      <c r="C556" s="4"/>
      <c r="D556" s="4"/>
    </row>
    <row r="557" spans="1:4" x14ac:dyDescent="0.25">
      <c r="A557" s="5"/>
      <c r="C557" s="4"/>
      <c r="D557" s="4"/>
    </row>
    <row r="558" spans="1:4" x14ac:dyDescent="0.25">
      <c r="A558" s="5"/>
      <c r="C558" s="4"/>
      <c r="D558" s="4"/>
    </row>
    <row r="559" spans="1:4" x14ac:dyDescent="0.25">
      <c r="A559" s="5"/>
      <c r="C559" s="4"/>
      <c r="D559" s="4"/>
    </row>
    <row r="560" spans="1:4" x14ac:dyDescent="0.25">
      <c r="A560" s="5"/>
      <c r="C560" s="4"/>
      <c r="D560" s="4"/>
    </row>
    <row r="561" spans="1:4" x14ac:dyDescent="0.25">
      <c r="A561" s="5"/>
      <c r="C561" s="4"/>
      <c r="D561" s="4"/>
    </row>
    <row r="562" spans="1:4" x14ac:dyDescent="0.25">
      <c r="A562" s="5"/>
      <c r="C562" s="4"/>
      <c r="D562" s="4"/>
    </row>
    <row r="563" spans="1:4" x14ac:dyDescent="0.25">
      <c r="A563" s="5"/>
      <c r="C563" s="4"/>
      <c r="D563" s="4"/>
    </row>
    <row r="564" spans="1:4" x14ac:dyDescent="0.25">
      <c r="A564" s="5"/>
      <c r="C564" s="4"/>
      <c r="D564" s="4"/>
    </row>
    <row r="565" spans="1:4" x14ac:dyDescent="0.25">
      <c r="A565" s="5"/>
      <c r="C565" s="4"/>
      <c r="D565" s="4"/>
    </row>
    <row r="566" spans="1:4" x14ac:dyDescent="0.25">
      <c r="A566" s="5"/>
      <c r="C566" s="4"/>
      <c r="D566" s="4"/>
    </row>
    <row r="567" spans="1:4" x14ac:dyDescent="0.25">
      <c r="A567" s="5"/>
      <c r="C567" s="4"/>
      <c r="D567" s="4"/>
    </row>
    <row r="568" spans="1:4" x14ac:dyDescent="0.25">
      <c r="A568" s="5"/>
      <c r="C568" s="4"/>
      <c r="D568" s="4"/>
    </row>
    <row r="569" spans="1:4" x14ac:dyDescent="0.25">
      <c r="A569" s="5"/>
      <c r="C569" s="4"/>
      <c r="D569" s="4"/>
    </row>
    <row r="570" spans="1:4" x14ac:dyDescent="0.25">
      <c r="A570" s="5"/>
      <c r="C570" s="4"/>
      <c r="D570" s="4"/>
    </row>
    <row r="571" spans="1:4" x14ac:dyDescent="0.25">
      <c r="A571" s="5"/>
      <c r="C571" s="4"/>
      <c r="D571" s="4"/>
    </row>
    <row r="572" spans="1:4" x14ac:dyDescent="0.25">
      <c r="A572" s="5"/>
      <c r="C572" s="4"/>
      <c r="D572" s="4"/>
    </row>
    <row r="573" spans="1:4" x14ac:dyDescent="0.25">
      <c r="A573" s="5"/>
      <c r="C573" s="4"/>
      <c r="D573" s="4"/>
    </row>
    <row r="574" spans="1:4" x14ac:dyDescent="0.25">
      <c r="A574" s="5"/>
      <c r="C574" s="4"/>
      <c r="D574" s="4"/>
    </row>
    <row r="575" spans="1:4" x14ac:dyDescent="0.25">
      <c r="A575" s="5"/>
      <c r="C575" s="4"/>
      <c r="D575" s="4"/>
    </row>
    <row r="576" spans="1:4" x14ac:dyDescent="0.25">
      <c r="A576" s="5"/>
      <c r="C576" s="4"/>
      <c r="D576" s="4"/>
    </row>
    <row r="577" spans="1:4" x14ac:dyDescent="0.25">
      <c r="A577" s="5"/>
      <c r="C577" s="4"/>
      <c r="D577" s="4"/>
    </row>
    <row r="578" spans="1:4" x14ac:dyDescent="0.25">
      <c r="A578" s="5"/>
      <c r="C578" s="4"/>
      <c r="D578" s="4"/>
    </row>
    <row r="579" spans="1:4" x14ac:dyDescent="0.25">
      <c r="A579" s="5"/>
      <c r="C579" s="4"/>
      <c r="D579" s="4"/>
    </row>
    <row r="580" spans="1:4" x14ac:dyDescent="0.25">
      <c r="A580" s="5"/>
      <c r="C580" s="4"/>
      <c r="D580" s="4"/>
    </row>
    <row r="581" spans="1:4" x14ac:dyDescent="0.25">
      <c r="A581" s="5"/>
      <c r="C581" s="4"/>
      <c r="D581" s="4"/>
    </row>
    <row r="582" spans="1:4" x14ac:dyDescent="0.25">
      <c r="A582" s="5"/>
      <c r="C582" s="4"/>
      <c r="D582" s="4"/>
    </row>
    <row r="583" spans="1:4" x14ac:dyDescent="0.25">
      <c r="A583" s="5"/>
      <c r="C583" s="4"/>
      <c r="D583" s="4"/>
    </row>
    <row r="584" spans="1:4" x14ac:dyDescent="0.25">
      <c r="A584" s="5"/>
      <c r="C584" s="4"/>
      <c r="D584" s="4"/>
    </row>
    <row r="585" spans="1:4" x14ac:dyDescent="0.25">
      <c r="A585" s="5"/>
      <c r="C585" s="4"/>
      <c r="D585" s="4"/>
    </row>
    <row r="586" spans="1:4" x14ac:dyDescent="0.25">
      <c r="A586" s="5"/>
      <c r="C586" s="4"/>
      <c r="D586" s="4"/>
    </row>
    <row r="587" spans="1:4" x14ac:dyDescent="0.25">
      <c r="A587" s="5"/>
      <c r="C587" s="4"/>
      <c r="D587" s="4"/>
    </row>
    <row r="588" spans="1:4" x14ac:dyDescent="0.25">
      <c r="A588" s="5"/>
      <c r="C588" s="4"/>
      <c r="D588" s="4"/>
    </row>
    <row r="589" spans="1:4" x14ac:dyDescent="0.25">
      <c r="A589" s="5"/>
      <c r="C589" s="4"/>
      <c r="D589" s="4"/>
    </row>
    <row r="590" spans="1:4" x14ac:dyDescent="0.25">
      <c r="A590" s="5"/>
      <c r="C590" s="4"/>
      <c r="D590" s="4"/>
    </row>
    <row r="591" spans="1:4" x14ac:dyDescent="0.25">
      <c r="A591" s="5"/>
      <c r="C591" s="4"/>
      <c r="D591" s="4"/>
    </row>
    <row r="592" spans="1:4" x14ac:dyDescent="0.25">
      <c r="A592" s="5"/>
      <c r="C592" s="4"/>
      <c r="D592" s="4"/>
    </row>
    <row r="593" spans="1:4" x14ac:dyDescent="0.25">
      <c r="A593" s="5"/>
      <c r="C593" s="4"/>
      <c r="D593" s="4"/>
    </row>
    <row r="594" spans="1:4" x14ac:dyDescent="0.25">
      <c r="A594" s="5"/>
      <c r="C594" s="4"/>
      <c r="D594" s="4"/>
    </row>
    <row r="595" spans="1:4" x14ac:dyDescent="0.25">
      <c r="A595" s="5"/>
      <c r="C595" s="4"/>
      <c r="D595" s="4"/>
    </row>
    <row r="596" spans="1:4" x14ac:dyDescent="0.25">
      <c r="A596" s="5"/>
      <c r="C596" s="4"/>
      <c r="D596" s="4"/>
    </row>
    <row r="597" spans="1:4" x14ac:dyDescent="0.25">
      <c r="A597" s="5"/>
      <c r="C597" s="4"/>
      <c r="D597" s="4"/>
    </row>
    <row r="598" spans="1:4" x14ac:dyDescent="0.25">
      <c r="A598" s="5"/>
      <c r="C598" s="4"/>
      <c r="D598" s="4"/>
    </row>
    <row r="599" spans="1:4" x14ac:dyDescent="0.25">
      <c r="A599" s="5"/>
      <c r="C599" s="4"/>
      <c r="D599" s="4"/>
    </row>
    <row r="600" spans="1:4" x14ac:dyDescent="0.25">
      <c r="A600" s="5"/>
      <c r="C600" s="4"/>
      <c r="D600" s="4"/>
    </row>
    <row r="601" spans="1:4" x14ac:dyDescent="0.25">
      <c r="A601" s="5"/>
      <c r="C601" s="4"/>
      <c r="D601" s="4"/>
    </row>
    <row r="602" spans="1:4" x14ac:dyDescent="0.25">
      <c r="A602" s="5"/>
      <c r="C602" s="4"/>
      <c r="D602" s="4"/>
    </row>
    <row r="603" spans="1:4" x14ac:dyDescent="0.25">
      <c r="A603" s="5"/>
      <c r="C603" s="4"/>
      <c r="D603" s="4"/>
    </row>
    <row r="604" spans="1:4" x14ac:dyDescent="0.25">
      <c r="A604" s="5"/>
      <c r="C604" s="4"/>
      <c r="D604" s="4"/>
    </row>
    <row r="605" spans="1:4" x14ac:dyDescent="0.25">
      <c r="A605" s="5"/>
      <c r="C605" s="4"/>
      <c r="D605" s="4"/>
    </row>
    <row r="606" spans="1:4" x14ac:dyDescent="0.25">
      <c r="A606" s="5"/>
      <c r="C606" s="4"/>
      <c r="D606" s="4"/>
    </row>
    <row r="607" spans="1:4" x14ac:dyDescent="0.25">
      <c r="A607" s="5"/>
      <c r="C607" s="4"/>
      <c r="D607" s="4"/>
    </row>
    <row r="608" spans="1:4" x14ac:dyDescent="0.25">
      <c r="A608" s="8"/>
      <c r="C608" s="4"/>
      <c r="D608" s="4"/>
    </row>
    <row r="609" spans="1:4" x14ac:dyDescent="0.25">
      <c r="A609" s="5"/>
      <c r="C609" s="4"/>
      <c r="D609" s="4"/>
    </row>
    <row r="610" spans="1:4" x14ac:dyDescent="0.25">
      <c r="A610" s="5"/>
      <c r="C610" s="4"/>
      <c r="D610" s="4"/>
    </row>
    <row r="611" spans="1:4" x14ac:dyDescent="0.25">
      <c r="A611" s="5"/>
      <c r="C611" s="4"/>
      <c r="D611" s="4"/>
    </row>
    <row r="612" spans="1:4" x14ac:dyDescent="0.25">
      <c r="A612" s="9"/>
      <c r="C612" s="4"/>
      <c r="D612" s="4"/>
    </row>
    <row r="613" spans="1:4" x14ac:dyDescent="0.25">
      <c r="A613" s="5"/>
      <c r="C613" s="4"/>
      <c r="D613" s="4"/>
    </row>
    <row r="614" spans="1:4" x14ac:dyDescent="0.25">
      <c r="A614" s="9"/>
      <c r="C614" s="4"/>
      <c r="D614" s="4"/>
    </row>
    <row r="615" spans="1:4" x14ac:dyDescent="0.25">
      <c r="A615" s="5"/>
      <c r="C615" s="4"/>
      <c r="D615" s="4"/>
    </row>
    <row r="616" spans="1:4" x14ac:dyDescent="0.25">
      <c r="A616" s="5"/>
      <c r="C616" s="4"/>
      <c r="D616" s="4"/>
    </row>
    <row r="617" spans="1:4" x14ac:dyDescent="0.25">
      <c r="A617" s="5"/>
      <c r="C617" s="4"/>
      <c r="D617" s="4"/>
    </row>
    <row r="618" spans="1:4" x14ac:dyDescent="0.25">
      <c r="A618" s="5"/>
      <c r="C618" s="4"/>
      <c r="D618" s="4"/>
    </row>
    <row r="619" spans="1:4" x14ac:dyDescent="0.25">
      <c r="A619" s="5"/>
      <c r="C619" s="4"/>
      <c r="D619" s="4"/>
    </row>
    <row r="620" spans="1:4" x14ac:dyDescent="0.25">
      <c r="A620" s="5"/>
      <c r="C620" s="4"/>
      <c r="D620" s="4"/>
    </row>
    <row r="621" spans="1:4" x14ac:dyDescent="0.25">
      <c r="A621" s="5"/>
      <c r="C621" s="4"/>
      <c r="D621" s="4"/>
    </row>
    <row r="622" spans="1:4" x14ac:dyDescent="0.25">
      <c r="A622" s="5"/>
      <c r="C622" s="4"/>
      <c r="D622" s="4"/>
    </row>
    <row r="623" spans="1:4" x14ac:dyDescent="0.25">
      <c r="A623" s="5"/>
      <c r="C623" s="4"/>
      <c r="D623" s="4"/>
    </row>
    <row r="624" spans="1:4" x14ac:dyDescent="0.25">
      <c r="A624" s="5"/>
      <c r="C624" s="4"/>
      <c r="D624" s="4"/>
    </row>
    <row r="625" spans="1:4" x14ac:dyDescent="0.25">
      <c r="A625" s="5"/>
      <c r="C625" s="4"/>
      <c r="D625" s="4"/>
    </row>
    <row r="626" spans="1:4" x14ac:dyDescent="0.25">
      <c r="A626" s="5"/>
      <c r="C626" s="4"/>
      <c r="D626" s="4"/>
    </row>
    <row r="627" spans="1:4" x14ac:dyDescent="0.25">
      <c r="A627" s="5"/>
      <c r="C627" s="4"/>
      <c r="D627" s="4"/>
    </row>
    <row r="628" spans="1:4" x14ac:dyDescent="0.25">
      <c r="A628" s="5"/>
      <c r="C628" s="4"/>
      <c r="D628" s="4"/>
    </row>
    <row r="629" spans="1:4" x14ac:dyDescent="0.25">
      <c r="A629" s="5"/>
      <c r="C629" s="4"/>
      <c r="D629" s="4"/>
    </row>
    <row r="630" spans="1:4" x14ac:dyDescent="0.25">
      <c r="A630" s="5"/>
      <c r="C630" s="4"/>
      <c r="D630" s="4"/>
    </row>
    <row r="631" spans="1:4" x14ac:dyDescent="0.25">
      <c r="A631" s="5"/>
      <c r="C631" s="4"/>
      <c r="D631" s="4"/>
    </row>
    <row r="632" spans="1:4" x14ac:dyDescent="0.25">
      <c r="A632" s="5"/>
      <c r="C632" s="4"/>
      <c r="D632" s="4"/>
    </row>
    <row r="633" spans="1:4" x14ac:dyDescent="0.25">
      <c r="A633" s="5"/>
      <c r="C633" s="4"/>
      <c r="D633" s="4"/>
    </row>
    <row r="634" spans="1:4" x14ac:dyDescent="0.25">
      <c r="A634" s="5"/>
      <c r="C634" s="4"/>
      <c r="D634" s="4"/>
    </row>
    <row r="635" spans="1:4" x14ac:dyDescent="0.25">
      <c r="A635" s="5"/>
      <c r="C635" s="4"/>
      <c r="D635" s="4"/>
    </row>
    <row r="636" spans="1:4" x14ac:dyDescent="0.25">
      <c r="A636" s="5"/>
      <c r="C636" s="4"/>
      <c r="D636" s="4"/>
    </row>
    <row r="637" spans="1:4" x14ac:dyDescent="0.25">
      <c r="A637" s="5"/>
      <c r="C637" s="4"/>
      <c r="D637" s="4"/>
    </row>
    <row r="638" spans="1:4" x14ac:dyDescent="0.25">
      <c r="A638" s="5"/>
      <c r="C638" s="4"/>
      <c r="D638" s="4"/>
    </row>
    <row r="639" spans="1:4" x14ac:dyDescent="0.25">
      <c r="A639" s="5"/>
      <c r="C639" s="4"/>
      <c r="D639" s="4"/>
    </row>
    <row r="640" spans="1:4" x14ac:dyDescent="0.25">
      <c r="A640" s="5"/>
      <c r="C640" s="4"/>
      <c r="D640" s="4"/>
    </row>
    <row r="641" spans="1:4" x14ac:dyDescent="0.25">
      <c r="A641" s="5"/>
      <c r="C641" s="4"/>
      <c r="D641" s="4"/>
    </row>
    <row r="642" spans="1:4" x14ac:dyDescent="0.25">
      <c r="A642" s="5"/>
      <c r="C642" s="4"/>
      <c r="D642" s="4"/>
    </row>
    <row r="643" spans="1:4" x14ac:dyDescent="0.25">
      <c r="A643" s="5"/>
      <c r="C643" s="4"/>
      <c r="D643" s="4"/>
    </row>
    <row r="644" spans="1:4" x14ac:dyDescent="0.25">
      <c r="A644" s="5"/>
      <c r="C644" s="4"/>
      <c r="D644" s="4"/>
    </row>
    <row r="645" spans="1:4" x14ac:dyDescent="0.25">
      <c r="A645" s="5"/>
      <c r="C645" s="4"/>
      <c r="D645" s="4"/>
    </row>
    <row r="646" spans="1:4" x14ac:dyDescent="0.25">
      <c r="A646" s="5"/>
      <c r="C646" s="4"/>
      <c r="D646" s="4"/>
    </row>
    <row r="647" spans="1:4" x14ac:dyDescent="0.25">
      <c r="A647" s="5"/>
      <c r="C647" s="4"/>
      <c r="D647" s="4"/>
    </row>
    <row r="648" spans="1:4" x14ac:dyDescent="0.25">
      <c r="A648" s="5"/>
      <c r="C648" s="4"/>
      <c r="D648" s="4"/>
    </row>
    <row r="649" spans="1:4" x14ac:dyDescent="0.25">
      <c r="A649" s="5"/>
      <c r="C649" s="4"/>
      <c r="D649" s="4"/>
    </row>
    <row r="650" spans="1:4" x14ac:dyDescent="0.25">
      <c r="A650" s="5"/>
      <c r="C650" s="4"/>
      <c r="D650" s="4"/>
    </row>
    <row r="651" spans="1:4" x14ac:dyDescent="0.25">
      <c r="A651" s="5"/>
      <c r="C651" s="4"/>
      <c r="D651" s="4"/>
    </row>
    <row r="652" spans="1:4" x14ac:dyDescent="0.25">
      <c r="A652" s="5"/>
      <c r="C652" s="4"/>
      <c r="D652" s="4"/>
    </row>
    <row r="653" spans="1:4" x14ac:dyDescent="0.25">
      <c r="A653" s="5"/>
      <c r="C653" s="4"/>
      <c r="D653" s="4"/>
    </row>
    <row r="654" spans="1:4" x14ac:dyDescent="0.25">
      <c r="A654" s="5"/>
      <c r="C654" s="4"/>
      <c r="D654" s="4"/>
    </row>
    <row r="655" spans="1:4" x14ac:dyDescent="0.25">
      <c r="A655" s="5"/>
      <c r="C655" s="4"/>
      <c r="D655" s="4"/>
    </row>
    <row r="656" spans="1:4" x14ac:dyDescent="0.25">
      <c r="A656" s="5"/>
      <c r="C656" s="4"/>
      <c r="D656" s="4"/>
    </row>
    <row r="657" spans="1:4" x14ac:dyDescent="0.25">
      <c r="A657" s="5"/>
      <c r="C657" s="4"/>
      <c r="D657" s="4"/>
    </row>
    <row r="658" spans="1:4" x14ac:dyDescent="0.25">
      <c r="A658" s="5"/>
      <c r="C658" s="4"/>
      <c r="D658" s="4"/>
    </row>
    <row r="659" spans="1:4" x14ac:dyDescent="0.25">
      <c r="A659" s="5"/>
      <c r="C659" s="4"/>
      <c r="D659" s="4"/>
    </row>
    <row r="660" spans="1:4" x14ac:dyDescent="0.25">
      <c r="A660" s="5"/>
      <c r="C660" s="4"/>
      <c r="D660" s="4"/>
    </row>
    <row r="661" spans="1:4" x14ac:dyDescent="0.25">
      <c r="A661" s="5"/>
      <c r="C661" s="4"/>
      <c r="D661" s="4"/>
    </row>
    <row r="662" spans="1:4" x14ac:dyDescent="0.25">
      <c r="A662" s="5"/>
      <c r="C662" s="4"/>
      <c r="D662" s="4"/>
    </row>
    <row r="663" spans="1:4" x14ac:dyDescent="0.25">
      <c r="A663" s="5"/>
      <c r="C663" s="4"/>
      <c r="D663" s="4"/>
    </row>
    <row r="664" spans="1:4" x14ac:dyDescent="0.25">
      <c r="A664" s="5"/>
      <c r="C664" s="4"/>
      <c r="D664" s="4"/>
    </row>
    <row r="665" spans="1:4" x14ac:dyDescent="0.25">
      <c r="A665" s="5"/>
      <c r="C665" s="4"/>
      <c r="D665" s="4"/>
    </row>
    <row r="666" spans="1:4" x14ac:dyDescent="0.25">
      <c r="A666" s="5"/>
      <c r="C666" s="4"/>
      <c r="D666" s="4"/>
    </row>
    <row r="667" spans="1:4" x14ac:dyDescent="0.25">
      <c r="A667" s="5"/>
      <c r="C667" s="4"/>
      <c r="D667" s="4"/>
    </row>
    <row r="668" spans="1:4" x14ac:dyDescent="0.25">
      <c r="A668" s="5"/>
      <c r="C668" s="4"/>
      <c r="D668" s="4"/>
    </row>
    <row r="669" spans="1:4" x14ac:dyDescent="0.25">
      <c r="A669" s="5"/>
      <c r="C669" s="4"/>
      <c r="D669" s="4"/>
    </row>
    <row r="670" spans="1:4" x14ac:dyDescent="0.25">
      <c r="A670" s="5"/>
      <c r="C670" s="4"/>
      <c r="D670" s="4"/>
    </row>
    <row r="671" spans="1:4" x14ac:dyDescent="0.25">
      <c r="A671" s="5"/>
      <c r="C671" s="4"/>
      <c r="D671" s="4"/>
    </row>
    <row r="672" spans="1:4" x14ac:dyDescent="0.25">
      <c r="A672" s="5"/>
      <c r="C672" s="4"/>
      <c r="D672" s="4"/>
    </row>
    <row r="673" spans="1:4" x14ac:dyDescent="0.25">
      <c r="A673" s="5"/>
      <c r="C673" s="4"/>
      <c r="D673" s="4"/>
    </row>
    <row r="674" spans="1:4" x14ac:dyDescent="0.25">
      <c r="A674" s="5"/>
      <c r="C674" s="4"/>
      <c r="D674" s="4"/>
    </row>
    <row r="675" spans="1:4" x14ac:dyDescent="0.25">
      <c r="A675" s="5"/>
      <c r="C675" s="4"/>
      <c r="D675" s="4"/>
    </row>
    <row r="676" spans="1:4" x14ac:dyDescent="0.25">
      <c r="A676" s="5"/>
      <c r="C676" s="4"/>
      <c r="D676" s="4"/>
    </row>
    <row r="677" spans="1:4" x14ac:dyDescent="0.25">
      <c r="A677" s="5"/>
      <c r="C677" s="4"/>
      <c r="D677" s="4"/>
    </row>
    <row r="678" spans="1:4" x14ac:dyDescent="0.25">
      <c r="A678" s="5"/>
      <c r="C678" s="4"/>
      <c r="D678" s="4"/>
    </row>
    <row r="679" spans="1:4" x14ac:dyDescent="0.25">
      <c r="A679" s="5"/>
      <c r="C679" s="4"/>
      <c r="D679" s="4"/>
    </row>
    <row r="680" spans="1:4" x14ac:dyDescent="0.25">
      <c r="A680" s="5"/>
      <c r="C680" s="4"/>
      <c r="D680" s="4"/>
    </row>
    <row r="681" spans="1:4" x14ac:dyDescent="0.25">
      <c r="A681" s="5"/>
      <c r="C681" s="4"/>
      <c r="D681" s="4"/>
    </row>
    <row r="682" spans="1:4" x14ac:dyDescent="0.25">
      <c r="A682" s="5"/>
      <c r="C682" s="4"/>
      <c r="D682" s="4"/>
    </row>
    <row r="683" spans="1:4" x14ac:dyDescent="0.25">
      <c r="A683" s="5"/>
      <c r="C683" s="4"/>
      <c r="D683" s="4"/>
    </row>
    <row r="684" spans="1:4" x14ac:dyDescent="0.25">
      <c r="A684" s="5"/>
      <c r="C684" s="4"/>
      <c r="D684" s="4"/>
    </row>
    <row r="685" spans="1:4" x14ac:dyDescent="0.25">
      <c r="A685" s="5"/>
      <c r="C685" s="4"/>
      <c r="D685" s="4"/>
    </row>
    <row r="686" spans="1:4" x14ac:dyDescent="0.25">
      <c r="A686" s="5"/>
      <c r="C686" s="4"/>
      <c r="D686" s="4"/>
    </row>
    <row r="687" spans="1:4" x14ac:dyDescent="0.25">
      <c r="A687" s="5"/>
      <c r="C687" s="4"/>
      <c r="D687" s="4"/>
    </row>
    <row r="688" spans="1:4" x14ac:dyDescent="0.25">
      <c r="A688" s="5"/>
      <c r="C688" s="4"/>
      <c r="D688" s="4"/>
    </row>
    <row r="689" spans="1:4" x14ac:dyDescent="0.25">
      <c r="A689" s="5"/>
      <c r="C689" s="4"/>
      <c r="D689" s="4"/>
    </row>
    <row r="690" spans="1:4" x14ac:dyDescent="0.25">
      <c r="A690" s="5"/>
      <c r="C690" s="4"/>
      <c r="D690" s="4"/>
    </row>
    <row r="691" spans="1:4" x14ac:dyDescent="0.25">
      <c r="A691" s="5"/>
      <c r="C691" s="4"/>
      <c r="D691" s="4"/>
    </row>
    <row r="692" spans="1:4" x14ac:dyDescent="0.25">
      <c r="A692" s="5"/>
      <c r="C692" s="4"/>
      <c r="D692" s="4"/>
    </row>
    <row r="693" spans="1:4" x14ac:dyDescent="0.25">
      <c r="A693" s="5"/>
      <c r="C693" s="4"/>
      <c r="D693" s="4"/>
    </row>
    <row r="694" spans="1:4" x14ac:dyDescent="0.25">
      <c r="A694" s="5"/>
      <c r="C694" s="4"/>
      <c r="D694" s="4"/>
    </row>
    <row r="695" spans="1:4" x14ac:dyDescent="0.25">
      <c r="A695" s="5"/>
      <c r="C695" s="4"/>
      <c r="D695" s="4"/>
    </row>
    <row r="696" spans="1:4" x14ac:dyDescent="0.25">
      <c r="A696" s="5"/>
      <c r="C696" s="4"/>
      <c r="D696" s="4"/>
    </row>
    <row r="697" spans="1:4" x14ac:dyDescent="0.25">
      <c r="A697" s="5"/>
      <c r="C697" s="4"/>
      <c r="D697" s="4"/>
    </row>
    <row r="698" spans="1:4" x14ac:dyDescent="0.25">
      <c r="A698" s="5"/>
      <c r="C698" s="4"/>
      <c r="D698" s="4"/>
    </row>
    <row r="699" spans="1:4" x14ac:dyDescent="0.25">
      <c r="A699" s="5"/>
      <c r="C699" s="4"/>
      <c r="D699" s="4"/>
    </row>
    <row r="700" spans="1:4" x14ac:dyDescent="0.25">
      <c r="A700" s="5"/>
      <c r="C700" s="4"/>
      <c r="D700" s="4"/>
    </row>
    <row r="701" spans="1:4" x14ac:dyDescent="0.25">
      <c r="A701" s="5"/>
      <c r="C701" s="4"/>
      <c r="D701" s="4"/>
    </row>
    <row r="702" spans="1:4" x14ac:dyDescent="0.25">
      <c r="A702" s="5"/>
      <c r="C702" s="4"/>
      <c r="D702" s="4"/>
    </row>
    <row r="703" spans="1:4" x14ac:dyDescent="0.25">
      <c r="A703" s="5"/>
      <c r="C703" s="4"/>
      <c r="D703" s="4"/>
    </row>
    <row r="704" spans="1:4" x14ac:dyDescent="0.25">
      <c r="A704" s="5"/>
      <c r="C704" s="4"/>
      <c r="D704" s="4"/>
    </row>
    <row r="705" spans="1:4" x14ac:dyDescent="0.25">
      <c r="A705" s="5"/>
      <c r="C705" s="4"/>
      <c r="D705" s="4"/>
    </row>
    <row r="706" spans="1:4" x14ac:dyDescent="0.25">
      <c r="A706" s="5"/>
      <c r="C706" s="4"/>
      <c r="D706" s="4"/>
    </row>
    <row r="707" spans="1:4" x14ac:dyDescent="0.25">
      <c r="A707" s="5"/>
      <c r="C707" s="4"/>
      <c r="D707" s="4"/>
    </row>
    <row r="708" spans="1:4" x14ac:dyDescent="0.25">
      <c r="A708" s="5"/>
      <c r="C708" s="4"/>
      <c r="D708" s="4"/>
    </row>
    <row r="709" spans="1:4" x14ac:dyDescent="0.25">
      <c r="A709" s="5"/>
      <c r="C709" s="4"/>
      <c r="D709" s="4"/>
    </row>
    <row r="710" spans="1:4" x14ac:dyDescent="0.25">
      <c r="A710" s="5"/>
      <c r="C710" s="4"/>
      <c r="D710" s="4"/>
    </row>
    <row r="711" spans="1:4" x14ac:dyDescent="0.25">
      <c r="A711" s="5"/>
      <c r="C711" s="4"/>
      <c r="D711" s="4"/>
    </row>
    <row r="712" spans="1:4" x14ac:dyDescent="0.25">
      <c r="A712" s="5"/>
      <c r="C712" s="4"/>
      <c r="D712" s="4"/>
    </row>
    <row r="713" spans="1:4" x14ac:dyDescent="0.25">
      <c r="A713" s="5"/>
      <c r="C713" s="4"/>
      <c r="D713" s="4"/>
    </row>
    <row r="714" spans="1:4" x14ac:dyDescent="0.25">
      <c r="A714" s="5"/>
      <c r="C714" s="4"/>
      <c r="D714" s="4"/>
    </row>
    <row r="715" spans="1:4" x14ac:dyDescent="0.25">
      <c r="A715" s="5"/>
      <c r="C715" s="4"/>
      <c r="D715" s="4"/>
    </row>
    <row r="716" spans="1:4" x14ac:dyDescent="0.25">
      <c r="A716" s="5"/>
      <c r="C716" s="4"/>
      <c r="D716" s="4"/>
    </row>
    <row r="717" spans="1:4" x14ac:dyDescent="0.25">
      <c r="A717" s="5"/>
      <c r="C717" s="4"/>
      <c r="D717" s="4"/>
    </row>
    <row r="718" spans="1:4" x14ac:dyDescent="0.25">
      <c r="A718" s="5"/>
      <c r="C718" s="4"/>
      <c r="D718" s="4"/>
    </row>
    <row r="719" spans="1:4" x14ac:dyDescent="0.25">
      <c r="A719" s="5"/>
      <c r="C719" s="4"/>
      <c r="D719" s="4"/>
    </row>
    <row r="720" spans="1:4" x14ac:dyDescent="0.25">
      <c r="A720" s="5"/>
      <c r="C720" s="4"/>
      <c r="D720" s="4"/>
    </row>
    <row r="721" spans="1:4" x14ac:dyDescent="0.25">
      <c r="A721" s="5"/>
      <c r="C721" s="4"/>
      <c r="D721" s="4"/>
    </row>
    <row r="722" spans="1:4" x14ac:dyDescent="0.25">
      <c r="A722" s="5"/>
      <c r="C722" s="4"/>
      <c r="D722" s="4"/>
    </row>
    <row r="723" spans="1:4" x14ac:dyDescent="0.25">
      <c r="A723" s="5"/>
      <c r="C723" s="4"/>
      <c r="D723" s="4"/>
    </row>
    <row r="724" spans="1:4" x14ac:dyDescent="0.25">
      <c r="A724" s="5"/>
      <c r="C724" s="4"/>
      <c r="D724" s="4"/>
    </row>
    <row r="725" spans="1:4" x14ac:dyDescent="0.25">
      <c r="A725" s="5"/>
      <c r="C725" s="4"/>
      <c r="D725" s="4"/>
    </row>
    <row r="726" spans="1:4" x14ac:dyDescent="0.25">
      <c r="A726" s="5"/>
      <c r="C726" s="4"/>
      <c r="D726" s="4"/>
    </row>
    <row r="727" spans="1:4" x14ac:dyDescent="0.25">
      <c r="A727" s="5"/>
      <c r="C727" s="4"/>
      <c r="D727" s="4"/>
    </row>
    <row r="728" spans="1:4" x14ac:dyDescent="0.25">
      <c r="A728" s="5"/>
      <c r="C728" s="4"/>
      <c r="D728" s="4"/>
    </row>
    <row r="729" spans="1:4" x14ac:dyDescent="0.25">
      <c r="A729" s="5"/>
      <c r="C729" s="4"/>
      <c r="D729" s="4"/>
    </row>
    <row r="730" spans="1:4" x14ac:dyDescent="0.25">
      <c r="A730" s="5"/>
      <c r="C730" s="4"/>
      <c r="D730" s="4"/>
    </row>
    <row r="731" spans="1:4" x14ac:dyDescent="0.25">
      <c r="A731" s="5"/>
      <c r="C731" s="4"/>
      <c r="D731" s="4"/>
    </row>
    <row r="732" spans="1:4" x14ac:dyDescent="0.25">
      <c r="A732" s="5"/>
      <c r="C732" s="4"/>
      <c r="D732" s="4"/>
    </row>
    <row r="733" spans="1:4" x14ac:dyDescent="0.25">
      <c r="A733" s="5"/>
      <c r="C733" s="4"/>
      <c r="D733" s="4"/>
    </row>
    <row r="734" spans="1:4" x14ac:dyDescent="0.25">
      <c r="A734" s="5"/>
      <c r="C734" s="4"/>
      <c r="D734" s="4"/>
    </row>
    <row r="735" spans="1:4" x14ac:dyDescent="0.25">
      <c r="A735" s="5"/>
      <c r="C735" s="4"/>
      <c r="D735" s="4"/>
    </row>
    <row r="736" spans="1:4" x14ac:dyDescent="0.25">
      <c r="A736" s="5"/>
      <c r="C736" s="4"/>
      <c r="D736" s="4"/>
    </row>
    <row r="737" spans="1:4" x14ac:dyDescent="0.25">
      <c r="A737" s="5"/>
      <c r="C737" s="4"/>
      <c r="D737" s="4"/>
    </row>
    <row r="738" spans="1:4" x14ac:dyDescent="0.25">
      <c r="A738" s="5"/>
      <c r="C738" s="4"/>
      <c r="D738" s="4"/>
    </row>
    <row r="739" spans="1:4" x14ac:dyDescent="0.25">
      <c r="A739" s="5"/>
      <c r="C739" s="4"/>
      <c r="D739" s="4"/>
    </row>
    <row r="740" spans="1:4" x14ac:dyDescent="0.25">
      <c r="A740" s="5"/>
      <c r="C740" s="4"/>
      <c r="D740" s="4"/>
    </row>
    <row r="741" spans="1:4" x14ac:dyDescent="0.25">
      <c r="A741" s="5"/>
    </row>
    <row r="742" spans="1:4" x14ac:dyDescent="0.25">
      <c r="A742" s="5"/>
    </row>
    <row r="743" spans="1:4" x14ac:dyDescent="0.25">
      <c r="A743" s="5"/>
    </row>
    <row r="744" spans="1:4" x14ac:dyDescent="0.25">
      <c r="A744" s="5"/>
    </row>
    <row r="745" spans="1:4" x14ac:dyDescent="0.25">
      <c r="A745" s="5"/>
    </row>
    <row r="746" spans="1:4" x14ac:dyDescent="0.25">
      <c r="A746" s="5"/>
    </row>
    <row r="747" spans="1:4" x14ac:dyDescent="0.25">
      <c r="A747" s="5"/>
    </row>
    <row r="748" spans="1:4" x14ac:dyDescent="0.25">
      <c r="A748" s="5"/>
    </row>
    <row r="749" spans="1:4" x14ac:dyDescent="0.25">
      <c r="A749" s="5"/>
    </row>
    <row r="750" spans="1:4" x14ac:dyDescent="0.25">
      <c r="A750" s="5"/>
    </row>
    <row r="751" spans="1:4" x14ac:dyDescent="0.25">
      <c r="A751" s="5"/>
    </row>
    <row r="752" spans="1:4" x14ac:dyDescent="0.25">
      <c r="A752" s="5"/>
    </row>
    <row r="753" spans="1:1" customFormat="1" x14ac:dyDescent="0.25">
      <c r="A753" s="5"/>
    </row>
    <row r="754" spans="1:1" customFormat="1" x14ac:dyDescent="0.25">
      <c r="A754" s="5"/>
    </row>
    <row r="755" spans="1:1" customFormat="1" x14ac:dyDescent="0.25">
      <c r="A755" s="5"/>
    </row>
    <row r="756" spans="1:1" customFormat="1" x14ac:dyDescent="0.25">
      <c r="A756" s="5"/>
    </row>
    <row r="757" spans="1:1" customFormat="1" x14ac:dyDescent="0.25">
      <c r="A757" s="5"/>
    </row>
    <row r="758" spans="1:1" customFormat="1" x14ac:dyDescent="0.25">
      <c r="A758" s="5"/>
    </row>
    <row r="759" spans="1:1" customFormat="1" x14ac:dyDescent="0.25">
      <c r="A759" s="5"/>
    </row>
    <row r="760" spans="1:1" customFormat="1" x14ac:dyDescent="0.25">
      <c r="A760" s="5"/>
    </row>
    <row r="761" spans="1:1" customFormat="1" x14ac:dyDescent="0.25">
      <c r="A761" s="5"/>
    </row>
    <row r="762" spans="1:1" customFormat="1" x14ac:dyDescent="0.25">
      <c r="A762" s="5"/>
    </row>
    <row r="763" spans="1:1" customFormat="1" x14ac:dyDescent="0.25">
      <c r="A763" s="5"/>
    </row>
    <row r="764" spans="1:1" customFormat="1" x14ac:dyDescent="0.25">
      <c r="A764" s="5"/>
    </row>
    <row r="765" spans="1:1" customFormat="1" x14ac:dyDescent="0.25">
      <c r="A765" s="5"/>
    </row>
    <row r="766" spans="1:1" customFormat="1" x14ac:dyDescent="0.25">
      <c r="A766" s="5"/>
    </row>
    <row r="767" spans="1:1" customFormat="1" x14ac:dyDescent="0.25">
      <c r="A767" s="5"/>
    </row>
    <row r="768" spans="1:1" customFormat="1" x14ac:dyDescent="0.25">
      <c r="A768" s="5"/>
    </row>
    <row r="769" spans="1:1" customFormat="1" x14ac:dyDescent="0.25">
      <c r="A769" s="5"/>
    </row>
    <row r="770" spans="1:1" customFormat="1" x14ac:dyDescent="0.25">
      <c r="A770" s="5"/>
    </row>
    <row r="771" spans="1:1" customFormat="1" x14ac:dyDescent="0.25">
      <c r="A771" s="5"/>
    </row>
    <row r="772" spans="1:1" customFormat="1" x14ac:dyDescent="0.25">
      <c r="A772" s="5"/>
    </row>
    <row r="773" spans="1:1" customFormat="1" x14ac:dyDescent="0.25">
      <c r="A773" s="5"/>
    </row>
    <row r="774" spans="1:1" customFormat="1" x14ac:dyDescent="0.25">
      <c r="A774" s="5"/>
    </row>
    <row r="775" spans="1:1" customFormat="1" x14ac:dyDescent="0.25">
      <c r="A775" s="5"/>
    </row>
    <row r="776" spans="1:1" customFormat="1" x14ac:dyDescent="0.25">
      <c r="A776" s="5"/>
    </row>
    <row r="777" spans="1:1" customFormat="1" x14ac:dyDescent="0.25">
      <c r="A777" s="5"/>
    </row>
    <row r="778" spans="1:1" customFormat="1" x14ac:dyDescent="0.25">
      <c r="A778" s="5"/>
    </row>
    <row r="779" spans="1:1" customFormat="1" x14ac:dyDescent="0.25">
      <c r="A779" s="5"/>
    </row>
    <row r="780" spans="1:1" customFormat="1" x14ac:dyDescent="0.25">
      <c r="A780" s="5"/>
    </row>
    <row r="781" spans="1:1" customFormat="1" x14ac:dyDescent="0.25">
      <c r="A781" s="5"/>
    </row>
    <row r="782" spans="1:1" customFormat="1" x14ac:dyDescent="0.25">
      <c r="A782" s="5"/>
    </row>
    <row r="783" spans="1:1" customFormat="1" x14ac:dyDescent="0.25">
      <c r="A783" s="5"/>
    </row>
    <row r="784" spans="1:1" customFormat="1" x14ac:dyDescent="0.25">
      <c r="A784" s="5"/>
    </row>
    <row r="785" spans="1:1" customFormat="1" x14ac:dyDescent="0.25">
      <c r="A785" s="5"/>
    </row>
    <row r="786" spans="1:1" customFormat="1" x14ac:dyDescent="0.25">
      <c r="A786" s="5"/>
    </row>
    <row r="787" spans="1:1" customFormat="1" x14ac:dyDescent="0.25">
      <c r="A787" s="5"/>
    </row>
    <row r="788" spans="1:1" customFormat="1" x14ac:dyDescent="0.25">
      <c r="A788" s="5"/>
    </row>
    <row r="789" spans="1:1" customFormat="1" x14ac:dyDescent="0.25">
      <c r="A789" s="5"/>
    </row>
    <row r="790" spans="1:1" customFormat="1" x14ac:dyDescent="0.25">
      <c r="A790" s="5"/>
    </row>
    <row r="791" spans="1:1" customFormat="1" x14ac:dyDescent="0.25">
      <c r="A791" s="5"/>
    </row>
    <row r="792" spans="1:1" customFormat="1" x14ac:dyDescent="0.25">
      <c r="A792" s="5"/>
    </row>
    <row r="793" spans="1:1" customFormat="1" x14ac:dyDescent="0.25">
      <c r="A793" s="5"/>
    </row>
    <row r="794" spans="1:1" customFormat="1" x14ac:dyDescent="0.25">
      <c r="A794" s="5"/>
    </row>
    <row r="795" spans="1:1" customFormat="1" x14ac:dyDescent="0.25">
      <c r="A795" s="5"/>
    </row>
    <row r="796" spans="1:1" customFormat="1" x14ac:dyDescent="0.25">
      <c r="A796" s="5"/>
    </row>
    <row r="797" spans="1:1" customFormat="1" x14ac:dyDescent="0.25">
      <c r="A797" s="5"/>
    </row>
    <row r="798" spans="1:1" customFormat="1" x14ac:dyDescent="0.25">
      <c r="A798" s="5"/>
    </row>
    <row r="799" spans="1:1" customFormat="1" x14ac:dyDescent="0.25">
      <c r="A799" s="5"/>
    </row>
    <row r="800" spans="1:1" customFormat="1" x14ac:dyDescent="0.25">
      <c r="A800" s="5"/>
    </row>
    <row r="801" spans="1:1" customFormat="1" x14ac:dyDescent="0.25">
      <c r="A801" s="5"/>
    </row>
    <row r="802" spans="1:1" customFormat="1" x14ac:dyDescent="0.25">
      <c r="A802" s="5"/>
    </row>
    <row r="803" spans="1:1" customFormat="1" x14ac:dyDescent="0.25">
      <c r="A803" s="5"/>
    </row>
    <row r="804" spans="1:1" customFormat="1" x14ac:dyDescent="0.25">
      <c r="A804" s="5"/>
    </row>
    <row r="805" spans="1:1" customFormat="1" x14ac:dyDescent="0.25">
      <c r="A805" s="5"/>
    </row>
    <row r="806" spans="1:1" customFormat="1" x14ac:dyDescent="0.25">
      <c r="A806" s="5"/>
    </row>
    <row r="807" spans="1:1" customFormat="1" x14ac:dyDescent="0.25">
      <c r="A807" s="5"/>
    </row>
    <row r="808" spans="1:1" customFormat="1" x14ac:dyDescent="0.25">
      <c r="A808" s="5"/>
    </row>
    <row r="809" spans="1:1" customFormat="1" x14ac:dyDescent="0.25">
      <c r="A809" s="5"/>
    </row>
    <row r="810" spans="1:1" customFormat="1" x14ac:dyDescent="0.25">
      <c r="A810" s="5"/>
    </row>
    <row r="811" spans="1:1" customFormat="1" x14ac:dyDescent="0.25">
      <c r="A811" s="5"/>
    </row>
    <row r="812" spans="1:1" customFormat="1" x14ac:dyDescent="0.25">
      <c r="A812" s="5"/>
    </row>
    <row r="813" spans="1:1" customFormat="1" x14ac:dyDescent="0.25">
      <c r="A813" s="5"/>
    </row>
    <row r="814" spans="1:1" customFormat="1" x14ac:dyDescent="0.25">
      <c r="A814" s="5"/>
    </row>
    <row r="815" spans="1:1" customFormat="1" x14ac:dyDescent="0.25">
      <c r="A815" s="5"/>
    </row>
    <row r="816" spans="1:1" customFormat="1" x14ac:dyDescent="0.25">
      <c r="A816" s="5"/>
    </row>
    <row r="817" spans="1:1" customFormat="1" x14ac:dyDescent="0.25">
      <c r="A817" s="5"/>
    </row>
    <row r="818" spans="1:1" customFormat="1" x14ac:dyDescent="0.25">
      <c r="A818" s="5"/>
    </row>
    <row r="819" spans="1:1" customFormat="1" x14ac:dyDescent="0.25">
      <c r="A819" s="5"/>
    </row>
    <row r="820" spans="1:1" customFormat="1" x14ac:dyDescent="0.25">
      <c r="A820" s="5"/>
    </row>
    <row r="821" spans="1:1" customFormat="1" x14ac:dyDescent="0.25">
      <c r="A821" s="5"/>
    </row>
    <row r="822" spans="1:1" customFormat="1" x14ac:dyDescent="0.25">
      <c r="A822" s="5"/>
    </row>
    <row r="823" spans="1:1" customFormat="1" x14ac:dyDescent="0.25">
      <c r="A823" s="5"/>
    </row>
    <row r="824" spans="1:1" customFormat="1" x14ac:dyDescent="0.25">
      <c r="A824" s="5"/>
    </row>
    <row r="825" spans="1:1" customFormat="1" x14ac:dyDescent="0.25">
      <c r="A825" s="5"/>
    </row>
    <row r="826" spans="1:1" customFormat="1" x14ac:dyDescent="0.25">
      <c r="A826" s="5"/>
    </row>
    <row r="827" spans="1:1" customFormat="1" x14ac:dyDescent="0.25">
      <c r="A827" s="5"/>
    </row>
    <row r="828" spans="1:1" customFormat="1" x14ac:dyDescent="0.25">
      <c r="A828" s="5"/>
    </row>
    <row r="829" spans="1:1" customFormat="1" x14ac:dyDescent="0.25">
      <c r="A829" s="5"/>
    </row>
    <row r="830" spans="1:1" customFormat="1" x14ac:dyDescent="0.25">
      <c r="A830" s="5"/>
    </row>
    <row r="831" spans="1:1" customFormat="1" x14ac:dyDescent="0.25">
      <c r="A831" s="5"/>
    </row>
    <row r="832" spans="1:1" customFormat="1" x14ac:dyDescent="0.25">
      <c r="A832" s="5"/>
    </row>
    <row r="833" spans="1:1" customFormat="1" x14ac:dyDescent="0.25">
      <c r="A833" s="5"/>
    </row>
    <row r="834" spans="1:1" customFormat="1" x14ac:dyDescent="0.25">
      <c r="A834" s="5"/>
    </row>
    <row r="835" spans="1:1" customFormat="1" x14ac:dyDescent="0.25">
      <c r="A835" s="5"/>
    </row>
    <row r="836" spans="1:1" customFormat="1" x14ac:dyDescent="0.25">
      <c r="A836" s="5"/>
    </row>
    <row r="837" spans="1:1" customFormat="1" x14ac:dyDescent="0.25">
      <c r="A837" s="5"/>
    </row>
    <row r="838" spans="1:1" customFormat="1" x14ac:dyDescent="0.25">
      <c r="A838" s="5"/>
    </row>
    <row r="839" spans="1:1" customFormat="1" x14ac:dyDescent="0.25">
      <c r="A839" s="5"/>
    </row>
    <row r="840" spans="1:1" customFormat="1" x14ac:dyDescent="0.25">
      <c r="A840" s="5"/>
    </row>
    <row r="841" spans="1:1" customFormat="1" x14ac:dyDescent="0.25">
      <c r="A841" s="5"/>
    </row>
    <row r="842" spans="1:1" customFormat="1" x14ac:dyDescent="0.25">
      <c r="A842" s="5"/>
    </row>
    <row r="843" spans="1:1" customFormat="1" x14ac:dyDescent="0.25">
      <c r="A843" s="5"/>
    </row>
    <row r="844" spans="1:1" customFormat="1" x14ac:dyDescent="0.25">
      <c r="A844" s="5"/>
    </row>
    <row r="845" spans="1:1" customFormat="1" x14ac:dyDescent="0.25">
      <c r="A845" s="5"/>
    </row>
    <row r="846" spans="1:1" customFormat="1" x14ac:dyDescent="0.25">
      <c r="A846" s="5"/>
    </row>
    <row r="847" spans="1:1" customFormat="1" x14ac:dyDescent="0.25">
      <c r="A847" s="5"/>
    </row>
    <row r="848" spans="1:1" customFormat="1" x14ac:dyDescent="0.25">
      <c r="A848" s="5"/>
    </row>
    <row r="849" spans="1:1" customFormat="1" x14ac:dyDescent="0.25">
      <c r="A849" s="5"/>
    </row>
    <row r="850" spans="1:1" customFormat="1" x14ac:dyDescent="0.25">
      <c r="A850" s="5"/>
    </row>
    <row r="851" spans="1:1" customFormat="1" x14ac:dyDescent="0.25">
      <c r="A851" s="5"/>
    </row>
    <row r="852" spans="1:1" customFormat="1" x14ac:dyDescent="0.25">
      <c r="A852" s="5"/>
    </row>
    <row r="853" spans="1:1" customFormat="1" x14ac:dyDescent="0.25">
      <c r="A853" s="5"/>
    </row>
    <row r="854" spans="1:1" customFormat="1" x14ac:dyDescent="0.25">
      <c r="A854" s="5"/>
    </row>
    <row r="855" spans="1:1" customFormat="1" x14ac:dyDescent="0.25">
      <c r="A855" s="5"/>
    </row>
    <row r="856" spans="1:1" customFormat="1" x14ac:dyDescent="0.25">
      <c r="A856" s="5"/>
    </row>
    <row r="857" spans="1:1" customFormat="1" x14ac:dyDescent="0.25">
      <c r="A857" s="5"/>
    </row>
    <row r="858" spans="1:1" customFormat="1" x14ac:dyDescent="0.25">
      <c r="A858" s="5"/>
    </row>
    <row r="859" spans="1:1" customFormat="1" x14ac:dyDescent="0.25">
      <c r="A859" s="5"/>
    </row>
    <row r="860" spans="1:1" customFormat="1" x14ac:dyDescent="0.25">
      <c r="A860" s="5"/>
    </row>
    <row r="861" spans="1:1" customFormat="1" x14ac:dyDescent="0.25">
      <c r="A861" s="5"/>
    </row>
    <row r="862" spans="1:1" customFormat="1" x14ac:dyDescent="0.25">
      <c r="A862" s="5"/>
    </row>
    <row r="863" spans="1:1" customFormat="1" x14ac:dyDescent="0.25">
      <c r="A863" s="5"/>
    </row>
    <row r="864" spans="1:1" customFormat="1" x14ac:dyDescent="0.25">
      <c r="A864" s="5"/>
    </row>
    <row r="865" spans="1:1" customFormat="1" x14ac:dyDescent="0.25">
      <c r="A865" s="5"/>
    </row>
    <row r="866" spans="1:1" customFormat="1" x14ac:dyDescent="0.25">
      <c r="A866" s="5"/>
    </row>
    <row r="867" spans="1:1" customFormat="1" x14ac:dyDescent="0.25">
      <c r="A867" s="5"/>
    </row>
    <row r="868" spans="1:1" customFormat="1" x14ac:dyDescent="0.25">
      <c r="A868" s="5"/>
    </row>
    <row r="869" spans="1:1" customFormat="1" x14ac:dyDescent="0.25">
      <c r="A869" s="5"/>
    </row>
    <row r="870" spans="1:1" customFormat="1" x14ac:dyDescent="0.25">
      <c r="A870" s="5"/>
    </row>
    <row r="871" spans="1:1" customFormat="1" x14ac:dyDescent="0.25">
      <c r="A871" s="5"/>
    </row>
    <row r="872" spans="1:1" customFormat="1" x14ac:dyDescent="0.25">
      <c r="A872" s="5"/>
    </row>
    <row r="873" spans="1:1" customFormat="1" x14ac:dyDescent="0.25">
      <c r="A873" s="5"/>
    </row>
    <row r="874" spans="1:1" customFormat="1" x14ac:dyDescent="0.25">
      <c r="A874" s="5"/>
    </row>
    <row r="875" spans="1:1" customFormat="1" x14ac:dyDescent="0.25">
      <c r="A875" s="5"/>
    </row>
    <row r="876" spans="1:1" customFormat="1" x14ac:dyDescent="0.25">
      <c r="A876" s="5"/>
    </row>
    <row r="877" spans="1:1" customFormat="1" x14ac:dyDescent="0.25">
      <c r="A877" s="5"/>
    </row>
    <row r="878" spans="1:1" customFormat="1" x14ac:dyDescent="0.25">
      <c r="A878" s="5"/>
    </row>
    <row r="879" spans="1:1" customFormat="1" x14ac:dyDescent="0.25">
      <c r="A879" s="5"/>
    </row>
    <row r="880" spans="1:1" customFormat="1" x14ac:dyDescent="0.25">
      <c r="A880" s="5"/>
    </row>
    <row r="881" spans="1:1" customFormat="1" x14ac:dyDescent="0.25">
      <c r="A881" s="5"/>
    </row>
    <row r="882" spans="1:1" customFormat="1" x14ac:dyDescent="0.25">
      <c r="A882" s="5"/>
    </row>
    <row r="883" spans="1:1" customFormat="1" x14ac:dyDescent="0.25">
      <c r="A883" s="5"/>
    </row>
    <row r="884" spans="1:1" customFormat="1" x14ac:dyDescent="0.25">
      <c r="A884" s="5"/>
    </row>
    <row r="885" spans="1:1" customFormat="1" x14ac:dyDescent="0.25">
      <c r="A885" s="5"/>
    </row>
    <row r="886" spans="1:1" customFormat="1" x14ac:dyDescent="0.25">
      <c r="A886" s="5"/>
    </row>
    <row r="887" spans="1:1" customFormat="1" x14ac:dyDescent="0.25">
      <c r="A887" s="5"/>
    </row>
    <row r="888" spans="1:1" customFormat="1" x14ac:dyDescent="0.25">
      <c r="A888" s="5"/>
    </row>
    <row r="889" spans="1:1" customFormat="1" x14ac:dyDescent="0.25">
      <c r="A889" s="5"/>
    </row>
    <row r="890" spans="1:1" customFormat="1" x14ac:dyDescent="0.25">
      <c r="A890" s="5"/>
    </row>
    <row r="891" spans="1:1" customFormat="1" x14ac:dyDescent="0.25">
      <c r="A891" s="5"/>
    </row>
    <row r="892" spans="1:1" customFormat="1" x14ac:dyDescent="0.25">
      <c r="A892" s="5"/>
    </row>
    <row r="893" spans="1:1" customFormat="1" x14ac:dyDescent="0.25">
      <c r="A893" s="5"/>
    </row>
    <row r="894" spans="1:1" customFormat="1" x14ac:dyDescent="0.25">
      <c r="A894" s="5"/>
    </row>
    <row r="895" spans="1:1" customFormat="1" x14ac:dyDescent="0.25">
      <c r="A895" s="5"/>
    </row>
    <row r="896" spans="1:1" customFormat="1" x14ac:dyDescent="0.25">
      <c r="A896" s="5"/>
    </row>
    <row r="897" spans="1:1" customFormat="1" x14ac:dyDescent="0.25">
      <c r="A897" s="5"/>
    </row>
    <row r="898" spans="1:1" customFormat="1" x14ac:dyDescent="0.25">
      <c r="A898" s="5"/>
    </row>
    <row r="899" spans="1:1" customFormat="1" x14ac:dyDescent="0.25">
      <c r="A899" s="5"/>
    </row>
    <row r="900" spans="1:1" customFormat="1" x14ac:dyDescent="0.25">
      <c r="A900" s="5"/>
    </row>
    <row r="901" spans="1:1" customFormat="1" x14ac:dyDescent="0.25">
      <c r="A901" s="5"/>
    </row>
    <row r="902" spans="1:1" customFormat="1" x14ac:dyDescent="0.25">
      <c r="A902" s="5"/>
    </row>
    <row r="903" spans="1:1" customFormat="1" x14ac:dyDescent="0.25">
      <c r="A903" s="5"/>
    </row>
    <row r="904" spans="1:1" customFormat="1" x14ac:dyDescent="0.25">
      <c r="A904" s="5"/>
    </row>
    <row r="905" spans="1:1" customFormat="1" x14ac:dyDescent="0.25">
      <c r="A905" s="5"/>
    </row>
    <row r="906" spans="1:1" customFormat="1" x14ac:dyDescent="0.25">
      <c r="A906" s="5"/>
    </row>
    <row r="907" spans="1:1" customFormat="1" x14ac:dyDescent="0.25">
      <c r="A907" s="5"/>
    </row>
    <row r="908" spans="1:1" customFormat="1" x14ac:dyDescent="0.25">
      <c r="A908" s="5"/>
    </row>
    <row r="909" spans="1:1" customFormat="1" x14ac:dyDescent="0.25">
      <c r="A909" s="5"/>
    </row>
    <row r="910" spans="1:1" customFormat="1" x14ac:dyDescent="0.25">
      <c r="A910" s="5"/>
    </row>
    <row r="911" spans="1:1" customFormat="1" x14ac:dyDescent="0.25">
      <c r="A911" s="5"/>
    </row>
    <row r="912" spans="1:1" customFormat="1" x14ac:dyDescent="0.25">
      <c r="A912" s="5"/>
    </row>
    <row r="913" spans="1:1" customFormat="1" x14ac:dyDescent="0.25">
      <c r="A913" s="5"/>
    </row>
    <row r="914" spans="1:1" customFormat="1" x14ac:dyDescent="0.25">
      <c r="A914" s="5"/>
    </row>
    <row r="915" spans="1:1" customFormat="1" x14ac:dyDescent="0.25">
      <c r="A915" s="5"/>
    </row>
    <row r="916" spans="1:1" customFormat="1" x14ac:dyDescent="0.25">
      <c r="A916" s="5"/>
    </row>
    <row r="917" spans="1:1" customFormat="1" x14ac:dyDescent="0.25">
      <c r="A917" s="5"/>
    </row>
    <row r="918" spans="1:1" customFormat="1" x14ac:dyDescent="0.25">
      <c r="A918" s="5"/>
    </row>
    <row r="919" spans="1:1" customFormat="1" x14ac:dyDescent="0.25">
      <c r="A919" s="5"/>
    </row>
    <row r="920" spans="1:1" customFormat="1" x14ac:dyDescent="0.25">
      <c r="A920" s="5"/>
    </row>
    <row r="921" spans="1:1" customFormat="1" x14ac:dyDescent="0.25">
      <c r="A921" s="5"/>
    </row>
    <row r="922" spans="1:1" customFormat="1" x14ac:dyDescent="0.25">
      <c r="A922" s="5"/>
    </row>
    <row r="923" spans="1:1" customFormat="1" x14ac:dyDescent="0.25">
      <c r="A923" s="5"/>
    </row>
    <row r="924" spans="1:1" customFormat="1" x14ac:dyDescent="0.25">
      <c r="A924" s="5"/>
    </row>
    <row r="925" spans="1:1" customFormat="1" x14ac:dyDescent="0.25">
      <c r="A925" s="5"/>
    </row>
    <row r="926" spans="1:1" customFormat="1" x14ac:dyDescent="0.25">
      <c r="A926" s="5"/>
    </row>
    <row r="927" spans="1:1" customFormat="1" x14ac:dyDescent="0.25">
      <c r="A927" s="5"/>
    </row>
    <row r="928" spans="1:1" customFormat="1" x14ac:dyDescent="0.25">
      <c r="A928" s="5"/>
    </row>
    <row r="929" spans="1:1" customFormat="1" x14ac:dyDescent="0.25">
      <c r="A929" s="5"/>
    </row>
    <row r="930" spans="1:1" customFormat="1" x14ac:dyDescent="0.25">
      <c r="A930" s="5"/>
    </row>
    <row r="931" spans="1:1" customFormat="1" x14ac:dyDescent="0.25">
      <c r="A931" s="5"/>
    </row>
    <row r="932" spans="1:1" customFormat="1" x14ac:dyDescent="0.25">
      <c r="A932" s="5"/>
    </row>
    <row r="933" spans="1:1" customFormat="1" x14ac:dyDescent="0.25">
      <c r="A933" s="5"/>
    </row>
    <row r="934" spans="1:1" customFormat="1" x14ac:dyDescent="0.25">
      <c r="A934" s="5"/>
    </row>
    <row r="935" spans="1:1" customFormat="1" x14ac:dyDescent="0.25">
      <c r="A935" s="5"/>
    </row>
    <row r="936" spans="1:1" customFormat="1" x14ac:dyDescent="0.25">
      <c r="A936" s="5"/>
    </row>
    <row r="937" spans="1:1" customFormat="1" x14ac:dyDescent="0.25">
      <c r="A937" s="5"/>
    </row>
    <row r="938" spans="1:1" customFormat="1" x14ac:dyDescent="0.25">
      <c r="A938" s="5"/>
    </row>
    <row r="939" spans="1:1" customFormat="1" x14ac:dyDescent="0.25">
      <c r="A939" s="5"/>
    </row>
    <row r="940" spans="1:1" customFormat="1" x14ac:dyDescent="0.25">
      <c r="A940" s="5"/>
    </row>
    <row r="941" spans="1:1" customFormat="1" x14ac:dyDescent="0.25">
      <c r="A941" s="5"/>
    </row>
    <row r="942" spans="1:1" customFormat="1" x14ac:dyDescent="0.25">
      <c r="A942" s="5"/>
    </row>
    <row r="943" spans="1:1" customFormat="1" x14ac:dyDescent="0.25">
      <c r="A943" s="5"/>
    </row>
    <row r="944" spans="1:1" customFormat="1" x14ac:dyDescent="0.25">
      <c r="A944" s="5"/>
    </row>
    <row r="945" spans="1:1" customFormat="1" x14ac:dyDescent="0.25">
      <c r="A945" s="5"/>
    </row>
    <row r="946" spans="1:1" customFormat="1" x14ac:dyDescent="0.25">
      <c r="A946" s="5"/>
    </row>
    <row r="947" spans="1:1" customFormat="1" x14ac:dyDescent="0.25">
      <c r="A947" s="5"/>
    </row>
    <row r="948" spans="1:1" customFormat="1" x14ac:dyDescent="0.25">
      <c r="A948" s="5"/>
    </row>
    <row r="949" spans="1:1" customFormat="1" x14ac:dyDescent="0.25">
      <c r="A949" s="5"/>
    </row>
    <row r="950" spans="1:1" customFormat="1" x14ac:dyDescent="0.25">
      <c r="A950" s="5"/>
    </row>
    <row r="951" spans="1:1" customFormat="1" x14ac:dyDescent="0.25">
      <c r="A951" s="5"/>
    </row>
    <row r="952" spans="1:1" customFormat="1" x14ac:dyDescent="0.25">
      <c r="A952" s="5"/>
    </row>
    <row r="953" spans="1:1" customFormat="1" x14ac:dyDescent="0.25">
      <c r="A953" s="5"/>
    </row>
    <row r="954" spans="1:1" customFormat="1" x14ac:dyDescent="0.25">
      <c r="A954" s="5"/>
    </row>
    <row r="955" spans="1:1" customFormat="1" x14ac:dyDescent="0.25">
      <c r="A955" s="5"/>
    </row>
    <row r="956" spans="1:1" customFormat="1" x14ac:dyDescent="0.25">
      <c r="A956" s="5"/>
    </row>
    <row r="957" spans="1:1" customFormat="1" x14ac:dyDescent="0.25">
      <c r="A957" s="5"/>
    </row>
    <row r="958" spans="1:1" customFormat="1" x14ac:dyDescent="0.25">
      <c r="A958" s="5"/>
    </row>
    <row r="959" spans="1:1" customFormat="1" x14ac:dyDescent="0.25">
      <c r="A959" s="5"/>
    </row>
    <row r="960" spans="1:1" customFormat="1" x14ac:dyDescent="0.25">
      <c r="A960" s="5"/>
    </row>
    <row r="961" spans="1:1" customFormat="1" x14ac:dyDescent="0.25">
      <c r="A961" s="5"/>
    </row>
    <row r="962" spans="1:1" customFormat="1" x14ac:dyDescent="0.25">
      <c r="A962" s="5"/>
    </row>
    <row r="963" spans="1:1" customFormat="1" x14ac:dyDescent="0.25">
      <c r="A963" s="5"/>
    </row>
    <row r="964" spans="1:1" customFormat="1" x14ac:dyDescent="0.25">
      <c r="A964" s="5"/>
    </row>
    <row r="965" spans="1:1" customFormat="1" x14ac:dyDescent="0.25">
      <c r="A965" s="5"/>
    </row>
    <row r="966" spans="1:1" customFormat="1" x14ac:dyDescent="0.25">
      <c r="A966" s="5"/>
    </row>
    <row r="967" spans="1:1" customFormat="1" x14ac:dyDescent="0.25">
      <c r="A967" s="5"/>
    </row>
    <row r="968" spans="1:1" customFormat="1" x14ac:dyDescent="0.25">
      <c r="A968" s="5"/>
    </row>
    <row r="969" spans="1:1" customFormat="1" x14ac:dyDescent="0.25">
      <c r="A969" s="5"/>
    </row>
    <row r="970" spans="1:1" customFormat="1" x14ac:dyDescent="0.25">
      <c r="A970" s="5"/>
    </row>
    <row r="971" spans="1:1" customFormat="1" x14ac:dyDescent="0.25">
      <c r="A971" s="5"/>
    </row>
    <row r="972" spans="1:1" customFormat="1" x14ac:dyDescent="0.25">
      <c r="A972" s="5"/>
    </row>
    <row r="973" spans="1:1" customFormat="1" x14ac:dyDescent="0.25">
      <c r="A973" s="5"/>
    </row>
    <row r="974" spans="1:1" customFormat="1" x14ac:dyDescent="0.25">
      <c r="A974" s="5"/>
    </row>
    <row r="975" spans="1:1" customFormat="1" x14ac:dyDescent="0.25">
      <c r="A975" s="5"/>
    </row>
    <row r="976" spans="1:1" customFormat="1" x14ac:dyDescent="0.25">
      <c r="A976" s="5"/>
    </row>
    <row r="977" spans="1:1" customFormat="1" x14ac:dyDescent="0.25">
      <c r="A977" s="5"/>
    </row>
    <row r="978" spans="1:1" customFormat="1" x14ac:dyDescent="0.25">
      <c r="A978" s="5"/>
    </row>
    <row r="979" spans="1:1" customFormat="1" x14ac:dyDescent="0.25">
      <c r="A979" s="5"/>
    </row>
    <row r="980" spans="1:1" customFormat="1" x14ac:dyDescent="0.25">
      <c r="A980" s="5"/>
    </row>
    <row r="981" spans="1:1" customFormat="1" x14ac:dyDescent="0.25">
      <c r="A981" s="5"/>
    </row>
    <row r="982" spans="1:1" customFormat="1" x14ac:dyDescent="0.25">
      <c r="A982" s="5"/>
    </row>
    <row r="983" spans="1:1" customFormat="1" x14ac:dyDescent="0.25">
      <c r="A983" s="5"/>
    </row>
    <row r="984" spans="1:1" customFormat="1" x14ac:dyDescent="0.25">
      <c r="A984" s="5"/>
    </row>
    <row r="985" spans="1:1" customFormat="1" x14ac:dyDescent="0.25">
      <c r="A985" s="5"/>
    </row>
    <row r="986" spans="1:1" customFormat="1" x14ac:dyDescent="0.25">
      <c r="A986" s="5"/>
    </row>
    <row r="987" spans="1:1" customFormat="1" x14ac:dyDescent="0.25">
      <c r="A987" s="5"/>
    </row>
    <row r="988" spans="1:1" customFormat="1" x14ac:dyDescent="0.25">
      <c r="A988" s="5"/>
    </row>
    <row r="989" spans="1:1" customFormat="1" x14ac:dyDescent="0.25">
      <c r="A989" s="5"/>
    </row>
    <row r="990" spans="1:1" customFormat="1" x14ac:dyDescent="0.25">
      <c r="A990" s="5"/>
    </row>
    <row r="991" spans="1:1" customFormat="1" x14ac:dyDescent="0.25">
      <c r="A991" s="5"/>
    </row>
    <row r="992" spans="1:1" customFormat="1" x14ac:dyDescent="0.25">
      <c r="A992" s="5"/>
    </row>
    <row r="993" spans="1:1" customFormat="1" x14ac:dyDescent="0.25">
      <c r="A993" s="5"/>
    </row>
    <row r="994" spans="1:1" customFormat="1" x14ac:dyDescent="0.25">
      <c r="A994" s="5"/>
    </row>
    <row r="995" spans="1:1" customFormat="1" x14ac:dyDescent="0.25">
      <c r="A995" s="5"/>
    </row>
    <row r="996" spans="1:1" customFormat="1" x14ac:dyDescent="0.25">
      <c r="A996" s="5"/>
    </row>
    <row r="997" spans="1:1" customFormat="1" x14ac:dyDescent="0.25">
      <c r="A997" s="5"/>
    </row>
    <row r="998" spans="1:1" customFormat="1" x14ac:dyDescent="0.25">
      <c r="A998" s="5"/>
    </row>
    <row r="999" spans="1:1" customFormat="1" x14ac:dyDescent="0.25">
      <c r="A999" s="5"/>
    </row>
    <row r="1000" spans="1:1" customFormat="1" x14ac:dyDescent="0.25">
      <c r="A1000" s="5"/>
    </row>
    <row r="1001" spans="1:1" customFormat="1" x14ac:dyDescent="0.25">
      <c r="A1001" s="5"/>
    </row>
    <row r="1002" spans="1:1" customFormat="1" x14ac:dyDescent="0.25">
      <c r="A1002" s="5"/>
    </row>
    <row r="1003" spans="1:1" customFormat="1" x14ac:dyDescent="0.25">
      <c r="A1003" s="5"/>
    </row>
    <row r="1004" spans="1:1" customFormat="1" x14ac:dyDescent="0.25">
      <c r="A1004" s="5"/>
    </row>
    <row r="1005" spans="1:1" customFormat="1" x14ac:dyDescent="0.25">
      <c r="A1005" s="5"/>
    </row>
    <row r="1006" spans="1:1" customFormat="1" x14ac:dyDescent="0.25">
      <c r="A1006" s="5"/>
    </row>
    <row r="1007" spans="1:1" customFormat="1" x14ac:dyDescent="0.25">
      <c r="A1007" s="5"/>
    </row>
    <row r="1008" spans="1:1" customFormat="1" x14ac:dyDescent="0.25">
      <c r="A1008" s="5"/>
    </row>
    <row r="1009" spans="1:1" customFormat="1" x14ac:dyDescent="0.25">
      <c r="A1009" s="5"/>
    </row>
    <row r="1010" spans="1:1" customFormat="1" x14ac:dyDescent="0.25">
      <c r="A1010" s="5"/>
    </row>
    <row r="1011" spans="1:1" customFormat="1" x14ac:dyDescent="0.25">
      <c r="A1011" s="5"/>
    </row>
    <row r="1012" spans="1:1" customFormat="1" x14ac:dyDescent="0.25">
      <c r="A1012" s="5"/>
    </row>
    <row r="1013" spans="1:1" customFormat="1" x14ac:dyDescent="0.25">
      <c r="A1013" s="5"/>
    </row>
    <row r="1014" spans="1:1" customFormat="1" x14ac:dyDescent="0.25">
      <c r="A1014" s="5"/>
    </row>
    <row r="1015" spans="1:1" customFormat="1" x14ac:dyDescent="0.25">
      <c r="A1015" s="5"/>
    </row>
    <row r="1016" spans="1:1" customFormat="1" x14ac:dyDescent="0.25">
      <c r="A1016" s="5"/>
    </row>
    <row r="1017" spans="1:1" customFormat="1" x14ac:dyDescent="0.25">
      <c r="A1017" s="5"/>
    </row>
    <row r="1018" spans="1:1" customFormat="1" x14ac:dyDescent="0.25">
      <c r="A1018" s="5"/>
    </row>
    <row r="1019" spans="1:1" customFormat="1" x14ac:dyDescent="0.25">
      <c r="A1019" s="5"/>
    </row>
    <row r="1020" spans="1:1" customFormat="1" x14ac:dyDescent="0.25">
      <c r="A1020" s="5"/>
    </row>
    <row r="1021" spans="1:1" customFormat="1" x14ac:dyDescent="0.25">
      <c r="A1021" s="5"/>
    </row>
    <row r="1022" spans="1:1" customFormat="1" x14ac:dyDescent="0.25">
      <c r="A1022" s="5"/>
    </row>
    <row r="1023" spans="1:1" customFormat="1" x14ac:dyDescent="0.25">
      <c r="A1023" s="5"/>
    </row>
    <row r="1024" spans="1:1" customFormat="1" x14ac:dyDescent="0.25">
      <c r="A1024" s="5"/>
    </row>
    <row r="1025" spans="1:1" customFormat="1" x14ac:dyDescent="0.25">
      <c r="A1025" s="5"/>
    </row>
    <row r="1026" spans="1:1" customFormat="1" x14ac:dyDescent="0.25">
      <c r="A1026" s="5"/>
    </row>
    <row r="1027" spans="1:1" customFormat="1" x14ac:dyDescent="0.25">
      <c r="A1027" s="5"/>
    </row>
    <row r="1028" spans="1:1" customFormat="1" x14ac:dyDescent="0.25">
      <c r="A1028" s="5"/>
    </row>
    <row r="1029" spans="1:1" customFormat="1" x14ac:dyDescent="0.25">
      <c r="A1029" s="5"/>
    </row>
    <row r="1030" spans="1:1" customFormat="1" x14ac:dyDescent="0.25">
      <c r="A1030" s="5"/>
    </row>
    <row r="1031" spans="1:1" customFormat="1" x14ac:dyDescent="0.25">
      <c r="A1031" s="5"/>
    </row>
    <row r="1032" spans="1:1" customFormat="1" x14ac:dyDescent="0.25">
      <c r="A1032" s="5"/>
    </row>
    <row r="1033" spans="1:1" customFormat="1" x14ac:dyDescent="0.25">
      <c r="A1033" s="5"/>
    </row>
    <row r="1034" spans="1:1" customFormat="1" x14ac:dyDescent="0.25">
      <c r="A1034" s="5"/>
    </row>
    <row r="1035" spans="1:1" customFormat="1" x14ac:dyDescent="0.25">
      <c r="A1035" s="5"/>
    </row>
    <row r="1036" spans="1:1" customFormat="1" x14ac:dyDescent="0.25">
      <c r="A1036" s="5"/>
    </row>
    <row r="1037" spans="1:1" customFormat="1" x14ac:dyDescent="0.25">
      <c r="A1037" s="5"/>
    </row>
    <row r="1038" spans="1:1" customFormat="1" x14ac:dyDescent="0.25">
      <c r="A1038" s="5"/>
    </row>
    <row r="1039" spans="1:1" customFormat="1" x14ac:dyDescent="0.25">
      <c r="A1039" s="5"/>
    </row>
    <row r="1040" spans="1:1" customFormat="1" x14ac:dyDescent="0.25">
      <c r="A1040" s="5"/>
    </row>
    <row r="1041" spans="1:1" customFormat="1" x14ac:dyDescent="0.25">
      <c r="A1041" s="5"/>
    </row>
    <row r="1042" spans="1:1" customFormat="1" x14ac:dyDescent="0.25">
      <c r="A1042" s="5"/>
    </row>
    <row r="1043" spans="1:1" customFormat="1" x14ac:dyDescent="0.25">
      <c r="A1043" s="5"/>
    </row>
    <row r="1044" spans="1:1" customFormat="1" x14ac:dyDescent="0.25">
      <c r="A1044" s="5"/>
    </row>
    <row r="1045" spans="1:1" customFormat="1" x14ac:dyDescent="0.25">
      <c r="A1045" s="5"/>
    </row>
    <row r="1046" spans="1:1" customFormat="1" x14ac:dyDescent="0.25">
      <c r="A1046" s="5"/>
    </row>
    <row r="1047" spans="1:1" customFormat="1" x14ac:dyDescent="0.25">
      <c r="A1047" s="5"/>
    </row>
    <row r="1048" spans="1:1" customFormat="1" x14ac:dyDescent="0.25">
      <c r="A1048" s="5"/>
    </row>
    <row r="1049" spans="1:1" customFormat="1" x14ac:dyDescent="0.25">
      <c r="A1049" s="5"/>
    </row>
    <row r="1050" spans="1:1" customFormat="1" x14ac:dyDescent="0.25">
      <c r="A1050" s="5"/>
    </row>
    <row r="1051" spans="1:1" customFormat="1" x14ac:dyDescent="0.25">
      <c r="A1051" s="5"/>
    </row>
    <row r="1052" spans="1:1" customFormat="1" x14ac:dyDescent="0.25">
      <c r="A1052" s="5"/>
    </row>
    <row r="1053" spans="1:1" customFormat="1" x14ac:dyDescent="0.25">
      <c r="A1053" s="5"/>
    </row>
    <row r="1054" spans="1:1" customFormat="1" x14ac:dyDescent="0.25">
      <c r="A1054" s="5"/>
    </row>
    <row r="1055" spans="1:1" customFormat="1" x14ac:dyDescent="0.25">
      <c r="A1055" s="5"/>
    </row>
    <row r="1056" spans="1:1" customFormat="1" x14ac:dyDescent="0.25">
      <c r="A1056" s="5"/>
    </row>
    <row r="1057" spans="1:1" customFormat="1" x14ac:dyDescent="0.25">
      <c r="A1057" s="5"/>
    </row>
    <row r="1058" spans="1:1" customFormat="1" x14ac:dyDescent="0.25">
      <c r="A1058" s="5"/>
    </row>
    <row r="1059" spans="1:1" customFormat="1" x14ac:dyDescent="0.25">
      <c r="A1059" s="5"/>
    </row>
    <row r="1060" spans="1:1" customFormat="1" x14ac:dyDescent="0.25">
      <c r="A1060" s="5"/>
    </row>
    <row r="1061" spans="1:1" customFormat="1" x14ac:dyDescent="0.25">
      <c r="A1061" s="5"/>
    </row>
    <row r="1062" spans="1:1" customFormat="1" x14ac:dyDescent="0.25">
      <c r="A1062" s="5"/>
    </row>
    <row r="1063" spans="1:1" customFormat="1" x14ac:dyDescent="0.25">
      <c r="A1063" s="5"/>
    </row>
    <row r="1064" spans="1:1" customFormat="1" x14ac:dyDescent="0.25">
      <c r="A1064" s="5"/>
    </row>
    <row r="1065" spans="1:1" customFormat="1" x14ac:dyDescent="0.25">
      <c r="A1065" s="5"/>
    </row>
    <row r="1066" spans="1:1" customFormat="1" x14ac:dyDescent="0.25">
      <c r="A1066" s="5"/>
    </row>
    <row r="1067" spans="1:1" customFormat="1" x14ac:dyDescent="0.25">
      <c r="A1067" s="5"/>
    </row>
    <row r="1068" spans="1:1" customFormat="1" x14ac:dyDescent="0.25">
      <c r="A1068" s="5"/>
    </row>
    <row r="1069" spans="1:1" customFormat="1" x14ac:dyDescent="0.25">
      <c r="A1069" s="5"/>
    </row>
    <row r="1070" spans="1:1" customFormat="1" x14ac:dyDescent="0.25">
      <c r="A1070" s="5"/>
    </row>
    <row r="1071" spans="1:1" customFormat="1" x14ac:dyDescent="0.25">
      <c r="A1071" s="5"/>
    </row>
    <row r="1072" spans="1:1" customFormat="1" x14ac:dyDescent="0.25">
      <c r="A1072" s="5"/>
    </row>
    <row r="1073" spans="1:1" customFormat="1" x14ac:dyDescent="0.25">
      <c r="A1073" s="5"/>
    </row>
    <row r="1074" spans="1:1" customFormat="1" x14ac:dyDescent="0.25">
      <c r="A1074" s="5"/>
    </row>
    <row r="1075" spans="1:1" customFormat="1" x14ac:dyDescent="0.25">
      <c r="A1075" s="5"/>
    </row>
    <row r="1076" spans="1:1" customFormat="1" x14ac:dyDescent="0.25">
      <c r="A1076" s="5"/>
    </row>
    <row r="1077" spans="1:1" customFormat="1" x14ac:dyDescent="0.25">
      <c r="A1077" s="5"/>
    </row>
    <row r="1078" spans="1:1" customFormat="1" x14ac:dyDescent="0.25">
      <c r="A1078" s="5"/>
    </row>
    <row r="1079" spans="1:1" customFormat="1" x14ac:dyDescent="0.25">
      <c r="A1079" s="5"/>
    </row>
    <row r="1080" spans="1:1" customFormat="1" x14ac:dyDescent="0.25">
      <c r="A1080" s="5"/>
    </row>
    <row r="1081" spans="1:1" customFormat="1" x14ac:dyDescent="0.25">
      <c r="A1081" s="5"/>
    </row>
    <row r="1082" spans="1:1" customFormat="1" x14ac:dyDescent="0.25">
      <c r="A1082" s="5"/>
    </row>
    <row r="1083" spans="1:1" customFormat="1" x14ac:dyDescent="0.25">
      <c r="A1083" s="5"/>
    </row>
    <row r="1084" spans="1:1" customFormat="1" x14ac:dyDescent="0.25">
      <c r="A1084" s="5"/>
    </row>
    <row r="1085" spans="1:1" customFormat="1" x14ac:dyDescent="0.25">
      <c r="A1085" s="5"/>
    </row>
    <row r="1086" spans="1:1" customFormat="1" x14ac:dyDescent="0.25">
      <c r="A1086" s="5"/>
    </row>
    <row r="1087" spans="1:1" customFormat="1" x14ac:dyDescent="0.25">
      <c r="A1087" s="5"/>
    </row>
    <row r="1088" spans="1:1" customFormat="1" x14ac:dyDescent="0.25">
      <c r="A1088" s="5"/>
    </row>
    <row r="1089" spans="1:1" customFormat="1" x14ac:dyDescent="0.25">
      <c r="A1089" s="5"/>
    </row>
    <row r="1090" spans="1:1" customFormat="1" x14ac:dyDescent="0.25">
      <c r="A1090" s="5"/>
    </row>
    <row r="1091" spans="1:1" customFormat="1" x14ac:dyDescent="0.25">
      <c r="A1091" s="5"/>
    </row>
    <row r="1092" spans="1:1" customFormat="1" x14ac:dyDescent="0.25">
      <c r="A1092" s="5"/>
    </row>
    <row r="1093" spans="1:1" customFormat="1" x14ac:dyDescent="0.25">
      <c r="A1093" s="5"/>
    </row>
    <row r="1094" spans="1:1" customFormat="1" x14ac:dyDescent="0.25">
      <c r="A1094" s="5"/>
    </row>
    <row r="1095" spans="1:1" customFormat="1" x14ac:dyDescent="0.25">
      <c r="A1095" s="5"/>
    </row>
    <row r="1096" spans="1:1" customFormat="1" x14ac:dyDescent="0.25">
      <c r="A1096" s="5"/>
    </row>
    <row r="1097" spans="1:1" customFormat="1" x14ac:dyDescent="0.25">
      <c r="A1097" s="5"/>
    </row>
    <row r="1098" spans="1:1" customFormat="1" x14ac:dyDescent="0.25">
      <c r="A1098" s="5"/>
    </row>
    <row r="1099" spans="1:1" customFormat="1" x14ac:dyDescent="0.25">
      <c r="A1099" s="5"/>
    </row>
    <row r="1100" spans="1:1" customFormat="1" x14ac:dyDescent="0.25">
      <c r="A1100" s="5"/>
    </row>
    <row r="1101" spans="1:1" customFormat="1" x14ac:dyDescent="0.25">
      <c r="A1101" s="5"/>
    </row>
    <row r="1102" spans="1:1" customFormat="1" x14ac:dyDescent="0.25">
      <c r="A1102" s="5"/>
    </row>
    <row r="1103" spans="1:1" customFormat="1" x14ac:dyDescent="0.25">
      <c r="A1103" s="5"/>
    </row>
    <row r="1104" spans="1:1" customFormat="1" x14ac:dyDescent="0.25">
      <c r="A1104" s="5"/>
    </row>
    <row r="1105" spans="1:1" customFormat="1" x14ac:dyDescent="0.25">
      <c r="A1105" s="5"/>
    </row>
    <row r="1106" spans="1:1" customFormat="1" x14ac:dyDescent="0.25">
      <c r="A1106" s="5"/>
    </row>
    <row r="1107" spans="1:1" customFormat="1" x14ac:dyDescent="0.25">
      <c r="A1107" s="5"/>
    </row>
    <row r="1108" spans="1:1" customFormat="1" x14ac:dyDescent="0.25">
      <c r="A1108" s="5"/>
    </row>
    <row r="1109" spans="1:1" customFormat="1" x14ac:dyDescent="0.25">
      <c r="A1109" s="5"/>
    </row>
    <row r="1110" spans="1:1" customFormat="1" x14ac:dyDescent="0.25">
      <c r="A1110" s="5"/>
    </row>
    <row r="1111" spans="1:1" customFormat="1" x14ac:dyDescent="0.25">
      <c r="A1111" s="5"/>
    </row>
    <row r="1112" spans="1:1" customFormat="1" x14ac:dyDescent="0.25">
      <c r="A1112" s="5"/>
    </row>
    <row r="1113" spans="1:1" customFormat="1" x14ac:dyDescent="0.25">
      <c r="A1113" s="5"/>
    </row>
    <row r="1114" spans="1:1" customFormat="1" x14ac:dyDescent="0.25">
      <c r="A1114" s="5"/>
    </row>
    <row r="1115" spans="1:1" customFormat="1" x14ac:dyDescent="0.25">
      <c r="A1115" s="5"/>
    </row>
    <row r="1116" spans="1:1" customFormat="1" x14ac:dyDescent="0.25">
      <c r="A1116" s="5"/>
    </row>
    <row r="1117" spans="1:1" customFormat="1" x14ac:dyDescent="0.25">
      <c r="A1117" s="5"/>
    </row>
    <row r="1118" spans="1:1" customFormat="1" x14ac:dyDescent="0.25">
      <c r="A1118" s="5"/>
    </row>
    <row r="1119" spans="1:1" customFormat="1" x14ac:dyDescent="0.25">
      <c r="A1119" s="5"/>
    </row>
    <row r="1120" spans="1:1" customFormat="1" x14ac:dyDescent="0.25">
      <c r="A1120" s="5"/>
    </row>
    <row r="1121" spans="1:1" customFormat="1" x14ac:dyDescent="0.25">
      <c r="A1121" s="5"/>
    </row>
    <row r="1122" spans="1:1" customFormat="1" x14ac:dyDescent="0.25">
      <c r="A1122" s="5"/>
    </row>
    <row r="1123" spans="1:1" customFormat="1" x14ac:dyDescent="0.25">
      <c r="A1123" s="5"/>
    </row>
    <row r="1124" spans="1:1" customFormat="1" x14ac:dyDescent="0.25">
      <c r="A1124" s="5"/>
    </row>
    <row r="1125" spans="1:1" customFormat="1" x14ac:dyDescent="0.25">
      <c r="A1125" s="5"/>
    </row>
    <row r="1126" spans="1:1" customFormat="1" x14ac:dyDescent="0.25">
      <c r="A1126" s="5"/>
    </row>
    <row r="1127" spans="1:1" customFormat="1" x14ac:dyDescent="0.25">
      <c r="A1127" s="5"/>
    </row>
    <row r="1128" spans="1:1" customFormat="1" x14ac:dyDescent="0.25">
      <c r="A1128" s="5"/>
    </row>
    <row r="1129" spans="1:1" customFormat="1" x14ac:dyDescent="0.25">
      <c r="A1129" s="5"/>
    </row>
    <row r="1130" spans="1:1" customFormat="1" x14ac:dyDescent="0.25">
      <c r="A1130" s="5"/>
    </row>
    <row r="1131" spans="1:1" customFormat="1" x14ac:dyDescent="0.25">
      <c r="A1131" s="5"/>
    </row>
    <row r="1132" spans="1:1" customFormat="1" x14ac:dyDescent="0.25">
      <c r="A1132" s="5"/>
    </row>
    <row r="1133" spans="1:1" customFormat="1" x14ac:dyDescent="0.25">
      <c r="A1133" s="5"/>
    </row>
    <row r="1134" spans="1:1" customFormat="1" x14ac:dyDescent="0.25">
      <c r="A1134" s="5"/>
    </row>
    <row r="1135" spans="1:1" customFormat="1" x14ac:dyDescent="0.25">
      <c r="A1135" s="5"/>
    </row>
    <row r="1136" spans="1:1" customFormat="1" x14ac:dyDescent="0.25">
      <c r="A1136" s="5"/>
    </row>
    <row r="1137" spans="1:1" customFormat="1" x14ac:dyDescent="0.25">
      <c r="A1137" s="5"/>
    </row>
    <row r="1138" spans="1:1" customFormat="1" x14ac:dyDescent="0.25">
      <c r="A1138" s="5"/>
    </row>
    <row r="1139" spans="1:1" customFormat="1" x14ac:dyDescent="0.25">
      <c r="A1139" s="5"/>
    </row>
    <row r="1140" spans="1:1" customFormat="1" x14ac:dyDescent="0.25">
      <c r="A1140" s="5"/>
    </row>
    <row r="1141" spans="1:1" customFormat="1" x14ac:dyDescent="0.25">
      <c r="A1141" s="5"/>
    </row>
    <row r="1142" spans="1:1" customFormat="1" x14ac:dyDescent="0.25">
      <c r="A1142" s="5"/>
    </row>
    <row r="1143" spans="1:1" customFormat="1" x14ac:dyDescent="0.25">
      <c r="A1143" s="5"/>
    </row>
    <row r="1144" spans="1:1" customFormat="1" x14ac:dyDescent="0.25">
      <c r="A1144" s="5"/>
    </row>
    <row r="1145" spans="1:1" customFormat="1" x14ac:dyDescent="0.25">
      <c r="A1145" s="5"/>
    </row>
    <row r="1146" spans="1:1" customFormat="1" x14ac:dyDescent="0.25">
      <c r="A1146" s="5"/>
    </row>
    <row r="1147" spans="1:1" customFormat="1" x14ac:dyDescent="0.25">
      <c r="A1147" s="5"/>
    </row>
    <row r="1148" spans="1:1" customFormat="1" x14ac:dyDescent="0.25">
      <c r="A1148" s="5"/>
    </row>
    <row r="1149" spans="1:1" customFormat="1" x14ac:dyDescent="0.25">
      <c r="A1149" s="5"/>
    </row>
    <row r="1150" spans="1:1" customFormat="1" x14ac:dyDescent="0.25">
      <c r="A1150" s="5"/>
    </row>
    <row r="1151" spans="1:1" customFormat="1" x14ac:dyDescent="0.25">
      <c r="A1151" s="5"/>
    </row>
    <row r="1152" spans="1:1" customFormat="1" x14ac:dyDescent="0.25">
      <c r="A1152" s="5"/>
    </row>
    <row r="1153" spans="1:1" customFormat="1" x14ac:dyDescent="0.25">
      <c r="A1153" s="5"/>
    </row>
    <row r="1154" spans="1:1" customFormat="1" x14ac:dyDescent="0.25">
      <c r="A1154" s="5"/>
    </row>
    <row r="1155" spans="1:1" customFormat="1" x14ac:dyDescent="0.25">
      <c r="A1155" s="5"/>
    </row>
    <row r="1156" spans="1:1" customFormat="1" x14ac:dyDescent="0.25">
      <c r="A1156" s="5"/>
    </row>
    <row r="1157" spans="1:1" customFormat="1" x14ac:dyDescent="0.25">
      <c r="A1157" s="5"/>
    </row>
    <row r="1158" spans="1:1" customFormat="1" x14ac:dyDescent="0.25">
      <c r="A1158" s="5"/>
    </row>
    <row r="1159" spans="1:1" customFormat="1" x14ac:dyDescent="0.25">
      <c r="A1159" s="5"/>
    </row>
    <row r="1160" spans="1:1" customFormat="1" x14ac:dyDescent="0.25">
      <c r="A1160" s="5"/>
    </row>
    <row r="1161" spans="1:1" customFormat="1" x14ac:dyDescent="0.25">
      <c r="A1161" s="5"/>
    </row>
    <row r="1162" spans="1:1" customFormat="1" x14ac:dyDescent="0.25">
      <c r="A1162" s="5"/>
    </row>
    <row r="1163" spans="1:1" customFormat="1" x14ac:dyDescent="0.25">
      <c r="A1163" s="5"/>
    </row>
    <row r="1164" spans="1:1" customFormat="1" x14ac:dyDescent="0.25">
      <c r="A1164" s="5"/>
    </row>
    <row r="1165" spans="1:1" customFormat="1" x14ac:dyDescent="0.25">
      <c r="A1165" s="5"/>
    </row>
    <row r="1166" spans="1:1" customFormat="1" x14ac:dyDescent="0.25">
      <c r="A1166" s="5"/>
    </row>
    <row r="1167" spans="1:1" customFormat="1" x14ac:dyDescent="0.25">
      <c r="A1167" s="5"/>
    </row>
    <row r="1168" spans="1:1" customFormat="1" x14ac:dyDescent="0.25">
      <c r="A1168" s="5"/>
    </row>
    <row r="1169" spans="1:1" customFormat="1" x14ac:dyDescent="0.25">
      <c r="A1169" s="5"/>
    </row>
    <row r="1170" spans="1:1" customFormat="1" x14ac:dyDescent="0.25">
      <c r="A1170" s="5"/>
    </row>
    <row r="1171" spans="1:1" customFormat="1" x14ac:dyDescent="0.25">
      <c r="A1171" s="5"/>
    </row>
    <row r="1172" spans="1:1" customFormat="1" x14ac:dyDescent="0.25">
      <c r="A1172" s="5"/>
    </row>
    <row r="1173" spans="1:1" customFormat="1" x14ac:dyDescent="0.25">
      <c r="A1173" s="5"/>
    </row>
    <row r="1174" spans="1:1" customFormat="1" x14ac:dyDescent="0.25">
      <c r="A1174" s="5"/>
    </row>
    <row r="1175" spans="1:1" customFormat="1" x14ac:dyDescent="0.25">
      <c r="A1175" s="5"/>
    </row>
    <row r="1176" spans="1:1" customFormat="1" x14ac:dyDescent="0.25">
      <c r="A1176" s="5"/>
    </row>
    <row r="1177" spans="1:1" customFormat="1" x14ac:dyDescent="0.25">
      <c r="A1177" s="5"/>
    </row>
    <row r="1178" spans="1:1" customFormat="1" x14ac:dyDescent="0.25">
      <c r="A1178" s="5"/>
    </row>
    <row r="1179" spans="1:1" customFormat="1" x14ac:dyDescent="0.25">
      <c r="A1179" s="5"/>
    </row>
    <row r="1180" spans="1:1" customFormat="1" x14ac:dyDescent="0.25">
      <c r="A1180" s="5"/>
    </row>
    <row r="1181" spans="1:1" customFormat="1" x14ac:dyDescent="0.25">
      <c r="A1181" s="5"/>
    </row>
    <row r="1182" spans="1:1" customFormat="1" x14ac:dyDescent="0.25">
      <c r="A1182" s="5"/>
    </row>
    <row r="1183" spans="1:1" customFormat="1" x14ac:dyDescent="0.25">
      <c r="A1183" s="5"/>
    </row>
    <row r="1184" spans="1:1" customFormat="1" x14ac:dyDescent="0.25">
      <c r="A1184" s="5"/>
    </row>
    <row r="1185" spans="1:1" customFormat="1" x14ac:dyDescent="0.25">
      <c r="A1185" s="5"/>
    </row>
    <row r="1186" spans="1:1" customFormat="1" x14ac:dyDescent="0.25">
      <c r="A1186" s="5"/>
    </row>
    <row r="1187" spans="1:1" customFormat="1" x14ac:dyDescent="0.25">
      <c r="A1187" s="5"/>
    </row>
    <row r="1188" spans="1:1" customFormat="1" x14ac:dyDescent="0.25">
      <c r="A1188" s="5"/>
    </row>
    <row r="1189" spans="1:1" customFormat="1" x14ac:dyDescent="0.25">
      <c r="A1189" s="5"/>
    </row>
    <row r="1190" spans="1:1" customFormat="1" x14ac:dyDescent="0.25">
      <c r="A1190" s="5"/>
    </row>
    <row r="1191" spans="1:1" customFormat="1" x14ac:dyDescent="0.25">
      <c r="A1191" s="5"/>
    </row>
    <row r="1192" spans="1:1" customFormat="1" x14ac:dyDescent="0.25">
      <c r="A1192" s="5"/>
    </row>
    <row r="1193" spans="1:1" customFormat="1" x14ac:dyDescent="0.25">
      <c r="A1193" s="5"/>
    </row>
    <row r="1194" spans="1:1" customFormat="1" x14ac:dyDescent="0.25">
      <c r="A1194" s="5"/>
    </row>
    <row r="1195" spans="1:1" customFormat="1" x14ac:dyDescent="0.25">
      <c r="A1195" s="5"/>
    </row>
    <row r="1196" spans="1:1" customFormat="1" x14ac:dyDescent="0.25">
      <c r="A1196" s="5"/>
    </row>
    <row r="1197" spans="1:1" customFormat="1" x14ac:dyDescent="0.25">
      <c r="A1197" s="5"/>
    </row>
    <row r="1198" spans="1:1" customFormat="1" x14ac:dyDescent="0.25">
      <c r="A1198" s="5"/>
    </row>
    <row r="1199" spans="1:1" customFormat="1" x14ac:dyDescent="0.25">
      <c r="A1199" s="5"/>
    </row>
    <row r="1200" spans="1:1" customFormat="1" x14ac:dyDescent="0.25">
      <c r="A1200" s="5"/>
    </row>
    <row r="1201" spans="1:1" customFormat="1" x14ac:dyDescent="0.25">
      <c r="A1201" s="5"/>
    </row>
    <row r="1202" spans="1:1" customFormat="1" x14ac:dyDescent="0.25">
      <c r="A1202" s="5"/>
    </row>
    <row r="1203" spans="1:1" customFormat="1" x14ac:dyDescent="0.25">
      <c r="A1203" s="5"/>
    </row>
    <row r="1204" spans="1:1" customFormat="1" x14ac:dyDescent="0.25">
      <c r="A1204" s="5"/>
    </row>
    <row r="1205" spans="1:1" customFormat="1" x14ac:dyDescent="0.25">
      <c r="A1205" s="5"/>
    </row>
    <row r="1206" spans="1:1" customFormat="1" x14ac:dyDescent="0.25">
      <c r="A1206" s="5"/>
    </row>
    <row r="1207" spans="1:1" customFormat="1" x14ac:dyDescent="0.25">
      <c r="A1207" s="5"/>
    </row>
    <row r="1208" spans="1:1" customFormat="1" x14ac:dyDescent="0.25">
      <c r="A1208" s="5"/>
    </row>
    <row r="1209" spans="1:1" customFormat="1" x14ac:dyDescent="0.25">
      <c r="A1209" s="5"/>
    </row>
    <row r="1210" spans="1:1" customFormat="1" x14ac:dyDescent="0.25">
      <c r="A1210" s="5"/>
    </row>
    <row r="1211" spans="1:1" customFormat="1" x14ac:dyDescent="0.25">
      <c r="A1211" s="5"/>
    </row>
    <row r="1212" spans="1:1" customFormat="1" x14ac:dyDescent="0.25">
      <c r="A1212" s="5"/>
    </row>
    <row r="1213" spans="1:1" customFormat="1" x14ac:dyDescent="0.25">
      <c r="A1213" s="5"/>
    </row>
    <row r="1214" spans="1:1" customFormat="1" x14ac:dyDescent="0.25">
      <c r="A1214" s="5"/>
    </row>
    <row r="1215" spans="1:1" customFormat="1" x14ac:dyDescent="0.25">
      <c r="A1215" s="5"/>
    </row>
    <row r="1216" spans="1:1" customFormat="1" x14ac:dyDescent="0.25">
      <c r="A1216" s="5"/>
    </row>
    <row r="1217" spans="1:1" customFormat="1" x14ac:dyDescent="0.25">
      <c r="A1217" s="5"/>
    </row>
    <row r="1218" spans="1:1" customFormat="1" x14ac:dyDescent="0.25">
      <c r="A1218" s="5"/>
    </row>
    <row r="1219" spans="1:1" customFormat="1" x14ac:dyDescent="0.25">
      <c r="A1219" s="5"/>
    </row>
    <row r="1220" spans="1:1" customFormat="1" x14ac:dyDescent="0.25">
      <c r="A1220" s="5"/>
    </row>
    <row r="1221" spans="1:1" customFormat="1" x14ac:dyDescent="0.25">
      <c r="A1221" s="5"/>
    </row>
    <row r="1222" spans="1:1" customFormat="1" x14ac:dyDescent="0.25">
      <c r="A1222" s="5"/>
    </row>
    <row r="1223" spans="1:1" customFormat="1" x14ac:dyDescent="0.25">
      <c r="A1223" s="5"/>
    </row>
    <row r="1224" spans="1:1" customFormat="1" x14ac:dyDescent="0.25">
      <c r="A1224" s="5"/>
    </row>
    <row r="1225" spans="1:1" customFormat="1" x14ac:dyDescent="0.25">
      <c r="A1225" s="5"/>
    </row>
    <row r="1226" spans="1:1" customFormat="1" x14ac:dyDescent="0.25">
      <c r="A1226" s="5"/>
    </row>
    <row r="1227" spans="1:1" customFormat="1" x14ac:dyDescent="0.25">
      <c r="A1227" s="5"/>
    </row>
    <row r="1228" spans="1:1" customFormat="1" x14ac:dyDescent="0.25">
      <c r="A1228" s="5"/>
    </row>
    <row r="1229" spans="1:1" customFormat="1" x14ac:dyDescent="0.25">
      <c r="A1229" s="5"/>
    </row>
    <row r="1230" spans="1:1" customFormat="1" x14ac:dyDescent="0.25">
      <c r="A1230" s="5"/>
    </row>
    <row r="1231" spans="1:1" customFormat="1" x14ac:dyDescent="0.25">
      <c r="A1231" s="5"/>
    </row>
    <row r="1232" spans="1:1" customFormat="1" x14ac:dyDescent="0.25">
      <c r="A1232" s="5"/>
    </row>
    <row r="1233" spans="1:1" customFormat="1" x14ac:dyDescent="0.25">
      <c r="A1233" s="5"/>
    </row>
    <row r="1234" spans="1:1" customFormat="1" x14ac:dyDescent="0.25">
      <c r="A1234" s="5"/>
    </row>
    <row r="1235" spans="1:1" customFormat="1" x14ac:dyDescent="0.25">
      <c r="A1235" s="5"/>
    </row>
    <row r="1236" spans="1:1" customFormat="1" x14ac:dyDescent="0.25">
      <c r="A1236" s="5"/>
    </row>
    <row r="1237" spans="1:1" customFormat="1" x14ac:dyDescent="0.25">
      <c r="A1237" s="5"/>
    </row>
    <row r="1238" spans="1:1" customFormat="1" x14ac:dyDescent="0.25">
      <c r="A1238" s="5"/>
    </row>
    <row r="1239" spans="1:1" customFormat="1" x14ac:dyDescent="0.25">
      <c r="A1239" s="5"/>
    </row>
    <row r="1240" spans="1:1" customFormat="1" x14ac:dyDescent="0.25">
      <c r="A1240" s="5"/>
    </row>
    <row r="1241" spans="1:1" customFormat="1" x14ac:dyDescent="0.25">
      <c r="A1241" s="5"/>
    </row>
    <row r="1242" spans="1:1" customFormat="1" x14ac:dyDescent="0.25">
      <c r="A1242" s="5"/>
    </row>
    <row r="1243" spans="1:1" customFormat="1" x14ac:dyDescent="0.25">
      <c r="A1243" s="5"/>
    </row>
    <row r="1244" spans="1:1" customFormat="1" x14ac:dyDescent="0.25">
      <c r="A1244" s="5"/>
    </row>
    <row r="1245" spans="1:1" customFormat="1" x14ac:dyDescent="0.25">
      <c r="A1245" s="5"/>
    </row>
    <row r="1246" spans="1:1" customFormat="1" x14ac:dyDescent="0.25">
      <c r="A1246" s="5"/>
    </row>
    <row r="1247" spans="1:1" customFormat="1" x14ac:dyDescent="0.25">
      <c r="A1247" s="5"/>
    </row>
    <row r="1248" spans="1:1" customFormat="1" x14ac:dyDescent="0.25">
      <c r="A1248" s="5"/>
    </row>
    <row r="1249" spans="1:1" customFormat="1" x14ac:dyDescent="0.25">
      <c r="A1249" s="5"/>
    </row>
    <row r="1250" spans="1:1" customFormat="1" x14ac:dyDescent="0.25">
      <c r="A1250" s="5"/>
    </row>
    <row r="1251" spans="1:1" customFormat="1" x14ac:dyDescent="0.25">
      <c r="A1251" s="5"/>
    </row>
    <row r="1252" spans="1:1" customFormat="1" x14ac:dyDescent="0.25">
      <c r="A1252" s="5"/>
    </row>
    <row r="1253" spans="1:1" customFormat="1" x14ac:dyDescent="0.25">
      <c r="A1253" s="5"/>
    </row>
    <row r="1254" spans="1:1" customFormat="1" x14ac:dyDescent="0.25">
      <c r="A1254" s="5"/>
    </row>
    <row r="1255" spans="1:1" customFormat="1" x14ac:dyDescent="0.25">
      <c r="A1255" s="5"/>
    </row>
    <row r="1256" spans="1:1" customFormat="1" x14ac:dyDescent="0.25">
      <c r="A1256" s="5"/>
    </row>
    <row r="1257" spans="1:1" customFormat="1" x14ac:dyDescent="0.25">
      <c r="A1257" s="5"/>
    </row>
    <row r="1258" spans="1:1" customFormat="1" x14ac:dyDescent="0.25">
      <c r="A1258" s="5"/>
    </row>
    <row r="1259" spans="1:1" customFormat="1" x14ac:dyDescent="0.25">
      <c r="A1259" s="5"/>
    </row>
    <row r="1260" spans="1:1" customFormat="1" x14ac:dyDescent="0.25">
      <c r="A1260" s="5"/>
    </row>
    <row r="1261" spans="1:1" customFormat="1" x14ac:dyDescent="0.25">
      <c r="A1261" s="5"/>
    </row>
    <row r="1262" spans="1:1" customFormat="1" x14ac:dyDescent="0.25">
      <c r="A1262" s="5"/>
    </row>
    <row r="1263" spans="1:1" customFormat="1" x14ac:dyDescent="0.25">
      <c r="A1263" s="5"/>
    </row>
    <row r="1264" spans="1:1" customFormat="1" x14ac:dyDescent="0.25">
      <c r="A1264" s="5"/>
    </row>
    <row r="1265" spans="1:1" customFormat="1" x14ac:dyDescent="0.25">
      <c r="A1265" s="5"/>
    </row>
    <row r="1266" spans="1:1" customFormat="1" x14ac:dyDescent="0.25">
      <c r="A1266" s="5"/>
    </row>
    <row r="1267" spans="1:1" customFormat="1" x14ac:dyDescent="0.25">
      <c r="A1267" s="5"/>
    </row>
    <row r="1268" spans="1:1" customFormat="1" x14ac:dyDescent="0.25">
      <c r="A1268" s="5"/>
    </row>
    <row r="1269" spans="1:1" customFormat="1" x14ac:dyDescent="0.25">
      <c r="A1269" s="5"/>
    </row>
    <row r="1270" spans="1:1" customFormat="1" x14ac:dyDescent="0.25">
      <c r="A1270" s="5"/>
    </row>
    <row r="1271" spans="1:1" customFormat="1" x14ac:dyDescent="0.25">
      <c r="A1271" s="5"/>
    </row>
    <row r="1272" spans="1:1" customFormat="1" x14ac:dyDescent="0.25">
      <c r="A1272" s="5"/>
    </row>
    <row r="1273" spans="1:1" customFormat="1" x14ac:dyDescent="0.25">
      <c r="A1273" s="5"/>
    </row>
    <row r="1274" spans="1:1" customFormat="1" x14ac:dyDescent="0.25">
      <c r="A1274" s="5"/>
    </row>
    <row r="1275" spans="1:1" customFormat="1" x14ac:dyDescent="0.25">
      <c r="A1275" s="5"/>
    </row>
    <row r="1276" spans="1:1" customFormat="1" x14ac:dyDescent="0.25">
      <c r="A1276" s="5"/>
    </row>
    <row r="1277" spans="1:1" customFormat="1" x14ac:dyDescent="0.25">
      <c r="A1277" s="5"/>
    </row>
    <row r="1278" spans="1:1" customFormat="1" x14ac:dyDescent="0.25">
      <c r="A1278" s="5"/>
    </row>
    <row r="1279" spans="1:1" customFormat="1" x14ac:dyDescent="0.25">
      <c r="A1279" s="5"/>
    </row>
    <row r="1280" spans="1:1" customFormat="1" x14ac:dyDescent="0.25">
      <c r="A1280" s="5"/>
    </row>
    <row r="1281" spans="1:1" customFormat="1" x14ac:dyDescent="0.25">
      <c r="A1281" s="5"/>
    </row>
    <row r="1282" spans="1:1" customFormat="1" x14ac:dyDescent="0.25">
      <c r="A1282" s="5"/>
    </row>
    <row r="1283" spans="1:1" customFormat="1" x14ac:dyDescent="0.25">
      <c r="A1283" s="5"/>
    </row>
    <row r="1284" spans="1:1" customFormat="1" x14ac:dyDescent="0.25">
      <c r="A1284" s="5"/>
    </row>
    <row r="1285" spans="1:1" customFormat="1" x14ac:dyDescent="0.25">
      <c r="A1285" s="5"/>
    </row>
    <row r="1286" spans="1:1" customFormat="1" x14ac:dyDescent="0.25">
      <c r="A1286" s="5"/>
    </row>
    <row r="1287" spans="1:1" customFormat="1" x14ac:dyDescent="0.25">
      <c r="A1287" s="5"/>
    </row>
    <row r="1288" spans="1:1" customFormat="1" x14ac:dyDescent="0.25">
      <c r="A1288" s="5"/>
    </row>
    <row r="1289" spans="1:1" customFormat="1" x14ac:dyDescent="0.25">
      <c r="A1289" s="5"/>
    </row>
    <row r="1290" spans="1:1" customFormat="1" x14ac:dyDescent="0.25">
      <c r="A1290" s="5"/>
    </row>
    <row r="1291" spans="1:1" customFormat="1" x14ac:dyDescent="0.25">
      <c r="A1291" s="5"/>
    </row>
    <row r="1292" spans="1:1" customFormat="1" x14ac:dyDescent="0.25">
      <c r="A1292" s="5"/>
    </row>
    <row r="1293" spans="1:1" customFormat="1" x14ac:dyDescent="0.25">
      <c r="A1293" s="5"/>
    </row>
    <row r="1294" spans="1:1" customFormat="1" x14ac:dyDescent="0.25">
      <c r="A1294" s="5"/>
    </row>
    <row r="1295" spans="1:1" customFormat="1" x14ac:dyDescent="0.25">
      <c r="A1295" s="5"/>
    </row>
    <row r="1296" spans="1:1" customFormat="1" x14ac:dyDescent="0.25">
      <c r="A1296" s="5"/>
    </row>
    <row r="1297" spans="1:1" customFormat="1" x14ac:dyDescent="0.25">
      <c r="A1297" s="5"/>
    </row>
    <row r="1298" spans="1:1" customFormat="1" x14ac:dyDescent="0.25">
      <c r="A1298" s="5"/>
    </row>
    <row r="1299" spans="1:1" customFormat="1" x14ac:dyDescent="0.25">
      <c r="A1299" s="5"/>
    </row>
    <row r="1300" spans="1:1" customFormat="1" x14ac:dyDescent="0.25">
      <c r="A1300" s="5"/>
    </row>
    <row r="1301" spans="1:1" customFormat="1" x14ac:dyDescent="0.25">
      <c r="A1301" s="5"/>
    </row>
    <row r="1302" spans="1:1" customFormat="1" x14ac:dyDescent="0.25">
      <c r="A1302" s="5"/>
    </row>
    <row r="1303" spans="1:1" customFormat="1" x14ac:dyDescent="0.25">
      <c r="A1303" s="5"/>
    </row>
    <row r="1304" spans="1:1" customFormat="1" x14ac:dyDescent="0.25">
      <c r="A1304" s="5"/>
    </row>
    <row r="1305" spans="1:1" customFormat="1" x14ac:dyDescent="0.25">
      <c r="A1305" s="5"/>
    </row>
    <row r="1306" spans="1:1" customFormat="1" x14ac:dyDescent="0.25">
      <c r="A1306" s="5"/>
    </row>
    <row r="1307" spans="1:1" customFormat="1" x14ac:dyDescent="0.25">
      <c r="A1307" s="5"/>
    </row>
    <row r="1308" spans="1:1" customFormat="1" x14ac:dyDescent="0.25">
      <c r="A1308" s="5"/>
    </row>
    <row r="1309" spans="1:1" customFormat="1" x14ac:dyDescent="0.25">
      <c r="A1309" s="5"/>
    </row>
    <row r="1310" spans="1:1" customFormat="1" x14ac:dyDescent="0.25">
      <c r="A1310" s="5"/>
    </row>
    <row r="1311" spans="1:1" customFormat="1" x14ac:dyDescent="0.25">
      <c r="A1311" s="5"/>
    </row>
    <row r="1312" spans="1:1" customFormat="1" x14ac:dyDescent="0.25">
      <c r="A1312" s="5"/>
    </row>
    <row r="1313" spans="1:1" customFormat="1" x14ac:dyDescent="0.25">
      <c r="A1313" s="5"/>
    </row>
    <row r="1314" spans="1:1" customFormat="1" x14ac:dyDescent="0.25">
      <c r="A1314" s="5"/>
    </row>
    <row r="1315" spans="1:1" customFormat="1" x14ac:dyDescent="0.25">
      <c r="A1315" s="5"/>
    </row>
    <row r="1316" spans="1:1" customFormat="1" x14ac:dyDescent="0.25">
      <c r="A1316" s="5"/>
    </row>
    <row r="1317" spans="1:1" customFormat="1" x14ac:dyDescent="0.25">
      <c r="A1317" s="5"/>
    </row>
    <row r="1318" spans="1:1" customFormat="1" x14ac:dyDescent="0.25">
      <c r="A1318" s="5"/>
    </row>
    <row r="1319" spans="1:1" customFormat="1" x14ac:dyDescent="0.25">
      <c r="A1319" s="5"/>
    </row>
    <row r="1320" spans="1:1" customFormat="1" x14ac:dyDescent="0.25">
      <c r="A1320" s="5"/>
    </row>
    <row r="1321" spans="1:1" customFormat="1" x14ac:dyDescent="0.25">
      <c r="A1321" s="5"/>
    </row>
    <row r="1322" spans="1:1" customFormat="1" x14ac:dyDescent="0.25">
      <c r="A1322" s="5"/>
    </row>
    <row r="1323" spans="1:1" customFormat="1" x14ac:dyDescent="0.25">
      <c r="A1323" s="5"/>
    </row>
    <row r="1324" spans="1:1" customFormat="1" x14ac:dyDescent="0.25">
      <c r="A1324" s="5"/>
    </row>
    <row r="1325" spans="1:1" customFormat="1" x14ac:dyDescent="0.25">
      <c r="A1325" s="5"/>
    </row>
    <row r="1326" spans="1:1" customFormat="1" x14ac:dyDescent="0.25">
      <c r="A1326" s="5"/>
    </row>
    <row r="1327" spans="1:1" customFormat="1" x14ac:dyDescent="0.25">
      <c r="A1327" s="5"/>
    </row>
    <row r="1328" spans="1:1" customFormat="1" x14ac:dyDescent="0.25">
      <c r="A1328" s="5"/>
    </row>
    <row r="1329" spans="1:1" customFormat="1" x14ac:dyDescent="0.25">
      <c r="A1329" s="5"/>
    </row>
    <row r="1330" spans="1:1" customFormat="1" x14ac:dyDescent="0.25">
      <c r="A1330" s="5"/>
    </row>
    <row r="1331" spans="1:1" customFormat="1" x14ac:dyDescent="0.25">
      <c r="A1331" s="5"/>
    </row>
    <row r="1332" spans="1:1" customFormat="1" x14ac:dyDescent="0.25">
      <c r="A1332" s="5"/>
    </row>
    <row r="1333" spans="1:1" customFormat="1" x14ac:dyDescent="0.25">
      <c r="A1333" s="5"/>
    </row>
    <row r="1334" spans="1:1" customFormat="1" x14ac:dyDescent="0.25">
      <c r="A1334" s="5"/>
    </row>
    <row r="1335" spans="1:1" customFormat="1" x14ac:dyDescent="0.25">
      <c r="A1335" s="5"/>
    </row>
    <row r="1336" spans="1:1" customFormat="1" x14ac:dyDescent="0.25">
      <c r="A1336" s="5"/>
    </row>
    <row r="1337" spans="1:1" customFormat="1" x14ac:dyDescent="0.25">
      <c r="A1337" s="5"/>
    </row>
    <row r="1338" spans="1:1" customFormat="1" x14ac:dyDescent="0.25">
      <c r="A1338" s="5"/>
    </row>
    <row r="1339" spans="1:1" customFormat="1" x14ac:dyDescent="0.25">
      <c r="A1339" s="5"/>
    </row>
    <row r="1340" spans="1:1" customFormat="1" x14ac:dyDescent="0.25">
      <c r="A1340" s="5"/>
    </row>
    <row r="1341" spans="1:1" customFormat="1" x14ac:dyDescent="0.25">
      <c r="A1341" s="5"/>
    </row>
    <row r="1342" spans="1:1" customFormat="1" x14ac:dyDescent="0.25">
      <c r="A1342" s="5"/>
    </row>
    <row r="1343" spans="1:1" customFormat="1" x14ac:dyDescent="0.25">
      <c r="A1343" s="5"/>
    </row>
    <row r="1344" spans="1:1" customFormat="1" x14ac:dyDescent="0.25">
      <c r="A1344" s="5"/>
    </row>
    <row r="1345" spans="1:1" customFormat="1" x14ac:dyDescent="0.25">
      <c r="A1345" s="5"/>
    </row>
    <row r="1346" spans="1:1" customFormat="1" x14ac:dyDescent="0.25">
      <c r="A1346" s="5"/>
    </row>
    <row r="1347" spans="1:1" customFormat="1" x14ac:dyDescent="0.25">
      <c r="A1347" s="5"/>
    </row>
    <row r="1348" spans="1:1" customFormat="1" x14ac:dyDescent="0.25">
      <c r="A1348" s="5"/>
    </row>
    <row r="1349" spans="1:1" customFormat="1" x14ac:dyDescent="0.25">
      <c r="A1349" s="5"/>
    </row>
    <row r="1350" spans="1:1" customFormat="1" x14ac:dyDescent="0.25">
      <c r="A1350" s="5"/>
    </row>
    <row r="1351" spans="1:1" customFormat="1" x14ac:dyDescent="0.25">
      <c r="A1351" s="5"/>
    </row>
    <row r="1352" spans="1:1" customFormat="1" x14ac:dyDescent="0.25">
      <c r="A1352" s="5"/>
    </row>
    <row r="1353" spans="1:1" customFormat="1" x14ac:dyDescent="0.25">
      <c r="A1353" s="5"/>
    </row>
    <row r="1354" spans="1:1" customFormat="1" x14ac:dyDescent="0.25">
      <c r="A1354" s="5"/>
    </row>
    <row r="1355" spans="1:1" customFormat="1" x14ac:dyDescent="0.25">
      <c r="A1355" s="5"/>
    </row>
    <row r="1356" spans="1:1" customFormat="1" x14ac:dyDescent="0.25">
      <c r="A1356" s="5"/>
    </row>
    <row r="1357" spans="1:1" customFormat="1" x14ac:dyDescent="0.25">
      <c r="A1357" s="5"/>
    </row>
    <row r="1358" spans="1:1" customFormat="1" x14ac:dyDescent="0.25">
      <c r="A1358" s="5"/>
    </row>
    <row r="1359" spans="1:1" customFormat="1" x14ac:dyDescent="0.25">
      <c r="A1359" s="5"/>
    </row>
    <row r="1360" spans="1:1" customFormat="1" x14ac:dyDescent="0.25">
      <c r="A1360" s="5"/>
    </row>
    <row r="1361" spans="1:1" customFormat="1" x14ac:dyDescent="0.25">
      <c r="A1361" s="5"/>
    </row>
    <row r="1362" spans="1:1" customFormat="1" x14ac:dyDescent="0.25">
      <c r="A1362" s="5"/>
    </row>
    <row r="1363" spans="1:1" customFormat="1" x14ac:dyDescent="0.25">
      <c r="A1363" s="5"/>
    </row>
    <row r="1364" spans="1:1" customFormat="1" x14ac:dyDescent="0.25">
      <c r="A1364" s="5"/>
    </row>
    <row r="1365" spans="1:1" customFormat="1" x14ac:dyDescent="0.25">
      <c r="A1365" s="5"/>
    </row>
    <row r="1366" spans="1:1" customFormat="1" x14ac:dyDescent="0.25">
      <c r="A1366" s="5"/>
    </row>
    <row r="1367" spans="1:1" customFormat="1" x14ac:dyDescent="0.25">
      <c r="A1367" s="5"/>
    </row>
    <row r="1368" spans="1:1" customFormat="1" x14ac:dyDescent="0.25">
      <c r="A1368" s="5"/>
    </row>
    <row r="1369" spans="1:1" customFormat="1" x14ac:dyDescent="0.25">
      <c r="A1369" s="5"/>
    </row>
    <row r="1370" spans="1:1" customFormat="1" x14ac:dyDescent="0.25">
      <c r="A1370" s="5"/>
    </row>
    <row r="1371" spans="1:1" customFormat="1" x14ac:dyDescent="0.25">
      <c r="A1371" s="5"/>
    </row>
    <row r="1372" spans="1:1" customFormat="1" x14ac:dyDescent="0.25">
      <c r="A1372" s="5"/>
    </row>
    <row r="1373" spans="1:1" customFormat="1" x14ac:dyDescent="0.25">
      <c r="A1373" s="5"/>
    </row>
    <row r="1374" spans="1:1" customFormat="1" x14ac:dyDescent="0.25">
      <c r="A1374" s="5"/>
    </row>
    <row r="1375" spans="1:1" customFormat="1" x14ac:dyDescent="0.25">
      <c r="A1375" s="5"/>
    </row>
    <row r="1376" spans="1:1" customFormat="1" x14ac:dyDescent="0.25">
      <c r="A1376" s="5"/>
    </row>
    <row r="1377" spans="1:1" customFormat="1" x14ac:dyDescent="0.25">
      <c r="A1377" s="5"/>
    </row>
    <row r="1378" spans="1:1" customFormat="1" x14ac:dyDescent="0.25">
      <c r="A1378" s="5"/>
    </row>
    <row r="1379" spans="1:1" customFormat="1" x14ac:dyDescent="0.25">
      <c r="A1379" s="5"/>
    </row>
    <row r="1380" spans="1:1" customFormat="1" x14ac:dyDescent="0.25">
      <c r="A1380" s="5"/>
    </row>
    <row r="1381" spans="1:1" customFormat="1" x14ac:dyDescent="0.25">
      <c r="A1381" s="5"/>
    </row>
    <row r="1382" spans="1:1" customFormat="1" x14ac:dyDescent="0.25">
      <c r="A1382" s="5"/>
    </row>
    <row r="1383" spans="1:1" customFormat="1" x14ac:dyDescent="0.25">
      <c r="A1383" s="5"/>
    </row>
    <row r="1384" spans="1:1" customFormat="1" x14ac:dyDescent="0.25">
      <c r="A1384" s="5"/>
    </row>
    <row r="1385" spans="1:1" customFormat="1" x14ac:dyDescent="0.25">
      <c r="A1385" s="5"/>
    </row>
    <row r="1386" spans="1:1" customFormat="1" x14ac:dyDescent="0.25">
      <c r="A1386" s="5"/>
    </row>
    <row r="1387" spans="1:1" customFormat="1" x14ac:dyDescent="0.25">
      <c r="A1387" s="5"/>
    </row>
    <row r="1388" spans="1:1" customFormat="1" x14ac:dyDescent="0.25">
      <c r="A1388" s="5"/>
    </row>
    <row r="1389" spans="1:1" customFormat="1" x14ac:dyDescent="0.25">
      <c r="A1389" s="5"/>
    </row>
    <row r="1390" spans="1:1" customFormat="1" x14ac:dyDescent="0.25">
      <c r="A1390" s="5"/>
    </row>
    <row r="1391" spans="1:1" customFormat="1" x14ac:dyDescent="0.25">
      <c r="A1391" s="5"/>
    </row>
    <row r="1392" spans="1:1" customFormat="1" x14ac:dyDescent="0.25">
      <c r="A1392" s="5"/>
    </row>
    <row r="1393" spans="1:1" customFormat="1" x14ac:dyDescent="0.25">
      <c r="A1393" s="5"/>
    </row>
    <row r="1394" spans="1:1" customFormat="1" x14ac:dyDescent="0.25">
      <c r="A1394" s="5"/>
    </row>
    <row r="1395" spans="1:1" customFormat="1" x14ac:dyDescent="0.25">
      <c r="A1395" s="5"/>
    </row>
    <row r="1396" spans="1:1" customFormat="1" x14ac:dyDescent="0.25">
      <c r="A1396" s="5"/>
    </row>
    <row r="1397" spans="1:1" customFormat="1" x14ac:dyDescent="0.25">
      <c r="A1397" s="5"/>
    </row>
    <row r="1398" spans="1:1" customFormat="1" x14ac:dyDescent="0.25">
      <c r="A1398" s="5"/>
    </row>
    <row r="1399" spans="1:1" customFormat="1" x14ac:dyDescent="0.25">
      <c r="A1399" s="5"/>
    </row>
    <row r="1400" spans="1:1" customFormat="1" x14ac:dyDescent="0.25">
      <c r="A1400" s="5"/>
    </row>
    <row r="1401" spans="1:1" customFormat="1" x14ac:dyDescent="0.25">
      <c r="A1401" s="5"/>
    </row>
    <row r="1402" spans="1:1" customFormat="1" x14ac:dyDescent="0.25">
      <c r="A1402" s="5"/>
    </row>
    <row r="1403" spans="1:1" customFormat="1" x14ac:dyDescent="0.25">
      <c r="A1403" s="5"/>
    </row>
    <row r="1404" spans="1:1" customFormat="1" x14ac:dyDescent="0.25">
      <c r="A1404" s="5"/>
    </row>
    <row r="1405" spans="1:1" customFormat="1" x14ac:dyDescent="0.25">
      <c r="A1405" s="5"/>
    </row>
    <row r="1406" spans="1:1" customFormat="1" x14ac:dyDescent="0.25">
      <c r="A1406" s="5"/>
    </row>
    <row r="1407" spans="1:1" customFormat="1" x14ac:dyDescent="0.25">
      <c r="A1407" s="5"/>
    </row>
    <row r="1408" spans="1:1" customFormat="1" x14ac:dyDescent="0.25">
      <c r="A1408" s="5"/>
    </row>
    <row r="1409" spans="1:1" customFormat="1" x14ac:dyDescent="0.25">
      <c r="A1409" s="5"/>
    </row>
    <row r="1410" spans="1:1" customFormat="1" x14ac:dyDescent="0.25">
      <c r="A1410" s="5"/>
    </row>
    <row r="1411" spans="1:1" customFormat="1" x14ac:dyDescent="0.25">
      <c r="A1411" s="5"/>
    </row>
    <row r="1412" spans="1:1" customFormat="1" x14ac:dyDescent="0.25">
      <c r="A1412" s="5"/>
    </row>
    <row r="1413" spans="1:1" customFormat="1" x14ac:dyDescent="0.25">
      <c r="A1413" s="5"/>
    </row>
    <row r="1414" spans="1:1" customFormat="1" x14ac:dyDescent="0.25">
      <c r="A1414" s="5"/>
    </row>
    <row r="1415" spans="1:1" customFormat="1" x14ac:dyDescent="0.25">
      <c r="A1415" s="5"/>
    </row>
    <row r="1416" spans="1:1" customFormat="1" x14ac:dyDescent="0.25">
      <c r="A1416" s="5"/>
    </row>
    <row r="1417" spans="1:1" customFormat="1" x14ac:dyDescent="0.25">
      <c r="A1417" s="5"/>
    </row>
    <row r="1418" spans="1:1" customFormat="1" x14ac:dyDescent="0.25">
      <c r="A1418" s="5"/>
    </row>
    <row r="1419" spans="1:1" customFormat="1" x14ac:dyDescent="0.25">
      <c r="A1419" s="5"/>
    </row>
    <row r="1420" spans="1:1" customFormat="1" x14ac:dyDescent="0.25">
      <c r="A1420" s="5"/>
    </row>
    <row r="1421" spans="1:1" customFormat="1" x14ac:dyDescent="0.25">
      <c r="A1421" s="5"/>
    </row>
    <row r="1422" spans="1:1" customFormat="1" x14ac:dyDescent="0.25">
      <c r="A1422" s="5"/>
    </row>
    <row r="1423" spans="1:1" customFormat="1" x14ac:dyDescent="0.25">
      <c r="A1423" s="5"/>
    </row>
    <row r="1424" spans="1:1" customFormat="1" x14ac:dyDescent="0.25">
      <c r="A1424" s="5"/>
    </row>
    <row r="1425" spans="1:1" customFormat="1" x14ac:dyDescent="0.25">
      <c r="A1425" s="5"/>
    </row>
    <row r="1426" spans="1:1" customFormat="1" x14ac:dyDescent="0.25">
      <c r="A1426" s="5"/>
    </row>
    <row r="1427" spans="1:1" customFormat="1" x14ac:dyDescent="0.25">
      <c r="A1427" s="5"/>
    </row>
    <row r="1428" spans="1:1" customFormat="1" x14ac:dyDescent="0.25">
      <c r="A1428" s="5"/>
    </row>
    <row r="1429" spans="1:1" customFormat="1" x14ac:dyDescent="0.25">
      <c r="A1429" s="5"/>
    </row>
    <row r="1430" spans="1:1" customFormat="1" x14ac:dyDescent="0.25">
      <c r="A1430" s="5"/>
    </row>
    <row r="1431" spans="1:1" customFormat="1" x14ac:dyDescent="0.25">
      <c r="A1431" s="5"/>
    </row>
    <row r="1432" spans="1:1" customFormat="1" x14ac:dyDescent="0.25">
      <c r="A1432" s="5"/>
    </row>
    <row r="1433" spans="1:1" customFormat="1" x14ac:dyDescent="0.25">
      <c r="A1433" s="5"/>
    </row>
    <row r="1434" spans="1:1" customFormat="1" x14ac:dyDescent="0.25">
      <c r="A1434" s="5"/>
    </row>
    <row r="1435" spans="1:1" customFormat="1" x14ac:dyDescent="0.25">
      <c r="A1435" s="5"/>
    </row>
    <row r="1436" spans="1:1" customFormat="1" x14ac:dyDescent="0.25">
      <c r="A1436" s="5"/>
    </row>
    <row r="1437" spans="1:1" customFormat="1" x14ac:dyDescent="0.25">
      <c r="A1437" s="5"/>
    </row>
    <row r="1438" spans="1:1" customFormat="1" x14ac:dyDescent="0.25">
      <c r="A1438" s="5"/>
    </row>
    <row r="1439" spans="1:1" customFormat="1" x14ac:dyDescent="0.25">
      <c r="A1439" s="5"/>
    </row>
    <row r="1440" spans="1:1" customFormat="1" x14ac:dyDescent="0.25">
      <c r="A1440" s="5"/>
    </row>
    <row r="1441" spans="1:1" customFormat="1" x14ac:dyDescent="0.25">
      <c r="A1441" s="5"/>
    </row>
    <row r="1442" spans="1:1" customFormat="1" x14ac:dyDescent="0.25">
      <c r="A1442" s="5"/>
    </row>
    <row r="1443" spans="1:1" customFormat="1" x14ac:dyDescent="0.25">
      <c r="A1443" s="5"/>
    </row>
    <row r="1444" spans="1:1" customFormat="1" x14ac:dyDescent="0.25">
      <c r="A1444" s="5"/>
    </row>
    <row r="1445" spans="1:1" customFormat="1" x14ac:dyDescent="0.25">
      <c r="A1445" s="5"/>
    </row>
    <row r="1446" spans="1:1" customFormat="1" x14ac:dyDescent="0.25">
      <c r="A1446" s="5"/>
    </row>
    <row r="1447" spans="1:1" customFormat="1" x14ac:dyDescent="0.25">
      <c r="A1447" s="5"/>
    </row>
    <row r="1448" spans="1:1" customFormat="1" x14ac:dyDescent="0.25">
      <c r="A1448" s="5"/>
    </row>
    <row r="1449" spans="1:1" customFormat="1" x14ac:dyDescent="0.25">
      <c r="A1449" s="5"/>
    </row>
    <row r="1450" spans="1:1" customFormat="1" x14ac:dyDescent="0.25">
      <c r="A1450" s="5"/>
    </row>
    <row r="1451" spans="1:1" customFormat="1" x14ac:dyDescent="0.25">
      <c r="A1451" s="5"/>
    </row>
    <row r="1452" spans="1:1" customFormat="1" x14ac:dyDescent="0.25">
      <c r="A1452" s="5"/>
    </row>
    <row r="1453" spans="1:1" customFormat="1" x14ac:dyDescent="0.25">
      <c r="A1453" s="5"/>
    </row>
    <row r="1454" spans="1:1" customFormat="1" x14ac:dyDescent="0.25">
      <c r="A1454" s="5"/>
    </row>
    <row r="1455" spans="1:1" customFormat="1" x14ac:dyDescent="0.25">
      <c r="A1455" s="5"/>
    </row>
    <row r="1456" spans="1:1" customFormat="1" x14ac:dyDescent="0.25">
      <c r="A1456" s="5"/>
    </row>
    <row r="1457" spans="1:1" customFormat="1" x14ac:dyDescent="0.25">
      <c r="A1457" s="5"/>
    </row>
    <row r="1458" spans="1:1" customFormat="1" x14ac:dyDescent="0.25">
      <c r="A1458" s="5"/>
    </row>
    <row r="1459" spans="1:1" customFormat="1" x14ac:dyDescent="0.25">
      <c r="A1459" s="5"/>
    </row>
    <row r="1460" spans="1:1" customFormat="1" x14ac:dyDescent="0.25">
      <c r="A1460" s="5"/>
    </row>
    <row r="1461" spans="1:1" customFormat="1" x14ac:dyDescent="0.25">
      <c r="A1461" s="5"/>
    </row>
    <row r="1462" spans="1:1" customFormat="1" x14ac:dyDescent="0.25">
      <c r="A1462" s="5"/>
    </row>
    <row r="1463" spans="1:1" customFormat="1" x14ac:dyDescent="0.25">
      <c r="A1463" s="5"/>
    </row>
    <row r="1464" spans="1:1" customFormat="1" x14ac:dyDescent="0.25">
      <c r="A1464" s="5"/>
    </row>
    <row r="1465" spans="1:1" customFormat="1" x14ac:dyDescent="0.25">
      <c r="A1465" s="5"/>
    </row>
    <row r="1466" spans="1:1" customFormat="1" x14ac:dyDescent="0.25">
      <c r="A1466" s="5"/>
    </row>
    <row r="1467" spans="1:1" customFormat="1" x14ac:dyDescent="0.25">
      <c r="A1467" s="5"/>
    </row>
    <row r="1468" spans="1:1" customFormat="1" x14ac:dyDescent="0.25">
      <c r="A1468" s="5"/>
    </row>
    <row r="1469" spans="1:1" customFormat="1" x14ac:dyDescent="0.25">
      <c r="A1469" s="5"/>
    </row>
    <row r="1470" spans="1:1" customFormat="1" x14ac:dyDescent="0.25">
      <c r="A1470" s="5"/>
    </row>
    <row r="1471" spans="1:1" customFormat="1" x14ac:dyDescent="0.25">
      <c r="A1471" s="5"/>
    </row>
    <row r="1472" spans="1:1" customFormat="1" x14ac:dyDescent="0.25">
      <c r="A1472" s="5"/>
    </row>
    <row r="1473" spans="1:1" customFormat="1" x14ac:dyDescent="0.25">
      <c r="A1473" s="5"/>
    </row>
    <row r="1474" spans="1:1" customFormat="1" x14ac:dyDescent="0.25">
      <c r="A1474" s="5"/>
    </row>
    <row r="1475" spans="1:1" customFormat="1" x14ac:dyDescent="0.25">
      <c r="A1475" s="5"/>
    </row>
    <row r="1476" spans="1:1" customFormat="1" x14ac:dyDescent="0.25">
      <c r="A1476" s="5"/>
    </row>
    <row r="1477" spans="1:1" customFormat="1" x14ac:dyDescent="0.25">
      <c r="A1477" s="5"/>
    </row>
    <row r="1478" spans="1:1" customFormat="1" x14ac:dyDescent="0.25">
      <c r="A1478" s="5"/>
    </row>
    <row r="1479" spans="1:1" customFormat="1" x14ac:dyDescent="0.25">
      <c r="A1479" s="5"/>
    </row>
    <row r="1480" spans="1:1" customFormat="1" x14ac:dyDescent="0.25">
      <c r="A1480" s="5"/>
    </row>
    <row r="1481" spans="1:1" customFormat="1" x14ac:dyDescent="0.25">
      <c r="A1481" s="5"/>
    </row>
    <row r="1482" spans="1:1" customFormat="1" x14ac:dyDescent="0.25">
      <c r="A1482" s="5"/>
    </row>
    <row r="1483" spans="1:1" customFormat="1" x14ac:dyDescent="0.25">
      <c r="A1483" s="5"/>
    </row>
    <row r="1484" spans="1:1" customFormat="1" x14ac:dyDescent="0.25">
      <c r="A1484" s="5"/>
    </row>
    <row r="1485" spans="1:1" customFormat="1" x14ac:dyDescent="0.25">
      <c r="A1485" s="5"/>
    </row>
    <row r="1486" spans="1:1" customFormat="1" x14ac:dyDescent="0.25">
      <c r="A1486" s="5"/>
    </row>
    <row r="1487" spans="1:1" customFormat="1" x14ac:dyDescent="0.25">
      <c r="A1487" s="5"/>
    </row>
    <row r="1488" spans="1:1" customFormat="1" x14ac:dyDescent="0.25">
      <c r="A1488" s="5"/>
    </row>
    <row r="1489" spans="1:1" customFormat="1" x14ac:dyDescent="0.25">
      <c r="A1489" s="5"/>
    </row>
    <row r="1490" spans="1:1" customFormat="1" x14ac:dyDescent="0.25">
      <c r="A1490" s="5"/>
    </row>
    <row r="1491" spans="1:1" customFormat="1" x14ac:dyDescent="0.25">
      <c r="A1491" s="5"/>
    </row>
    <row r="1492" spans="1:1" customFormat="1" x14ac:dyDescent="0.25">
      <c r="A1492" s="5"/>
    </row>
    <row r="1493" spans="1:1" customFormat="1" x14ac:dyDescent="0.25">
      <c r="A1493" s="5"/>
    </row>
    <row r="1494" spans="1:1" customFormat="1" x14ac:dyDescent="0.25">
      <c r="A1494" s="5"/>
    </row>
    <row r="1495" spans="1:1" customFormat="1" x14ac:dyDescent="0.25">
      <c r="A1495" s="5"/>
    </row>
    <row r="1496" spans="1:1" customFormat="1" x14ac:dyDescent="0.25">
      <c r="A1496" s="5"/>
    </row>
    <row r="1497" spans="1:1" customFormat="1" x14ac:dyDescent="0.25">
      <c r="A1497" s="5"/>
    </row>
    <row r="1498" spans="1:1" customFormat="1" x14ac:dyDescent="0.25">
      <c r="A1498" s="5"/>
    </row>
    <row r="1499" spans="1:1" customFormat="1" x14ac:dyDescent="0.25">
      <c r="A1499" s="5"/>
    </row>
    <row r="1500" spans="1:1" customFormat="1" x14ac:dyDescent="0.25">
      <c r="A1500" s="5"/>
    </row>
    <row r="1501" spans="1:1" customFormat="1" x14ac:dyDescent="0.25">
      <c r="A1501" s="5"/>
    </row>
    <row r="1502" spans="1:1" customFormat="1" x14ac:dyDescent="0.25">
      <c r="A1502" s="5"/>
    </row>
    <row r="1503" spans="1:1" customFormat="1" x14ac:dyDescent="0.25">
      <c r="A1503" s="5"/>
    </row>
  </sheetData>
  <conditionalFormatting sqref="D1:D1048576">
    <cfRule type="cellIs" dxfId="10" priority="1" operator="lessThan">
      <formula>$A$2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Charts</vt:lpstr>
      </vt:variant>
      <vt:variant>
        <vt:i4>1</vt:i4>
      </vt:variant>
    </vt:vector>
  </HeadingPairs>
  <TitlesOfParts>
    <vt:vector size="8" baseType="lpstr">
      <vt:lpstr>table (1)</vt:lpstr>
      <vt:lpstr>1%</vt:lpstr>
      <vt:lpstr>2%</vt:lpstr>
      <vt:lpstr>5%</vt:lpstr>
      <vt:lpstr>10%</vt:lpstr>
      <vt:lpstr>INVEST</vt:lpstr>
      <vt:lpstr>TEMP</vt:lpstr>
      <vt:lpstr>Chart1</vt:lpstr>
    </vt:vector>
  </TitlesOfParts>
  <Company>E3MS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Bruekers</dc:creator>
  <cp:lastModifiedBy>Lincoln</cp:lastModifiedBy>
  <dcterms:created xsi:type="dcterms:W3CDTF">2018-07-12T12:26:33Z</dcterms:created>
  <dcterms:modified xsi:type="dcterms:W3CDTF">2022-01-28T01:17:16Z</dcterms:modified>
</cp:coreProperties>
</file>