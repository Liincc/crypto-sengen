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5BCA0E0-BDA8-4DCD-90A7-0D62EDFCA2F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60" i="1"/>
  <c r="Q860" i="1" s="1"/>
  <c r="R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60" i="1"/>
  <c r="T860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8" i="5"/>
  <c r="C116" i="4"/>
  <c r="C122" i="4"/>
  <c r="C133" i="4" s="1"/>
  <c r="C136" i="4" s="1"/>
  <c r="R859" i="1"/>
  <c r="C122" i="3"/>
  <c r="C133" i="3" s="1"/>
  <c r="C136" i="3" s="1"/>
  <c r="C116" i="3"/>
  <c r="D136" i="5" l="1"/>
  <c r="C138" i="5" s="1"/>
  <c r="D136" i="4"/>
  <c r="C138" i="4" s="1"/>
  <c r="R858" i="1"/>
  <c r="S859" i="1"/>
  <c r="T859" i="1" s="1"/>
  <c r="D136" i="3"/>
  <c r="C138" i="3" s="1"/>
  <c r="S858" i="1" l="1"/>
  <c r="T858" i="1" s="1"/>
  <c r="R857" i="1"/>
  <c r="R856" i="1" l="1"/>
  <c r="S857" i="1"/>
  <c r="T857" i="1" s="1"/>
  <c r="R855" i="1" l="1"/>
  <c r="S856" i="1"/>
  <c r="T856" i="1" s="1"/>
  <c r="S855" i="1" l="1"/>
  <c r="T855" i="1" s="1"/>
  <c r="R854" i="1"/>
  <c r="S854" i="1" l="1"/>
  <c r="T854" i="1" s="1"/>
  <c r="R853" i="1"/>
  <c r="R852" i="1" l="1"/>
  <c r="S853" i="1"/>
  <c r="T853" i="1" s="1"/>
  <c r="S852" i="1" l="1"/>
  <c r="T852" i="1" s="1"/>
  <c r="R851" i="1"/>
  <c r="S851" i="1" l="1"/>
  <c r="T851" i="1" s="1"/>
  <c r="R850" i="1"/>
  <c r="R849" i="1" l="1"/>
  <c r="S850" i="1"/>
  <c r="T850" i="1" s="1"/>
  <c r="S849" i="1" l="1"/>
  <c r="T849" i="1" s="1"/>
  <c r="R848" i="1"/>
  <c r="S848" i="1" l="1"/>
  <c r="T848" i="1" s="1"/>
  <c r="R847" i="1"/>
  <c r="S847" i="1" l="1"/>
  <c r="T847" i="1" s="1"/>
  <c r="R846" i="1"/>
  <c r="S846" i="1" l="1"/>
  <c r="T846" i="1" s="1"/>
  <c r="R845" i="1"/>
  <c r="S845" i="1" l="1"/>
  <c r="T845" i="1" s="1"/>
  <c r="R844" i="1"/>
  <c r="S844" i="1" l="1"/>
  <c r="T844" i="1" s="1"/>
  <c r="R843" i="1"/>
  <c r="S843" i="1" l="1"/>
  <c r="T843" i="1" s="1"/>
  <c r="R842" i="1"/>
  <c r="R841" i="1" l="1"/>
  <c r="S842" i="1"/>
  <c r="T842" i="1" s="1"/>
  <c r="R840" i="1" l="1"/>
  <c r="S841" i="1"/>
  <c r="T841" i="1" s="1"/>
  <c r="S840" i="1" l="1"/>
  <c r="T840" i="1" s="1"/>
  <c r="R839" i="1"/>
  <c r="R838" i="1" l="1"/>
  <c r="S839" i="1"/>
  <c r="T839" i="1" s="1"/>
  <c r="S838" i="1" l="1"/>
  <c r="T838" i="1" s="1"/>
  <c r="R837" i="1"/>
  <c r="S837" i="1" l="1"/>
  <c r="T837" i="1" s="1"/>
  <c r="R836" i="1"/>
  <c r="R835" i="1" l="1"/>
  <c r="S836" i="1"/>
  <c r="T836" i="1" s="1"/>
  <c r="S835" i="1" l="1"/>
  <c r="T835" i="1" s="1"/>
  <c r="R834" i="1"/>
  <c r="R833" i="1" l="1"/>
  <c r="S834" i="1"/>
  <c r="T834" i="1" s="1"/>
  <c r="R832" i="1" l="1"/>
  <c r="S833" i="1"/>
  <c r="T833" i="1" s="1"/>
  <c r="S832" i="1" l="1"/>
  <c r="T832" i="1" s="1"/>
  <c r="R831" i="1"/>
  <c r="R830" i="1" l="1"/>
  <c r="S831" i="1"/>
  <c r="T831" i="1" s="1"/>
  <c r="S830" i="1" l="1"/>
  <c r="T830" i="1" s="1"/>
  <c r="R829" i="1"/>
  <c r="R828" i="1" l="1"/>
  <c r="S829" i="1"/>
  <c r="T829" i="1" s="1"/>
  <c r="R827" i="1" l="1"/>
  <c r="S828" i="1"/>
  <c r="T828" i="1" s="1"/>
  <c r="S827" i="1" l="1"/>
  <c r="T827" i="1" s="1"/>
  <c r="R826" i="1"/>
  <c r="S826" i="1" l="1"/>
  <c r="T826" i="1" s="1"/>
  <c r="R825" i="1"/>
  <c r="R824" i="1" l="1"/>
  <c r="S825" i="1"/>
  <c r="T825" i="1" s="1"/>
  <c r="R823" i="1" l="1"/>
  <c r="S824" i="1"/>
  <c r="T824" i="1" s="1"/>
  <c r="S823" i="1" l="1"/>
  <c r="T823" i="1" s="1"/>
  <c r="R822" i="1"/>
  <c r="R821" i="1" l="1"/>
  <c r="S822" i="1"/>
  <c r="T822" i="1" s="1"/>
  <c r="S821" i="1" l="1"/>
  <c r="T821" i="1" s="1"/>
  <c r="R820" i="1"/>
  <c r="S820" i="1" l="1"/>
  <c r="T820" i="1" s="1"/>
  <c r="R819" i="1"/>
  <c r="R818" i="1" l="1"/>
  <c r="S819" i="1"/>
  <c r="T819" i="1" s="1"/>
  <c r="R817" i="1" l="1"/>
  <c r="S818" i="1"/>
  <c r="T818" i="1" s="1"/>
  <c r="S817" i="1" l="1"/>
  <c r="T817" i="1" s="1"/>
  <c r="R816" i="1"/>
  <c r="S816" i="1" l="1"/>
  <c r="T816" i="1" s="1"/>
  <c r="R815" i="1"/>
  <c r="S815" i="1" l="1"/>
  <c r="T815" i="1" s="1"/>
  <c r="R814" i="1"/>
  <c r="S814" i="1" l="1"/>
  <c r="T814" i="1" s="1"/>
  <c r="R813" i="1"/>
  <c r="R812" i="1" l="1"/>
  <c r="S813" i="1"/>
  <c r="T813" i="1" s="1"/>
  <c r="R811" i="1" l="1"/>
  <c r="S812" i="1"/>
  <c r="T812" i="1" s="1"/>
  <c r="S811" i="1" l="1"/>
  <c r="T811" i="1" s="1"/>
  <c r="R810" i="1"/>
  <c r="S810" i="1" l="1"/>
  <c r="T810" i="1" s="1"/>
  <c r="R809" i="1"/>
  <c r="S809" i="1" l="1"/>
  <c r="T809" i="1" s="1"/>
  <c r="R808" i="1"/>
  <c r="S808" i="1" l="1"/>
  <c r="T808" i="1" s="1"/>
  <c r="R807" i="1"/>
  <c r="R806" i="1" l="1"/>
  <c r="S807" i="1"/>
  <c r="T807" i="1" s="1"/>
  <c r="R805" i="1" l="1"/>
  <c r="S806" i="1"/>
  <c r="T806" i="1" s="1"/>
  <c r="R804" i="1" l="1"/>
  <c r="S805" i="1"/>
  <c r="T805" i="1" s="1"/>
  <c r="S804" i="1" l="1"/>
  <c r="T804" i="1" s="1"/>
  <c r="R803" i="1"/>
  <c r="R802" i="1" l="1"/>
  <c r="S803" i="1"/>
  <c r="T803" i="1" s="1"/>
  <c r="S802" i="1" l="1"/>
  <c r="T802" i="1" s="1"/>
  <c r="R801" i="1"/>
  <c r="S801" i="1" l="1"/>
  <c r="T801" i="1" s="1"/>
  <c r="R800" i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S793" i="1" l="1"/>
  <c r="T793" i="1" s="1"/>
  <c r="R792" i="1"/>
  <c r="R791" i="1" l="1"/>
  <c r="S792" i="1"/>
  <c r="T792" i="1" s="1"/>
  <c r="S791" i="1" l="1"/>
  <c r="T791" i="1" s="1"/>
  <c r="R790" i="1"/>
  <c r="R789" i="1" l="1"/>
  <c r="S790" i="1"/>
  <c r="T790" i="1" s="1"/>
  <c r="S789" i="1" l="1"/>
  <c r="T789" i="1" s="1"/>
  <c r="R788" i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S784" i="1" l="1"/>
  <c r="T784" i="1" s="1"/>
  <c r="R783" i="1"/>
  <c r="S783" i="1" l="1"/>
  <c r="T783" i="1" s="1"/>
  <c r="R782" i="1"/>
  <c r="S782" i="1" l="1"/>
  <c r="T782" i="1" s="1"/>
  <c r="R781" i="1"/>
  <c r="S781" i="1" l="1"/>
  <c r="T781" i="1" s="1"/>
  <c r="R780" i="1"/>
  <c r="R779" i="1" l="1"/>
  <c r="S780" i="1"/>
  <c r="T780" i="1" s="1"/>
  <c r="R778" i="1" l="1"/>
  <c r="S779" i="1"/>
  <c r="T779" i="1" s="1"/>
  <c r="S778" i="1" l="1"/>
  <c r="T778" i="1" s="1"/>
  <c r="R777" i="1"/>
  <c r="R776" i="1" l="1"/>
  <c r="S777" i="1"/>
  <c r="T777" i="1" s="1"/>
  <c r="S776" i="1" l="1"/>
  <c r="T776" i="1" s="1"/>
  <c r="R775" i="1"/>
  <c r="S775" i="1" l="1"/>
  <c r="T775" i="1" s="1"/>
  <c r="R774" i="1"/>
  <c r="S774" i="1" l="1"/>
  <c r="T774" i="1" s="1"/>
  <c r="R773" i="1"/>
  <c r="R772" i="1" l="1"/>
  <c r="S773" i="1"/>
  <c r="T773" i="1" s="1"/>
  <c r="R771" i="1" l="1"/>
  <c r="S772" i="1"/>
  <c r="T772" i="1" s="1"/>
  <c r="S771" i="1" l="1"/>
  <c r="T771" i="1" s="1"/>
  <c r="R770" i="1"/>
  <c r="R769" i="1" l="1"/>
  <c r="S770" i="1"/>
  <c r="T770" i="1" s="1"/>
  <c r="S769" i="1" l="1"/>
  <c r="T769" i="1" s="1"/>
  <c r="R768" i="1"/>
  <c r="R767" i="1" l="1"/>
  <c r="S768" i="1"/>
  <c r="T768" i="1" s="1"/>
  <c r="R766" i="1" l="1"/>
  <c r="S767" i="1"/>
  <c r="T767" i="1" s="1"/>
  <c r="S766" i="1" l="1"/>
  <c r="T766" i="1" s="1"/>
  <c r="R765" i="1"/>
  <c r="R764" i="1" l="1"/>
  <c r="S765" i="1"/>
  <c r="T765" i="1" s="1"/>
  <c r="R763" i="1" l="1"/>
  <c r="S764" i="1"/>
  <c r="T764" i="1" s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S759" i="1" l="1"/>
  <c r="T759" i="1" s="1"/>
  <c r="R758" i="1"/>
  <c r="S758" i="1" l="1"/>
  <c r="T758" i="1" s="1"/>
  <c r="R757" i="1"/>
  <c r="R756" i="1" l="1"/>
  <c r="S757" i="1"/>
  <c r="T757" i="1" s="1"/>
  <c r="S756" i="1" l="1"/>
  <c r="T756" i="1" s="1"/>
  <c r="R755" i="1"/>
  <c r="S755" i="1" l="1"/>
  <c r="T755" i="1" s="1"/>
  <c r="R754" i="1"/>
  <c r="R753" i="1" l="1"/>
  <c r="S754" i="1"/>
  <c r="T754" i="1" s="1"/>
  <c r="R752" i="1" l="1"/>
  <c r="S753" i="1"/>
  <c r="T753" i="1" s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R745" i="1" l="1"/>
  <c r="S746" i="1"/>
  <c r="T746" i="1" s="1"/>
  <c r="S745" i="1" l="1"/>
  <c r="T745" i="1" s="1"/>
  <c r="R744" i="1"/>
  <c r="R743" i="1" l="1"/>
  <c r="S744" i="1"/>
  <c r="T744" i="1" s="1"/>
  <c r="S743" i="1" l="1"/>
  <c r="T743" i="1" s="1"/>
  <c r="R742" i="1"/>
  <c r="S742" i="1" l="1"/>
  <c r="T742" i="1" s="1"/>
  <c r="R741" i="1"/>
  <c r="R740" i="1" l="1"/>
  <c r="S741" i="1"/>
  <c r="T741" i="1" s="1"/>
  <c r="S740" i="1" l="1"/>
  <c r="T740" i="1" s="1"/>
  <c r="R739" i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S726" i="1" l="1"/>
  <c r="T726" i="1" s="1"/>
  <c r="R725" i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S716" i="1" l="1"/>
  <c r="T716" i="1" s="1"/>
  <c r="R715" i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R710" i="1" l="1"/>
  <c r="S711" i="1"/>
  <c r="T711" i="1" s="1"/>
  <c r="S710" i="1" l="1"/>
  <c r="T710" i="1" s="1"/>
  <c r="R709" i="1"/>
  <c r="R708" i="1" l="1"/>
  <c r="S709" i="1"/>
  <c r="T709" i="1" s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S704" i="1" l="1"/>
  <c r="T704" i="1" s="1"/>
  <c r="R703" i="1"/>
  <c r="R702" i="1" l="1"/>
  <c r="S703" i="1"/>
  <c r="T703" i="1" s="1"/>
  <c r="S702" i="1" l="1"/>
  <c r="T702" i="1" s="1"/>
  <c r="R701" i="1"/>
  <c r="S701" i="1" l="1"/>
  <c r="T701" i="1" s="1"/>
  <c r="R700" i="1"/>
  <c r="R699" i="1" l="1"/>
  <c r="S700" i="1"/>
  <c r="T700" i="1" s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R693" i="1" l="1"/>
  <c r="S694" i="1"/>
  <c r="T694" i="1" s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R682" i="1" l="1"/>
  <c r="S683" i="1"/>
  <c r="T683" i="1" s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R667" i="1" l="1"/>
  <c r="S668" i="1"/>
  <c r="T668" i="1" s="1"/>
  <c r="S667" i="1" l="1"/>
  <c r="T667" i="1" s="1"/>
  <c r="R666" i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S657" i="1" l="1"/>
  <c r="T657" i="1" s="1"/>
  <c r="R656" i="1"/>
  <c r="R655" i="1" l="1"/>
  <c r="S656" i="1"/>
  <c r="T656" i="1" s="1"/>
  <c r="R654" i="1" l="1"/>
  <c r="S655" i="1"/>
  <c r="T655" i="1" s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R647" i="1" l="1"/>
  <c r="S648" i="1"/>
  <c r="T648" i="1" s="1"/>
  <c r="R646" i="1" l="1"/>
  <c r="S647" i="1"/>
  <c r="T647" i="1" s="1"/>
  <c r="S646" i="1" l="1"/>
  <c r="T646" i="1" s="1"/>
  <c r="R645" i="1"/>
  <c r="R644" i="1" l="1"/>
  <c r="S645" i="1"/>
  <c r="T645" i="1" s="1"/>
  <c r="R643" i="1" l="1"/>
  <c r="S644" i="1"/>
  <c r="T644" i="1" s="1"/>
  <c r="R642" i="1" l="1"/>
  <c r="S643" i="1"/>
  <c r="T643" i="1" s="1"/>
  <c r="S642" i="1" l="1"/>
  <c r="T642" i="1" s="1"/>
  <c r="R641" i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S637" i="1" l="1"/>
  <c r="T637" i="1" s="1"/>
  <c r="R636" i="1"/>
  <c r="R635" i="1" l="1"/>
  <c r="S636" i="1"/>
  <c r="T636" i="1" s="1"/>
  <c r="S635" i="1" l="1"/>
  <c r="T635" i="1" s="1"/>
  <c r="R634" i="1"/>
  <c r="R633" i="1" l="1"/>
  <c r="S634" i="1"/>
  <c r="T634" i="1" s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R618" i="1" l="1"/>
  <c r="S619" i="1"/>
  <c r="T619" i="1" s="1"/>
  <c r="S618" i="1" l="1"/>
  <c r="T618" i="1" s="1"/>
  <c r="R617" i="1"/>
  <c r="S617" i="1" l="1"/>
  <c r="T617" i="1" s="1"/>
  <c r="R616" i="1"/>
  <c r="R615" i="1" l="1"/>
  <c r="S616" i="1"/>
  <c r="T616" i="1" s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R610" i="1" l="1"/>
  <c r="S611" i="1"/>
  <c r="T611" i="1" s="1"/>
  <c r="R609" i="1" l="1"/>
  <c r="S610" i="1"/>
  <c r="T610" i="1" s="1"/>
  <c r="S609" i="1" l="1"/>
  <c r="T609" i="1" s="1"/>
  <c r="R608" i="1"/>
  <c r="R607" i="1" l="1"/>
  <c r="S608" i="1"/>
  <c r="T608" i="1" s="1"/>
  <c r="R606" i="1" l="1"/>
  <c r="S607" i="1"/>
  <c r="T607" i="1" s="1"/>
  <c r="S606" i="1" l="1"/>
  <c r="T606" i="1" s="1"/>
  <c r="R605" i="1"/>
  <c r="S605" i="1" l="1"/>
  <c r="T605" i="1" s="1"/>
  <c r="R604" i="1"/>
  <c r="R603" i="1" l="1"/>
  <c r="S604" i="1"/>
  <c r="T604" i="1" s="1"/>
  <c r="R602" i="1" l="1"/>
  <c r="S603" i="1"/>
  <c r="T603" i="1" s="1"/>
  <c r="S602" i="1" l="1"/>
  <c r="T602" i="1" s="1"/>
  <c r="R601" i="1"/>
  <c r="S601" i="1" l="1"/>
  <c r="T601" i="1" s="1"/>
  <c r="R600" i="1"/>
  <c r="R599" i="1" l="1"/>
  <c r="S600" i="1"/>
  <c r="T600" i="1" s="1"/>
  <c r="R598" i="1" l="1"/>
  <c r="S599" i="1"/>
  <c r="T599" i="1" s="1"/>
  <c r="S598" i="1" l="1"/>
  <c r="T598" i="1" s="1"/>
  <c r="R597" i="1"/>
  <c r="S597" i="1" l="1"/>
  <c r="T597" i="1" s="1"/>
  <c r="R596" i="1"/>
  <c r="S596" i="1" l="1"/>
  <c r="T596" i="1" s="1"/>
  <c r="R595" i="1"/>
  <c r="R594" i="1" l="1"/>
  <c r="S595" i="1"/>
  <c r="T595" i="1" s="1"/>
  <c r="S594" i="1" l="1"/>
  <c r="T594" i="1" s="1"/>
  <c r="R593" i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S589" i="1" l="1"/>
  <c r="T589" i="1" s="1"/>
  <c r="R588" i="1"/>
  <c r="R587" i="1" l="1"/>
  <c r="S588" i="1"/>
  <c r="T588" i="1" s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S583" i="1" l="1"/>
  <c r="T583" i="1" s="1"/>
  <c r="R582" i="1"/>
  <c r="R581" i="1" l="1"/>
  <c r="S582" i="1"/>
  <c r="T582" i="1" s="1"/>
  <c r="R580" i="1" l="1"/>
  <c r="S581" i="1"/>
  <c r="T581" i="1" s="1"/>
  <c r="S580" i="1" l="1"/>
  <c r="T580" i="1" s="1"/>
  <c r="R579" i="1"/>
  <c r="S579" i="1" l="1"/>
  <c r="T579" i="1" s="1"/>
  <c r="R578" i="1"/>
  <c r="R577" i="1" l="1"/>
  <c r="S578" i="1"/>
  <c r="T578" i="1" s="1"/>
  <c r="S577" i="1" l="1"/>
  <c r="T577" i="1" s="1"/>
  <c r="R576" i="1"/>
  <c r="R575" i="1" l="1"/>
  <c r="S576" i="1"/>
  <c r="T576" i="1" s="1"/>
  <c r="S575" i="1" l="1"/>
  <c r="T575" i="1" s="1"/>
  <c r="R574" i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R568" i="1" l="1"/>
  <c r="S569" i="1"/>
  <c r="T569" i="1" s="1"/>
  <c r="S568" i="1" l="1"/>
  <c r="T568" i="1" s="1"/>
  <c r="R567" i="1"/>
  <c r="S567" i="1" l="1"/>
  <c r="T567" i="1" s="1"/>
  <c r="R566" i="1"/>
  <c r="R565" i="1" l="1"/>
  <c r="S566" i="1"/>
  <c r="T566" i="1" s="1"/>
  <c r="S565" i="1" l="1"/>
  <c r="T565" i="1" s="1"/>
  <c r="R564" i="1"/>
  <c r="S564" i="1" l="1"/>
  <c r="T564" i="1" s="1"/>
  <c r="R563" i="1"/>
  <c r="S563" i="1" l="1"/>
  <c r="T563" i="1" s="1"/>
  <c r="R562" i="1"/>
  <c r="S562" i="1" l="1"/>
  <c r="T562" i="1" s="1"/>
  <c r="R561" i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S544" i="1" l="1"/>
  <c r="T544" i="1" s="1"/>
  <c r="R543" i="1"/>
  <c r="R542" i="1" l="1"/>
  <c r="S543" i="1"/>
  <c r="T543" i="1" s="1"/>
  <c r="R541" i="1" l="1"/>
  <c r="S542" i="1"/>
  <c r="T542" i="1" s="1"/>
  <c r="S541" i="1" l="1"/>
  <c r="T541" i="1" s="1"/>
  <c r="R540" i="1"/>
  <c r="S540" i="1" l="1"/>
  <c r="T540" i="1" s="1"/>
  <c r="R539" i="1"/>
  <c r="S539" i="1" l="1"/>
  <c r="T539" i="1" s="1"/>
  <c r="R538" i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S534" i="1" l="1"/>
  <c r="T534" i="1" s="1"/>
  <c r="R533" i="1"/>
  <c r="R532" i="1" l="1"/>
  <c r="S533" i="1"/>
  <c r="T533" i="1" s="1"/>
  <c r="R531" i="1" l="1"/>
  <c r="S532" i="1"/>
  <c r="T532" i="1" s="1"/>
  <c r="S531" i="1" l="1"/>
  <c r="T531" i="1" s="1"/>
  <c r="R530" i="1"/>
  <c r="R529" i="1" l="1"/>
  <c r="S530" i="1"/>
  <c r="T530" i="1" s="1"/>
  <c r="S529" i="1" l="1"/>
  <c r="T529" i="1" s="1"/>
  <c r="R528" i="1"/>
  <c r="S528" i="1" l="1"/>
  <c r="T528" i="1" s="1"/>
  <c r="R527" i="1"/>
  <c r="R526" i="1" l="1"/>
  <c r="S527" i="1"/>
  <c r="T527" i="1" s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S508" i="1" l="1"/>
  <c r="T508" i="1" s="1"/>
  <c r="R507" i="1"/>
  <c r="R506" i="1" l="1"/>
  <c r="S507" i="1"/>
  <c r="T507" i="1" s="1"/>
  <c r="S506" i="1" l="1"/>
  <c r="T506" i="1" s="1"/>
  <c r="R505" i="1"/>
  <c r="S505" i="1" l="1"/>
  <c r="T505" i="1" s="1"/>
  <c r="R504" i="1"/>
  <c r="R503" i="1" l="1"/>
  <c r="S504" i="1"/>
  <c r="T504" i="1" s="1"/>
  <c r="S503" i="1" l="1"/>
  <c r="T503" i="1" s="1"/>
  <c r="R502" i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R486" i="1" l="1"/>
  <c r="S487" i="1"/>
  <c r="T487" i="1" s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S480" i="1" l="1"/>
  <c r="T480" i="1" s="1"/>
  <c r="R479" i="1"/>
  <c r="S479" i="1" l="1"/>
  <c r="T479" i="1" s="1"/>
  <c r="R478" i="1"/>
  <c r="S478" i="1" l="1"/>
  <c r="T478" i="1" s="1"/>
  <c r="R477" i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R468" i="1" l="1"/>
  <c r="S469" i="1"/>
  <c r="T469" i="1" s="1"/>
  <c r="S468" i="1" l="1"/>
  <c r="T468" i="1" s="1"/>
  <c r="R467" i="1"/>
  <c r="R466" i="1" l="1"/>
  <c r="S467" i="1"/>
  <c r="T467" i="1" s="1"/>
  <c r="R465" i="1" l="1"/>
  <c r="S466" i="1"/>
  <c r="T466" i="1" s="1"/>
  <c r="S465" i="1" l="1"/>
  <c r="T465" i="1" s="1"/>
  <c r="R464" i="1"/>
  <c r="R463" i="1" l="1"/>
  <c r="S464" i="1"/>
  <c r="T464" i="1" s="1"/>
  <c r="S463" i="1" l="1"/>
  <c r="T463" i="1" s="1"/>
  <c r="R462" i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S453" i="1" l="1"/>
  <c r="T453" i="1" s="1"/>
  <c r="R452" i="1"/>
  <c r="R451" i="1" l="1"/>
  <c r="S452" i="1"/>
  <c r="T452" i="1" s="1"/>
  <c r="S451" i="1" l="1"/>
  <c r="T451" i="1" s="1"/>
  <c r="R450" i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R434" i="1" l="1"/>
  <c r="S435" i="1"/>
  <c r="T435" i="1" s="1"/>
  <c r="R433" i="1" l="1"/>
  <c r="S434" i="1"/>
  <c r="T434" i="1" s="1"/>
  <c r="S433" i="1" l="1"/>
  <c r="T433" i="1" s="1"/>
  <c r="R432" i="1"/>
  <c r="S432" i="1" l="1"/>
  <c r="T432" i="1" s="1"/>
  <c r="R431" i="1"/>
  <c r="S431" i="1" l="1"/>
  <c r="T431" i="1" s="1"/>
  <c r="R430" i="1"/>
  <c r="S430" i="1" l="1"/>
  <c r="T430" i="1" s="1"/>
  <c r="R429" i="1"/>
  <c r="S429" i="1" l="1"/>
  <c r="T429" i="1" s="1"/>
  <c r="R428" i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R422" i="1" l="1"/>
  <c r="S423" i="1"/>
  <c r="T423" i="1" s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S418" i="1" l="1"/>
  <c r="T418" i="1" s="1"/>
  <c r="R417" i="1"/>
  <c r="S417" i="1" l="1"/>
  <c r="T417" i="1" s="1"/>
  <c r="R416" i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S408" i="1" l="1"/>
  <c r="T408" i="1" s="1"/>
  <c r="R407" i="1"/>
  <c r="S407" i="1" l="1"/>
  <c r="T407" i="1" s="1"/>
  <c r="R406" i="1"/>
  <c r="S406" i="1" l="1"/>
  <c r="T406" i="1" s="1"/>
  <c r="R405" i="1"/>
  <c r="S405" i="1" l="1"/>
  <c r="T405" i="1" s="1"/>
  <c r="R404" i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S391" i="1" l="1"/>
  <c r="T391" i="1" s="1"/>
  <c r="R390" i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R367" i="1" l="1"/>
  <c r="S368" i="1"/>
  <c r="T368" i="1" s="1"/>
  <c r="S367" i="1" l="1"/>
  <c r="T367" i="1" s="1"/>
  <c r="R366" i="1"/>
  <c r="S366" i="1" l="1"/>
  <c r="T366" i="1" s="1"/>
  <c r="R365" i="1"/>
  <c r="S365" i="1" l="1"/>
  <c r="T365" i="1" s="1"/>
  <c r="R364" i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S354" i="1" l="1"/>
  <c r="T354" i="1" s="1"/>
  <c r="R353" i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S349" i="1" l="1"/>
  <c r="T349" i="1" s="1"/>
  <c r="R348" i="1"/>
  <c r="R347" i="1" l="1"/>
  <c r="S348" i="1"/>
  <c r="T348" i="1" s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S340" i="1" l="1"/>
  <c r="T340" i="1" s="1"/>
  <c r="R339" i="1"/>
  <c r="S339" i="1" l="1"/>
  <c r="T339" i="1" s="1"/>
  <c r="R338" i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R326" i="1" l="1"/>
  <c r="S327" i="1"/>
  <c r="T327" i="1" s="1"/>
  <c r="R325" i="1" l="1"/>
  <c r="S326" i="1"/>
  <c r="T326" i="1" s="1"/>
  <c r="S325" i="1" l="1"/>
  <c r="T325" i="1" s="1"/>
  <c r="R324" i="1"/>
  <c r="S324" i="1" l="1"/>
  <c r="T324" i="1" s="1"/>
  <c r="R323" i="1"/>
  <c r="R322" i="1" l="1"/>
  <c r="S323" i="1"/>
  <c r="T323" i="1" s="1"/>
  <c r="S322" i="1" l="1"/>
  <c r="T322" i="1" s="1"/>
  <c r="R321" i="1"/>
  <c r="R320" i="1" l="1"/>
  <c r="S321" i="1"/>
  <c r="T321" i="1" s="1"/>
  <c r="S320" i="1" l="1"/>
  <c r="T320" i="1" s="1"/>
  <c r="R319" i="1"/>
  <c r="S319" i="1" l="1"/>
  <c r="T319" i="1" s="1"/>
  <c r="R318" i="1"/>
  <c r="S318" i="1" l="1"/>
  <c r="T318" i="1" s="1"/>
  <c r="R317" i="1"/>
  <c r="S317" i="1" l="1"/>
  <c r="T317" i="1" s="1"/>
  <c r="R316" i="1"/>
  <c r="S316" i="1" l="1"/>
  <c r="T316" i="1" s="1"/>
  <c r="R315" i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R309" i="1" l="1"/>
  <c r="S310" i="1"/>
  <c r="T310" i="1" s="1"/>
  <c r="S309" i="1" l="1"/>
  <c r="T309" i="1" s="1"/>
  <c r="R308" i="1"/>
  <c r="S308" i="1" l="1"/>
  <c r="T308" i="1" s="1"/>
  <c r="R307" i="1"/>
  <c r="S307" i="1" l="1"/>
  <c r="T307" i="1" s="1"/>
  <c r="R306" i="1"/>
  <c r="R305" i="1" l="1"/>
  <c r="S306" i="1"/>
  <c r="T306" i="1" s="1"/>
  <c r="S305" i="1" l="1"/>
  <c r="T305" i="1" s="1"/>
  <c r="R304" i="1"/>
  <c r="R303" i="1" l="1"/>
  <c r="S304" i="1"/>
  <c r="T304" i="1" s="1"/>
  <c r="R302" i="1" l="1"/>
  <c r="S303" i="1"/>
  <c r="T303" i="1" s="1"/>
  <c r="S302" i="1" l="1"/>
  <c r="T302" i="1" s="1"/>
  <c r="R301" i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S294" i="1" l="1"/>
  <c r="T294" i="1" s="1"/>
  <c r="R293" i="1"/>
  <c r="S293" i="1" l="1"/>
  <c r="T293" i="1" s="1"/>
  <c r="R292" i="1"/>
  <c r="S292" i="1" l="1"/>
  <c r="T292" i="1" s="1"/>
  <c r="R291" i="1"/>
  <c r="S291" i="1" l="1"/>
  <c r="T291" i="1" s="1"/>
  <c r="R290" i="1"/>
  <c r="R289" i="1" l="1"/>
  <c r="S290" i="1"/>
  <c r="T290" i="1" s="1"/>
  <c r="S289" i="1" l="1"/>
  <c r="T289" i="1" s="1"/>
  <c r="R288" i="1"/>
  <c r="R287" i="1" l="1"/>
  <c r="S288" i="1"/>
  <c r="T288" i="1" s="1"/>
  <c r="S287" i="1" l="1"/>
  <c r="T287" i="1" s="1"/>
  <c r="R286" i="1"/>
  <c r="S286" i="1" l="1"/>
  <c r="T286" i="1" s="1"/>
  <c r="R285" i="1"/>
  <c r="S285" i="1" l="1"/>
  <c r="T285" i="1" s="1"/>
  <c r="R284" i="1"/>
  <c r="S284" i="1" l="1"/>
  <c r="T284" i="1" s="1"/>
  <c r="R283" i="1"/>
  <c r="R282" i="1" l="1"/>
  <c r="S283" i="1"/>
  <c r="T283" i="1" s="1"/>
  <c r="S282" i="1" l="1"/>
  <c r="T282" i="1" s="1"/>
  <c r="R281" i="1"/>
  <c r="S281" i="1" l="1"/>
  <c r="T281" i="1" s="1"/>
  <c r="R280" i="1"/>
  <c r="R279" i="1" l="1"/>
  <c r="S280" i="1"/>
  <c r="T280" i="1" s="1"/>
  <c r="S279" i="1" l="1"/>
  <c r="T279" i="1" s="1"/>
  <c r="R278" i="1"/>
  <c r="R277" i="1" l="1"/>
  <c r="S278" i="1"/>
  <c r="T278" i="1" s="1"/>
  <c r="S277" i="1" l="1"/>
  <c r="T277" i="1" s="1"/>
  <c r="R276" i="1"/>
  <c r="S276" i="1" l="1"/>
  <c r="T276" i="1" s="1"/>
  <c r="R275" i="1"/>
  <c r="R274" i="1" l="1"/>
  <c r="S275" i="1"/>
  <c r="T275" i="1" s="1"/>
  <c r="S274" i="1" l="1"/>
  <c r="T274" i="1" s="1"/>
  <c r="R273" i="1"/>
  <c r="S273" i="1" l="1"/>
  <c r="T273" i="1" s="1"/>
  <c r="R272" i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S258" i="1" l="1"/>
  <c r="T258" i="1" s="1"/>
  <c r="R257" i="1"/>
  <c r="S257" i="1" l="1"/>
  <c r="T257" i="1" s="1"/>
  <c r="R256" i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S248" i="1" l="1"/>
  <c r="T248" i="1" s="1"/>
  <c r="R247" i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S236" i="1" l="1"/>
  <c r="T236" i="1" s="1"/>
  <c r="R235" i="1"/>
  <c r="S235" i="1" l="1"/>
  <c r="T235" i="1" s="1"/>
  <c r="R234" i="1"/>
  <c r="S234" i="1" l="1"/>
  <c r="T234" i="1" s="1"/>
  <c r="R233" i="1"/>
  <c r="R232" i="1" l="1"/>
  <c r="S233" i="1"/>
  <c r="T233" i="1" s="1"/>
  <c r="S232" i="1" l="1"/>
  <c r="T232" i="1" s="1"/>
  <c r="R231" i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R221" i="1" l="1"/>
  <c r="S222" i="1"/>
  <c r="T222" i="1" s="1"/>
  <c r="S221" i="1" l="1"/>
  <c r="T221" i="1" s="1"/>
  <c r="R220" i="1"/>
  <c r="R219" i="1" l="1"/>
  <c r="S220" i="1"/>
  <c r="T220" i="1" s="1"/>
  <c r="R218" i="1" l="1"/>
  <c r="S219" i="1"/>
  <c r="T219" i="1" s="1"/>
  <c r="R217" i="1" l="1"/>
  <c r="S218" i="1"/>
  <c r="T218" i="1" s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S209" i="1" l="1"/>
  <c r="T209" i="1" s="1"/>
  <c r="R208" i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S200" i="1" l="1"/>
  <c r="T200" i="1" s="1"/>
  <c r="R199" i="1"/>
  <c r="S199" i="1" l="1"/>
  <c r="T199" i="1" s="1"/>
  <c r="R198" i="1"/>
  <c r="S198" i="1" l="1"/>
  <c r="T198" i="1" s="1"/>
  <c r="R197" i="1"/>
  <c r="S197" i="1" l="1"/>
  <c r="T197" i="1" s="1"/>
  <c r="R196" i="1"/>
  <c r="S196" i="1" l="1"/>
  <c r="T196" i="1" s="1"/>
  <c r="R195" i="1"/>
  <c r="S195" i="1" l="1"/>
  <c r="T195" i="1" s="1"/>
  <c r="R194" i="1"/>
  <c r="S194" i="1" l="1"/>
  <c r="T194" i="1" s="1"/>
  <c r="R193" i="1"/>
  <c r="S193" i="1" l="1"/>
  <c r="T193" i="1" s="1"/>
  <c r="R192" i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S186" i="1" l="1"/>
  <c r="T186" i="1" s="1"/>
  <c r="R185" i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S176" i="1" l="1"/>
  <c r="T176" i="1" s="1"/>
  <c r="R175" i="1"/>
  <c r="S175" i="1" l="1"/>
  <c r="T175" i="1" s="1"/>
  <c r="R174" i="1"/>
  <c r="S174" i="1" l="1"/>
  <c r="T174" i="1" s="1"/>
  <c r="R173" i="1"/>
  <c r="R172" i="1" l="1"/>
  <c r="S173" i="1"/>
  <c r="T173" i="1" s="1"/>
  <c r="S172" i="1" l="1"/>
  <c r="T172" i="1" s="1"/>
  <c r="R171" i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S164" i="1" l="1"/>
  <c r="T164" i="1" s="1"/>
  <c r="R163" i="1"/>
  <c r="S163" i="1" l="1"/>
  <c r="T163" i="1" s="1"/>
  <c r="R162" i="1"/>
  <c r="S162" i="1" l="1"/>
  <c r="T162" i="1" s="1"/>
  <c r="R161" i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S144" i="1" l="1"/>
  <c r="T144" i="1" s="1"/>
  <c r="R143" i="1"/>
  <c r="S143" i="1" l="1"/>
  <c r="T143" i="1" s="1"/>
  <c r="R142" i="1"/>
  <c r="S142" i="1" l="1"/>
  <c r="T142" i="1" s="1"/>
  <c r="R141" i="1"/>
  <c r="R140" i="1" l="1"/>
  <c r="S141" i="1"/>
  <c r="T141" i="1" s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S130" i="1" l="1"/>
  <c r="T130" i="1" s="1"/>
  <c r="R129" i="1"/>
  <c r="S129" i="1" l="1"/>
  <c r="T129" i="1" s="1"/>
  <c r="R128" i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S122" i="1" l="1"/>
  <c r="T122" i="1" s="1"/>
  <c r="R121" i="1"/>
  <c r="S121" i="1" l="1"/>
  <c r="T121" i="1" s="1"/>
  <c r="R120" i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S113" i="1" l="1"/>
  <c r="T113" i="1" s="1"/>
  <c r="R112" i="1"/>
  <c r="R111" i="1" l="1"/>
  <c r="S112" i="1"/>
  <c r="T112" i="1" s="1"/>
  <c r="S111" i="1" l="1"/>
  <c r="T111" i="1" s="1"/>
  <c r="R110" i="1"/>
  <c r="R109" i="1" l="1"/>
  <c r="S110" i="1"/>
  <c r="T110" i="1" s="1"/>
  <c r="S109" i="1" l="1"/>
  <c r="T109" i="1" s="1"/>
  <c r="R108" i="1"/>
  <c r="S108" i="1" l="1"/>
  <c r="T108" i="1" s="1"/>
  <c r="R107" i="1"/>
  <c r="S107" i="1" l="1"/>
  <c r="T107" i="1" s="1"/>
  <c r="R106" i="1"/>
  <c r="S106" i="1" l="1"/>
  <c r="T106" i="1" s="1"/>
  <c r="R105" i="1"/>
  <c r="S105" i="1" l="1"/>
  <c r="T105" i="1" s="1"/>
  <c r="R104" i="1"/>
  <c r="S104" i="1" l="1"/>
  <c r="T104" i="1" s="1"/>
  <c r="R103" i="1"/>
  <c r="S103" i="1" l="1"/>
  <c r="T103" i="1" s="1"/>
  <c r="R102" i="1"/>
  <c r="R101" i="1" l="1"/>
  <c r="S102" i="1"/>
  <c r="T102" i="1" s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S84" i="1" l="1"/>
  <c r="T84" i="1" s="1"/>
  <c r="R83" i="1"/>
  <c r="S83" i="1" l="1"/>
  <c r="T83" i="1" s="1"/>
  <c r="R82" i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S54" i="1" l="1"/>
  <c r="T54" i="1" s="1"/>
  <c r="R53" i="1"/>
  <c r="S53" i="1" l="1"/>
  <c r="T53" i="1" s="1"/>
  <c r="R52" i="1"/>
  <c r="S52" i="1" l="1"/>
  <c r="T52" i="1" s="1"/>
  <c r="R51" i="1"/>
  <c r="R50" i="1" l="1"/>
  <c r="S51" i="1"/>
  <c r="T51" i="1" s="1"/>
  <c r="S50" i="1" l="1"/>
  <c r="T50" i="1" s="1"/>
  <c r="R49" i="1"/>
  <c r="S49" i="1" l="1"/>
  <c r="T49" i="1" s="1"/>
  <c r="R48" i="1"/>
  <c r="R47" i="1" l="1"/>
  <c r="S48" i="1"/>
  <c r="T48" i="1" s="1"/>
  <c r="S47" i="1" l="1"/>
  <c r="T47" i="1" s="1"/>
  <c r="R46" i="1"/>
  <c r="S46" i="1" l="1"/>
  <c r="T46" i="1" s="1"/>
  <c r="R45" i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S37" i="1" l="1"/>
  <c r="T37" i="1" s="1"/>
  <c r="R36" i="1"/>
  <c r="R35" i="1" l="1"/>
  <c r="S36" i="1"/>
  <c r="T36" i="1" s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<sst xmlns="http://schemas.openxmlformats.org/spreadsheetml/2006/main" count="9704" uniqueCount="34">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</sst>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0.32200000000000001</c:v>
                </c:pt>
                <c:pt idx="1">
                  <c:v>0.33169999999999999</c:v>
                </c:pt>
                <c:pt idx="2">
                  <c:v>0.3105</c:v>
                </c:pt>
                <c:pt idx="3">
                  <c:v>0.27860000000000001</c:v>
                </c:pt>
                <c:pt idx="4">
                  <c:v>0.29609999999999997</c:v>
                </c:pt>
                <c:pt idx="5">
                  <c:v>0.28589999999999999</c:v>
                </c:pt>
                <c:pt idx="6">
                  <c:v>0.34</c:v>
                </c:pt>
                <c:pt idx="7">
                  <c:v>0.40010000000000001</c:v>
                </c:pt>
                <c:pt idx="8">
                  <c:v>0.41520000000000001</c:v>
                </c:pt>
                <c:pt idx="9">
                  <c:v>0.42480000000000001</c:v>
                </c:pt>
                <c:pt idx="10">
                  <c:v>0.44529999999999997</c:v>
                </c:pt>
                <c:pt idx="11">
                  <c:v>0.47089999999999999</c:v>
                </c:pt>
                <c:pt idx="12">
                  <c:v>0.47849999999999998</c:v>
                </c:pt>
                <c:pt idx="13">
                  <c:v>0.46139999999999998</c:v>
                </c:pt>
                <c:pt idx="14">
                  <c:v>0.46729999999999999</c:v>
                </c:pt>
                <c:pt idx="15">
                  <c:v>0.48759999999999998</c:v>
                </c:pt>
                <c:pt idx="16">
                  <c:v>0.45889999999999997</c:v>
                </c:pt>
                <c:pt idx="17">
                  <c:v>0.4536</c:v>
                </c:pt>
                <c:pt idx="18">
                  <c:v>0.46310000000000001</c:v>
                </c:pt>
                <c:pt idx="19">
                  <c:v>0.44340000000000002</c:v>
                </c:pt>
                <c:pt idx="20">
                  <c:v>0.47039999999999998</c:v>
                </c:pt>
                <c:pt idx="21">
                  <c:v>0.51919999999999999</c:v>
                </c:pt>
                <c:pt idx="22">
                  <c:v>0.51849999999999996</c:v>
                </c:pt>
                <c:pt idx="23">
                  <c:v>0.57850000000000001</c:v>
                </c:pt>
                <c:pt idx="24">
                  <c:v>0.58150000000000002</c:v>
                </c:pt>
                <c:pt idx="25">
                  <c:v>0.56399999999999995</c:v>
                </c:pt>
                <c:pt idx="26">
                  <c:v>0.55840000000000001</c:v>
                </c:pt>
                <c:pt idx="27">
                  <c:v>0.52859999999999996</c:v>
                </c:pt>
                <c:pt idx="28">
                  <c:v>0.55759999999999998</c:v>
                </c:pt>
                <c:pt idx="29">
                  <c:v>0.55579999999999996</c:v>
                </c:pt>
                <c:pt idx="30">
                  <c:v>0.58389999999999997</c:v>
                </c:pt>
                <c:pt idx="31">
                  <c:v>0.62670000000000003</c:v>
                </c:pt>
                <c:pt idx="32">
                  <c:v>0.64200000000000002</c:v>
                </c:pt>
                <c:pt idx="33">
                  <c:v>0.64470000000000005</c:v>
                </c:pt>
                <c:pt idx="34">
                  <c:v>0.63890000000000002</c:v>
                </c:pt>
                <c:pt idx="35">
                  <c:v>0.70589999999999997</c:v>
                </c:pt>
                <c:pt idx="36">
                  <c:v>0.69330000000000003</c:v>
                </c:pt>
                <c:pt idx="37">
                  <c:v>0.65480000000000005</c:v>
                </c:pt>
                <c:pt idx="38">
                  <c:v>0.49009999999999998</c:v>
                </c:pt>
                <c:pt idx="39">
                  <c:v>0.49540000000000001</c:v>
                </c:pt>
                <c:pt idx="40">
                  <c:v>0.51500000000000001</c:v>
                </c:pt>
                <c:pt idx="41">
                  <c:v>0.50600000000000001</c:v>
                </c:pt>
                <c:pt idx="42">
                  <c:v>0.5151</c:v>
                </c:pt>
                <c:pt idx="43">
                  <c:v>0.51559999999999995</c:v>
                </c:pt>
                <c:pt idx="44">
                  <c:v>0.50439999999999996</c:v>
                </c:pt>
                <c:pt idx="45">
                  <c:v>0.49020000000000002</c:v>
                </c:pt>
                <c:pt idx="46">
                  <c:v>0.5635</c:v>
                </c:pt>
                <c:pt idx="47">
                  <c:v>0.53680000000000005</c:v>
                </c:pt>
                <c:pt idx="48">
                  <c:v>0.52929999999999999</c:v>
                </c:pt>
                <c:pt idx="49">
                  <c:v>0.56979999999999997</c:v>
                </c:pt>
                <c:pt idx="50">
                  <c:v>0.63449999999999995</c:v>
                </c:pt>
                <c:pt idx="51">
                  <c:v>0.62690000000000001</c:v>
                </c:pt>
                <c:pt idx="52">
                  <c:v>0.63449999999999995</c:v>
                </c:pt>
                <c:pt idx="53">
                  <c:v>0.62849999999999995</c:v>
                </c:pt>
                <c:pt idx="54">
                  <c:v>0.74590000000000001</c:v>
                </c:pt>
                <c:pt idx="55">
                  <c:v>0.84819999999999995</c:v>
                </c:pt>
                <c:pt idx="56">
                  <c:v>0.89690000000000003</c:v>
                </c:pt>
                <c:pt idx="57">
                  <c:v>0.9506</c:v>
                </c:pt>
                <c:pt idx="58">
                  <c:v>0.89600000000000002</c:v>
                </c:pt>
                <c:pt idx="59">
                  <c:v>0.88439999999999996</c:v>
                </c:pt>
                <c:pt idx="60">
                  <c:v>0.91610000000000003</c:v>
                </c:pt>
                <c:pt idx="61">
                  <c:v>0.95989999999999998</c:v>
                </c:pt>
                <c:pt idx="62">
                  <c:v>0.88700000000000001</c:v>
                </c:pt>
                <c:pt idx="63">
                  <c:v>0.9637</c:v>
                </c:pt>
                <c:pt idx="64">
                  <c:v>0.92669999999999997</c:v>
                </c:pt>
                <c:pt idx="65">
                  <c:v>0.91759999999999997</c:v>
                </c:pt>
                <c:pt idx="66">
                  <c:v>0.76490000000000002</c:v>
                </c:pt>
                <c:pt idx="67">
                  <c:v>0.7883</c:v>
                </c:pt>
                <c:pt idx="68">
                  <c:v>0.83150000000000002</c:v>
                </c:pt>
                <c:pt idx="69">
                  <c:v>0.79879999999999995</c:v>
                </c:pt>
                <c:pt idx="70">
                  <c:v>0.72040000000000004</c:v>
                </c:pt>
                <c:pt idx="71">
                  <c:v>0.79069999999999996</c:v>
                </c:pt>
                <c:pt idx="72">
                  <c:v>0.79749999999999999</c:v>
                </c:pt>
                <c:pt idx="73">
                  <c:v>0.90290000000000004</c:v>
                </c:pt>
                <c:pt idx="74">
                  <c:v>0.91769999999999996</c:v>
                </c:pt>
                <c:pt idx="75">
                  <c:v>0.91059999999999997</c:v>
                </c:pt>
                <c:pt idx="76">
                  <c:v>0.89970000000000006</c:v>
                </c:pt>
                <c:pt idx="77">
                  <c:v>0.92159999999999997</c:v>
                </c:pt>
                <c:pt idx="78">
                  <c:v>0.91220000000000001</c:v>
                </c:pt>
                <c:pt idx="79">
                  <c:v>0.98099999999999998</c:v>
                </c:pt>
                <c:pt idx="80">
                  <c:v>0.99250000000000005</c:v>
                </c:pt>
                <c:pt idx="81">
                  <c:v>0.95</c:v>
                </c:pt>
                <c:pt idx="82">
                  <c:v>0.94720000000000004</c:v>
                </c:pt>
                <c:pt idx="83">
                  <c:v>0.9506</c:v>
                </c:pt>
                <c:pt idx="84">
                  <c:v>0.96220000000000006</c:v>
                </c:pt>
                <c:pt idx="85">
                  <c:v>1.0121</c:v>
                </c:pt>
                <c:pt idx="86">
                  <c:v>0.99280000000000002</c:v>
                </c:pt>
                <c:pt idx="87">
                  <c:v>1.0049999999999999</c:v>
                </c:pt>
                <c:pt idx="88">
                  <c:v>1.0281</c:v>
                </c:pt>
                <c:pt idx="89">
                  <c:v>1.004</c:v>
                </c:pt>
                <c:pt idx="90">
                  <c:v>1.038</c:v>
                </c:pt>
                <c:pt idx="91">
                  <c:v>1.0355000000000001</c:v>
                </c:pt>
                <c:pt idx="92">
                  <c:v>1.0145</c:v>
                </c:pt>
                <c:pt idx="93">
                  <c:v>1.1211</c:v>
                </c:pt>
                <c:pt idx="94">
                  <c:v>1.1153</c:v>
                </c:pt>
                <c:pt idx="95">
                  <c:v>1.0883</c:v>
                </c:pt>
                <c:pt idx="96">
                  <c:v>1.1077999999999999</c:v>
                </c:pt>
                <c:pt idx="97">
                  <c:v>1.1083000000000001</c:v>
                </c:pt>
                <c:pt idx="98">
                  <c:v>1.1185</c:v>
                </c:pt>
                <c:pt idx="99">
                  <c:v>1.0613999999999999</c:v>
                </c:pt>
                <c:pt idx="100">
                  <c:v>0.9829</c:v>
                </c:pt>
                <c:pt idx="101">
                  <c:v>0.98919999999999997</c:v>
                </c:pt>
                <c:pt idx="102">
                  <c:v>1.03</c:v>
                </c:pt>
                <c:pt idx="103">
                  <c:v>1.0305</c:v>
                </c:pt>
                <c:pt idx="104">
                  <c:v>1.034</c:v>
                </c:pt>
                <c:pt idx="105">
                  <c:v>1.0077</c:v>
                </c:pt>
                <c:pt idx="106">
                  <c:v>0.99390000000000001</c:v>
                </c:pt>
                <c:pt idx="107">
                  <c:v>1.0099</c:v>
                </c:pt>
                <c:pt idx="108">
                  <c:v>1.0145999999999999</c:v>
                </c:pt>
                <c:pt idx="109">
                  <c:v>1.0117</c:v>
                </c:pt>
                <c:pt idx="110">
                  <c:v>1.0747</c:v>
                </c:pt>
                <c:pt idx="111">
                  <c:v>1.0992</c:v>
                </c:pt>
                <c:pt idx="112">
                  <c:v>1.1540999999999999</c:v>
                </c:pt>
                <c:pt idx="113">
                  <c:v>1.1326000000000001</c:v>
                </c:pt>
                <c:pt idx="114">
                  <c:v>1.2021999999999999</c:v>
                </c:pt>
                <c:pt idx="115">
                  <c:v>1.1655</c:v>
                </c:pt>
                <c:pt idx="116">
                  <c:v>1.2110000000000001</c:v>
                </c:pt>
                <c:pt idx="117">
                  <c:v>1.2243999999999999</c:v>
                </c:pt>
                <c:pt idx="118">
                  <c:v>1.0470999999999999</c:v>
                </c:pt>
                <c:pt idx="119">
                  <c:v>0.94</c:v>
                </c:pt>
                <c:pt idx="120">
                  <c:v>0.92169999999999996</c:v>
                </c:pt>
                <c:pt idx="121">
                  <c:v>0.92600000000000005</c:v>
                </c:pt>
                <c:pt idx="122">
                  <c:v>1.026</c:v>
                </c:pt>
                <c:pt idx="123">
                  <c:v>1.159</c:v>
                </c:pt>
                <c:pt idx="124">
                  <c:v>1.0201</c:v>
                </c:pt>
                <c:pt idx="125">
                  <c:v>1.1182000000000001</c:v>
                </c:pt>
                <c:pt idx="126">
                  <c:v>0.90739999999999998</c:v>
                </c:pt>
                <c:pt idx="127">
                  <c:v>0.83379999999999999</c:v>
                </c:pt>
                <c:pt idx="128">
                  <c:v>0.71240000000000003</c:v>
                </c:pt>
                <c:pt idx="129">
                  <c:v>0.80179999999999996</c:v>
                </c:pt>
                <c:pt idx="130">
                  <c:v>0.88880000000000003</c:v>
                </c:pt>
                <c:pt idx="131">
                  <c:v>0.97550000000000003</c:v>
                </c:pt>
                <c:pt idx="132">
                  <c:v>0.94499999999999995</c:v>
                </c:pt>
                <c:pt idx="133">
                  <c:v>0.9919</c:v>
                </c:pt>
                <c:pt idx="134">
                  <c:v>1.0846</c:v>
                </c:pt>
                <c:pt idx="135">
                  <c:v>0.8226</c:v>
                </c:pt>
                <c:pt idx="136">
                  <c:v>0.66700000000000004</c:v>
                </c:pt>
                <c:pt idx="137">
                  <c:v>0.73060000000000003</c:v>
                </c:pt>
                <c:pt idx="138">
                  <c:v>0.70409999999999995</c:v>
                </c:pt>
                <c:pt idx="139">
                  <c:v>0.70799999999999996</c:v>
                </c:pt>
                <c:pt idx="140">
                  <c:v>0.72989999999999999</c:v>
                </c:pt>
                <c:pt idx="141">
                  <c:v>0.67020000000000002</c:v>
                </c:pt>
                <c:pt idx="142">
                  <c:v>0.67520000000000002</c:v>
                </c:pt>
                <c:pt idx="143">
                  <c:v>0.80400000000000005</c:v>
                </c:pt>
                <c:pt idx="144">
                  <c:v>0.84840000000000004</c:v>
                </c:pt>
                <c:pt idx="145">
                  <c:v>0.84109999999999996</c:v>
                </c:pt>
                <c:pt idx="146">
                  <c:v>0.82189999999999996</c:v>
                </c:pt>
                <c:pt idx="147">
                  <c:v>0.80720000000000003</c:v>
                </c:pt>
                <c:pt idx="148">
                  <c:v>0.87</c:v>
                </c:pt>
                <c:pt idx="149">
                  <c:v>0.75890000000000002</c:v>
                </c:pt>
                <c:pt idx="150">
                  <c:v>0.6452</c:v>
                </c:pt>
                <c:pt idx="151">
                  <c:v>0.6663</c:v>
                </c:pt>
                <c:pt idx="152">
                  <c:v>0.60570000000000002</c:v>
                </c:pt>
                <c:pt idx="153">
                  <c:v>0.6139</c:v>
                </c:pt>
                <c:pt idx="154">
                  <c:v>0.54090000000000005</c:v>
                </c:pt>
                <c:pt idx="155">
                  <c:v>0.58779000000000003</c:v>
                </c:pt>
                <c:pt idx="156">
                  <c:v>0.60836000000000001</c:v>
                </c:pt>
                <c:pt idx="157">
                  <c:v>0.65329999999999999</c:v>
                </c:pt>
                <c:pt idx="158">
                  <c:v>0.61648999999999998</c:v>
                </c:pt>
                <c:pt idx="159">
                  <c:v>0.60501000000000005</c:v>
                </c:pt>
                <c:pt idx="160">
                  <c:v>0.64380000000000004</c:v>
                </c:pt>
                <c:pt idx="161">
                  <c:v>0.56916</c:v>
                </c:pt>
                <c:pt idx="162">
                  <c:v>0.55223</c:v>
                </c:pt>
                <c:pt idx="163">
                  <c:v>0.59004000000000001</c:v>
                </c:pt>
                <c:pt idx="164">
                  <c:v>0.50202000000000002</c:v>
                </c:pt>
                <c:pt idx="165">
                  <c:v>0.51419000000000004</c:v>
                </c:pt>
                <c:pt idx="166">
                  <c:v>0.52320999999999995</c:v>
                </c:pt>
                <c:pt idx="167">
                  <c:v>0.52080000000000004</c:v>
                </c:pt>
                <c:pt idx="168">
                  <c:v>0.47585</c:v>
                </c:pt>
                <c:pt idx="169">
                  <c:v>0.50124999999999997</c:v>
                </c:pt>
                <c:pt idx="170">
                  <c:v>0.47321999999999997</c:v>
                </c:pt>
                <c:pt idx="171">
                  <c:v>0.44956000000000002</c:v>
                </c:pt>
                <c:pt idx="172">
                  <c:v>0.42441000000000001</c:v>
                </c:pt>
                <c:pt idx="173">
                  <c:v>0.46995999999999999</c:v>
                </c:pt>
                <c:pt idx="174">
                  <c:v>0.44607999999999998</c:v>
                </c:pt>
                <c:pt idx="175">
                  <c:v>0.43195</c:v>
                </c:pt>
                <c:pt idx="176">
                  <c:v>0.42849999999999999</c:v>
                </c:pt>
                <c:pt idx="177">
                  <c:v>0.42482999999999999</c:v>
                </c:pt>
                <c:pt idx="178">
                  <c:v>0.43437999999999999</c:v>
                </c:pt>
                <c:pt idx="179">
                  <c:v>0.43339</c:v>
                </c:pt>
                <c:pt idx="180">
                  <c:v>0.43851000000000001</c:v>
                </c:pt>
                <c:pt idx="181">
                  <c:v>0.41936000000000001</c:v>
                </c:pt>
                <c:pt idx="182">
                  <c:v>0.37996000000000002</c:v>
                </c:pt>
                <c:pt idx="183">
                  <c:v>0.36237999999999998</c:v>
                </c:pt>
                <c:pt idx="184">
                  <c:v>0.34939999999999999</c:v>
                </c:pt>
                <c:pt idx="185">
                  <c:v>0.34743000000000002</c:v>
                </c:pt>
                <c:pt idx="186">
                  <c:v>0.33745000000000003</c:v>
                </c:pt>
                <c:pt idx="187">
                  <c:v>0.33605000000000002</c:v>
                </c:pt>
                <c:pt idx="188">
                  <c:v>0.33912999999999999</c:v>
                </c:pt>
                <c:pt idx="189">
                  <c:v>0.32533000000000001</c:v>
                </c:pt>
                <c:pt idx="190">
                  <c:v>0.31472</c:v>
                </c:pt>
                <c:pt idx="191">
                  <c:v>0.27927000000000002</c:v>
                </c:pt>
                <c:pt idx="192">
                  <c:v>0.29565000000000002</c:v>
                </c:pt>
                <c:pt idx="193">
                  <c:v>0.31219000000000002</c:v>
                </c:pt>
                <c:pt idx="194">
                  <c:v>0.30624000000000001</c:v>
                </c:pt>
                <c:pt idx="195">
                  <c:v>0.30484</c:v>
                </c:pt>
                <c:pt idx="196">
                  <c:v>0.32064999999999999</c:v>
                </c:pt>
                <c:pt idx="197">
                  <c:v>0.33787</c:v>
                </c:pt>
                <c:pt idx="198">
                  <c:v>0.33595000000000003</c:v>
                </c:pt>
                <c:pt idx="199">
                  <c:v>0.35846</c:v>
                </c:pt>
                <c:pt idx="200">
                  <c:v>0.36971999999999999</c:v>
                </c:pt>
                <c:pt idx="201">
                  <c:v>0.36749999999999999</c:v>
                </c:pt>
                <c:pt idx="202">
                  <c:v>0.36687999999999998</c:v>
                </c:pt>
                <c:pt idx="203">
                  <c:v>0.36070999999999998</c:v>
                </c:pt>
                <c:pt idx="204">
                  <c:v>0.39611000000000002</c:v>
                </c:pt>
                <c:pt idx="205">
                  <c:v>0.38918000000000003</c:v>
                </c:pt>
                <c:pt idx="206">
                  <c:v>0.37010999999999999</c:v>
                </c:pt>
                <c:pt idx="207">
                  <c:v>0.38274999999999998</c:v>
                </c:pt>
                <c:pt idx="208">
                  <c:v>0.38696000000000003</c:v>
                </c:pt>
                <c:pt idx="209">
                  <c:v>0.35654000000000002</c:v>
                </c:pt>
                <c:pt idx="210">
                  <c:v>0.35348000000000002</c:v>
                </c:pt>
                <c:pt idx="211">
                  <c:v>0.37363000000000002</c:v>
                </c:pt>
                <c:pt idx="212">
                  <c:v>0.38218000000000002</c:v>
                </c:pt>
                <c:pt idx="213">
                  <c:v>0.35911999999999999</c:v>
                </c:pt>
                <c:pt idx="214">
                  <c:v>0.35004999999999997</c:v>
                </c:pt>
                <c:pt idx="215">
                  <c:v>0.33409</c:v>
                </c:pt>
                <c:pt idx="216">
                  <c:v>0.34</c:v>
                </c:pt>
                <c:pt idx="217">
                  <c:v>0.35378999999999999</c:v>
                </c:pt>
                <c:pt idx="218">
                  <c:v>0.34459000000000001</c:v>
                </c:pt>
                <c:pt idx="219">
                  <c:v>0.31841999999999998</c:v>
                </c:pt>
                <c:pt idx="220">
                  <c:v>0.33321000000000001</c:v>
                </c:pt>
                <c:pt idx="221">
                  <c:v>0.41302</c:v>
                </c:pt>
                <c:pt idx="222">
                  <c:v>0.40760999999999997</c:v>
                </c:pt>
                <c:pt idx="223">
                  <c:v>0.40448000000000001</c:v>
                </c:pt>
                <c:pt idx="224">
                  <c:v>0.44127</c:v>
                </c:pt>
                <c:pt idx="225">
                  <c:v>0.42854999999999999</c:v>
                </c:pt>
                <c:pt idx="226">
                  <c:v>0.47212999999999999</c:v>
                </c:pt>
                <c:pt idx="227">
                  <c:v>0.46037</c:v>
                </c:pt>
                <c:pt idx="228">
                  <c:v>0.43536000000000002</c:v>
                </c:pt>
                <c:pt idx="229">
                  <c:v>0.40853</c:v>
                </c:pt>
                <c:pt idx="230">
                  <c:v>0.42631999999999998</c:v>
                </c:pt>
                <c:pt idx="231">
                  <c:v>0.45504</c:v>
                </c:pt>
                <c:pt idx="232">
                  <c:v>0.49226999999999999</c:v>
                </c:pt>
                <c:pt idx="233">
                  <c:v>0.49951000000000001</c:v>
                </c:pt>
                <c:pt idx="234">
                  <c:v>0.47467999999999999</c:v>
                </c:pt>
                <c:pt idx="235">
                  <c:v>0.53544999999999998</c:v>
                </c:pt>
                <c:pt idx="236">
                  <c:v>0.51841000000000004</c:v>
                </c:pt>
                <c:pt idx="237">
                  <c:v>0.54920999999999998</c:v>
                </c:pt>
                <c:pt idx="238">
                  <c:v>0.60997999999999997</c:v>
                </c:pt>
                <c:pt idx="239">
                  <c:v>0.59767000000000003</c:v>
                </c:pt>
                <c:pt idx="240">
                  <c:v>0.62865000000000004</c:v>
                </c:pt>
                <c:pt idx="241">
                  <c:v>0.56589</c:v>
                </c:pt>
                <c:pt idx="242">
                  <c:v>0.45630999999999999</c:v>
                </c:pt>
                <c:pt idx="243">
                  <c:v>0.44923000000000002</c:v>
                </c:pt>
                <c:pt idx="244">
                  <c:v>0.51478000000000002</c:v>
                </c:pt>
                <c:pt idx="245">
                  <c:v>0.60150000000000003</c:v>
                </c:pt>
                <c:pt idx="246">
                  <c:v>0.59086000000000005</c:v>
                </c:pt>
                <c:pt idx="247">
                  <c:v>0.47876999999999997</c:v>
                </c:pt>
                <c:pt idx="248">
                  <c:v>0.47920000000000001</c:v>
                </c:pt>
                <c:pt idx="249">
                  <c:v>0.36499999999999999</c:v>
                </c:pt>
                <c:pt idx="250">
                  <c:v>0.41592000000000001</c:v>
                </c:pt>
                <c:pt idx="251">
                  <c:v>0.46188000000000001</c:v>
                </c:pt>
                <c:pt idx="252">
                  <c:v>0.55274000000000001</c:v>
                </c:pt>
                <c:pt idx="253">
                  <c:v>0.46343000000000001</c:v>
                </c:pt>
                <c:pt idx="254">
                  <c:v>0.74899000000000004</c:v>
                </c:pt>
                <c:pt idx="255">
                  <c:v>0.71828000000000003</c:v>
                </c:pt>
                <c:pt idx="256">
                  <c:v>0.77500000000000002</c:v>
                </c:pt>
                <c:pt idx="257">
                  <c:v>0.77495000000000003</c:v>
                </c:pt>
                <c:pt idx="258">
                  <c:v>0.85240000000000005</c:v>
                </c:pt>
                <c:pt idx="259">
                  <c:v>0.82223999999999997</c:v>
                </c:pt>
                <c:pt idx="260">
                  <c:v>0.81271000000000004</c:v>
                </c:pt>
                <c:pt idx="261">
                  <c:v>0.92642999999999998</c:v>
                </c:pt>
                <c:pt idx="262">
                  <c:v>0.86102000000000001</c:v>
                </c:pt>
                <c:pt idx="263">
                  <c:v>0.97185999999999995</c:v>
                </c:pt>
                <c:pt idx="264">
                  <c:v>1.0094399999999999</c:v>
                </c:pt>
                <c:pt idx="265">
                  <c:v>1.01454</c:v>
                </c:pt>
                <c:pt idx="266">
                  <c:v>0.97050000000000003</c:v>
                </c:pt>
                <c:pt idx="267">
                  <c:v>0.97543999999999997</c:v>
                </c:pt>
                <c:pt idx="268">
                  <c:v>0.87956999999999996</c:v>
                </c:pt>
                <c:pt idx="269">
                  <c:v>0.98353000000000002</c:v>
                </c:pt>
                <c:pt idx="270">
                  <c:v>0.96330000000000005</c:v>
                </c:pt>
                <c:pt idx="271">
                  <c:v>0.98221000000000003</c:v>
                </c:pt>
                <c:pt idx="272">
                  <c:v>0.97685999999999995</c:v>
                </c:pt>
                <c:pt idx="273">
                  <c:v>0.84289999999999998</c:v>
                </c:pt>
                <c:pt idx="274">
                  <c:v>0.85487999999999997</c:v>
                </c:pt>
                <c:pt idx="275">
                  <c:v>0.90517000000000003</c:v>
                </c:pt>
                <c:pt idx="276">
                  <c:v>0.85309999999999997</c:v>
                </c:pt>
                <c:pt idx="277">
                  <c:v>0.74390999999999996</c:v>
                </c:pt>
                <c:pt idx="278">
                  <c:v>0.75502999999999998</c:v>
                </c:pt>
                <c:pt idx="279">
                  <c:v>0.82038</c:v>
                </c:pt>
                <c:pt idx="280">
                  <c:v>0.80586999999999998</c:v>
                </c:pt>
                <c:pt idx="281">
                  <c:v>0.84340999999999999</c:v>
                </c:pt>
                <c:pt idx="282">
                  <c:v>0.88251999999999997</c:v>
                </c:pt>
                <c:pt idx="283">
                  <c:v>0.86846999999999996</c:v>
                </c:pt>
                <c:pt idx="284">
                  <c:v>0.9597</c:v>
                </c:pt>
                <c:pt idx="285">
                  <c:v>1.093</c:v>
                </c:pt>
                <c:pt idx="286">
                  <c:v>1.1536500000000001</c:v>
                </c:pt>
                <c:pt idx="287">
                  <c:v>1.09857</c:v>
                </c:pt>
                <c:pt idx="288">
                  <c:v>1.0203199999999999</c:v>
                </c:pt>
                <c:pt idx="289">
                  <c:v>1.0195799999999999</c:v>
                </c:pt>
                <c:pt idx="290">
                  <c:v>1.02658</c:v>
                </c:pt>
                <c:pt idx="291">
                  <c:v>1.04589</c:v>
                </c:pt>
                <c:pt idx="292">
                  <c:v>1.06671</c:v>
                </c:pt>
                <c:pt idx="293">
                  <c:v>1.0472999999999999</c:v>
                </c:pt>
                <c:pt idx="294">
                  <c:v>1.02989</c:v>
                </c:pt>
                <c:pt idx="295">
                  <c:v>0.98855000000000004</c:v>
                </c:pt>
                <c:pt idx="296">
                  <c:v>1.0791999999999999</c:v>
                </c:pt>
                <c:pt idx="297">
                  <c:v>1.03904</c:v>
                </c:pt>
                <c:pt idx="298">
                  <c:v>1.08012</c:v>
                </c:pt>
                <c:pt idx="299">
                  <c:v>1.0087999999999999</c:v>
                </c:pt>
                <c:pt idx="300">
                  <c:v>1.1046400000000001</c:v>
                </c:pt>
                <c:pt idx="301">
                  <c:v>1.0466599999999999</c:v>
                </c:pt>
                <c:pt idx="302">
                  <c:v>1.02901</c:v>
                </c:pt>
                <c:pt idx="303">
                  <c:v>1.0692999999999999</c:v>
                </c:pt>
                <c:pt idx="304">
                  <c:v>1.08619</c:v>
                </c:pt>
                <c:pt idx="305">
                  <c:v>1.01294</c:v>
                </c:pt>
                <c:pt idx="306">
                  <c:v>0.96813000000000005</c:v>
                </c:pt>
                <c:pt idx="307">
                  <c:v>0.95645999999999998</c:v>
                </c:pt>
                <c:pt idx="308">
                  <c:v>0.84772999999999998</c:v>
                </c:pt>
                <c:pt idx="309">
                  <c:v>0.87688999999999995</c:v>
                </c:pt>
                <c:pt idx="310">
                  <c:v>0.95986000000000005</c:v>
                </c:pt>
                <c:pt idx="311">
                  <c:v>0.99650000000000005</c:v>
                </c:pt>
                <c:pt idx="312">
                  <c:v>1.0686800000000001</c:v>
                </c:pt>
                <c:pt idx="313">
                  <c:v>1.0730299999999999</c:v>
                </c:pt>
                <c:pt idx="314">
                  <c:v>1.105</c:v>
                </c:pt>
                <c:pt idx="315">
                  <c:v>1.09666</c:v>
                </c:pt>
                <c:pt idx="316">
                  <c:v>1.10077</c:v>
                </c:pt>
                <c:pt idx="317">
                  <c:v>1.0975600000000001</c:v>
                </c:pt>
                <c:pt idx="318">
                  <c:v>1.0880000000000001</c:v>
                </c:pt>
                <c:pt idx="319">
                  <c:v>1.1011899999999999</c:v>
                </c:pt>
                <c:pt idx="320">
                  <c:v>1.1976800000000001</c:v>
                </c:pt>
                <c:pt idx="321">
                  <c:v>1.15594</c:v>
                </c:pt>
                <c:pt idx="322">
                  <c:v>1.2511399999999999</c:v>
                </c:pt>
                <c:pt idx="323">
                  <c:v>1.2368300000000001</c:v>
                </c:pt>
                <c:pt idx="324">
                  <c:v>1.34</c:v>
                </c:pt>
                <c:pt idx="325">
                  <c:v>1.2099</c:v>
                </c:pt>
                <c:pt idx="326">
                  <c:v>1.17638</c:v>
                </c:pt>
                <c:pt idx="327">
                  <c:v>1.0702799999999999</c:v>
                </c:pt>
                <c:pt idx="328">
                  <c:v>1.0469999999999999</c:v>
                </c:pt>
                <c:pt idx="329">
                  <c:v>1.04434</c:v>
                </c:pt>
                <c:pt idx="330">
                  <c:v>1.1202099999999999</c:v>
                </c:pt>
                <c:pt idx="331">
                  <c:v>1.10117</c:v>
                </c:pt>
                <c:pt idx="332">
                  <c:v>1.1559699999999999</c:v>
                </c:pt>
                <c:pt idx="333">
                  <c:v>1.0469999999999999</c:v>
                </c:pt>
                <c:pt idx="334">
                  <c:v>1.0719000000000001</c:v>
                </c:pt>
                <c:pt idx="335">
                  <c:v>1.0177499999999999</c:v>
                </c:pt>
                <c:pt idx="336">
                  <c:v>1.07073</c:v>
                </c:pt>
                <c:pt idx="337">
                  <c:v>1.1469800000000001</c:v>
                </c:pt>
                <c:pt idx="338">
                  <c:v>1.1250800000000001</c:v>
                </c:pt>
                <c:pt idx="339">
                  <c:v>1.34558</c:v>
                </c:pt>
                <c:pt idx="340">
                  <c:v>1.3850100000000001</c:v>
                </c:pt>
                <c:pt idx="341">
                  <c:v>1.4075800000000001</c:v>
                </c:pt>
                <c:pt idx="342">
                  <c:v>1.75177</c:v>
                </c:pt>
                <c:pt idx="343">
                  <c:v>1.1970400000000001</c:v>
                </c:pt>
                <c:pt idx="344">
                  <c:v>1.01979</c:v>
                </c:pt>
                <c:pt idx="345">
                  <c:v>1.0764499999999999</c:v>
                </c:pt>
                <c:pt idx="346">
                  <c:v>0.91300999999999999</c:v>
                </c:pt>
                <c:pt idx="347">
                  <c:v>0.89771000000000001</c:v>
                </c:pt>
                <c:pt idx="348">
                  <c:v>0.99358999999999997</c:v>
                </c:pt>
                <c:pt idx="349">
                  <c:v>1.0452699999999999</c:v>
                </c:pt>
                <c:pt idx="350">
                  <c:v>0.99533000000000005</c:v>
                </c:pt>
                <c:pt idx="351">
                  <c:v>0.85429999999999995</c:v>
                </c:pt>
                <c:pt idx="352">
                  <c:v>0.87507000000000001</c:v>
                </c:pt>
                <c:pt idx="353">
                  <c:v>0.80342000000000002</c:v>
                </c:pt>
                <c:pt idx="354">
                  <c:v>0.76803999999999994</c:v>
                </c:pt>
                <c:pt idx="355">
                  <c:v>0.78347999999999995</c:v>
                </c:pt>
                <c:pt idx="356">
                  <c:v>0.84140999999999999</c:v>
                </c:pt>
                <c:pt idx="357">
                  <c:v>0.80447999999999997</c:v>
                </c:pt>
                <c:pt idx="358">
                  <c:v>0.68357000000000001</c:v>
                </c:pt>
                <c:pt idx="359">
                  <c:v>0.66942000000000002</c:v>
                </c:pt>
                <c:pt idx="360">
                  <c:v>0.62400999999999995</c:v>
                </c:pt>
                <c:pt idx="361">
                  <c:v>0.63090000000000002</c:v>
                </c:pt>
                <c:pt idx="362">
                  <c:v>0.58896000000000004</c:v>
                </c:pt>
                <c:pt idx="363">
                  <c:v>0.56732000000000005</c:v>
                </c:pt>
                <c:pt idx="364">
                  <c:v>0.57701000000000002</c:v>
                </c:pt>
                <c:pt idx="365">
                  <c:v>0.51932</c:v>
                </c:pt>
                <c:pt idx="366">
                  <c:v>0.59950999999999999</c:v>
                </c:pt>
                <c:pt idx="367">
                  <c:v>0.57188000000000005</c:v>
                </c:pt>
                <c:pt idx="368">
                  <c:v>0.62878999999999996</c:v>
                </c:pt>
                <c:pt idx="369">
                  <c:v>0.62748999999999999</c:v>
                </c:pt>
                <c:pt idx="370">
                  <c:v>0.63500999999999996</c:v>
                </c:pt>
                <c:pt idx="371">
                  <c:v>0.58528999999999998</c:v>
                </c:pt>
                <c:pt idx="372">
                  <c:v>0.75927999999999995</c:v>
                </c:pt>
                <c:pt idx="373">
                  <c:v>0.68720000000000003</c:v>
                </c:pt>
                <c:pt idx="374">
                  <c:v>0.59275999999999995</c:v>
                </c:pt>
                <c:pt idx="375">
                  <c:v>0.61889000000000005</c:v>
                </c:pt>
                <c:pt idx="376">
                  <c:v>0.53517999999999999</c:v>
                </c:pt>
                <c:pt idx="377">
                  <c:v>0.52019000000000004</c:v>
                </c:pt>
                <c:pt idx="378">
                  <c:v>0.47869</c:v>
                </c:pt>
                <c:pt idx="379">
                  <c:v>0.43786999999999998</c:v>
                </c:pt>
                <c:pt idx="380">
                  <c:v>0.36104999999999998</c:v>
                </c:pt>
                <c:pt idx="381">
                  <c:v>0.36663000000000001</c:v>
                </c:pt>
                <c:pt idx="382">
                  <c:v>0.41194999999999998</c:v>
                </c:pt>
                <c:pt idx="383">
                  <c:v>0.44485000000000002</c:v>
                </c:pt>
                <c:pt idx="384">
                  <c:v>0.38618000000000002</c:v>
                </c:pt>
                <c:pt idx="385">
                  <c:v>0.36277999999999999</c:v>
                </c:pt>
                <c:pt idx="386">
                  <c:v>0.37067</c:v>
                </c:pt>
                <c:pt idx="387">
                  <c:v>0.34304000000000001</c:v>
                </c:pt>
                <c:pt idx="388">
                  <c:v>0.33665</c:v>
                </c:pt>
                <c:pt idx="389">
                  <c:v>0.33484000000000003</c:v>
                </c:pt>
                <c:pt idx="390">
                  <c:v>0.31213999999999997</c:v>
                </c:pt>
                <c:pt idx="391">
                  <c:v>0.31629000000000002</c:v>
                </c:pt>
                <c:pt idx="392">
                  <c:v>0.32200000000000001</c:v>
                </c:pt>
                <c:pt idx="393">
                  <c:v>0.32432</c:v>
                </c:pt>
                <c:pt idx="394">
                  <c:v>0.35399999999999998</c:v>
                </c:pt>
                <c:pt idx="395">
                  <c:v>0.33445999999999998</c:v>
                </c:pt>
                <c:pt idx="396">
                  <c:v>0.28061000000000003</c:v>
                </c:pt>
                <c:pt idx="397">
                  <c:v>0.25803999999999999</c:v>
                </c:pt>
                <c:pt idx="398">
                  <c:v>0.26973999999999998</c:v>
                </c:pt>
                <c:pt idx="399">
                  <c:v>0.27155000000000001</c:v>
                </c:pt>
                <c:pt idx="400">
                  <c:v>0.25081999999999999</c:v>
                </c:pt>
                <c:pt idx="401">
                  <c:v>0.29048000000000002</c:v>
                </c:pt>
                <c:pt idx="402">
                  <c:v>0.26678000000000002</c:v>
                </c:pt>
                <c:pt idx="403">
                  <c:v>0.27899000000000002</c:v>
                </c:pt>
                <c:pt idx="404">
                  <c:v>0.29169</c:v>
                </c:pt>
                <c:pt idx="405">
                  <c:v>0.29624</c:v>
                </c:pt>
                <c:pt idx="406">
                  <c:v>0.28967999999999999</c:v>
                </c:pt>
                <c:pt idx="407">
                  <c:v>0.30396000000000001</c:v>
                </c:pt>
                <c:pt idx="408">
                  <c:v>0.29119</c:v>
                </c:pt>
                <c:pt idx="409">
                  <c:v>0.28699999999999998</c:v>
                </c:pt>
                <c:pt idx="410">
                  <c:v>0.29020000000000001</c:v>
                </c:pt>
                <c:pt idx="411">
                  <c:v>0.28288000000000002</c:v>
                </c:pt>
                <c:pt idx="412">
                  <c:v>0.26661000000000001</c:v>
                </c:pt>
                <c:pt idx="413">
                  <c:v>0.27766000000000002</c:v>
                </c:pt>
                <c:pt idx="414">
                  <c:v>0.29293000000000002</c:v>
                </c:pt>
                <c:pt idx="415">
                  <c:v>0.29770999999999997</c:v>
                </c:pt>
                <c:pt idx="416">
                  <c:v>0.33443000000000001</c:v>
                </c:pt>
                <c:pt idx="417">
                  <c:v>0.34048</c:v>
                </c:pt>
                <c:pt idx="418">
                  <c:v>0.33328000000000002</c:v>
                </c:pt>
                <c:pt idx="419">
                  <c:v>0.31940000000000002</c:v>
                </c:pt>
                <c:pt idx="420">
                  <c:v>0.35654000000000002</c:v>
                </c:pt>
                <c:pt idx="421">
                  <c:v>0.33865000000000001</c:v>
                </c:pt>
                <c:pt idx="422">
                  <c:v>0.31162000000000001</c:v>
                </c:pt>
                <c:pt idx="423">
                  <c:v>0.33615</c:v>
                </c:pt>
                <c:pt idx="424">
                  <c:v>0.32140000000000002</c:v>
                </c:pt>
                <c:pt idx="425">
                  <c:v>0.31507000000000002</c:v>
                </c:pt>
                <c:pt idx="426">
                  <c:v>0.31098999999999999</c:v>
                </c:pt>
                <c:pt idx="427">
                  <c:v>0.31677</c:v>
                </c:pt>
                <c:pt idx="428">
                  <c:v>0.36747000000000002</c:v>
                </c:pt>
                <c:pt idx="429">
                  <c:v>0.37297999999999998</c:v>
                </c:pt>
                <c:pt idx="430">
                  <c:v>0.36460999999999999</c:v>
                </c:pt>
                <c:pt idx="431">
                  <c:v>0.35249000000000003</c:v>
                </c:pt>
                <c:pt idx="432">
                  <c:v>0.35650999999999999</c:v>
                </c:pt>
                <c:pt idx="433">
                  <c:v>0.32121</c:v>
                </c:pt>
                <c:pt idx="434">
                  <c:v>0.31570999999999999</c:v>
                </c:pt>
                <c:pt idx="435">
                  <c:v>0.32202999999999998</c:v>
                </c:pt>
                <c:pt idx="436">
                  <c:v>0.34560999999999997</c:v>
                </c:pt>
                <c:pt idx="437">
                  <c:v>0.32250000000000001</c:v>
                </c:pt>
                <c:pt idx="438">
                  <c:v>0.30547999999999997</c:v>
                </c:pt>
                <c:pt idx="439">
                  <c:v>0.30649999999999999</c:v>
                </c:pt>
                <c:pt idx="440">
                  <c:v>0.31813999999999998</c:v>
                </c:pt>
                <c:pt idx="441">
                  <c:v>0.29783999999999999</c:v>
                </c:pt>
                <c:pt idx="442">
                  <c:v>0.315</c:v>
                </c:pt>
                <c:pt idx="443">
                  <c:v>0.34104000000000001</c:v>
                </c:pt>
                <c:pt idx="444">
                  <c:v>0.32800000000000001</c:v>
                </c:pt>
                <c:pt idx="445">
                  <c:v>0.30669000000000002</c:v>
                </c:pt>
                <c:pt idx="446">
                  <c:v>0.28238000000000002</c:v>
                </c:pt>
                <c:pt idx="447">
                  <c:v>0.31347000000000003</c:v>
                </c:pt>
                <c:pt idx="448">
                  <c:v>0.26301999999999998</c:v>
                </c:pt>
                <c:pt idx="449">
                  <c:v>0.24867</c:v>
                </c:pt>
                <c:pt idx="450">
                  <c:v>0.25677</c:v>
                </c:pt>
                <c:pt idx="451">
                  <c:v>0.25247999999999998</c:v>
                </c:pt>
                <c:pt idx="452">
                  <c:v>0.26737</c:v>
                </c:pt>
                <c:pt idx="453">
                  <c:v>0.28544000000000003</c:v>
                </c:pt>
                <c:pt idx="454">
                  <c:v>0.26695999999999998</c:v>
                </c:pt>
                <c:pt idx="455">
                  <c:v>0.25600000000000001</c:v>
                </c:pt>
                <c:pt idx="456">
                  <c:v>0.27871000000000001</c:v>
                </c:pt>
                <c:pt idx="457">
                  <c:v>0.30096000000000001</c:v>
                </c:pt>
                <c:pt idx="458">
                  <c:v>0.29569000000000001</c:v>
                </c:pt>
                <c:pt idx="459">
                  <c:v>0.31324000000000002</c:v>
                </c:pt>
                <c:pt idx="460">
                  <c:v>0.32865</c:v>
                </c:pt>
                <c:pt idx="461">
                  <c:v>0.33932000000000001</c:v>
                </c:pt>
                <c:pt idx="462">
                  <c:v>0.33778999999999998</c:v>
                </c:pt>
                <c:pt idx="463">
                  <c:v>0.32612000000000002</c:v>
                </c:pt>
                <c:pt idx="464">
                  <c:v>0.28372000000000003</c:v>
                </c:pt>
                <c:pt idx="465">
                  <c:v>0.32423999999999997</c:v>
                </c:pt>
                <c:pt idx="466">
                  <c:v>0.34562999999999999</c:v>
                </c:pt>
                <c:pt idx="467">
                  <c:v>0.34755999999999998</c:v>
                </c:pt>
                <c:pt idx="468">
                  <c:v>0.32483000000000001</c:v>
                </c:pt>
                <c:pt idx="469">
                  <c:v>0.36080000000000001</c:v>
                </c:pt>
                <c:pt idx="470">
                  <c:v>0.38722000000000001</c:v>
                </c:pt>
                <c:pt idx="471">
                  <c:v>0.34044000000000002</c:v>
                </c:pt>
                <c:pt idx="472">
                  <c:v>0.35770000000000002</c:v>
                </c:pt>
                <c:pt idx="473">
                  <c:v>0.42203000000000002</c:v>
                </c:pt>
                <c:pt idx="474">
                  <c:v>0.30442999999999998</c:v>
                </c:pt>
                <c:pt idx="475">
                  <c:v>0.27875</c:v>
                </c:pt>
                <c:pt idx="476">
                  <c:v>0.27496999999999999</c:v>
                </c:pt>
                <c:pt idx="477">
                  <c:v>0.26155</c:v>
                </c:pt>
                <c:pt idx="478">
                  <c:v>0.23447000000000001</c:v>
                </c:pt>
                <c:pt idx="479">
                  <c:v>0.24884000000000001</c:v>
                </c:pt>
                <c:pt idx="480">
                  <c:v>0.27067000000000002</c:v>
                </c:pt>
                <c:pt idx="481">
                  <c:v>0.26777000000000001</c:v>
                </c:pt>
                <c:pt idx="482">
                  <c:v>0.25939000000000001</c:v>
                </c:pt>
                <c:pt idx="483">
                  <c:v>0.28392000000000001</c:v>
                </c:pt>
                <c:pt idx="484">
                  <c:v>0.23826</c:v>
                </c:pt>
                <c:pt idx="485">
                  <c:v>0.23946999999999999</c:v>
                </c:pt>
                <c:pt idx="486">
                  <c:v>0.21679000000000001</c:v>
                </c:pt>
                <c:pt idx="487">
                  <c:v>0.24166000000000001</c:v>
                </c:pt>
                <c:pt idx="488">
                  <c:v>0.24932000000000001</c:v>
                </c:pt>
                <c:pt idx="489">
                  <c:v>0.22725000000000001</c:v>
                </c:pt>
                <c:pt idx="490">
                  <c:v>0.19561000000000001</c:v>
                </c:pt>
                <c:pt idx="491">
                  <c:v>0.16891999999999999</c:v>
                </c:pt>
                <c:pt idx="492">
                  <c:v>0.20502000000000001</c:v>
                </c:pt>
                <c:pt idx="493">
                  <c:v>0.21102000000000001</c:v>
                </c:pt>
                <c:pt idx="494">
                  <c:v>0.23383999999999999</c:v>
                </c:pt>
                <c:pt idx="495">
                  <c:v>0.24273</c:v>
                </c:pt>
                <c:pt idx="496">
                  <c:v>0.24176</c:v>
                </c:pt>
                <c:pt idx="497">
                  <c:v>0.25863000000000003</c:v>
                </c:pt>
                <c:pt idx="498">
                  <c:v>0.26937</c:v>
                </c:pt>
                <c:pt idx="499">
                  <c:v>0.27550000000000002</c:v>
                </c:pt>
                <c:pt idx="500">
                  <c:v>0.31452000000000002</c:v>
                </c:pt>
                <c:pt idx="501">
                  <c:v>0.31899</c:v>
                </c:pt>
                <c:pt idx="502">
                  <c:v>0.33049000000000001</c:v>
                </c:pt>
                <c:pt idx="503">
                  <c:v>0.31901000000000002</c:v>
                </c:pt>
                <c:pt idx="504">
                  <c:v>0.32506000000000002</c:v>
                </c:pt>
                <c:pt idx="505">
                  <c:v>0.32080999999999998</c:v>
                </c:pt>
                <c:pt idx="506">
                  <c:v>0.27638000000000001</c:v>
                </c:pt>
                <c:pt idx="507">
                  <c:v>0.29485</c:v>
                </c:pt>
                <c:pt idx="508">
                  <c:v>0.30391000000000001</c:v>
                </c:pt>
                <c:pt idx="509">
                  <c:v>0.28610999999999998</c:v>
                </c:pt>
                <c:pt idx="510">
                  <c:v>0.37794</c:v>
                </c:pt>
                <c:pt idx="511">
                  <c:v>0.36791000000000001</c:v>
                </c:pt>
                <c:pt idx="512">
                  <c:v>0.504</c:v>
                </c:pt>
                <c:pt idx="513">
                  <c:v>0.57550999999999997</c:v>
                </c:pt>
                <c:pt idx="514">
                  <c:v>0.52798999999999996</c:v>
                </c:pt>
                <c:pt idx="515">
                  <c:v>0.44314999999999999</c:v>
                </c:pt>
                <c:pt idx="516">
                  <c:v>0.42451</c:v>
                </c:pt>
                <c:pt idx="517">
                  <c:v>0.44172</c:v>
                </c:pt>
                <c:pt idx="518">
                  <c:v>0.41898999999999997</c:v>
                </c:pt>
                <c:pt idx="519">
                  <c:v>0.45607999999999999</c:v>
                </c:pt>
                <c:pt idx="520">
                  <c:v>0.40695999999999999</c:v>
                </c:pt>
                <c:pt idx="521">
                  <c:v>0.44245000000000001</c:v>
                </c:pt>
                <c:pt idx="522">
                  <c:v>0.438</c:v>
                </c:pt>
                <c:pt idx="523">
                  <c:v>0.45956000000000002</c:v>
                </c:pt>
                <c:pt idx="524">
                  <c:v>0.42083999999999999</c:v>
                </c:pt>
                <c:pt idx="525">
                  <c:v>0.44589000000000001</c:v>
                </c:pt>
                <c:pt idx="526">
                  <c:v>0.49271999999999999</c:v>
                </c:pt>
                <c:pt idx="527">
                  <c:v>0.52973000000000003</c:v>
                </c:pt>
                <c:pt idx="528">
                  <c:v>0.46850000000000003</c:v>
                </c:pt>
                <c:pt idx="529">
                  <c:v>0.3997</c:v>
                </c:pt>
                <c:pt idx="530">
                  <c:v>0.33245999999999998</c:v>
                </c:pt>
                <c:pt idx="531">
                  <c:v>0.29915000000000003</c:v>
                </c:pt>
                <c:pt idx="532">
                  <c:v>0.27350000000000002</c:v>
                </c:pt>
                <c:pt idx="533">
                  <c:v>0.31452000000000002</c:v>
                </c:pt>
                <c:pt idx="534">
                  <c:v>0.253</c:v>
                </c:pt>
                <c:pt idx="535">
                  <c:v>0.27216000000000001</c:v>
                </c:pt>
                <c:pt idx="536">
                  <c:v>0.22394</c:v>
                </c:pt>
                <c:pt idx="537">
                  <c:v>0.21984999999999999</c:v>
                </c:pt>
                <c:pt idx="538">
                  <c:v>0.22800000000000001</c:v>
                </c:pt>
                <c:pt idx="539">
                  <c:v>0.22974</c:v>
                </c:pt>
                <c:pt idx="540">
                  <c:v>0.2253</c:v>
                </c:pt>
                <c:pt idx="541">
                  <c:v>0.20663999999999999</c:v>
                </c:pt>
                <c:pt idx="542">
                  <c:v>0.21784999999999999</c:v>
                </c:pt>
                <c:pt idx="543">
                  <c:v>0.19005</c:v>
                </c:pt>
                <c:pt idx="544">
                  <c:v>0.16220000000000001</c:v>
                </c:pt>
                <c:pt idx="545">
                  <c:v>0.15798000000000001</c:v>
                </c:pt>
                <c:pt idx="546">
                  <c:v>0.16188</c:v>
                </c:pt>
                <c:pt idx="547">
                  <c:v>0.16264999999999999</c:v>
                </c:pt>
                <c:pt idx="548">
                  <c:v>0.17349999999999999</c:v>
                </c:pt>
                <c:pt idx="549">
                  <c:v>0.153</c:v>
                </c:pt>
                <c:pt idx="550">
                  <c:v>0.15543999999999999</c:v>
                </c:pt>
                <c:pt idx="551">
                  <c:v>0.15708</c:v>
                </c:pt>
                <c:pt idx="552">
                  <c:v>0.15318000000000001</c:v>
                </c:pt>
                <c:pt idx="553">
                  <c:v>0.16081000000000001</c:v>
                </c:pt>
                <c:pt idx="554">
                  <c:v>0.16943</c:v>
                </c:pt>
                <c:pt idx="555">
                  <c:v>0.16278999999999999</c:v>
                </c:pt>
                <c:pt idx="556">
                  <c:v>0.16566</c:v>
                </c:pt>
                <c:pt idx="557">
                  <c:v>0.18806999999999999</c:v>
                </c:pt>
                <c:pt idx="558">
                  <c:v>0.17499999999999999</c:v>
                </c:pt>
                <c:pt idx="559">
                  <c:v>0.17680999999999999</c:v>
                </c:pt>
                <c:pt idx="560">
                  <c:v>0.16309000000000001</c:v>
                </c:pt>
                <c:pt idx="561">
                  <c:v>0.17191999999999999</c:v>
                </c:pt>
                <c:pt idx="562">
                  <c:v>0.18057000000000001</c:v>
                </c:pt>
                <c:pt idx="563">
                  <c:v>0.17649999999999999</c:v>
                </c:pt>
                <c:pt idx="564">
                  <c:v>0.19325999999999999</c:v>
                </c:pt>
                <c:pt idx="565">
                  <c:v>0.18214</c:v>
                </c:pt>
                <c:pt idx="566">
                  <c:v>0.17693</c:v>
                </c:pt>
                <c:pt idx="567">
                  <c:v>0.17774999999999999</c:v>
                </c:pt>
                <c:pt idx="568">
                  <c:v>0.19087999999999999</c:v>
                </c:pt>
                <c:pt idx="569">
                  <c:v>0.18321999999999999</c:v>
                </c:pt>
                <c:pt idx="570">
                  <c:v>0.17588000000000001</c:v>
                </c:pt>
                <c:pt idx="571">
                  <c:v>0.15837000000000001</c:v>
                </c:pt>
                <c:pt idx="572">
                  <c:v>0.16735</c:v>
                </c:pt>
                <c:pt idx="573">
                  <c:v>0.16728000000000001</c:v>
                </c:pt>
                <c:pt idx="574">
                  <c:v>0.15339</c:v>
                </c:pt>
                <c:pt idx="575">
                  <c:v>0.14463999999999999</c:v>
                </c:pt>
                <c:pt idx="576">
                  <c:v>0.14654</c:v>
                </c:pt>
                <c:pt idx="577">
                  <c:v>0.15429000000000001</c:v>
                </c:pt>
                <c:pt idx="578">
                  <c:v>0.15004000000000001</c:v>
                </c:pt>
                <c:pt idx="579">
                  <c:v>0.14113000000000001</c:v>
                </c:pt>
                <c:pt idx="580">
                  <c:v>0.15245</c:v>
                </c:pt>
                <c:pt idx="581">
                  <c:v>0.16034999999999999</c:v>
                </c:pt>
                <c:pt idx="582">
                  <c:v>0.17</c:v>
                </c:pt>
                <c:pt idx="583">
                  <c:v>0.15415999999999999</c:v>
                </c:pt>
                <c:pt idx="584">
                  <c:v>0.14369999999999999</c:v>
                </c:pt>
                <c:pt idx="585">
                  <c:v>0.11412</c:v>
                </c:pt>
                <c:pt idx="586">
                  <c:v>0.11827</c:v>
                </c:pt>
                <c:pt idx="587">
                  <c:v>0.12327</c:v>
                </c:pt>
                <c:pt idx="588">
                  <c:v>0.1212</c:v>
                </c:pt>
                <c:pt idx="589">
                  <c:v>0.11724999999999999</c:v>
                </c:pt>
                <c:pt idx="590">
                  <c:v>0.1166</c:v>
                </c:pt>
                <c:pt idx="591">
                  <c:v>0.11584999999999999</c:v>
                </c:pt>
                <c:pt idx="592">
                  <c:v>0.10076</c:v>
                </c:pt>
                <c:pt idx="593">
                  <c:v>0.10185</c:v>
                </c:pt>
                <c:pt idx="594">
                  <c:v>9.7640000000000005E-2</c:v>
                </c:pt>
                <c:pt idx="595">
                  <c:v>8.8050000000000003E-2</c:v>
                </c:pt>
                <c:pt idx="596">
                  <c:v>9.6570000000000003E-2</c:v>
                </c:pt>
                <c:pt idx="597">
                  <c:v>8.6360000000000006E-2</c:v>
                </c:pt>
                <c:pt idx="598">
                  <c:v>8.6440000000000003E-2</c:v>
                </c:pt>
                <c:pt idx="599">
                  <c:v>8.9219999999999994E-2</c:v>
                </c:pt>
                <c:pt idx="600">
                  <c:v>8.7840000000000001E-2</c:v>
                </c:pt>
                <c:pt idx="601">
                  <c:v>9.0590000000000004E-2</c:v>
                </c:pt>
                <c:pt idx="602">
                  <c:v>9.0800000000000006E-2</c:v>
                </c:pt>
                <c:pt idx="603">
                  <c:v>8.8749999999999996E-2</c:v>
                </c:pt>
                <c:pt idx="604">
                  <c:v>8.8410000000000002E-2</c:v>
                </c:pt>
                <c:pt idx="605">
                  <c:v>9.1389999999999999E-2</c:v>
                </c:pt>
                <c:pt idx="606">
                  <c:v>9.0990000000000001E-2</c:v>
                </c:pt>
                <c:pt idx="607">
                  <c:v>9.5600000000000004E-2</c:v>
                </c:pt>
                <c:pt idx="608">
                  <c:v>9.0939999999999993E-2</c:v>
                </c:pt>
                <c:pt idx="609">
                  <c:v>9.2369999999999994E-2</c:v>
                </c:pt>
                <c:pt idx="610">
                  <c:v>9.0010000000000007E-2</c:v>
                </c:pt>
                <c:pt idx="611">
                  <c:v>9.1300000000000006E-2</c:v>
                </c:pt>
                <c:pt idx="612">
                  <c:v>9.7839999999999996E-2</c:v>
                </c:pt>
                <c:pt idx="613">
                  <c:v>9.7930000000000003E-2</c:v>
                </c:pt>
                <c:pt idx="614">
                  <c:v>0.1</c:v>
                </c:pt>
                <c:pt idx="615">
                  <c:v>0.10057000000000001</c:v>
                </c:pt>
                <c:pt idx="616">
                  <c:v>8.9690000000000006E-2</c:v>
                </c:pt>
                <c:pt idx="617">
                  <c:v>9.1810000000000003E-2</c:v>
                </c:pt>
                <c:pt idx="618">
                  <c:v>8.9450000000000002E-2</c:v>
                </c:pt>
                <c:pt idx="619">
                  <c:v>8.5300000000000001E-2</c:v>
                </c:pt>
                <c:pt idx="620">
                  <c:v>8.7010000000000004E-2</c:v>
                </c:pt>
                <c:pt idx="621">
                  <c:v>8.1369999999999998E-2</c:v>
                </c:pt>
                <c:pt idx="622">
                  <c:v>7.6880000000000004E-2</c:v>
                </c:pt>
                <c:pt idx="623">
                  <c:v>7.7600000000000002E-2</c:v>
                </c:pt>
                <c:pt idx="624">
                  <c:v>7.9490000000000005E-2</c:v>
                </c:pt>
                <c:pt idx="625">
                  <c:v>7.7770000000000006E-2</c:v>
                </c:pt>
                <c:pt idx="626">
                  <c:v>6.8489999999999995E-2</c:v>
                </c:pt>
                <c:pt idx="627">
                  <c:v>7.2779999999999997E-2</c:v>
                </c:pt>
                <c:pt idx="628">
                  <c:v>7.4090000000000003E-2</c:v>
                </c:pt>
                <c:pt idx="629">
                  <c:v>6.9559999999999997E-2</c:v>
                </c:pt>
                <c:pt idx="630">
                  <c:v>6.7049999999999998E-2</c:v>
                </c:pt>
                <c:pt idx="631">
                  <c:v>6.7930000000000004E-2</c:v>
                </c:pt>
                <c:pt idx="632">
                  <c:v>6.9379999999999997E-2</c:v>
                </c:pt>
                <c:pt idx="633">
                  <c:v>6.3670000000000004E-2</c:v>
                </c:pt>
                <c:pt idx="634">
                  <c:v>6.454E-2</c:v>
                </c:pt>
                <c:pt idx="635">
                  <c:v>6.7059999999999995E-2</c:v>
                </c:pt>
                <c:pt idx="636">
                  <c:v>6.7510000000000001E-2</c:v>
                </c:pt>
                <c:pt idx="637">
                  <c:v>6.7280000000000006E-2</c:v>
                </c:pt>
                <c:pt idx="638">
                  <c:v>7.0730000000000001E-2</c:v>
                </c:pt>
                <c:pt idx="639">
                  <c:v>6.5890000000000004E-2</c:v>
                </c:pt>
                <c:pt idx="640">
                  <c:v>6.6290000000000002E-2</c:v>
                </c:pt>
                <c:pt idx="641">
                  <c:v>6.4030000000000004E-2</c:v>
                </c:pt>
                <c:pt idx="642">
                  <c:v>6.3969999999999999E-2</c:v>
                </c:pt>
                <c:pt idx="643">
                  <c:v>6.4589999999999995E-2</c:v>
                </c:pt>
                <c:pt idx="644">
                  <c:v>6.1400000000000003E-2</c:v>
                </c:pt>
                <c:pt idx="645">
                  <c:v>5.9979999999999999E-2</c:v>
                </c:pt>
                <c:pt idx="646">
                  <c:v>5.4890000000000001E-2</c:v>
                </c:pt>
                <c:pt idx="647">
                  <c:v>5.6070000000000002E-2</c:v>
                </c:pt>
                <c:pt idx="648">
                  <c:v>6.0499999999999998E-2</c:v>
                </c:pt>
                <c:pt idx="649">
                  <c:v>6.2010000000000003E-2</c:v>
                </c:pt>
                <c:pt idx="650">
                  <c:v>5.8970000000000002E-2</c:v>
                </c:pt>
                <c:pt idx="651">
                  <c:v>5.5E-2</c:v>
                </c:pt>
                <c:pt idx="652">
                  <c:v>4.9239999999999999E-2</c:v>
                </c:pt>
                <c:pt idx="653">
                  <c:v>5.2109999999999997E-2</c:v>
                </c:pt>
                <c:pt idx="654">
                  <c:v>5.11E-2</c:v>
                </c:pt>
                <c:pt idx="655">
                  <c:v>5.2780000000000001E-2</c:v>
                </c:pt>
                <c:pt idx="656">
                  <c:v>4.9860000000000002E-2</c:v>
                </c:pt>
                <c:pt idx="657">
                  <c:v>4.9959999999999997E-2</c:v>
                </c:pt>
                <c:pt idx="658">
                  <c:v>5.4850000000000003E-2</c:v>
                </c:pt>
                <c:pt idx="659">
                  <c:v>5.3019999999999998E-2</c:v>
                </c:pt>
                <c:pt idx="660">
                  <c:v>5.0680000000000003E-2</c:v>
                </c:pt>
                <c:pt idx="661">
                  <c:v>5.1499999999999997E-2</c:v>
                </c:pt>
                <c:pt idx="662">
                  <c:v>4.9189999999999998E-2</c:v>
                </c:pt>
                <c:pt idx="663">
                  <c:v>5.1709999999999999E-2</c:v>
                </c:pt>
                <c:pt idx="664">
                  <c:v>5.015E-2</c:v>
                </c:pt>
                <c:pt idx="665">
                  <c:v>4.8619999999999997E-2</c:v>
                </c:pt>
                <c:pt idx="666">
                  <c:v>4.6780000000000002E-2</c:v>
                </c:pt>
                <c:pt idx="667">
                  <c:v>4.6800000000000001E-2</c:v>
                </c:pt>
                <c:pt idx="668">
                  <c:v>4.3659999999999997E-2</c:v>
                </c:pt>
                <c:pt idx="669">
                  <c:v>3.8670000000000003E-2</c:v>
                </c:pt>
                <c:pt idx="670">
                  <c:v>4.2000000000000003E-2</c:v>
                </c:pt>
                <c:pt idx="671">
                  <c:v>4.1829999999999999E-2</c:v>
                </c:pt>
                <c:pt idx="672">
                  <c:v>4.5490000000000003E-2</c:v>
                </c:pt>
                <c:pt idx="673">
                  <c:v>4.3049999999999998E-2</c:v>
                </c:pt>
                <c:pt idx="674">
                  <c:v>4.1480000000000003E-2</c:v>
                </c:pt>
                <c:pt idx="675">
                  <c:v>4.1090000000000002E-2</c:v>
                </c:pt>
                <c:pt idx="676">
                  <c:v>3.5610000000000003E-2</c:v>
                </c:pt>
                <c:pt idx="677">
                  <c:v>4.0500000000000001E-2</c:v>
                </c:pt>
                <c:pt idx="678">
                  <c:v>3.9210000000000002E-2</c:v>
                </c:pt>
                <c:pt idx="679">
                  <c:v>3.9579999999999997E-2</c:v>
                </c:pt>
                <c:pt idx="680">
                  <c:v>3.3070000000000002E-2</c:v>
                </c:pt>
                <c:pt idx="681">
                  <c:v>3.3500000000000002E-2</c:v>
                </c:pt>
                <c:pt idx="682">
                  <c:v>2.9510000000000002E-2</c:v>
                </c:pt>
                <c:pt idx="683">
                  <c:v>3.8330000000000003E-2</c:v>
                </c:pt>
                <c:pt idx="684">
                  <c:v>3.9960000000000002E-2</c:v>
                </c:pt>
                <c:pt idx="685">
                  <c:v>4.2479999999999997E-2</c:v>
                </c:pt>
                <c:pt idx="686">
                  <c:v>3.619E-2</c:v>
                </c:pt>
                <c:pt idx="687">
                  <c:v>7.5609999999999997E-2</c:v>
                </c:pt>
                <c:pt idx="688">
                  <c:v>7.2010000000000005E-2</c:v>
                </c:pt>
                <c:pt idx="689">
                  <c:v>6.6640000000000005E-2</c:v>
                </c:pt>
                <c:pt idx="690">
                  <c:v>7.2819999999999996E-2</c:v>
                </c:pt>
                <c:pt idx="691">
                  <c:v>8.2900000000000001E-2</c:v>
                </c:pt>
                <c:pt idx="692">
                  <c:v>6.7650000000000002E-2</c:v>
                </c:pt>
                <c:pt idx="693">
                  <c:v>7.1859999999999993E-2</c:v>
                </c:pt>
                <c:pt idx="694">
                  <c:v>6.5799999999999997E-2</c:v>
                </c:pt>
                <c:pt idx="695">
                  <c:v>6.1929999999999999E-2</c:v>
                </c:pt>
                <c:pt idx="696">
                  <c:v>6.5119999999999997E-2</c:v>
                </c:pt>
                <c:pt idx="697">
                  <c:v>5.5399999999999998E-2</c:v>
                </c:pt>
                <c:pt idx="698">
                  <c:v>5.1529999999999999E-2</c:v>
                </c:pt>
                <c:pt idx="699">
                  <c:v>5.3760000000000002E-2</c:v>
                </c:pt>
                <c:pt idx="700">
                  <c:v>5.3879999999999997E-2</c:v>
                </c:pt>
                <c:pt idx="701">
                  <c:v>5.2249999999999998E-2</c:v>
                </c:pt>
                <c:pt idx="702">
                  <c:v>5.6730000000000003E-2</c:v>
                </c:pt>
                <c:pt idx="703">
                  <c:v>5.8869999999999999E-2</c:v>
                </c:pt>
                <c:pt idx="704">
                  <c:v>6.4380000000000007E-2</c:v>
                </c:pt>
                <c:pt idx="705">
                  <c:v>6.2549999999999994E-2</c:v>
                </c:pt>
                <c:pt idx="706">
                  <c:v>6.3460000000000003E-2</c:v>
                </c:pt>
                <c:pt idx="707">
                  <c:v>6.1870000000000001E-2</c:v>
                </c:pt>
                <c:pt idx="708">
                  <c:v>5.5809999999999998E-2</c:v>
                </c:pt>
                <c:pt idx="709">
                  <c:v>6.1929999999999999E-2</c:v>
                </c:pt>
                <c:pt idx="710">
                  <c:v>6.1030000000000001E-2</c:v>
                </c:pt>
                <c:pt idx="711">
                  <c:v>6.5110000000000001E-2</c:v>
                </c:pt>
                <c:pt idx="712">
                  <c:v>6.0159999999999998E-2</c:v>
                </c:pt>
                <c:pt idx="713">
                  <c:v>6.7360000000000003E-2</c:v>
                </c:pt>
                <c:pt idx="714">
                  <c:v>6.3969999999999999E-2</c:v>
                </c:pt>
                <c:pt idx="715">
                  <c:v>6.071E-2</c:v>
                </c:pt>
                <c:pt idx="716">
                  <c:v>6.0100000000000001E-2</c:v>
                </c:pt>
                <c:pt idx="717">
                  <c:v>5.6489999999999999E-2</c:v>
                </c:pt>
                <c:pt idx="718">
                  <c:v>5.9180000000000003E-2</c:v>
                </c:pt>
                <c:pt idx="719">
                  <c:v>5.6120000000000003E-2</c:v>
                </c:pt>
                <c:pt idx="720">
                  <c:v>5.7700000000000001E-2</c:v>
                </c:pt>
                <c:pt idx="721">
                  <c:v>5.9569999999999998E-2</c:v>
                </c:pt>
                <c:pt idx="722">
                  <c:v>5.3859999999999998E-2</c:v>
                </c:pt>
                <c:pt idx="723">
                  <c:v>5.4429999999999999E-2</c:v>
                </c:pt>
                <c:pt idx="724">
                  <c:v>4.793E-2</c:v>
                </c:pt>
                <c:pt idx="725">
                  <c:v>4.6559999999999997E-2</c:v>
                </c:pt>
                <c:pt idx="726">
                  <c:v>4.4589999999999998E-2</c:v>
                </c:pt>
                <c:pt idx="727">
                  <c:v>4.4769999999999997E-2</c:v>
                </c:pt>
                <c:pt idx="728">
                  <c:v>4.3450000000000003E-2</c:v>
                </c:pt>
                <c:pt idx="729">
                  <c:v>4.3110000000000002E-2</c:v>
                </c:pt>
                <c:pt idx="730">
                  <c:v>4.3679999999999997E-2</c:v>
                </c:pt>
                <c:pt idx="731">
                  <c:v>4.1509999999999998E-2</c:v>
                </c:pt>
                <c:pt idx="732">
                  <c:v>4.1500000000000002E-2</c:v>
                </c:pt>
                <c:pt idx="733">
                  <c:v>4.0460000000000003E-2</c:v>
                </c:pt>
                <c:pt idx="734">
                  <c:v>4.002E-2</c:v>
                </c:pt>
                <c:pt idx="735">
                  <c:v>4.0410000000000001E-2</c:v>
                </c:pt>
                <c:pt idx="736">
                  <c:v>4.2020000000000002E-2</c:v>
                </c:pt>
                <c:pt idx="737">
                  <c:v>4.2259999999999999E-2</c:v>
                </c:pt>
                <c:pt idx="738">
                  <c:v>4.1480000000000003E-2</c:v>
                </c:pt>
                <c:pt idx="739">
                  <c:v>4.2590000000000003E-2</c:v>
                </c:pt>
                <c:pt idx="740">
                  <c:v>4.462E-2</c:v>
                </c:pt>
                <c:pt idx="741">
                  <c:v>4.521E-2</c:v>
                </c:pt>
                <c:pt idx="742">
                  <c:v>4.3740000000000001E-2</c:v>
                </c:pt>
                <c:pt idx="743">
                  <c:v>4.65E-2</c:v>
                </c:pt>
                <c:pt idx="744">
                  <c:v>4.3839999999999997E-2</c:v>
                </c:pt>
                <c:pt idx="745">
                  <c:v>4.6089999999999999E-2</c:v>
                </c:pt>
                <c:pt idx="746">
                  <c:v>4.4519999999999997E-2</c:v>
                </c:pt>
                <c:pt idx="747">
                  <c:v>4.58E-2</c:v>
                </c:pt>
                <c:pt idx="748">
                  <c:v>4.5960000000000001E-2</c:v>
                </c:pt>
                <c:pt idx="749">
                  <c:v>4.0939999999999997E-2</c:v>
                </c:pt>
                <c:pt idx="750">
                  <c:v>4.0120000000000003E-2</c:v>
                </c:pt>
                <c:pt idx="751">
                  <c:v>3.8739999999999997E-2</c:v>
                </c:pt>
                <c:pt idx="752">
                  <c:v>4.0219999999999999E-2</c:v>
                </c:pt>
                <c:pt idx="753">
                  <c:v>3.5270000000000003E-2</c:v>
                </c:pt>
                <c:pt idx="754">
                  <c:v>3.5279999999999999E-2</c:v>
                </c:pt>
                <c:pt idx="755">
                  <c:v>3.5560000000000001E-2</c:v>
                </c:pt>
                <c:pt idx="756">
                  <c:v>3.4759999999999999E-2</c:v>
                </c:pt>
                <c:pt idx="757">
                  <c:v>3.2000000000000001E-2</c:v>
                </c:pt>
                <c:pt idx="758">
                  <c:v>3.099E-2</c:v>
                </c:pt>
                <c:pt idx="759">
                  <c:v>3.1530000000000002E-2</c:v>
                </c:pt>
                <c:pt idx="760">
                  <c:v>3.1029999999999999E-2</c:v>
                </c:pt>
                <c:pt idx="761">
                  <c:v>3.1449999999999999E-2</c:v>
                </c:pt>
                <c:pt idx="762">
                  <c:v>3.2669999999999998E-2</c:v>
                </c:pt>
                <c:pt idx="763">
                  <c:v>3.236E-2</c:v>
                </c:pt>
                <c:pt idx="764">
                  <c:v>3.2390000000000002E-2</c:v>
                </c:pt>
                <c:pt idx="765">
                  <c:v>3.4689999999999999E-2</c:v>
                </c:pt>
                <c:pt idx="766">
                  <c:v>3.304E-2</c:v>
                </c:pt>
                <c:pt idx="767">
                  <c:v>3.2739999999999998E-2</c:v>
                </c:pt>
                <c:pt idx="768">
                  <c:v>3.1899999999999998E-2</c:v>
                </c:pt>
                <c:pt idx="769">
                  <c:v>3.1890000000000002E-2</c:v>
                </c:pt>
                <c:pt idx="770">
                  <c:v>3.1419999999999997E-2</c:v>
                </c:pt>
                <c:pt idx="771">
                  <c:v>3.2160000000000001E-2</c:v>
                </c:pt>
                <c:pt idx="772">
                  <c:v>2.9080000000000002E-2</c:v>
                </c:pt>
                <c:pt idx="773">
                  <c:v>3.2280000000000003E-2</c:v>
                </c:pt>
                <c:pt idx="774">
                  <c:v>3.6069999999999998E-2</c:v>
                </c:pt>
                <c:pt idx="775">
                  <c:v>3.6560000000000002E-2</c:v>
                </c:pt>
                <c:pt idx="776">
                  <c:v>3.483E-2</c:v>
                </c:pt>
                <c:pt idx="777">
                  <c:v>3.4000000000000002E-2</c:v>
                </c:pt>
                <c:pt idx="778">
                  <c:v>3.3669999999999999E-2</c:v>
                </c:pt>
                <c:pt idx="779">
                  <c:v>3.4430000000000002E-2</c:v>
                </c:pt>
                <c:pt idx="780">
                  <c:v>3.6560000000000002E-2</c:v>
                </c:pt>
                <c:pt idx="781">
                  <c:v>3.7769999999999998E-2</c:v>
                </c:pt>
                <c:pt idx="782">
                  <c:v>3.882E-2</c:v>
                </c:pt>
                <c:pt idx="783">
                  <c:v>3.9149999999999997E-2</c:v>
                </c:pt>
                <c:pt idx="784">
                  <c:v>3.8240000000000003E-2</c:v>
                </c:pt>
                <c:pt idx="785">
                  <c:v>3.524E-2</c:v>
                </c:pt>
                <c:pt idx="786">
                  <c:v>3.8949999999999999E-2</c:v>
                </c:pt>
                <c:pt idx="787">
                  <c:v>3.7519999999999998E-2</c:v>
                </c:pt>
                <c:pt idx="788">
                  <c:v>3.8870000000000002E-2</c:v>
                </c:pt>
                <c:pt idx="789">
                  <c:v>4.07E-2</c:v>
                </c:pt>
                <c:pt idx="790">
                  <c:v>4.1590000000000002E-2</c:v>
                </c:pt>
                <c:pt idx="791">
                  <c:v>4.036E-2</c:v>
                </c:pt>
                <c:pt idx="792">
                  <c:v>4.0919999999999998E-2</c:v>
                </c:pt>
                <c:pt idx="793">
                  <c:v>4.054E-2</c:v>
                </c:pt>
                <c:pt idx="794">
                  <c:v>3.9440000000000003E-2</c:v>
                </c:pt>
                <c:pt idx="795">
                  <c:v>4.2169999999999999E-2</c:v>
                </c:pt>
                <c:pt idx="796">
                  <c:v>4.7E-2</c:v>
                </c:pt>
                <c:pt idx="797">
                  <c:v>4.5100000000000001E-2</c:v>
                </c:pt>
                <c:pt idx="798">
                  <c:v>4.9009999999999998E-2</c:v>
                </c:pt>
                <c:pt idx="799">
                  <c:v>4.9549999999999997E-2</c:v>
                </c:pt>
                <c:pt idx="800">
                  <c:v>5.2069999999999998E-2</c:v>
                </c:pt>
                <c:pt idx="801">
                  <c:v>5.1240000000000001E-2</c:v>
                </c:pt>
                <c:pt idx="802">
                  <c:v>5.5910000000000001E-2</c:v>
                </c:pt>
                <c:pt idx="803">
                  <c:v>5.7369999999999997E-2</c:v>
                </c:pt>
                <c:pt idx="804">
                  <c:v>5.713E-2</c:v>
                </c:pt>
                <c:pt idx="805">
                  <c:v>6.1359999999999998E-2</c:v>
                </c:pt>
                <c:pt idx="806">
                  <c:v>5.8930000000000003E-2</c:v>
                </c:pt>
                <c:pt idx="807">
                  <c:v>5.7610000000000001E-2</c:v>
                </c:pt>
                <c:pt idx="808">
                  <c:v>5.5629999999999999E-2</c:v>
                </c:pt>
                <c:pt idx="809">
                  <c:v>5.5939999999999997E-2</c:v>
                </c:pt>
                <c:pt idx="810">
                  <c:v>5.704E-2</c:v>
                </c:pt>
                <c:pt idx="811">
                  <c:v>5.4489999999999997E-2</c:v>
                </c:pt>
                <c:pt idx="812">
                  <c:v>5.7529999999999998E-2</c:v>
                </c:pt>
                <c:pt idx="813">
                  <c:v>6.0380000000000003E-2</c:v>
                </c:pt>
                <c:pt idx="814">
                  <c:v>5.2909999999999999E-2</c:v>
                </c:pt>
                <c:pt idx="815">
                  <c:v>5.11E-2</c:v>
                </c:pt>
                <c:pt idx="816">
                  <c:v>5.3659999999999999E-2</c:v>
                </c:pt>
                <c:pt idx="817">
                  <c:v>5.4480000000000001E-2</c:v>
                </c:pt>
                <c:pt idx="818">
                  <c:v>5.2519999999999997E-2</c:v>
                </c:pt>
                <c:pt idx="819">
                  <c:v>4.9820000000000003E-2</c:v>
                </c:pt>
                <c:pt idx="820">
                  <c:v>4.9399999999999999E-2</c:v>
                </c:pt>
                <c:pt idx="821">
                  <c:v>5.0729999999999997E-2</c:v>
                </c:pt>
                <c:pt idx="822">
                  <c:v>5.1799999999999999E-2</c:v>
                </c:pt>
                <c:pt idx="823">
                  <c:v>5.169E-2</c:v>
                </c:pt>
                <c:pt idx="824">
                  <c:v>5.0999999999999997E-2</c:v>
                </c:pt>
                <c:pt idx="825">
                  <c:v>5.8020000000000002E-2</c:v>
                </c:pt>
                <c:pt idx="826">
                  <c:v>5.2749999999999998E-2</c:v>
                </c:pt>
                <c:pt idx="827">
                  <c:v>5.1429999999999997E-2</c:v>
                </c:pt>
                <c:pt idx="828">
                  <c:v>5.7259999999999998E-2</c:v>
                </c:pt>
                <c:pt idx="829">
                  <c:v>5.4969999999999998E-2</c:v>
                </c:pt>
                <c:pt idx="830">
                  <c:v>5.441E-2</c:v>
                </c:pt>
                <c:pt idx="831">
                  <c:v>5.4429999999999999E-2</c:v>
                </c:pt>
                <c:pt idx="832">
                  <c:v>5.3620000000000001E-2</c:v>
                </c:pt>
                <c:pt idx="833">
                  <c:v>5.6959999999999997E-2</c:v>
                </c:pt>
                <c:pt idx="834">
                  <c:v>5.7020000000000001E-2</c:v>
                </c:pt>
                <c:pt idx="835">
                  <c:v>6.2850000000000003E-2</c:v>
                </c:pt>
                <c:pt idx="836">
                  <c:v>6.5850000000000006E-2</c:v>
                </c:pt>
                <c:pt idx="837">
                  <c:v>6.0470000000000003E-2</c:v>
                </c:pt>
                <c:pt idx="838">
                  <c:v>6.1629999999999997E-2</c:v>
                </c:pt>
                <c:pt idx="839">
                  <c:v>5.8790000000000002E-2</c:v>
                </c:pt>
                <c:pt idx="840">
                  <c:v>5.892E-2</c:v>
                </c:pt>
                <c:pt idx="841">
                  <c:v>6.2770000000000006E-2</c:v>
                </c:pt>
                <c:pt idx="842">
                  <c:v>5.0250000000000003E-2</c:v>
                </c:pt>
                <c:pt idx="843">
                  <c:v>4.4720000000000003E-2</c:v>
                </c:pt>
                <c:pt idx="844">
                  <c:v>4.2770000000000002E-2</c:v>
                </c:pt>
                <c:pt idx="845">
                  <c:v>4.351E-2</c:v>
                </c:pt>
                <c:pt idx="846">
                  <c:v>4.1500000000000002E-2</c:v>
                </c:pt>
                <c:pt idx="847">
                  <c:v>4.0090000000000001E-2</c:v>
                </c:pt>
                <c:pt idx="848">
                  <c:v>4.1390000000000003E-2</c:v>
                </c:pt>
                <c:pt idx="849">
                  <c:v>4.0750000000000001E-2</c:v>
                </c:pt>
                <c:pt idx="850">
                  <c:v>3.9440000000000003E-2</c:v>
                </c:pt>
                <c:pt idx="851">
                  <c:v>4.104E-2</c:v>
                </c:pt>
                <c:pt idx="852">
                  <c:v>3.8760000000000003E-2</c:v>
                </c:pt>
                <c:pt idx="853">
                  <c:v>3.8710000000000001E-2</c:v>
                </c:pt>
                <c:pt idx="854">
                  <c:v>3.7249999999999998E-2</c:v>
                </c:pt>
                <c:pt idx="855">
                  <c:v>3.8879999999999998E-2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3-46C2-AECD-0D74732065D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6.4768809073357483</c:v>
                </c:pt>
                <c:pt idx="1">
                  <c:v>6.4903244847693751</c:v>
                </c:pt>
                <c:pt idx="2">
                  <c:v>6.5704902422098517</c:v>
                </c:pt>
                <c:pt idx="3">
                  <c:v>6.3950321502143872</c:v>
                </c:pt>
                <c:pt idx="4">
                  <c:v>6.2493832281924497</c:v>
                </c:pt>
                <c:pt idx="5">
                  <c:v>6.2279543510717064</c:v>
                </c:pt>
                <c:pt idx="6">
                  <c:v>6.3935904607128409</c:v>
                </c:pt>
                <c:pt idx="7">
                  <c:v>6.580340196867617</c:v>
                </c:pt>
                <c:pt idx="8">
                  <c:v>6.6778769020205964</c:v>
                </c:pt>
                <c:pt idx="9">
                  <c:v>6.7173166815484926</c:v>
                </c:pt>
                <c:pt idx="10">
                  <c:v>6.7632710267865885</c:v>
                </c:pt>
                <c:pt idx="11">
                  <c:v>6.8019390837666451</c:v>
                </c:pt>
                <c:pt idx="12">
                  <c:v>6.8135521372877719</c:v>
                </c:pt>
                <c:pt idx="13">
                  <c:v>6.785299611260375</c:v>
                </c:pt>
                <c:pt idx="14">
                  <c:v>6.8077433877706381</c:v>
                </c:pt>
                <c:pt idx="15">
                  <c:v>6.9048467064102566</c:v>
                </c:pt>
                <c:pt idx="16">
                  <c:v>6.8121703764102568</c:v>
                </c:pt>
                <c:pt idx="17">
                  <c:v>6.7920817129688595</c:v>
                </c:pt>
                <c:pt idx="18">
                  <c:v>6.7693880783097686</c:v>
                </c:pt>
                <c:pt idx="19">
                  <c:v>6.7527004723858566</c:v>
                </c:pt>
                <c:pt idx="20">
                  <c:v>6.7959197707780765</c:v>
                </c:pt>
                <c:pt idx="21">
                  <c:v>6.9055210494527755</c:v>
                </c:pt>
                <c:pt idx="22">
                  <c:v>6.8185630476437309</c:v>
                </c:pt>
                <c:pt idx="23">
                  <c:v>6.8995593379663118</c:v>
                </c:pt>
                <c:pt idx="24">
                  <c:v>6.9540005776247558</c:v>
                </c:pt>
                <c:pt idx="25">
                  <c:v>7.001986726655276</c:v>
                </c:pt>
                <c:pt idx="26">
                  <c:v>6.9618688397543185</c:v>
                </c:pt>
                <c:pt idx="27">
                  <c:v>6.8813488682405568</c:v>
                </c:pt>
                <c:pt idx="28">
                  <c:v>6.964066501488082</c:v>
                </c:pt>
                <c:pt idx="29">
                  <c:v>6.9605586701927455</c:v>
                </c:pt>
                <c:pt idx="30">
                  <c:v>7.0725891579160889</c:v>
                </c:pt>
                <c:pt idx="31">
                  <c:v>7.1924723421060337</c:v>
                </c:pt>
                <c:pt idx="32">
                  <c:v>7.388149599138675</c:v>
                </c:pt>
                <c:pt idx="33">
                  <c:v>7.3549651839912213</c:v>
                </c:pt>
                <c:pt idx="34">
                  <c:v>7.3627729764527592</c:v>
                </c:pt>
                <c:pt idx="35">
                  <c:v>7.5294387495083157</c:v>
                </c:pt>
                <c:pt idx="36">
                  <c:v>7.5067675457699981</c:v>
                </c:pt>
                <c:pt idx="37">
                  <c:v>7.7576560425020737</c:v>
                </c:pt>
                <c:pt idx="38">
                  <c:v>7.4758536820626373</c:v>
                </c:pt>
                <c:pt idx="39">
                  <c:v>7.4545704020626378</c:v>
                </c:pt>
                <c:pt idx="40">
                  <c:v>7.4986280884626373</c:v>
                </c:pt>
                <c:pt idx="41">
                  <c:v>7.4902424694025846</c:v>
                </c:pt>
                <c:pt idx="42">
                  <c:v>7.4866906694025843</c:v>
                </c:pt>
                <c:pt idx="43">
                  <c:v>7.5474561175793804</c:v>
                </c:pt>
                <c:pt idx="44">
                  <c:v>7.489608367801603</c:v>
                </c:pt>
                <c:pt idx="45">
                  <c:v>7.4329287421825558</c:v>
                </c:pt>
                <c:pt idx="46">
                  <c:v>7.4919588507027335</c:v>
                </c:pt>
                <c:pt idx="47">
                  <c:v>7.4805544804454991</c:v>
                </c:pt>
                <c:pt idx="48">
                  <c:v>7.4750634866310666</c:v>
                </c:pt>
                <c:pt idx="49">
                  <c:v>7.6261030377687922</c:v>
                </c:pt>
                <c:pt idx="50">
                  <c:v>7.7282447478895975</c:v>
                </c:pt>
                <c:pt idx="51">
                  <c:v>7.6588432620514473</c:v>
                </c:pt>
                <c:pt idx="52">
                  <c:v>7.6912019094438531</c:v>
                </c:pt>
                <c:pt idx="53">
                  <c:v>7.5013089443635073</c:v>
                </c:pt>
                <c:pt idx="54">
                  <c:v>7.6293519700032597</c:v>
                </c:pt>
                <c:pt idx="55">
                  <c:v>7.6271039347985807</c:v>
                </c:pt>
                <c:pt idx="56">
                  <c:v>7.6672231118842946</c:v>
                </c:pt>
                <c:pt idx="57">
                  <c:v>7.7226417145748787</c:v>
                </c:pt>
                <c:pt idx="58">
                  <c:v>7.7768364004889889</c:v>
                </c:pt>
                <c:pt idx="59">
                  <c:v>7.7744816506335939</c:v>
                </c:pt>
                <c:pt idx="60">
                  <c:v>7.8235659117062575</c:v>
                </c:pt>
                <c:pt idx="61">
                  <c:v>7.8095531896990895</c:v>
                </c:pt>
                <c:pt idx="62">
                  <c:v>7.7541918545493891</c:v>
                </c:pt>
                <c:pt idx="63">
                  <c:v>7.8474986276941845</c:v>
                </c:pt>
                <c:pt idx="64">
                  <c:v>7.757192470172571</c:v>
                </c:pt>
                <c:pt idx="65">
                  <c:v>7.7396703152765403</c:v>
                </c:pt>
                <c:pt idx="66">
                  <c:v>7.5469611727511952</c:v>
                </c:pt>
                <c:pt idx="67">
                  <c:v>7.5595155571733059</c:v>
                </c:pt>
                <c:pt idx="68">
                  <c:v>7.5982415955879405</c:v>
                </c:pt>
                <c:pt idx="69">
                  <c:v>7.5747831231365792</c:v>
                </c:pt>
                <c:pt idx="70">
                  <c:v>7.5433306662936426</c:v>
                </c:pt>
                <c:pt idx="71">
                  <c:v>7.6052924113196383</c:v>
                </c:pt>
                <c:pt idx="72">
                  <c:v>7.5939409042469466</c:v>
                </c:pt>
                <c:pt idx="73">
                  <c:v>7.66224590763448</c:v>
                </c:pt>
                <c:pt idx="74">
                  <c:v>7.7181950011176266</c:v>
                </c:pt>
                <c:pt idx="75">
                  <c:v>7.7110530387096938</c:v>
                </c:pt>
                <c:pt idx="76">
                  <c:v>7.7084670056286129</c:v>
                </c:pt>
                <c:pt idx="77">
                  <c:v>7.7079538375675236</c:v>
                </c:pt>
                <c:pt idx="78">
                  <c:v>7.7079538375675236</c:v>
                </c:pt>
                <c:pt idx="79">
                  <c:v>7.7812387913302361</c:v>
                </c:pt>
                <c:pt idx="80">
                  <c:v>7.8007158621635702</c:v>
                </c:pt>
                <c:pt idx="81">
                  <c:v>7.7296725261551069</c:v>
                </c:pt>
                <c:pt idx="82">
                  <c:v>7.7333414726622838</c:v>
                </c:pt>
                <c:pt idx="83">
                  <c:v>7.7123552275383176</c:v>
                </c:pt>
                <c:pt idx="84">
                  <c:v>7.7341702288286394</c:v>
                </c:pt>
                <c:pt idx="85">
                  <c:v>7.768799178500001</c:v>
                </c:pt>
                <c:pt idx="86">
                  <c:v>7.7310107675988746</c:v>
                </c:pt>
                <c:pt idx="87">
                  <c:v>7.8097782443296442</c:v>
                </c:pt>
                <c:pt idx="88">
                  <c:v>7.8232912690664858</c:v>
                </c:pt>
                <c:pt idx="89">
                  <c:v>7.7801087912654383</c:v>
                </c:pt>
                <c:pt idx="90">
                  <c:v>7.8219769508544807</c:v>
                </c:pt>
                <c:pt idx="91">
                  <c:v>7.8878591607410273</c:v>
                </c:pt>
                <c:pt idx="92">
                  <c:v>7.9248910394899177</c:v>
                </c:pt>
                <c:pt idx="93">
                  <c:v>8.0874462188013929</c:v>
                </c:pt>
                <c:pt idx="94">
                  <c:v>8.1548565450091228</c:v>
                </c:pt>
                <c:pt idx="95">
                  <c:v>8.1419209692582069</c:v>
                </c:pt>
                <c:pt idx="96">
                  <c:v>8.169537904869717</c:v>
                </c:pt>
                <c:pt idx="97">
                  <c:v>8.1501478568108947</c:v>
                </c:pt>
                <c:pt idx="98">
                  <c:v>8.1907534639071411</c:v>
                </c:pt>
                <c:pt idx="99">
                  <c:v>8.0657457734488567</c:v>
                </c:pt>
                <c:pt idx="100">
                  <c:v>7.9827970852374754</c:v>
                </c:pt>
                <c:pt idx="101">
                  <c:v>7.9903739027871445</c:v>
                </c:pt>
                <c:pt idx="102">
                  <c:v>8.008259298811609</c:v>
                </c:pt>
                <c:pt idx="103">
                  <c:v>8.0138963270744146</c:v>
                </c:pt>
                <c:pt idx="104">
                  <c:v>8.061257487074414</c:v>
                </c:pt>
                <c:pt idx="105">
                  <c:v>8.093234703703116</c:v>
                </c:pt>
                <c:pt idx="106">
                  <c:v>8.1312779993010142</c:v>
                </c:pt>
                <c:pt idx="107">
                  <c:v>8.1053720932661015</c:v>
                </c:pt>
                <c:pt idx="108">
                  <c:v>7.9768585888524823</c:v>
                </c:pt>
                <c:pt idx="109">
                  <c:v>8.1033931453056542</c:v>
                </c:pt>
                <c:pt idx="110">
                  <c:v>8.1642697152771238</c:v>
                </c:pt>
                <c:pt idx="111">
                  <c:v>8.1973071723614073</c:v>
                </c:pt>
                <c:pt idx="112">
                  <c:v>8.2661827591620245</c:v>
                </c:pt>
                <c:pt idx="113">
                  <c:v>8.1751634189745239</c:v>
                </c:pt>
                <c:pt idx="114">
                  <c:v>8.2711201329551081</c:v>
                </c:pt>
                <c:pt idx="115">
                  <c:v>8.368820117341631</c:v>
                </c:pt>
                <c:pt idx="116">
                  <c:v>8.3850380851177029</c:v>
                </c:pt>
                <c:pt idx="117">
                  <c:v>8.3135606931883217</c:v>
                </c:pt>
                <c:pt idx="118">
                  <c:v>8.1132956773016041</c:v>
                </c:pt>
                <c:pt idx="119">
                  <c:v>7.8885613177825684</c:v>
                </c:pt>
                <c:pt idx="120">
                  <c:v>7.8813736029658141</c:v>
                </c:pt>
                <c:pt idx="121">
                  <c:v>7.9909621324532019</c:v>
                </c:pt>
                <c:pt idx="122">
                  <c:v>8.2269956126234156</c:v>
                </c:pt>
                <c:pt idx="123">
                  <c:v>8.590626055485556</c:v>
                </c:pt>
                <c:pt idx="124">
                  <c:v>8.088423243848629</c:v>
                </c:pt>
                <c:pt idx="125">
                  <c:v>8.5608192113486297</c:v>
                </c:pt>
                <c:pt idx="126">
                  <c:v>7.990550146130718</c:v>
                </c:pt>
                <c:pt idx="127">
                  <c:v>7.8029749016788355</c:v>
                </c:pt>
                <c:pt idx="128">
                  <c:v>6.8572066552197954</c:v>
                </c:pt>
                <c:pt idx="129">
                  <c:v>7.0922527488661373</c:v>
                </c:pt>
                <c:pt idx="130">
                  <c:v>7.1952933830693064</c:v>
                </c:pt>
                <c:pt idx="131">
                  <c:v>7.3541548124241443</c:v>
                </c:pt>
                <c:pt idx="132">
                  <c:v>7.4995687907292297</c:v>
                </c:pt>
                <c:pt idx="133">
                  <c:v>7.6569890261458964</c:v>
                </c:pt>
                <c:pt idx="134">
                  <c:v>8.1727217260170022</c:v>
                </c:pt>
                <c:pt idx="135">
                  <c:v>7.4140812909170917</c:v>
                </c:pt>
                <c:pt idx="136">
                  <c:v>7.2214076608438305</c:v>
                </c:pt>
                <c:pt idx="137">
                  <c:v>7.2504997474866881</c:v>
                </c:pt>
                <c:pt idx="138">
                  <c:v>7.2365701089613426</c:v>
                </c:pt>
                <c:pt idx="139">
                  <c:v>7.2730878983391207</c:v>
                </c:pt>
                <c:pt idx="140">
                  <c:v>7.4233635650613428</c:v>
                </c:pt>
                <c:pt idx="141">
                  <c:v>7.3821143953316133</c:v>
                </c:pt>
                <c:pt idx="142">
                  <c:v>7.3413326150868965</c:v>
                </c:pt>
                <c:pt idx="143">
                  <c:v>7.4051948961521052</c:v>
                </c:pt>
                <c:pt idx="144">
                  <c:v>7.4183379409268797</c:v>
                </c:pt>
                <c:pt idx="145">
                  <c:v>7.4445500712158967</c:v>
                </c:pt>
                <c:pt idx="146">
                  <c:v>7.4181347849719943</c:v>
                </c:pt>
                <c:pt idx="147">
                  <c:v>7.4386097985006572</c:v>
                </c:pt>
                <c:pt idx="148">
                  <c:v>7.727117118879371</c:v>
                </c:pt>
                <c:pt idx="149">
                  <c:v>7.4338464018793715</c:v>
                </c:pt>
                <c:pt idx="150">
                  <c:v>7.2435647492690425</c:v>
                </c:pt>
                <c:pt idx="151">
                  <c:v>7.3858768467256892</c:v>
                </c:pt>
                <c:pt idx="152">
                  <c:v>7.2482498813410743</c:v>
                </c:pt>
                <c:pt idx="153">
                  <c:v>7.2638761676155825</c:v>
                </c:pt>
                <c:pt idx="154">
                  <c:v>7.125051476742243</c:v>
                </c:pt>
                <c:pt idx="155">
                  <c:v>7.2164970206069405</c:v>
                </c:pt>
                <c:pt idx="156">
                  <c:v>7.2200871704811069</c:v>
                </c:pt>
                <c:pt idx="157">
                  <c:v>7.2342924122091041</c:v>
                </c:pt>
                <c:pt idx="158">
                  <c:v>7.1493772156609463</c:v>
                </c:pt>
                <c:pt idx="159">
                  <c:v>7.1382895748098827</c:v>
                </c:pt>
                <c:pt idx="160">
                  <c:v>7.2583301965315572</c:v>
                </c:pt>
                <c:pt idx="161">
                  <c:v>7.0256931579724773</c:v>
                </c:pt>
                <c:pt idx="162">
                  <c:v>6.821541886186667</c:v>
                </c:pt>
                <c:pt idx="163">
                  <c:v>7.1082437749404139</c:v>
                </c:pt>
                <c:pt idx="164">
                  <c:v>6.7454067208864146</c:v>
                </c:pt>
                <c:pt idx="165">
                  <c:v>6.8802797555273347</c:v>
                </c:pt>
                <c:pt idx="166">
                  <c:v>6.8652479551756764</c:v>
                </c:pt>
                <c:pt idx="167">
                  <c:v>6.7833754535285848</c:v>
                </c:pt>
                <c:pt idx="168">
                  <c:v>6.6678161153470139</c:v>
                </c:pt>
                <c:pt idx="169">
                  <c:v>6.7771413827469056</c:v>
                </c:pt>
                <c:pt idx="170">
                  <c:v>6.757807158608701</c:v>
                </c:pt>
                <c:pt idx="171">
                  <c:v>6.618632878464866</c:v>
                </c:pt>
                <c:pt idx="172">
                  <c:v>6.4925326456904724</c:v>
                </c:pt>
                <c:pt idx="173">
                  <c:v>6.6144265204775561</c:v>
                </c:pt>
                <c:pt idx="174">
                  <c:v>6.4654938004921698</c:v>
                </c:pt>
                <c:pt idx="175">
                  <c:v>6.4029809071458406</c:v>
                </c:pt>
                <c:pt idx="176">
                  <c:v>6.3351704663279875</c:v>
                </c:pt>
                <c:pt idx="177">
                  <c:v>6.3159457443416329</c:v>
                </c:pt>
                <c:pt idx="178">
                  <c:v>6.29574740454491</c:v>
                </c:pt>
                <c:pt idx="179">
                  <c:v>6.301082463194664</c:v>
                </c:pt>
                <c:pt idx="180">
                  <c:v>6.4222391545198896</c:v>
                </c:pt>
                <c:pt idx="181">
                  <c:v>6.4494425399103443</c:v>
                </c:pt>
                <c:pt idx="182">
                  <c:v>6.2095647095461715</c:v>
                </c:pt>
                <c:pt idx="183">
                  <c:v>6.0781512254549561</c:v>
                </c:pt>
                <c:pt idx="184">
                  <c:v>6.0248813396341552</c:v>
                </c:pt>
                <c:pt idx="185">
                  <c:v>5.9566219513046361</c:v>
                </c:pt>
                <c:pt idx="186">
                  <c:v>6.1538893355145161</c:v>
                </c:pt>
                <c:pt idx="187">
                  <c:v>6.098330857174167</c:v>
                </c:pt>
                <c:pt idx="188">
                  <c:v>6.1464329260952937</c:v>
                </c:pt>
                <c:pt idx="189">
                  <c:v>6.0904964056663085</c:v>
                </c:pt>
                <c:pt idx="190">
                  <c:v>6.006716636727516</c:v>
                </c:pt>
                <c:pt idx="191">
                  <c:v>5.8512458487891639</c:v>
                </c:pt>
                <c:pt idx="192">
                  <c:v>5.8821119555529551</c:v>
                </c:pt>
                <c:pt idx="193">
                  <c:v>5.9134282165149656</c:v>
                </c:pt>
                <c:pt idx="194">
                  <c:v>5.9229681382203552</c:v>
                </c:pt>
                <c:pt idx="195">
                  <c:v>5.9233164295851717</c:v>
                </c:pt>
                <c:pt idx="196">
                  <c:v>5.9774158283489518</c:v>
                </c:pt>
                <c:pt idx="197">
                  <c:v>6.0501045531432744</c:v>
                </c:pt>
                <c:pt idx="198">
                  <c:v>6.031470947919412</c:v>
                </c:pt>
                <c:pt idx="199">
                  <c:v>6.0647792187043397</c:v>
                </c:pt>
                <c:pt idx="200">
                  <c:v>6.1678117534709047</c:v>
                </c:pt>
                <c:pt idx="201">
                  <c:v>6.1643903414069419</c:v>
                </c:pt>
                <c:pt idx="202">
                  <c:v>6.1441699614287018</c:v>
                </c:pt>
                <c:pt idx="203">
                  <c:v>6.1039607176996515</c:v>
                </c:pt>
                <c:pt idx="204">
                  <c:v>6.1683843620644367</c:v>
                </c:pt>
                <c:pt idx="205">
                  <c:v>6.2074336023809602</c:v>
                </c:pt>
                <c:pt idx="206">
                  <c:v>6.2277814266329576</c:v>
                </c:pt>
                <c:pt idx="207">
                  <c:v>6.2181982499084381</c:v>
                </c:pt>
                <c:pt idx="208">
                  <c:v>6.2234323787021024</c:v>
                </c:pt>
                <c:pt idx="209">
                  <c:v>6.0833332343041242</c:v>
                </c:pt>
                <c:pt idx="210">
                  <c:v>6.050180879053042</c:v>
                </c:pt>
                <c:pt idx="211">
                  <c:v>6.0892161788721477</c:v>
                </c:pt>
                <c:pt idx="212">
                  <c:v>6.0545796717801137</c:v>
                </c:pt>
                <c:pt idx="213">
                  <c:v>6.0067636053602156</c:v>
                </c:pt>
                <c:pt idx="214">
                  <c:v>5.9704027255764096</c:v>
                </c:pt>
                <c:pt idx="215">
                  <c:v>5.8898684145764095</c:v>
                </c:pt>
                <c:pt idx="216">
                  <c:v>5.8133225152677879</c:v>
                </c:pt>
                <c:pt idx="217">
                  <c:v>5.99105502568292</c:v>
                </c:pt>
                <c:pt idx="218">
                  <c:v>5.9462679454719707</c:v>
                </c:pt>
                <c:pt idx="219">
                  <c:v>5.9181214003129048</c:v>
                </c:pt>
                <c:pt idx="220">
                  <c:v>5.9010002916053663</c:v>
                </c:pt>
                <c:pt idx="221">
                  <c:v>6.046274901865579</c:v>
                </c:pt>
                <c:pt idx="222">
                  <c:v>5.9879962996639948</c:v>
                </c:pt>
                <c:pt idx="223">
                  <c:v>6.0484816792429088</c:v>
                </c:pt>
                <c:pt idx="224">
                  <c:v>6.0825491513465559</c:v>
                </c:pt>
                <c:pt idx="225">
                  <c:v>6.0603840842833723</c:v>
                </c:pt>
                <c:pt idx="226">
                  <c:v>6.1354980039163287</c:v>
                </c:pt>
                <c:pt idx="227">
                  <c:v>6.1326524475413269</c:v>
                </c:pt>
                <c:pt idx="228">
                  <c:v>6.1463525279589142</c:v>
                </c:pt>
                <c:pt idx="229">
                  <c:v>6.0759959820631826</c:v>
                </c:pt>
                <c:pt idx="230">
                  <c:v>6.08855610036019</c:v>
                </c:pt>
                <c:pt idx="231">
                  <c:v>6.1517895996567775</c:v>
                </c:pt>
                <c:pt idx="232">
                  <c:v>6.2398253495332652</c:v>
                </c:pt>
                <c:pt idx="233">
                  <c:v>6.1861405629068624</c:v>
                </c:pt>
                <c:pt idx="234">
                  <c:v>6.0439889722876812</c:v>
                </c:pt>
                <c:pt idx="235">
                  <c:v>6.1261001198329419</c:v>
                </c:pt>
                <c:pt idx="236">
                  <c:v>6.0790812293891241</c:v>
                </c:pt>
                <c:pt idx="237">
                  <c:v>6.1949809932136866</c:v>
                </c:pt>
                <c:pt idx="238">
                  <c:v>6.2729192910497522</c:v>
                </c:pt>
                <c:pt idx="239">
                  <c:v>6.29291307054896</c:v>
                </c:pt>
                <c:pt idx="240">
                  <c:v>6.4309009514969144</c:v>
                </c:pt>
                <c:pt idx="241">
                  <c:v>5.997814915378556</c:v>
                </c:pt>
                <c:pt idx="242">
                  <c:v>5.6908102543785564</c:v>
                </c:pt>
                <c:pt idx="243">
                  <c:v>5.5924155147067625</c:v>
                </c:pt>
                <c:pt idx="244">
                  <c:v>5.7867153633100337</c:v>
                </c:pt>
                <c:pt idx="245">
                  <c:v>5.9662859451020251</c:v>
                </c:pt>
                <c:pt idx="246">
                  <c:v>6.0091517002872097</c:v>
                </c:pt>
                <c:pt idx="247">
                  <c:v>5.8115661725050769</c:v>
                </c:pt>
                <c:pt idx="248">
                  <c:v>5.7760476224939108</c:v>
                </c:pt>
                <c:pt idx="249">
                  <c:v>5.5498856029812362</c:v>
                </c:pt>
                <c:pt idx="250">
                  <c:v>5.5197201389793094</c:v>
                </c:pt>
                <c:pt idx="251">
                  <c:v>5.6332604914466033</c:v>
                </c:pt>
                <c:pt idx="252">
                  <c:v>5.7035912534831397</c:v>
                </c:pt>
                <c:pt idx="253">
                  <c:v>5.4597217902100255</c:v>
                </c:pt>
                <c:pt idx="254">
                  <c:v>5.6789554482941593</c:v>
                </c:pt>
                <c:pt idx="255">
                  <c:v>5.6747127220388398</c:v>
                </c:pt>
                <c:pt idx="256">
                  <c:v>5.7614575422977348</c:v>
                </c:pt>
                <c:pt idx="257">
                  <c:v>5.7689357675229216</c:v>
                </c:pt>
                <c:pt idx="258">
                  <c:v>5.9003131873680408</c:v>
                </c:pt>
                <c:pt idx="259">
                  <c:v>5.784684891952514</c:v>
                </c:pt>
                <c:pt idx="260">
                  <c:v>5.7150171390787055</c:v>
                </c:pt>
                <c:pt idx="261">
                  <c:v>5.8898955724383653</c:v>
                </c:pt>
                <c:pt idx="262">
                  <c:v>5.7406239390486906</c:v>
                </c:pt>
                <c:pt idx="263">
                  <c:v>5.8640096328655993</c:v>
                </c:pt>
                <c:pt idx="264">
                  <c:v>5.9075624063540859</c:v>
                </c:pt>
                <c:pt idx="265">
                  <c:v>6.0429110377817246</c:v>
                </c:pt>
                <c:pt idx="266">
                  <c:v>6.0274809236020976</c:v>
                </c:pt>
                <c:pt idx="267">
                  <c:v>6.0813787086088666</c:v>
                </c:pt>
                <c:pt idx="268">
                  <c:v>5.872874828537709</c:v>
                </c:pt>
                <c:pt idx="269">
                  <c:v>6.0881931098176576</c:v>
                </c:pt>
                <c:pt idx="270">
                  <c:v>6.2117138272995609</c:v>
                </c:pt>
                <c:pt idx="271">
                  <c:v>6.1993890951438386</c:v>
                </c:pt>
                <c:pt idx="272">
                  <c:v>6.2378283354994988</c:v>
                </c:pt>
                <c:pt idx="273">
                  <c:v>5.8786484658097518</c:v>
                </c:pt>
                <c:pt idx="274">
                  <c:v>5.9192999140852303</c:v>
                </c:pt>
                <c:pt idx="275">
                  <c:v>5.9548495743026848</c:v>
                </c:pt>
                <c:pt idx="276">
                  <c:v>5.7689635397866406</c:v>
                </c:pt>
                <c:pt idx="277">
                  <c:v>5.6120842675148381</c:v>
                </c:pt>
                <c:pt idx="278">
                  <c:v>5.6414584633207792</c:v>
                </c:pt>
                <c:pt idx="279">
                  <c:v>5.7793684273326287</c:v>
                </c:pt>
                <c:pt idx="280">
                  <c:v>5.4860211187828405</c:v>
                </c:pt>
                <c:pt idx="281">
                  <c:v>5.6371770037059408</c:v>
                </c:pt>
                <c:pt idx="282">
                  <c:v>5.8046010717218195</c:v>
                </c:pt>
                <c:pt idx="283">
                  <c:v>5.6144288319565225</c:v>
                </c:pt>
                <c:pt idx="284">
                  <c:v>5.7873790103310609</c:v>
                </c:pt>
                <c:pt idx="285">
                  <c:v>5.2933449720347916</c:v>
                </c:pt>
                <c:pt idx="286">
                  <c:v>5.6363964622321934</c:v>
                </c:pt>
                <c:pt idx="287">
                  <c:v>5.4081322834714172</c:v>
                </c:pt>
                <c:pt idx="288">
                  <c:v>5.2604002147682909</c:v>
                </c:pt>
                <c:pt idx="289">
                  <c:v>5.2889773549905996</c:v>
                </c:pt>
                <c:pt idx="290">
                  <c:v>5.2915343579553484</c:v>
                </c:pt>
                <c:pt idx="291">
                  <c:v>5.3487844544985572</c:v>
                </c:pt>
                <c:pt idx="292">
                  <c:v>5.4969321544452985</c:v>
                </c:pt>
                <c:pt idx="293">
                  <c:v>5.5885231260659411</c:v>
                </c:pt>
                <c:pt idx="294">
                  <c:v>5.5949057727218143</c:v>
                </c:pt>
                <c:pt idx="295">
                  <c:v>5.507831365229233</c:v>
                </c:pt>
                <c:pt idx="296">
                  <c:v>5.6140039826102024</c:v>
                </c:pt>
                <c:pt idx="297">
                  <c:v>5.8154438326463467</c:v>
                </c:pt>
                <c:pt idx="298">
                  <c:v>5.8658054344740256</c:v>
                </c:pt>
                <c:pt idx="299">
                  <c:v>5.7584347308803396</c:v>
                </c:pt>
                <c:pt idx="300">
                  <c:v>5.9737447860204975</c:v>
                </c:pt>
                <c:pt idx="301">
                  <c:v>5.8636088472653025</c:v>
                </c:pt>
                <c:pt idx="302">
                  <c:v>5.8895536524332321</c:v>
                </c:pt>
                <c:pt idx="303">
                  <c:v>5.8548518934419675</c:v>
                </c:pt>
                <c:pt idx="304">
                  <c:v>5.970738047999526</c:v>
                </c:pt>
                <c:pt idx="305">
                  <c:v>5.7657821443704025</c:v>
                </c:pt>
                <c:pt idx="306">
                  <c:v>5.7523889545484685</c:v>
                </c:pt>
                <c:pt idx="307">
                  <c:v>5.7198227929282721</c:v>
                </c:pt>
                <c:pt idx="308">
                  <c:v>5.6501789581796587</c:v>
                </c:pt>
                <c:pt idx="309">
                  <c:v>5.6473153207547027</c:v>
                </c:pt>
                <c:pt idx="310">
                  <c:v>5.7520042446162121</c:v>
                </c:pt>
                <c:pt idx="311">
                  <c:v>5.8457837176583016</c:v>
                </c:pt>
                <c:pt idx="312">
                  <c:v>5.995838264083603</c:v>
                </c:pt>
                <c:pt idx="313">
                  <c:v>5.9758328470179549</c:v>
                </c:pt>
                <c:pt idx="314">
                  <c:v>6.0833194474667982</c:v>
                </c:pt>
                <c:pt idx="315">
                  <c:v>6.1020093308634458</c:v>
                </c:pt>
                <c:pt idx="316">
                  <c:v>6.2456655361760678</c:v>
                </c:pt>
                <c:pt idx="317">
                  <c:v>6.1391174950684473</c:v>
                </c:pt>
                <c:pt idx="318">
                  <c:v>6.0621507118991955</c:v>
                </c:pt>
                <c:pt idx="319">
                  <c:v>6.0624500847748015</c:v>
                </c:pt>
                <c:pt idx="320">
                  <c:v>6.1911441500645639</c:v>
                </c:pt>
                <c:pt idx="321">
                  <c:v>6.122245788908617</c:v>
                </c:pt>
                <c:pt idx="322">
                  <c:v>6.1993679272073727</c:v>
                </c:pt>
                <c:pt idx="323">
                  <c:v>6.2380383470435845</c:v>
                </c:pt>
                <c:pt idx="324">
                  <c:v>6.3953815858848468</c:v>
                </c:pt>
                <c:pt idx="325">
                  <c:v>6.1696753758072775</c:v>
                </c:pt>
                <c:pt idx="326">
                  <c:v>6.1411122866540433</c:v>
                </c:pt>
                <c:pt idx="327">
                  <c:v>5.9904265710740523</c:v>
                </c:pt>
                <c:pt idx="328">
                  <c:v>5.9550445853239875</c:v>
                </c:pt>
                <c:pt idx="329">
                  <c:v>5.9178277096234497</c:v>
                </c:pt>
                <c:pt idx="330">
                  <c:v>6.0115388492521031</c:v>
                </c:pt>
                <c:pt idx="331">
                  <c:v>6.032179881653847</c:v>
                </c:pt>
                <c:pt idx="332">
                  <c:v>6.0583934159462176</c:v>
                </c:pt>
                <c:pt idx="333">
                  <c:v>5.9120738970740216</c:v>
                </c:pt>
                <c:pt idx="334">
                  <c:v>5.7298205988893525</c:v>
                </c:pt>
                <c:pt idx="335">
                  <c:v>5.7608672155037022</c:v>
                </c:pt>
                <c:pt idx="336">
                  <c:v>5.8739194310730509</c:v>
                </c:pt>
                <c:pt idx="337">
                  <c:v>6.1415558818009108</c:v>
                </c:pt>
                <c:pt idx="338">
                  <c:v>6.193182741674562</c:v>
                </c:pt>
                <c:pt idx="339">
                  <c:v>6.172737931201417</c:v>
                </c:pt>
                <c:pt idx="340">
                  <c:v>5.850921988008861</c:v>
                </c:pt>
                <c:pt idx="341">
                  <c:v>6.0586326249955071</c:v>
                </c:pt>
                <c:pt idx="342">
                  <c:v>6.4255268898792499</c:v>
                </c:pt>
                <c:pt idx="343">
                  <c:v>5.6826309134202138</c:v>
                </c:pt>
                <c:pt idx="344">
                  <c:v>5.374342192235785</c:v>
                </c:pt>
                <c:pt idx="345">
                  <c:v>5.3454787778794453</c:v>
                </c:pt>
                <c:pt idx="346">
                  <c:v>4.9343349260308527</c:v>
                </c:pt>
                <c:pt idx="347">
                  <c:v>4.7447343036765908</c:v>
                </c:pt>
                <c:pt idx="348">
                  <c:v>4.855245283182783</c:v>
                </c:pt>
                <c:pt idx="349">
                  <c:v>4.8458734645642965</c:v>
                </c:pt>
                <c:pt idx="350">
                  <c:v>4.7243187628483119</c:v>
                </c:pt>
                <c:pt idx="351">
                  <c:v>4.566798873436869</c:v>
                </c:pt>
                <c:pt idx="352">
                  <c:v>4.6288774628828966</c:v>
                </c:pt>
                <c:pt idx="353">
                  <c:v>4.5150956415702979</c:v>
                </c:pt>
                <c:pt idx="354">
                  <c:v>4.5572106502057474</c:v>
                </c:pt>
                <c:pt idx="355">
                  <c:v>4.4091534436591004</c:v>
                </c:pt>
                <c:pt idx="356">
                  <c:v>4.7721691487881008</c:v>
                </c:pt>
                <c:pt idx="357">
                  <c:v>5.144150334069221</c:v>
                </c:pt>
                <c:pt idx="358">
                  <c:v>4.9428339061106952</c:v>
                </c:pt>
                <c:pt idx="359">
                  <c:v>4.8430279270875536</c:v>
                </c:pt>
                <c:pt idx="360">
                  <c:v>4.8879351604630719</c:v>
                </c:pt>
                <c:pt idx="361">
                  <c:v>4.7391457653795221</c:v>
                </c:pt>
                <c:pt idx="362">
                  <c:v>4.6829619389065646</c:v>
                </c:pt>
                <c:pt idx="363">
                  <c:v>4.6636967315269615</c:v>
                </c:pt>
                <c:pt idx="364">
                  <c:v>4.7543333822815663</c:v>
                </c:pt>
                <c:pt idx="365">
                  <c:v>4.658253392022754</c:v>
                </c:pt>
                <c:pt idx="366">
                  <c:v>4.8423520252304382</c:v>
                </c:pt>
                <c:pt idx="367">
                  <c:v>4.6622299235340101</c:v>
                </c:pt>
                <c:pt idx="368">
                  <c:v>4.8352943381200433</c:v>
                </c:pt>
                <c:pt idx="369">
                  <c:v>4.7814117950427093</c:v>
                </c:pt>
                <c:pt idx="370">
                  <c:v>4.9115949433936938</c:v>
                </c:pt>
                <c:pt idx="371">
                  <c:v>4.7967745019048387</c:v>
                </c:pt>
                <c:pt idx="372">
                  <c:v>5.1286594535269554</c:v>
                </c:pt>
                <c:pt idx="373">
                  <c:v>4.6251066427979035</c:v>
                </c:pt>
                <c:pt idx="374">
                  <c:v>4.3638595842210384</c:v>
                </c:pt>
                <c:pt idx="375">
                  <c:v>4.5999946922376802</c:v>
                </c:pt>
                <c:pt idx="376">
                  <c:v>4.3304396418854942</c:v>
                </c:pt>
                <c:pt idx="377">
                  <c:v>4.3222700663498523</c:v>
                </c:pt>
                <c:pt idx="378">
                  <c:v>4.2141411826608079</c:v>
                </c:pt>
                <c:pt idx="379">
                  <c:v>3.968401913437773</c:v>
                </c:pt>
                <c:pt idx="380">
                  <c:v>3.7224425392409217</c:v>
                </c:pt>
                <c:pt idx="381">
                  <c:v>3.8212489766235467</c:v>
                </c:pt>
                <c:pt idx="382">
                  <c:v>3.7853424243957101</c:v>
                </c:pt>
                <c:pt idx="383">
                  <c:v>3.7993060951699045</c:v>
                </c:pt>
                <c:pt idx="384">
                  <c:v>3.5159257032971838</c:v>
                </c:pt>
                <c:pt idx="385">
                  <c:v>3.4453056864972607</c:v>
                </c:pt>
                <c:pt idx="386">
                  <c:v>3.8179153740711906</c:v>
                </c:pt>
                <c:pt idx="387">
                  <c:v>3.6224067123359145</c:v>
                </c:pt>
                <c:pt idx="388">
                  <c:v>3.517348224954012</c:v>
                </c:pt>
                <c:pt idx="389">
                  <c:v>3.5009960855842941</c:v>
                </c:pt>
                <c:pt idx="390">
                  <c:v>3.2172510227977642</c:v>
                </c:pt>
                <c:pt idx="391">
                  <c:v>3.1998074056898984</c:v>
                </c:pt>
                <c:pt idx="392">
                  <c:v>3.3294550050066327</c:v>
                </c:pt>
                <c:pt idx="393">
                  <c:v>3.2096841371091966</c:v>
                </c:pt>
                <c:pt idx="394">
                  <c:v>3.4773093200046534</c:v>
                </c:pt>
                <c:pt idx="395">
                  <c:v>3.7431521248183222</c:v>
                </c:pt>
                <c:pt idx="396">
                  <c:v>3.6640726184353434</c:v>
                </c:pt>
                <c:pt idx="397">
                  <c:v>3.5967912809599198</c:v>
                </c:pt>
                <c:pt idx="398">
                  <c:v>3.6220340972622012</c:v>
                </c:pt>
                <c:pt idx="399">
                  <c:v>3.6086826726254579</c:v>
                </c:pt>
                <c:pt idx="400">
                  <c:v>3.5283619130934389</c:v>
                </c:pt>
                <c:pt idx="401">
                  <c:v>3.6009861786460036</c:v>
                </c:pt>
                <c:pt idx="402">
                  <c:v>3.5166104829187312</c:v>
                </c:pt>
                <c:pt idx="403">
                  <c:v>3.5636646057600592</c:v>
                </c:pt>
                <c:pt idx="404">
                  <c:v>3.596480141676909</c:v>
                </c:pt>
                <c:pt idx="405">
                  <c:v>3.6578165817979995</c:v>
                </c:pt>
                <c:pt idx="406">
                  <c:v>3.587719489580945</c:v>
                </c:pt>
                <c:pt idx="407">
                  <c:v>3.6691068565390776</c:v>
                </c:pt>
                <c:pt idx="408">
                  <c:v>3.5492429690128953</c:v>
                </c:pt>
                <c:pt idx="409">
                  <c:v>3.4679811498948441</c:v>
                </c:pt>
                <c:pt idx="410">
                  <c:v>3.4440565490269814</c:v>
                </c:pt>
                <c:pt idx="411">
                  <c:v>3.448540903211494</c:v>
                </c:pt>
                <c:pt idx="412">
                  <c:v>3.4066605540092665</c:v>
                </c:pt>
                <c:pt idx="413">
                  <c:v>3.3946331863237131</c:v>
                </c:pt>
                <c:pt idx="414">
                  <c:v>3.4363182537304855</c:v>
                </c:pt>
                <c:pt idx="415">
                  <c:v>3.3274533416793557</c:v>
                </c:pt>
                <c:pt idx="416">
                  <c:v>3.4543068811996718</c:v>
                </c:pt>
                <c:pt idx="417">
                  <c:v>3.4924900564226564</c:v>
                </c:pt>
                <c:pt idx="418">
                  <c:v>3.4309333576208458</c:v>
                </c:pt>
                <c:pt idx="419">
                  <c:v>3.4050638155264856</c:v>
                </c:pt>
                <c:pt idx="420">
                  <c:v>3.5916848991475074</c:v>
                </c:pt>
                <c:pt idx="421">
                  <c:v>3.4886404874272334</c:v>
                </c:pt>
                <c:pt idx="422">
                  <c:v>3.4001969695822507</c:v>
                </c:pt>
                <c:pt idx="423">
                  <c:v>3.4619901833845614</c:v>
                </c:pt>
                <c:pt idx="424">
                  <c:v>3.3695948453312825</c:v>
                </c:pt>
                <c:pt idx="425">
                  <c:v>3.3170064418966669</c:v>
                </c:pt>
                <c:pt idx="426">
                  <c:v>3.2988511176247051</c:v>
                </c:pt>
                <c:pt idx="427">
                  <c:v>3.2958768099632842</c:v>
                </c:pt>
                <c:pt idx="428">
                  <c:v>3.3866201315494364</c:v>
                </c:pt>
                <c:pt idx="429">
                  <c:v>3.4797326909576025</c:v>
                </c:pt>
                <c:pt idx="430">
                  <c:v>3.5348247957644703</c:v>
                </c:pt>
                <c:pt idx="431">
                  <c:v>3.5432758461759892</c:v>
                </c:pt>
                <c:pt idx="432">
                  <c:v>3.4639692555120103</c:v>
                </c:pt>
                <c:pt idx="433">
                  <c:v>3.2358153679234296</c:v>
                </c:pt>
                <c:pt idx="434">
                  <c:v>3.2747009864414625</c:v>
                </c:pt>
                <c:pt idx="435">
                  <c:v>3.2994158456488174</c:v>
                </c:pt>
                <c:pt idx="436">
                  <c:v>3.330249556966312</c:v>
                </c:pt>
                <c:pt idx="437">
                  <c:v>3.1428073856617451</c:v>
                </c:pt>
                <c:pt idx="438">
                  <c:v>3.0976322104149445</c:v>
                </c:pt>
                <c:pt idx="439">
                  <c:v>3.1549968115540876</c:v>
                </c:pt>
                <c:pt idx="440">
                  <c:v>3.1695129561600255</c:v>
                </c:pt>
                <c:pt idx="441">
                  <c:v>3.0467057067398091</c:v>
                </c:pt>
                <c:pt idx="442">
                  <c:v>3.1620294479910771</c:v>
                </c:pt>
                <c:pt idx="443">
                  <c:v>3.386390089740511</c:v>
                </c:pt>
                <c:pt idx="444">
                  <c:v>3.234686677158217</c:v>
                </c:pt>
                <c:pt idx="445">
                  <c:v>3.0200365031117058</c:v>
                </c:pt>
                <c:pt idx="446">
                  <c:v>2.9196908904769692</c:v>
                </c:pt>
                <c:pt idx="447">
                  <c:v>3.3489659591427694</c:v>
                </c:pt>
                <c:pt idx="448">
                  <c:v>3.0493120086992489</c:v>
                </c:pt>
                <c:pt idx="449">
                  <c:v>2.9819852794565098</c:v>
                </c:pt>
                <c:pt idx="450">
                  <c:v>3.0050435606976906</c:v>
                </c:pt>
                <c:pt idx="451">
                  <c:v>2.9127353487513425</c:v>
                </c:pt>
                <c:pt idx="452">
                  <c:v>3.0123431028234022</c:v>
                </c:pt>
                <c:pt idx="453">
                  <c:v>3.0951697683919317</c:v>
                </c:pt>
                <c:pt idx="454">
                  <c:v>2.9762780309746422</c:v>
                </c:pt>
                <c:pt idx="455">
                  <c:v>2.8079310949521923</c:v>
                </c:pt>
                <c:pt idx="456">
                  <c:v>2.9151117236482649</c:v>
                </c:pt>
                <c:pt idx="457">
                  <c:v>3.0021454375233332</c:v>
                </c:pt>
                <c:pt idx="458">
                  <c:v>2.9723711816854217</c:v>
                </c:pt>
                <c:pt idx="459">
                  <c:v>3.0809028974621651</c:v>
                </c:pt>
                <c:pt idx="460">
                  <c:v>3.1217359252692027</c:v>
                </c:pt>
                <c:pt idx="461">
                  <c:v>3.1843992188902042</c:v>
                </c:pt>
                <c:pt idx="462">
                  <c:v>3.1165849685557818</c:v>
                </c:pt>
                <c:pt idx="463">
                  <c:v>3.1777615494528044</c:v>
                </c:pt>
                <c:pt idx="464">
                  <c:v>3.0911827950796944</c:v>
                </c:pt>
                <c:pt idx="465">
                  <c:v>3.2761652983353198</c:v>
                </c:pt>
                <c:pt idx="466">
                  <c:v>3.3997634667934995</c:v>
                </c:pt>
                <c:pt idx="467">
                  <c:v>3.3884375380643008</c:v>
                </c:pt>
                <c:pt idx="468">
                  <c:v>3.2460955701429426</c:v>
                </c:pt>
                <c:pt idx="469">
                  <c:v>3.4941243771024078</c:v>
                </c:pt>
                <c:pt idx="470">
                  <c:v>3.6291513279511882</c:v>
                </c:pt>
                <c:pt idx="471">
                  <c:v>3.2269535012016246</c:v>
                </c:pt>
                <c:pt idx="472">
                  <c:v>3.4445875943400996</c:v>
                </c:pt>
                <c:pt idx="473">
                  <c:v>3.8449455364743357</c:v>
                </c:pt>
                <c:pt idx="474">
                  <c:v>3.1432451726304254</c:v>
                </c:pt>
                <c:pt idx="475">
                  <c:v>3.1042181879556123</c:v>
                </c:pt>
                <c:pt idx="476">
                  <c:v>3.0864542450984698</c:v>
                </c:pt>
                <c:pt idx="477">
                  <c:v>2.9230457238292318</c:v>
                </c:pt>
                <c:pt idx="478">
                  <c:v>2.594466898370309</c:v>
                </c:pt>
                <c:pt idx="479">
                  <c:v>2.769856713211218</c:v>
                </c:pt>
                <c:pt idx="480">
                  <c:v>2.9610940256099392</c:v>
                </c:pt>
                <c:pt idx="481">
                  <c:v>2.9551335194426382</c:v>
                </c:pt>
                <c:pt idx="482">
                  <c:v>2.9149539576719397</c:v>
                </c:pt>
                <c:pt idx="483">
                  <c:v>2.8852151362762801</c:v>
                </c:pt>
                <c:pt idx="484">
                  <c:v>2.3666820323286717</c:v>
                </c:pt>
                <c:pt idx="485">
                  <c:v>2.2616760319414126</c:v>
                </c:pt>
                <c:pt idx="486">
                  <c:v>2.0597616864132759</c:v>
                </c:pt>
                <c:pt idx="487">
                  <c:v>2.1304779229545141</c:v>
                </c:pt>
                <c:pt idx="488">
                  <c:v>2.1109412651110637</c:v>
                </c:pt>
                <c:pt idx="489">
                  <c:v>1.9504626298429808</c:v>
                </c:pt>
                <c:pt idx="490">
                  <c:v>1.7582046420462911</c:v>
                </c:pt>
                <c:pt idx="491">
                  <c:v>1.5000035758291483</c:v>
                </c:pt>
                <c:pt idx="492">
                  <c:v>1.7162718840544451</c:v>
                </c:pt>
                <c:pt idx="493">
                  <c:v>1.6981947879078481</c:v>
                </c:pt>
                <c:pt idx="494">
                  <c:v>1.7429754923719569</c:v>
                </c:pt>
                <c:pt idx="495">
                  <c:v>1.8699799706725062</c:v>
                </c:pt>
                <c:pt idx="496">
                  <c:v>1.734295962524224</c:v>
                </c:pt>
                <c:pt idx="497">
                  <c:v>1.805487125376398</c:v>
                </c:pt>
                <c:pt idx="498">
                  <c:v>1.846111570895385</c:v>
                </c:pt>
                <c:pt idx="499">
                  <c:v>1.7977204384395524</c:v>
                </c:pt>
                <c:pt idx="500">
                  <c:v>1.9276829291299573</c:v>
                </c:pt>
                <c:pt idx="501">
                  <c:v>1.9723778365837017</c:v>
                </c:pt>
                <c:pt idx="502">
                  <c:v>2.0359263811737338</c:v>
                </c:pt>
                <c:pt idx="503">
                  <c:v>1.9720378875574602</c:v>
                </c:pt>
                <c:pt idx="504">
                  <c:v>1.933484445295734</c:v>
                </c:pt>
                <c:pt idx="505">
                  <c:v>2.0140293356059504</c:v>
                </c:pt>
                <c:pt idx="506">
                  <c:v>1.9102767380277041</c:v>
                </c:pt>
                <c:pt idx="507">
                  <c:v>1.9465651701483178</c:v>
                </c:pt>
                <c:pt idx="508">
                  <c:v>1.9704088649973177</c:v>
                </c:pt>
                <c:pt idx="509">
                  <c:v>1.6880231946101547</c:v>
                </c:pt>
                <c:pt idx="510">
                  <c:v>1.9304100784542573</c:v>
                </c:pt>
                <c:pt idx="511">
                  <c:v>1.736464812400512</c:v>
                </c:pt>
                <c:pt idx="512">
                  <c:v>1.9745646270611354</c:v>
                </c:pt>
                <c:pt idx="513">
                  <c:v>2.0217993734908779</c:v>
                </c:pt>
                <c:pt idx="514">
                  <c:v>1.7515991968561506</c:v>
                </c:pt>
                <c:pt idx="515">
                  <c:v>1.5441677482086902</c:v>
                </c:pt>
                <c:pt idx="516">
                  <c:v>1.529203801392901</c:v>
                </c:pt>
                <c:pt idx="517">
                  <c:v>1.5960804232035626</c:v>
                </c:pt>
                <c:pt idx="518">
                  <c:v>1.5345672587866701</c:v>
                </c:pt>
                <c:pt idx="519">
                  <c:v>1.5887337746802039</c:v>
                </c:pt>
                <c:pt idx="520">
                  <c:v>1.5281549646697823</c:v>
                </c:pt>
                <c:pt idx="521">
                  <c:v>1.5040407167602277</c:v>
                </c:pt>
                <c:pt idx="522">
                  <c:v>1.4643703942044584</c:v>
                </c:pt>
                <c:pt idx="523">
                  <c:v>1.5570881689839511</c:v>
                </c:pt>
                <c:pt idx="524">
                  <c:v>1.4506560246056877</c:v>
                </c:pt>
                <c:pt idx="525">
                  <c:v>1.6473914546452522</c:v>
                </c:pt>
                <c:pt idx="526">
                  <c:v>1.8216888055625857</c:v>
                </c:pt>
                <c:pt idx="527">
                  <c:v>1.7869344987336002</c:v>
                </c:pt>
                <c:pt idx="528">
                  <c:v>1.6653715780079799</c:v>
                </c:pt>
                <c:pt idx="529">
                  <c:v>1.4838196761003735</c:v>
                </c:pt>
                <c:pt idx="530">
                  <c:v>1.2624800955607038</c:v>
                </c:pt>
                <c:pt idx="531">
                  <c:v>1.1949886761581869</c:v>
                </c:pt>
                <c:pt idx="532">
                  <c:v>1.0809310951598685</c:v>
                </c:pt>
                <c:pt idx="533">
                  <c:v>1.1628065106604932</c:v>
                </c:pt>
                <c:pt idx="534">
                  <c:v>0.98770739101258476</c:v>
                </c:pt>
                <c:pt idx="535">
                  <c:v>1.0036201785950023</c:v>
                </c:pt>
                <c:pt idx="536">
                  <c:v>0.91836420074305158</c:v>
                </c:pt>
                <c:pt idx="537">
                  <c:v>0.92941755252082947</c:v>
                </c:pt>
                <c:pt idx="538">
                  <c:v>0.95718002016579984</c:v>
                </c:pt>
                <c:pt idx="539">
                  <c:v>0.94180865341719633</c:v>
                </c:pt>
                <c:pt idx="540">
                  <c:v>0.91500699806029984</c:v>
                </c:pt>
                <c:pt idx="541">
                  <c:v>0.79774830150461573</c:v>
                </c:pt>
                <c:pt idx="542">
                  <c:v>0.96609528887639184</c:v>
                </c:pt>
                <c:pt idx="543">
                  <c:v>0.68624035350172907</c:v>
                </c:pt>
                <c:pt idx="544">
                  <c:v>0.55793177350172918</c:v>
                </c:pt>
                <c:pt idx="545">
                  <c:v>0.56023539239260978</c:v>
                </c:pt>
                <c:pt idx="546">
                  <c:v>0.58283878394488853</c:v>
                </c:pt>
                <c:pt idx="547">
                  <c:v>0.59249333124584891</c:v>
                </c:pt>
                <c:pt idx="548">
                  <c:v>0.63223967824886107</c:v>
                </c:pt>
                <c:pt idx="549">
                  <c:v>0.5309708258397059</c:v>
                </c:pt>
                <c:pt idx="550">
                  <c:v>0.42396490926387154</c:v>
                </c:pt>
                <c:pt idx="551">
                  <c:v>0.39289601730243906</c:v>
                </c:pt>
                <c:pt idx="552">
                  <c:v>0.38271444523965875</c:v>
                </c:pt>
                <c:pt idx="553">
                  <c:v>0.4335171719924425</c:v>
                </c:pt>
                <c:pt idx="554">
                  <c:v>0.47118294877815659</c:v>
                </c:pt>
                <c:pt idx="555">
                  <c:v>0.43853992374386319</c:v>
                </c:pt>
                <c:pt idx="556">
                  <c:v>0.4340665268191321</c:v>
                </c:pt>
                <c:pt idx="557">
                  <c:v>0.54287041220332832</c:v>
                </c:pt>
                <c:pt idx="558">
                  <c:v>0.47559901216214578</c:v>
                </c:pt>
                <c:pt idx="559">
                  <c:v>0.45260018787178841</c:v>
                </c:pt>
                <c:pt idx="560">
                  <c:v>0.40128045743787327</c:v>
                </c:pt>
                <c:pt idx="561">
                  <c:v>0.4023596894975745</c:v>
                </c:pt>
                <c:pt idx="562">
                  <c:v>0.42122327424658901</c:v>
                </c:pt>
                <c:pt idx="563">
                  <c:v>0.39326730747242239</c:v>
                </c:pt>
                <c:pt idx="564">
                  <c:v>0.45941072718694742</c:v>
                </c:pt>
                <c:pt idx="565">
                  <c:v>0.37798274855601993</c:v>
                </c:pt>
                <c:pt idx="566">
                  <c:v>0.35926495496547445</c:v>
                </c:pt>
                <c:pt idx="567">
                  <c:v>0.3098419394900645</c:v>
                </c:pt>
                <c:pt idx="568">
                  <c:v>0.35920223770628068</c:v>
                </c:pt>
                <c:pt idx="569">
                  <c:v>0.35904537917548573</c:v>
                </c:pt>
                <c:pt idx="570">
                  <c:v>0.30698994721896411</c:v>
                </c:pt>
                <c:pt idx="571">
                  <c:v>0.19835364621896412</c:v>
                </c:pt>
                <c:pt idx="572">
                  <c:v>0.19938531270604481</c:v>
                </c:pt>
                <c:pt idx="573">
                  <c:v>0.32223857529760103</c:v>
                </c:pt>
                <c:pt idx="574">
                  <c:v>0.19185694779058532</c:v>
                </c:pt>
                <c:pt idx="575">
                  <c:v>0.15782586791393943</c:v>
                </c:pt>
                <c:pt idx="576">
                  <c:v>0.21962695290940629</c:v>
                </c:pt>
                <c:pt idx="577">
                  <c:v>0.26028393165061042</c:v>
                </c:pt>
                <c:pt idx="578">
                  <c:v>0.30037741879982499</c:v>
                </c:pt>
                <c:pt idx="579">
                  <c:v>0.26084661608444393</c:v>
                </c:pt>
                <c:pt idx="580">
                  <c:v>0.29732648219930874</c:v>
                </c:pt>
                <c:pt idx="581">
                  <c:v>0.36660141556594211</c:v>
                </c:pt>
                <c:pt idx="582">
                  <c:v>0.31564787785370169</c:v>
                </c:pt>
                <c:pt idx="583">
                  <c:v>0.22368721704287969</c:v>
                </c:pt>
                <c:pt idx="584">
                  <c:v>0.1403794406395483</c:v>
                </c:pt>
                <c:pt idx="585">
                  <c:v>-0.13144240293759829</c:v>
                </c:pt>
                <c:pt idx="586">
                  <c:v>-3.3705251780041912E-2</c:v>
                </c:pt>
                <c:pt idx="587">
                  <c:v>2.304109626704107E-2</c:v>
                </c:pt>
                <c:pt idx="588">
                  <c:v>-4.5115843330274213E-2</c:v>
                </c:pt>
                <c:pt idx="589">
                  <c:v>-9.2957163455638689E-2</c:v>
                </c:pt>
                <c:pt idx="590">
                  <c:v>-0.111812332181666</c:v>
                </c:pt>
                <c:pt idx="591">
                  <c:v>-7.135542098586839E-2</c:v>
                </c:pt>
                <c:pt idx="592">
                  <c:v>-0.22459857103488781</c:v>
                </c:pt>
                <c:pt idx="593">
                  <c:v>-0.17828888901447973</c:v>
                </c:pt>
                <c:pt idx="594">
                  <c:v>-0.21862012616354176</c:v>
                </c:pt>
                <c:pt idx="595">
                  <c:v>-0.28848235801570826</c:v>
                </c:pt>
                <c:pt idx="596">
                  <c:v>-0.13741353466708436</c:v>
                </c:pt>
                <c:pt idx="597">
                  <c:v>-0.23667270971901522</c:v>
                </c:pt>
                <c:pt idx="598">
                  <c:v>-0.25482373407798981</c:v>
                </c:pt>
                <c:pt idx="599">
                  <c:v>-0.25937956779853777</c:v>
                </c:pt>
                <c:pt idx="600">
                  <c:v>-0.29431169989747763</c:v>
                </c:pt>
                <c:pt idx="601">
                  <c:v>-0.28020364429156636</c:v>
                </c:pt>
                <c:pt idx="602">
                  <c:v>-0.20704436232045542</c:v>
                </c:pt>
                <c:pt idx="603">
                  <c:v>-0.25026171016359278</c:v>
                </c:pt>
                <c:pt idx="604">
                  <c:v>-0.28128603302456434</c:v>
                </c:pt>
                <c:pt idx="605">
                  <c:v>-0.32614998115559263</c:v>
                </c:pt>
                <c:pt idx="606">
                  <c:v>-0.36779449697332045</c:v>
                </c:pt>
                <c:pt idx="607">
                  <c:v>-0.33265932330089093</c:v>
                </c:pt>
                <c:pt idx="608">
                  <c:v>-0.37725202944392433</c:v>
                </c:pt>
                <c:pt idx="609">
                  <c:v>-0.38938003671831445</c:v>
                </c:pt>
                <c:pt idx="610">
                  <c:v>-0.34281090860011088</c:v>
                </c:pt>
                <c:pt idx="611">
                  <c:v>-0.14286343634385271</c:v>
                </c:pt>
                <c:pt idx="612">
                  <c:v>-0.1087707463159313</c:v>
                </c:pt>
                <c:pt idx="613">
                  <c:v>-0.13417303902560856</c:v>
                </c:pt>
                <c:pt idx="614">
                  <c:v>-0.10028000410532885</c:v>
                </c:pt>
                <c:pt idx="615">
                  <c:v>-8.9346239948559308E-2</c:v>
                </c:pt>
                <c:pt idx="616">
                  <c:v>-0.11116445673255941</c:v>
                </c:pt>
                <c:pt idx="617">
                  <c:v>-0.11609726938880946</c:v>
                </c:pt>
                <c:pt idx="618">
                  <c:v>-0.16883201661290584</c:v>
                </c:pt>
                <c:pt idx="619">
                  <c:v>-0.22303680595716827</c:v>
                </c:pt>
                <c:pt idx="620">
                  <c:v>-0.21219975735716826</c:v>
                </c:pt>
                <c:pt idx="621">
                  <c:v>-0.23437166706164875</c:v>
                </c:pt>
                <c:pt idx="622">
                  <c:v>-0.24141761650667487</c:v>
                </c:pt>
                <c:pt idx="623">
                  <c:v>-0.26257155802450177</c:v>
                </c:pt>
                <c:pt idx="624">
                  <c:v>-0.27249219105403766</c:v>
                </c:pt>
                <c:pt idx="625">
                  <c:v>-0.32617530436663489</c:v>
                </c:pt>
                <c:pt idx="626">
                  <c:v>-0.35487164913780195</c:v>
                </c:pt>
                <c:pt idx="627">
                  <c:v>-0.35221325008816384</c:v>
                </c:pt>
                <c:pt idx="628">
                  <c:v>-0.39489813250843214</c:v>
                </c:pt>
                <c:pt idx="629">
                  <c:v>-0.37575590127672487</c:v>
                </c:pt>
                <c:pt idx="630">
                  <c:v>-0.38845324630185046</c:v>
                </c:pt>
                <c:pt idx="631">
                  <c:v>-0.40428860289525703</c:v>
                </c:pt>
                <c:pt idx="632">
                  <c:v>-0.38852085080648413</c:v>
                </c:pt>
                <c:pt idx="633">
                  <c:v>-0.40333844848739198</c:v>
                </c:pt>
                <c:pt idx="634">
                  <c:v>-0.41105906799057673</c:v>
                </c:pt>
                <c:pt idx="635">
                  <c:v>-0.40527057375645698</c:v>
                </c:pt>
                <c:pt idx="636">
                  <c:v>-0.40481846687121098</c:v>
                </c:pt>
                <c:pt idx="637">
                  <c:v>-0.39791707134568549</c:v>
                </c:pt>
                <c:pt idx="638">
                  <c:v>-0.39022228861537528</c:v>
                </c:pt>
                <c:pt idx="639">
                  <c:v>-0.3951756322956399</c:v>
                </c:pt>
                <c:pt idx="640">
                  <c:v>-0.39212727283757537</c:v>
                </c:pt>
                <c:pt idx="641">
                  <c:v>-0.40944782549207653</c:v>
                </c:pt>
                <c:pt idx="642">
                  <c:v>-0.41897589639913985</c:v>
                </c:pt>
                <c:pt idx="643">
                  <c:v>-0.41081983484984413</c:v>
                </c:pt>
                <c:pt idx="644">
                  <c:v>-0.43252852608878201</c:v>
                </c:pt>
                <c:pt idx="645">
                  <c:v>-0.43883529630414098</c:v>
                </c:pt>
                <c:pt idx="646">
                  <c:v>-0.44747637975818005</c:v>
                </c:pt>
                <c:pt idx="647">
                  <c:v>-0.44010505511153691</c:v>
                </c:pt>
                <c:pt idx="648">
                  <c:v>-0.42009407946695099</c:v>
                </c:pt>
                <c:pt idx="649">
                  <c:v>-0.41892269215249495</c:v>
                </c:pt>
                <c:pt idx="650">
                  <c:v>-0.42455195186753925</c:v>
                </c:pt>
                <c:pt idx="651">
                  <c:v>-0.44290972182309479</c:v>
                </c:pt>
                <c:pt idx="652">
                  <c:v>-0.47470631448888079</c:v>
                </c:pt>
                <c:pt idx="653">
                  <c:v>-0.45502126684486788</c:v>
                </c:pt>
                <c:pt idx="654">
                  <c:v>-0.45287228677919622</c:v>
                </c:pt>
                <c:pt idx="655">
                  <c:v>-0.45922824883801971</c:v>
                </c:pt>
                <c:pt idx="656">
                  <c:v>-0.46246440970578834</c:v>
                </c:pt>
                <c:pt idx="657">
                  <c:v>-0.46446291784778232</c:v>
                </c:pt>
                <c:pt idx="658">
                  <c:v>-0.45445482405305271</c:v>
                </c:pt>
                <c:pt idx="659">
                  <c:v>-0.47130339089551854</c:v>
                </c:pt>
                <c:pt idx="660">
                  <c:v>-0.4882427728692027</c:v>
                </c:pt>
                <c:pt idx="661">
                  <c:v>-0.48169761769661396</c:v>
                </c:pt>
                <c:pt idx="662">
                  <c:v>-0.50066532260051777</c:v>
                </c:pt>
                <c:pt idx="663">
                  <c:v>-0.48641046821883843</c:v>
                </c:pt>
                <c:pt idx="664">
                  <c:v>-0.48974423929150279</c:v>
                </c:pt>
                <c:pt idx="665">
                  <c:v>-0.4782659121898078</c:v>
                </c:pt>
                <c:pt idx="666">
                  <c:v>-0.47900728470704923</c:v>
                </c:pt>
                <c:pt idx="667">
                  <c:v>-0.49702025148124279</c:v>
                </c:pt>
                <c:pt idx="668">
                  <c:v>-0.51817662113953433</c:v>
                </c:pt>
                <c:pt idx="669">
                  <c:v>-0.53758404072740362</c:v>
                </c:pt>
                <c:pt idx="670">
                  <c:v>-0.52272617023112566</c:v>
                </c:pt>
                <c:pt idx="671">
                  <c:v>-0.53225379622141711</c:v>
                </c:pt>
                <c:pt idx="672">
                  <c:v>-0.45144282592962687</c:v>
                </c:pt>
                <c:pt idx="673">
                  <c:v>-0.48805891686060027</c:v>
                </c:pt>
                <c:pt idx="674">
                  <c:v>-0.51686336586060022</c:v>
                </c:pt>
                <c:pt idx="675">
                  <c:v>-0.5239001679255354</c:v>
                </c:pt>
                <c:pt idx="676">
                  <c:v>-0.56867296919769716</c:v>
                </c:pt>
                <c:pt idx="677">
                  <c:v>-0.53301776643233412</c:v>
                </c:pt>
                <c:pt idx="678">
                  <c:v>-0.53847046577479984</c:v>
                </c:pt>
                <c:pt idx="679">
                  <c:v>-0.47616468241788673</c:v>
                </c:pt>
                <c:pt idx="680">
                  <c:v>-0.52365597415590592</c:v>
                </c:pt>
                <c:pt idx="681">
                  <c:v>-0.55007756560492205</c:v>
                </c:pt>
                <c:pt idx="682">
                  <c:v>-0.58281837620492205</c:v>
                </c:pt>
                <c:pt idx="683">
                  <c:v>-0.5073509875789679</c:v>
                </c:pt>
                <c:pt idx="684">
                  <c:v>-0.47632634049932188</c:v>
                </c:pt>
                <c:pt idx="685">
                  <c:v>-0.45062019546114285</c:v>
                </c:pt>
                <c:pt idx="686">
                  <c:v>-0.54993633557123456</c:v>
                </c:pt>
                <c:pt idx="687">
                  <c:v>-0.31718006142255878</c:v>
                </c:pt>
                <c:pt idx="688">
                  <c:v>-0.2880042229538739</c:v>
                </c:pt>
                <c:pt idx="689">
                  <c:v>-0.31838118157209311</c:v>
                </c:pt>
                <c:pt idx="690">
                  <c:v>-0.1868844888682499</c:v>
                </c:pt>
                <c:pt idx="691">
                  <c:v>-2.105061562574316E-2</c:v>
                </c:pt>
                <c:pt idx="692">
                  <c:v>-0.13364860672981563</c:v>
                </c:pt>
                <c:pt idx="693">
                  <c:v>-8.1550599601037749E-2</c:v>
                </c:pt>
                <c:pt idx="694">
                  <c:v>-0.10584525975582879</c:v>
                </c:pt>
                <c:pt idx="695">
                  <c:v>-0.12843858047747828</c:v>
                </c:pt>
                <c:pt idx="696">
                  <c:v>-9.5997557597922056E-2</c:v>
                </c:pt>
                <c:pt idx="697">
                  <c:v>-0.14275214632712555</c:v>
                </c:pt>
                <c:pt idx="698">
                  <c:v>-0.15599679360163535</c:v>
                </c:pt>
                <c:pt idx="699">
                  <c:v>-0.14829818960163535</c:v>
                </c:pt>
                <c:pt idx="700">
                  <c:v>-0.1498501420235468</c:v>
                </c:pt>
                <c:pt idx="701">
                  <c:v>-0.15098527557055533</c:v>
                </c:pt>
                <c:pt idx="702">
                  <c:v>-0.15108756538528748</c:v>
                </c:pt>
                <c:pt idx="703">
                  <c:v>-0.15120631576073876</c:v>
                </c:pt>
                <c:pt idx="704">
                  <c:v>-0.14053069673873383</c:v>
                </c:pt>
                <c:pt idx="705">
                  <c:v>-0.14389901719218734</c:v>
                </c:pt>
                <c:pt idx="706">
                  <c:v>-0.15006049904933014</c:v>
                </c:pt>
                <c:pt idx="707">
                  <c:v>-0.1432378947949132</c:v>
                </c:pt>
                <c:pt idx="708">
                  <c:v>-0.16917721298637503</c:v>
                </c:pt>
                <c:pt idx="709">
                  <c:v>-0.14843814868475089</c:v>
                </c:pt>
                <c:pt idx="710">
                  <c:v>-0.17383284643325389</c:v>
                </c:pt>
                <c:pt idx="711">
                  <c:v>-0.13901411231460986</c:v>
                </c:pt>
                <c:pt idx="712">
                  <c:v>-0.16712949790449244</c:v>
                </c:pt>
                <c:pt idx="713">
                  <c:v>-0.13664638431771556</c:v>
                </c:pt>
                <c:pt idx="714">
                  <c:v>-0.17833267532029967</c:v>
                </c:pt>
                <c:pt idx="715">
                  <c:v>-0.20003432343173658</c:v>
                </c:pt>
                <c:pt idx="716">
                  <c:v>-0.19008899930536297</c:v>
                </c:pt>
                <c:pt idx="717">
                  <c:v>-0.20016028443912098</c:v>
                </c:pt>
                <c:pt idx="718">
                  <c:v>-0.19984895695437518</c:v>
                </c:pt>
                <c:pt idx="719">
                  <c:v>-0.22484235703969949</c:v>
                </c:pt>
                <c:pt idx="720">
                  <c:v>-0.18049073762568682</c:v>
                </c:pt>
                <c:pt idx="721">
                  <c:v>-0.16950985608428562</c:v>
                </c:pt>
                <c:pt idx="722">
                  <c:v>-0.20818800486075614</c:v>
                </c:pt>
                <c:pt idx="723">
                  <c:v>-0.23588876905206044</c:v>
                </c:pt>
                <c:pt idx="724">
                  <c:v>-0.2301773400799606</c:v>
                </c:pt>
                <c:pt idx="725">
                  <c:v>-0.23727575820496061</c:v>
                </c:pt>
                <c:pt idx="726">
                  <c:v>-0.25086217902629393</c:v>
                </c:pt>
                <c:pt idx="727">
                  <c:v>-0.25078881197670716</c:v>
                </c:pt>
                <c:pt idx="728">
                  <c:v>-0.26692950525649978</c:v>
                </c:pt>
                <c:pt idx="729">
                  <c:v>-0.27560516068507129</c:v>
                </c:pt>
                <c:pt idx="730">
                  <c:v>-0.26973625536592238</c:v>
                </c:pt>
                <c:pt idx="731">
                  <c:v>-0.29832337026788303</c:v>
                </c:pt>
                <c:pt idx="732">
                  <c:v>-0.28420373461594928</c:v>
                </c:pt>
                <c:pt idx="733">
                  <c:v>-0.29184672061594924</c:v>
                </c:pt>
                <c:pt idx="734">
                  <c:v>-0.30413388561594928</c:v>
                </c:pt>
                <c:pt idx="735">
                  <c:v>-0.30486937993755736</c:v>
                </c:pt>
                <c:pt idx="736">
                  <c:v>-0.30583005552810855</c:v>
                </c:pt>
                <c:pt idx="737">
                  <c:v>-0.305770546390704</c:v>
                </c:pt>
                <c:pt idx="738">
                  <c:v>-0.30592035713514842</c:v>
                </c:pt>
                <c:pt idx="739">
                  <c:v>-0.30583146943817879</c:v>
                </c:pt>
                <c:pt idx="740">
                  <c:v>-0.30182829849897547</c:v>
                </c:pt>
                <c:pt idx="741">
                  <c:v>-0.29995657956564215</c:v>
                </c:pt>
                <c:pt idx="742">
                  <c:v>-0.30102764269064214</c:v>
                </c:pt>
                <c:pt idx="743">
                  <c:v>-0.28442748390803352</c:v>
                </c:pt>
                <c:pt idx="744">
                  <c:v>-0.33593858370311547</c:v>
                </c:pt>
                <c:pt idx="745">
                  <c:v>-0.29118856082229599</c:v>
                </c:pt>
                <c:pt idx="746">
                  <c:v>-0.36321617799502326</c:v>
                </c:pt>
                <c:pt idx="747">
                  <c:v>-0.31850148604345629</c:v>
                </c:pt>
                <c:pt idx="748">
                  <c:v>-0.3212973191077837</c:v>
                </c:pt>
                <c:pt idx="749">
                  <c:v>-0.41838089242173715</c:v>
                </c:pt>
                <c:pt idx="750">
                  <c:v>-0.38670669097373694</c:v>
                </c:pt>
                <c:pt idx="751">
                  <c:v>-0.38288676547599948</c:v>
                </c:pt>
                <c:pt idx="752">
                  <c:v>-0.26358246278473729</c:v>
                </c:pt>
                <c:pt idx="753">
                  <c:v>-0.30188459372351273</c:v>
                </c:pt>
                <c:pt idx="754">
                  <c:v>-0.29789626218145682</c:v>
                </c:pt>
                <c:pt idx="755">
                  <c:v>-0.25375343032797687</c:v>
                </c:pt>
                <c:pt idx="756">
                  <c:v>-0.23867877040404364</c:v>
                </c:pt>
                <c:pt idx="757">
                  <c:v>-0.255825165786283</c:v>
                </c:pt>
                <c:pt idx="758">
                  <c:v>-0.26143215096275363</c:v>
                </c:pt>
                <c:pt idx="759">
                  <c:v>-0.22695115971720206</c:v>
                </c:pt>
                <c:pt idx="760">
                  <c:v>-0.22940977559506467</c:v>
                </c:pt>
                <c:pt idx="761">
                  <c:v>-0.23190908545992947</c:v>
                </c:pt>
                <c:pt idx="762">
                  <c:v>-0.21642642597478093</c:v>
                </c:pt>
                <c:pt idx="763">
                  <c:v>-0.21378392811527677</c:v>
                </c:pt>
                <c:pt idx="764">
                  <c:v>-0.19435699772817999</c:v>
                </c:pt>
                <c:pt idx="765">
                  <c:v>-0.15911603994328669</c:v>
                </c:pt>
                <c:pt idx="766">
                  <c:v>-0.17258040416129619</c:v>
                </c:pt>
                <c:pt idx="767">
                  <c:v>-0.17351578243907392</c:v>
                </c:pt>
                <c:pt idx="768">
                  <c:v>-0.17304572603907384</c:v>
                </c:pt>
                <c:pt idx="769">
                  <c:v>-0.17576143396273797</c:v>
                </c:pt>
                <c:pt idx="770">
                  <c:v>-0.17792558419046073</c:v>
                </c:pt>
                <c:pt idx="771">
                  <c:v>-0.17712655025361856</c:v>
                </c:pt>
                <c:pt idx="772">
                  <c:v>-0.19686922761128284</c:v>
                </c:pt>
                <c:pt idx="773">
                  <c:v>-0.17374904695910895</c:v>
                </c:pt>
                <c:pt idx="774">
                  <c:v>-0.13611896529106771</c:v>
                </c:pt>
                <c:pt idx="775">
                  <c:v>-0.17052475142467088</c:v>
                </c:pt>
                <c:pt idx="776">
                  <c:v>-0.19245440129005559</c:v>
                </c:pt>
                <c:pt idx="777">
                  <c:v>-0.18996556389470676</c:v>
                </c:pt>
                <c:pt idx="778">
                  <c:v>-0.20132251713795002</c:v>
                </c:pt>
                <c:pt idx="779">
                  <c:v>-0.17878521788239443</c:v>
                </c:pt>
                <c:pt idx="780">
                  <c:v>-0.17127054008929105</c:v>
                </c:pt>
                <c:pt idx="781">
                  <c:v>-0.15692149787669268</c:v>
                </c:pt>
                <c:pt idx="782">
                  <c:v>-0.15272622647669254</c:v>
                </c:pt>
                <c:pt idx="783">
                  <c:v>-0.12493722975895062</c:v>
                </c:pt>
                <c:pt idx="784">
                  <c:v>-0.16212131754999526</c:v>
                </c:pt>
                <c:pt idx="785">
                  <c:v>-0.19890949054999527</c:v>
                </c:pt>
                <c:pt idx="786">
                  <c:v>-0.16817920997286279</c:v>
                </c:pt>
                <c:pt idx="787">
                  <c:v>-0.18011041383000556</c:v>
                </c:pt>
                <c:pt idx="788">
                  <c:v>-0.17383386570402126</c:v>
                </c:pt>
                <c:pt idx="789">
                  <c:v>-0.16970217394620876</c:v>
                </c:pt>
                <c:pt idx="790">
                  <c:v>-0.15766167081324481</c:v>
                </c:pt>
                <c:pt idx="791">
                  <c:v>-0.16207835180484148</c:v>
                </c:pt>
                <c:pt idx="792">
                  <c:v>-0.16310005814084147</c:v>
                </c:pt>
                <c:pt idx="793">
                  <c:v>-0.17632365427607954</c:v>
                </c:pt>
                <c:pt idx="794">
                  <c:v>-0.18157626641177271</c:v>
                </c:pt>
                <c:pt idx="795">
                  <c:v>-0.15784472149962048</c:v>
                </c:pt>
                <c:pt idx="796">
                  <c:v>-0.1432840714996205</c:v>
                </c:pt>
                <c:pt idx="797">
                  <c:v>-0.15405768716385404</c:v>
                </c:pt>
                <c:pt idx="798">
                  <c:v>-0.14948295697371322</c:v>
                </c:pt>
                <c:pt idx="799">
                  <c:v>-0.15520534397371319</c:v>
                </c:pt>
                <c:pt idx="800">
                  <c:v>-0.12885005117982004</c:v>
                </c:pt>
                <c:pt idx="801">
                  <c:v>-0.13697486421929367</c:v>
                </c:pt>
                <c:pt idx="802">
                  <c:v>-0.1023387880991308</c:v>
                </c:pt>
                <c:pt idx="803">
                  <c:v>-7.3097492704296899E-2</c:v>
                </c:pt>
                <c:pt idx="804">
                  <c:v>-6.8535084319082881E-2</c:v>
                </c:pt>
                <c:pt idx="805">
                  <c:v>-3.8808249500242295E-2</c:v>
                </c:pt>
                <c:pt idx="806">
                  <c:v>-7.2618203621303626E-2</c:v>
                </c:pt>
                <c:pt idx="807">
                  <c:v>-9.277965644651856E-2</c:v>
                </c:pt>
                <c:pt idx="808">
                  <c:v>-7.723563296454522E-2</c:v>
                </c:pt>
                <c:pt idx="809">
                  <c:v>-6.4589772697878536E-2</c:v>
                </c:pt>
                <c:pt idx="810">
                  <c:v>-6.3769350134640621E-2</c:v>
                </c:pt>
                <c:pt idx="811">
                  <c:v>-6.616828823141481E-2</c:v>
                </c:pt>
                <c:pt idx="812">
                  <c:v>-5.632654430714628E-2</c:v>
                </c:pt>
                <c:pt idx="813">
                  <c:v>-4.1260897436509673E-2</c:v>
                </c:pt>
                <c:pt idx="814">
                  <c:v>-8.6989621277527129E-2</c:v>
                </c:pt>
                <c:pt idx="815">
                  <c:v>-9.0592621534121856E-2</c:v>
                </c:pt>
                <c:pt idx="816">
                  <c:v>-7.4832584849140127E-2</c:v>
                </c:pt>
                <c:pt idx="817">
                  <c:v>-7.8107130865946839E-2</c:v>
                </c:pt>
                <c:pt idx="818">
                  <c:v>-8.0532550657613527E-2</c:v>
                </c:pt>
                <c:pt idx="819">
                  <c:v>-8.6321643931297709E-2</c:v>
                </c:pt>
                <c:pt idx="820">
                  <c:v>-8.5223522079707625E-2</c:v>
                </c:pt>
                <c:pt idx="821">
                  <c:v>-7.8328078079707639E-2</c:v>
                </c:pt>
                <c:pt idx="822">
                  <c:v>-6.5564382752604761E-2</c:v>
                </c:pt>
                <c:pt idx="823">
                  <c:v>-3.9384656624164391E-2</c:v>
                </c:pt>
                <c:pt idx="824">
                  <c:v>-6.8086434865065618E-2</c:v>
                </c:pt>
                <c:pt idx="825">
                  <c:v>-6.0504151129140938E-3</c:v>
                </c:pt>
                <c:pt idx="826">
                  <c:v>-4.2301255452058303E-2</c:v>
                </c:pt>
                <c:pt idx="827">
                  <c:v>-3.7487483929670218E-2</c:v>
                </c:pt>
                <c:pt idx="828">
                  <c:v>-2.0971318179098121E-2</c:v>
                </c:pt>
                <c:pt idx="829">
                  <c:v>-2.1817203164337939E-2</c:v>
                </c:pt>
                <c:pt idx="830">
                  <c:v>-1.5478993917762581E-2</c:v>
                </c:pt>
                <c:pt idx="831">
                  <c:v>-6.483220759669746E-3</c:v>
                </c:pt>
                <c:pt idx="832">
                  <c:v>-1.6529372504892642E-2</c:v>
                </c:pt>
                <c:pt idx="833">
                  <c:v>-9.3548845156646455E-3</c:v>
                </c:pt>
                <c:pt idx="834">
                  <c:v>1.3999096204335381E-2</c:v>
                </c:pt>
                <c:pt idx="835">
                  <c:v>6.6612199360230003E-5</c:v>
                </c:pt>
                <c:pt idx="836">
                  <c:v>8.9781941398364169E-3</c:v>
                </c:pt>
                <c:pt idx="837">
                  <c:v>-6.5018143998807247E-3</c:v>
                </c:pt>
                <c:pt idx="838">
                  <c:v>1.6856130584207363E-2</c:v>
                </c:pt>
                <c:pt idx="839">
                  <c:v>-1.829888020367141E-2</c:v>
                </c:pt>
                <c:pt idx="840">
                  <c:v>7.0584074824452401E-3</c:v>
                </c:pt>
                <c:pt idx="841">
                  <c:v>0.13883074879622828</c:v>
                </c:pt>
                <c:pt idx="842">
                  <c:v>6.2853367547888256E-2</c:v>
                </c:pt>
                <c:pt idx="843">
                  <c:v>3.5864065028847258E-2</c:v>
                </c:pt>
                <c:pt idx="844">
                  <c:v>2.9276687162180591E-2</c:v>
                </c:pt>
                <c:pt idx="845">
                  <c:v>4.3060434019323433E-2</c:v>
                </c:pt>
                <c:pt idx="846">
                  <c:v>3.0572668750092642E-2</c:v>
                </c:pt>
                <c:pt idx="847">
                  <c:v>2.3506459292261313E-2</c:v>
                </c:pt>
                <c:pt idx="848">
                  <c:v>2.7322314631244359E-2</c:v>
                </c:pt>
                <c:pt idx="849">
                  <c:v>3.4797997924924592E-2</c:v>
                </c:pt>
                <c:pt idx="850">
                  <c:v>3.2550332623113701E-2</c:v>
                </c:pt>
                <c:pt idx="851">
                  <c:v>1.7738828932904953E-2</c:v>
                </c:pt>
                <c:pt idx="852">
                  <c:v>9.4541691714057803E-3</c:v>
                </c:pt>
                <c:pt idx="853">
                  <c:v>7.8205192837167755E-3</c:v>
                </c:pt>
                <c:pt idx="854">
                  <c:v>5.8181896986545358E-3</c:v>
                </c:pt>
                <c:pt idx="855">
                  <c:v>7.9461745034674017E-3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43-46C2-AECD-0D7473206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137456"/>
        <c:axId val="531135376"/>
      </c:lineChart>
      <c:dateAx>
        <c:axId val="531137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135376"/>
        <c:crosses val="autoZero"/>
        <c:auto val="1"/>
        <c:lblOffset val="100"/>
        <c:baseTimeUnit val="days"/>
      </c:dateAx>
      <c:valAx>
        <c:axId val="5311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13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FEEE35-2FD9-4EA5-B7F5-764F6F53B97A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DB8268-0DD1-4402-9DC1-30068E80AB4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1.84</v>
      </c>
      <c r="D2" s="4">
        <f>MIN(D3:D1912)</f>
        <v>1.5100000000000001E-2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0.33179999999999998</v>
      </c>
      <c r="C5">
        <v>0.33289999999999997</v>
      </c>
      <c r="D5">
        <v>0.3216</v>
      </c>
      <c r="E5">
        <v>0.32200000000000001</v>
      </c>
      <c r="F5">
        <v>1446785</v>
      </c>
      <c r="G5">
        <v>0.32200000000000001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-0.92920353982300663</v>
      </c>
      <c r="Q5">
        <f t="shared" ref="Q5" si="1">F5*P5</f>
        <v>-1344357.7433628286</v>
      </c>
      <c r="R5">
        <f t="shared" ref="R5" si="2">R6+Q5</f>
        <v>647688090.73357475</v>
      </c>
      <c r="S5">
        <f t="shared" ref="S5" si="3">R5/100000</f>
        <v>6476.8809073357479</v>
      </c>
      <c r="T5">
        <f t="shared" ref="T5" si="4">S5/1000</f>
        <v>6.4768809073357483</v>
      </c>
    </row>
    <row r="6" spans="1:20" x14ac:dyDescent="0.25">
      <c r="A6" s="5">
        <v>44587</v>
      </c>
      <c r="B6">
        <v>0.31059999999999999</v>
      </c>
      <c r="C6">
        <v>0.37080000000000002</v>
      </c>
      <c r="D6">
        <v>0.30359999999999998</v>
      </c>
      <c r="E6">
        <v>0.33169999999999999</v>
      </c>
      <c r="F6">
        <v>48973990</v>
      </c>
      <c r="G6">
        <v>0.33169999999999999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-0.16369047619047625</v>
      </c>
      <c r="Q6">
        <f t="shared" ref="Q6" si="6">F6*P6</f>
        <v>-8016575.7440476222</v>
      </c>
      <c r="R6">
        <f t="shared" ref="R6" si="7">R7+Q6</f>
        <v>649032448.47693753</v>
      </c>
      <c r="S6">
        <f t="shared" ref="S6" si="8">R6/100000</f>
        <v>6490.324484769375</v>
      </c>
      <c r="T6">
        <f t="shared" ref="T6" si="9">S6/1000</f>
        <v>6.4903244847693751</v>
      </c>
    </row>
    <row r="7" spans="1:20" x14ac:dyDescent="0.25">
      <c r="A7" s="5">
        <v>44586</v>
      </c>
      <c r="B7">
        <v>0.27860000000000001</v>
      </c>
      <c r="C7">
        <v>0.31390000000000001</v>
      </c>
      <c r="D7">
        <v>0.26979999999999998</v>
      </c>
      <c r="E7">
        <v>0.3105</v>
      </c>
      <c r="F7">
        <v>20744509</v>
      </c>
      <c r="G7">
        <v>0.3105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0.84580498866213094</v>
      </c>
      <c r="Q7">
        <f t="shared" ref="Q7" si="11">F7*P7</f>
        <v>17545809.199546475</v>
      </c>
      <c r="R7">
        <f t="shared" ref="R7" si="12">R8+Q7</f>
        <v>657049024.22098517</v>
      </c>
      <c r="S7">
        <f t="shared" ref="S7" si="13">R7/100000</f>
        <v>6570.4902422098521</v>
      </c>
      <c r="T7">
        <f t="shared" ref="T7" si="14">S7/1000</f>
        <v>6.5704902422098517</v>
      </c>
    </row>
    <row r="8" spans="1:20" x14ac:dyDescent="0.25">
      <c r="A8" s="5">
        <v>44585</v>
      </c>
      <c r="B8">
        <v>0.29530000000000001</v>
      </c>
      <c r="C8">
        <v>0.29730000000000001</v>
      </c>
      <c r="D8">
        <v>0.24260000000000001</v>
      </c>
      <c r="E8">
        <v>0.27860000000000001</v>
      </c>
      <c r="F8">
        <v>46052000.200000003</v>
      </c>
      <c r="G8">
        <v>0.27860000000000001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0.31627056672760528</v>
      </c>
      <c r="Q8">
        <f t="shared" ref="Q8" si="16">F8*P8</f>
        <v>14564892.202193793</v>
      </c>
      <c r="R8">
        <f t="shared" ref="R8" si="17">R9+Q8</f>
        <v>639503215.02143872</v>
      </c>
      <c r="S8">
        <f t="shared" ref="S8" si="18">R8/100000</f>
        <v>6395.032150214387</v>
      </c>
      <c r="T8">
        <f t="shared" ref="T8" si="19">S8/1000</f>
        <v>6.3950321502143872</v>
      </c>
    </row>
    <row r="9" spans="1:20" x14ac:dyDescent="0.25">
      <c r="A9" s="5">
        <v>44584</v>
      </c>
      <c r="B9">
        <v>0.28610000000000002</v>
      </c>
      <c r="C9">
        <v>0.31109999999999999</v>
      </c>
      <c r="D9">
        <v>0.27879999999999999</v>
      </c>
      <c r="E9">
        <v>0.29609999999999997</v>
      </c>
      <c r="F9">
        <v>30093597</v>
      </c>
      <c r="G9">
        <v>0.29609999999999997</v>
      </c>
      <c r="L9" t="s">
        <v>8</v>
      </c>
      <c r="M9" t="s">
        <v>8</v>
      </c>
      <c r="N9" t="s">
        <v>7</v>
      </c>
      <c r="P9">
        <f t="shared" ref="P9" si="20">IF(C9=D9,0,((E9-D9)-(C9-E9))/(C9-D9))</f>
        <v>7.1207430340556321E-2</v>
      </c>
      <c r="Q9">
        <f t="shared" ref="Q9" si="21">F9*P9</f>
        <v>2142887.7120742747</v>
      </c>
      <c r="R9">
        <f t="shared" ref="R9" si="22">R10+Q9</f>
        <v>624938322.81924498</v>
      </c>
      <c r="S9">
        <f t="shared" ref="S9" si="23">R9/100000</f>
        <v>6249.3832281924497</v>
      </c>
      <c r="T9">
        <f t="shared" ref="T9" si="24">S9/1000</f>
        <v>6.2493832281924497</v>
      </c>
    </row>
    <row r="10" spans="1:20" x14ac:dyDescent="0.25">
      <c r="A10" s="5">
        <v>44583</v>
      </c>
      <c r="B10">
        <v>0.33939999999999998</v>
      </c>
      <c r="C10">
        <v>0.35039999999999999</v>
      </c>
      <c r="D10">
        <v>0.25509999999999999</v>
      </c>
      <c r="E10">
        <v>0.28589999999999999</v>
      </c>
      <c r="F10">
        <v>46840122.399999999</v>
      </c>
      <c r="G10">
        <v>0.28589999999999999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-0.35362014690451216</v>
      </c>
      <c r="Q10">
        <f t="shared" ref="Q10" si="26">F10*P10</f>
        <v>-16563610.96411333</v>
      </c>
      <c r="R10">
        <f t="shared" ref="R10" si="27">R11+Q10</f>
        <v>622795435.1071707</v>
      </c>
      <c r="S10">
        <f t="shared" ref="S10" si="28">R10/100000</f>
        <v>6227.9543510717067</v>
      </c>
      <c r="T10">
        <f t="shared" ref="T10" si="29">S10/1000</f>
        <v>6.2279543510717064</v>
      </c>
    </row>
    <row r="11" spans="1:20" x14ac:dyDescent="0.25">
      <c r="A11" s="5">
        <v>44582</v>
      </c>
      <c r="B11">
        <v>0.3997</v>
      </c>
      <c r="C11">
        <v>0.41110000000000002</v>
      </c>
      <c r="D11">
        <v>0.32840000000000003</v>
      </c>
      <c r="E11">
        <v>0.34</v>
      </c>
      <c r="F11">
        <v>25956644</v>
      </c>
      <c r="G11">
        <v>0.34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-0.71946795646916561</v>
      </c>
      <c r="Q11">
        <f t="shared" ref="Q11" si="31">F11*P11</f>
        <v>-18674973.615477629</v>
      </c>
      <c r="R11">
        <f t="shared" ref="R11" si="32">R12+Q11</f>
        <v>639359046.07128406</v>
      </c>
      <c r="S11">
        <f t="shared" ref="S11" si="33">R11/100000</f>
        <v>6393.5904607128405</v>
      </c>
      <c r="T11">
        <f t="shared" ref="T11" si="34">S11/1000</f>
        <v>6.3935904607128409</v>
      </c>
    </row>
    <row r="12" spans="1:20" x14ac:dyDescent="0.25">
      <c r="A12" s="5">
        <v>44581</v>
      </c>
      <c r="B12">
        <v>0.41549999999999998</v>
      </c>
      <c r="C12">
        <v>0.45939999999999998</v>
      </c>
      <c r="D12">
        <v>0.39729999999999999</v>
      </c>
      <c r="E12">
        <v>0.40010000000000001</v>
      </c>
      <c r="F12">
        <v>10720406</v>
      </c>
      <c r="G12">
        <v>0.40010000000000001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-0.90982286634460463</v>
      </c>
      <c r="Q12">
        <f t="shared" ref="Q12" si="36">F12*P12</f>
        <v>-9753670.5152978972</v>
      </c>
      <c r="R12">
        <f t="shared" ref="R12" si="37">R13+Q12</f>
        <v>658034019.68676174</v>
      </c>
      <c r="S12">
        <f t="shared" ref="S12" si="38">R12/100000</f>
        <v>6580.3401968676171</v>
      </c>
      <c r="T12">
        <f t="shared" ref="T12" si="39">S12/1000</f>
        <v>6.580340196867617</v>
      </c>
    </row>
    <row r="13" spans="1:20" x14ac:dyDescent="0.25">
      <c r="A13" s="5">
        <v>44580</v>
      </c>
      <c r="B13">
        <v>0.42499999999999999</v>
      </c>
      <c r="C13">
        <v>0.43169999999999997</v>
      </c>
      <c r="D13">
        <v>0.40839999999999999</v>
      </c>
      <c r="E13">
        <v>0.41520000000000001</v>
      </c>
      <c r="F13">
        <v>9473679</v>
      </c>
      <c r="G13">
        <v>0.41520000000000001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-0.41630901287553373</v>
      </c>
      <c r="Q13">
        <f t="shared" ref="Q13" si="41">F13*P13</f>
        <v>-3943977.9527896736</v>
      </c>
      <c r="R13">
        <f t="shared" ref="R13" si="42">R14+Q13</f>
        <v>667787690.20205963</v>
      </c>
      <c r="S13">
        <f t="shared" ref="S13" si="43">R13/100000</f>
        <v>6677.8769020205964</v>
      </c>
      <c r="T13">
        <f t="shared" ref="T13" si="44">S13/1000</f>
        <v>6.6778769020205964</v>
      </c>
    </row>
    <row r="14" spans="1:20" x14ac:dyDescent="0.25">
      <c r="A14" s="5">
        <v>44579</v>
      </c>
      <c r="B14">
        <v>0.4456</v>
      </c>
      <c r="C14">
        <v>0.45579999999999998</v>
      </c>
      <c r="D14">
        <v>0.4138</v>
      </c>
      <c r="E14">
        <v>0.42480000000000001</v>
      </c>
      <c r="F14">
        <v>9650412.5</v>
      </c>
      <c r="G14">
        <v>0.42480000000000001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-0.4761904761904755</v>
      </c>
      <c r="Q14">
        <f t="shared" ref="Q14" si="46">F14*P14</f>
        <v>-4595434.5238095168</v>
      </c>
      <c r="R14">
        <f t="shared" ref="R14" si="47">R15+Q14</f>
        <v>671731668.15484929</v>
      </c>
      <c r="S14">
        <f t="shared" ref="S14" si="48">R14/100000</f>
        <v>6717.3166815484929</v>
      </c>
      <c r="T14">
        <f t="shared" ref="T14" si="49">S14/1000</f>
        <v>6.7173166815484926</v>
      </c>
    </row>
    <row r="15" spans="1:20" x14ac:dyDescent="0.25">
      <c r="A15" s="5">
        <v>44578</v>
      </c>
      <c r="B15">
        <v>0.4708</v>
      </c>
      <c r="C15">
        <v>0.47210000000000002</v>
      </c>
      <c r="D15">
        <v>0.437</v>
      </c>
      <c r="E15">
        <v>0.44529999999999997</v>
      </c>
      <c r="F15">
        <v>7336480</v>
      </c>
      <c r="G15">
        <v>0.44529999999999997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-0.52706552706552878</v>
      </c>
      <c r="Q15">
        <f t="shared" ref="Q15" si="51">F15*P15</f>
        <v>-3866805.6980057107</v>
      </c>
      <c r="R15">
        <f t="shared" ref="R15" si="52">R16+Q15</f>
        <v>676327102.67865884</v>
      </c>
      <c r="S15">
        <f t="shared" ref="S15" si="53">R15/100000</f>
        <v>6763.2710267865887</v>
      </c>
      <c r="T15">
        <f t="shared" ref="T15" si="54">S15/1000</f>
        <v>6.7632710267865885</v>
      </c>
    </row>
    <row r="16" spans="1:20" x14ac:dyDescent="0.25">
      <c r="A16" s="5">
        <v>44577</v>
      </c>
      <c r="B16">
        <v>0.47839999999999999</v>
      </c>
      <c r="C16">
        <v>0.48670000000000002</v>
      </c>
      <c r="D16">
        <v>0.45829999999999999</v>
      </c>
      <c r="E16">
        <v>0.47089999999999999</v>
      </c>
      <c r="F16">
        <v>10306585</v>
      </c>
      <c r="G16">
        <v>0.47089999999999999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-0.1126760563380293</v>
      </c>
      <c r="Q16">
        <f t="shared" ref="Q16" si="56">F16*P16</f>
        <v>-1161305.3521126877</v>
      </c>
      <c r="R16">
        <f t="shared" ref="R16" si="57">R17+Q16</f>
        <v>680193908.37666452</v>
      </c>
      <c r="S16">
        <f t="shared" ref="S16" si="58">R16/100000</f>
        <v>6801.9390837666451</v>
      </c>
      <c r="T16">
        <f t="shared" ref="T16" si="59">S16/1000</f>
        <v>6.8019390837666451</v>
      </c>
    </row>
    <row r="17" spans="1:20" x14ac:dyDescent="0.25">
      <c r="A17" s="5">
        <v>44576</v>
      </c>
      <c r="B17">
        <v>0.4612</v>
      </c>
      <c r="C17">
        <v>0.48509999999999998</v>
      </c>
      <c r="D17">
        <v>0.45590000000000003</v>
      </c>
      <c r="E17">
        <v>0.47849999999999998</v>
      </c>
      <c r="F17">
        <v>5156086</v>
      </c>
      <c r="G17">
        <v>0.47849999999999998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0.54794520547945158</v>
      </c>
      <c r="Q17">
        <f t="shared" ref="Q17" si="61">F17*P17</f>
        <v>2825252.6027397234</v>
      </c>
      <c r="R17">
        <f t="shared" ref="R17" si="62">R18+Q17</f>
        <v>681355213.72877717</v>
      </c>
      <c r="S17">
        <f t="shared" ref="S17" si="63">R17/100000</f>
        <v>6813.552137287772</v>
      </c>
      <c r="T17">
        <f t="shared" ref="T17" si="64">S17/1000</f>
        <v>6.8135521372877719</v>
      </c>
    </row>
    <row r="18" spans="1:20" x14ac:dyDescent="0.25">
      <c r="A18" s="5">
        <v>44575</v>
      </c>
      <c r="B18">
        <v>0.46710000000000002</v>
      </c>
      <c r="C18">
        <v>0.48149999999999998</v>
      </c>
      <c r="D18">
        <v>0.44740000000000002</v>
      </c>
      <c r="E18">
        <v>0.46139999999999998</v>
      </c>
      <c r="F18">
        <v>12546439</v>
      </c>
      <c r="G18">
        <v>0.46139999999999998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-0.17888563049853537</v>
      </c>
      <c r="Q18">
        <f t="shared" ref="Q18" si="66">F18*P18</f>
        <v>-2244377.6510264138</v>
      </c>
      <c r="R18">
        <f t="shared" ref="R18" si="67">R19+Q18</f>
        <v>678529961.12603748</v>
      </c>
      <c r="S18">
        <f t="shared" ref="S18" si="68">R18/100000</f>
        <v>6785.2996112603751</v>
      </c>
      <c r="T18">
        <f t="shared" ref="T18" si="69">S18/1000</f>
        <v>6.785299611260375</v>
      </c>
    </row>
    <row r="19" spans="1:20" x14ac:dyDescent="0.25">
      <c r="A19" s="5">
        <v>44574</v>
      </c>
      <c r="B19">
        <v>0.48780000000000001</v>
      </c>
      <c r="C19">
        <v>0.50719999999999998</v>
      </c>
      <c r="D19">
        <v>0.46529999999999999</v>
      </c>
      <c r="E19">
        <v>0.46729999999999999</v>
      </c>
      <c r="F19">
        <v>10735169</v>
      </c>
      <c r="G19">
        <v>0.46729999999999999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-0.9045346062052505</v>
      </c>
      <c r="Q19">
        <f t="shared" ref="Q19" si="71">F19*P19</f>
        <v>-9710331.8639618121</v>
      </c>
      <c r="R19">
        <f t="shared" ref="R19" si="72">R20+Q19</f>
        <v>680774338.77706385</v>
      </c>
      <c r="S19">
        <f t="shared" ref="S19" si="73">R19/100000</f>
        <v>6807.743387770638</v>
      </c>
      <c r="T19">
        <f t="shared" ref="T19" si="74">S19/1000</f>
        <v>6.8077433877706381</v>
      </c>
    </row>
    <row r="20" spans="1:20" x14ac:dyDescent="0.25">
      <c r="A20" s="5">
        <v>44573</v>
      </c>
      <c r="B20">
        <v>0.45879999999999999</v>
      </c>
      <c r="C20">
        <v>0.49099999999999999</v>
      </c>
      <c r="D20">
        <v>0.4536</v>
      </c>
      <c r="E20">
        <v>0.48759999999999998</v>
      </c>
      <c r="F20">
        <v>11327107</v>
      </c>
      <c r="G20">
        <v>0.48759999999999998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0.81818181818181734</v>
      </c>
      <c r="Q20">
        <f t="shared" ref="Q20" si="76">F20*P20</f>
        <v>9267632.9999999907</v>
      </c>
      <c r="R20">
        <f t="shared" ref="R20" si="77">R21+Q20</f>
        <v>690484670.64102566</v>
      </c>
      <c r="S20">
        <f t="shared" ref="S20" si="78">R20/100000</f>
        <v>6904.846706410257</v>
      </c>
      <c r="T20">
        <f t="shared" ref="T20" si="79">S20/1000</f>
        <v>6.9048467064102566</v>
      </c>
    </row>
    <row r="21" spans="1:20" x14ac:dyDescent="0.25">
      <c r="A21" s="5">
        <v>44572</v>
      </c>
      <c r="B21">
        <v>0.45390000000000003</v>
      </c>
      <c r="C21">
        <v>0.47549999999999998</v>
      </c>
      <c r="D21">
        <v>0.43540000000000001</v>
      </c>
      <c r="E21">
        <v>0.45889999999999997</v>
      </c>
      <c r="F21">
        <v>11674716</v>
      </c>
      <c r="G21">
        <v>0.45889999999999997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0.17206982543640817</v>
      </c>
      <c r="Q21">
        <f t="shared" ref="Q21" si="81">F21*P21</f>
        <v>2008866.3441396414</v>
      </c>
      <c r="R21">
        <f t="shared" ref="R21" si="82">R22+Q21</f>
        <v>681217037.64102566</v>
      </c>
      <c r="S21">
        <f t="shared" ref="S21" si="83">R21/100000</f>
        <v>6812.1703764102567</v>
      </c>
      <c r="T21">
        <f t="shared" ref="T21" si="84">S21/1000</f>
        <v>6.8121703764102568</v>
      </c>
    </row>
    <row r="22" spans="1:20" x14ac:dyDescent="0.25">
      <c r="A22" s="5">
        <v>44571</v>
      </c>
      <c r="B22">
        <v>0.4632</v>
      </c>
      <c r="C22">
        <v>0.47349999999999998</v>
      </c>
      <c r="D22">
        <v>0.42070000000000002</v>
      </c>
      <c r="E22">
        <v>0.4536</v>
      </c>
      <c r="F22">
        <v>9217107</v>
      </c>
      <c r="G22">
        <v>0.4536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0.24621212121212163</v>
      </c>
      <c r="Q22">
        <f t="shared" ref="Q22" si="86">F22*P22</f>
        <v>2269363.4659090945</v>
      </c>
      <c r="R22">
        <f t="shared" ref="R22" si="87">R23+Q22</f>
        <v>679208171.29688597</v>
      </c>
      <c r="S22">
        <f t="shared" ref="S22" si="88">R22/100000</f>
        <v>6792.0817129688594</v>
      </c>
      <c r="T22">
        <f t="shared" ref="T22" si="89">S22/1000</f>
        <v>6.7920817129688595</v>
      </c>
    </row>
    <row r="23" spans="1:20" x14ac:dyDescent="0.25">
      <c r="A23" s="5">
        <v>44570</v>
      </c>
      <c r="B23">
        <v>0.443</v>
      </c>
      <c r="C23">
        <v>0.47720000000000001</v>
      </c>
      <c r="D23">
        <v>0.44040000000000001</v>
      </c>
      <c r="E23">
        <v>0.46310000000000001</v>
      </c>
      <c r="F23">
        <v>7140743</v>
      </c>
      <c r="G23">
        <v>0.46310000000000001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0.23369565217391294</v>
      </c>
      <c r="Q23">
        <f t="shared" ref="Q23" si="91">F23*P23</f>
        <v>1668760.5923913037</v>
      </c>
      <c r="R23">
        <f t="shared" ref="R23" si="92">R24+Q23</f>
        <v>676938807.83097684</v>
      </c>
      <c r="S23">
        <f t="shared" ref="S23" si="93">R23/100000</f>
        <v>6769.3880783097684</v>
      </c>
      <c r="T23">
        <f t="shared" ref="T23" si="94">S23/1000</f>
        <v>6.7693880783097686</v>
      </c>
    </row>
    <row r="24" spans="1:20" x14ac:dyDescent="0.25">
      <c r="A24" s="5">
        <v>44569</v>
      </c>
      <c r="B24">
        <v>0.47039999999999998</v>
      </c>
      <c r="C24">
        <v>0.48370000000000002</v>
      </c>
      <c r="D24">
        <v>0.42199999999999999</v>
      </c>
      <c r="E24">
        <v>0.44340000000000002</v>
      </c>
      <c r="F24">
        <v>14109157.199999999</v>
      </c>
      <c r="G24">
        <v>0.44340000000000002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-0.30632090761750347</v>
      </c>
      <c r="Q24">
        <f t="shared" ref="Q24" si="96">F24*P24</f>
        <v>-4321929.8392220335</v>
      </c>
      <c r="R24">
        <f t="shared" ref="R24" si="97">R25+Q24</f>
        <v>675270047.23858559</v>
      </c>
      <c r="S24">
        <f t="shared" ref="S24" si="98">R24/100000</f>
        <v>6752.7004723858563</v>
      </c>
      <c r="T24">
        <f t="shared" ref="T24" si="99">S24/1000</f>
        <v>6.7527004723858566</v>
      </c>
    </row>
    <row r="25" spans="1:20" x14ac:dyDescent="0.25">
      <c r="A25" s="5">
        <v>44568</v>
      </c>
      <c r="B25">
        <v>0.51910000000000001</v>
      </c>
      <c r="C25">
        <v>0.52190000000000003</v>
      </c>
      <c r="D25">
        <v>0.46379999999999999</v>
      </c>
      <c r="E25">
        <v>0.47039999999999998</v>
      </c>
      <c r="F25">
        <v>14182259</v>
      </c>
      <c r="G25">
        <v>0.47039999999999998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-0.77280550774526713</v>
      </c>
      <c r="Q25">
        <f t="shared" ref="Q25" si="101">F25*P25</f>
        <v>-10960127.867469884</v>
      </c>
      <c r="R25">
        <f t="shared" ref="R25" si="102">R26+Q25</f>
        <v>679591977.07780766</v>
      </c>
      <c r="S25">
        <f t="shared" ref="S25" si="103">R25/100000</f>
        <v>6795.9197707780768</v>
      </c>
      <c r="T25">
        <f t="shared" ref="T25" si="104">S25/1000</f>
        <v>6.7959197707780765</v>
      </c>
    </row>
    <row r="26" spans="1:20" x14ac:dyDescent="0.25">
      <c r="A26" s="5">
        <v>44567</v>
      </c>
      <c r="B26">
        <v>0.51849999999999996</v>
      </c>
      <c r="C26">
        <v>0.52500000000000002</v>
      </c>
      <c r="D26">
        <v>0.48520000000000002</v>
      </c>
      <c r="E26">
        <v>0.51919999999999999</v>
      </c>
      <c r="F26">
        <v>12272796</v>
      </c>
      <c r="G26">
        <v>0.51919999999999999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0.70854271356783782</v>
      </c>
      <c r="Q26">
        <f t="shared" ref="Q26" si="106">F26*P26</f>
        <v>8695800.1809045058</v>
      </c>
      <c r="R26">
        <f t="shared" ref="R26" si="107">R27+Q26</f>
        <v>690552104.94527757</v>
      </c>
      <c r="S26">
        <f t="shared" ref="S26" si="108">R26/100000</f>
        <v>6905.5210494527755</v>
      </c>
      <c r="T26">
        <f t="shared" ref="T26" si="109">S26/1000</f>
        <v>6.9055210494527755</v>
      </c>
    </row>
    <row r="27" spans="1:20" x14ac:dyDescent="0.25">
      <c r="A27" s="5">
        <v>44566</v>
      </c>
      <c r="B27">
        <v>0.5786</v>
      </c>
      <c r="C27">
        <v>0.59619999999999995</v>
      </c>
      <c r="D27">
        <v>0.49080000000000001</v>
      </c>
      <c r="E27">
        <v>0.51849999999999996</v>
      </c>
      <c r="F27">
        <v>17074018</v>
      </c>
      <c r="G27">
        <v>0.51849999999999996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-0.47438330170778059</v>
      </c>
      <c r="Q27">
        <f t="shared" ref="Q27" si="111">F27*P27</f>
        <v>-8099629.0322580766</v>
      </c>
      <c r="R27">
        <f t="shared" ref="R27" si="112">R28+Q27</f>
        <v>681856304.76437306</v>
      </c>
      <c r="S27">
        <f t="shared" ref="S27" si="113">R27/100000</f>
        <v>6818.5630476437309</v>
      </c>
      <c r="T27">
        <f t="shared" ref="T27" si="114">S27/1000</f>
        <v>6.8185630476437309</v>
      </c>
    </row>
    <row r="28" spans="1:20" x14ac:dyDescent="0.25">
      <c r="A28" s="5">
        <v>44565</v>
      </c>
      <c r="B28">
        <v>0.58130000000000004</v>
      </c>
      <c r="C28">
        <v>0.61460000000000004</v>
      </c>
      <c r="D28">
        <v>0.56189999999999996</v>
      </c>
      <c r="E28">
        <v>0.57850000000000001</v>
      </c>
      <c r="F28">
        <v>14713094</v>
      </c>
      <c r="G28">
        <v>0.57850000000000001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-0.37001897533206701</v>
      </c>
      <c r="Q28">
        <f t="shared" ref="Q28" si="116">F28*P28</f>
        <v>-5444123.9658443835</v>
      </c>
      <c r="R28">
        <f t="shared" ref="R28" si="117">R29+Q28</f>
        <v>689955933.7966311</v>
      </c>
      <c r="S28">
        <f t="shared" ref="S28" si="118">R28/100000</f>
        <v>6899.5593379663114</v>
      </c>
      <c r="T28">
        <f t="shared" ref="T28" si="119">S28/1000</f>
        <v>6.8995593379663118</v>
      </c>
    </row>
    <row r="29" spans="1:20" x14ac:dyDescent="0.25">
      <c r="A29" s="5">
        <v>44564</v>
      </c>
      <c r="B29">
        <v>0.5635</v>
      </c>
      <c r="C29">
        <v>0.61419999999999997</v>
      </c>
      <c r="D29">
        <v>0.5585</v>
      </c>
      <c r="E29">
        <v>0.58150000000000002</v>
      </c>
      <c r="F29">
        <v>27554933</v>
      </c>
      <c r="G29">
        <v>0.58150000000000002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-0.17414721723518736</v>
      </c>
      <c r="Q29">
        <f t="shared" ref="Q29" si="121">F29*P29</f>
        <v>-4798614.9030520329</v>
      </c>
      <c r="R29">
        <f t="shared" ref="R29" si="122">R30+Q29</f>
        <v>695400057.76247549</v>
      </c>
      <c r="S29">
        <f t="shared" ref="S29" si="123">R29/100000</f>
        <v>6954.0005776247554</v>
      </c>
      <c r="T29">
        <f t="shared" ref="T29" si="124">S29/1000</f>
        <v>6.9540005776247558</v>
      </c>
    </row>
    <row r="30" spans="1:20" x14ac:dyDescent="0.25">
      <c r="A30" s="5">
        <v>44563</v>
      </c>
      <c r="B30">
        <v>0.55859999999999999</v>
      </c>
      <c r="C30">
        <v>0.57489999999999997</v>
      </c>
      <c r="D30">
        <v>0.54359999999999997</v>
      </c>
      <c r="E30">
        <v>0.56399999999999995</v>
      </c>
      <c r="F30">
        <v>13217788</v>
      </c>
      <c r="G30">
        <v>0.56399999999999995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0.30351437699680367</v>
      </c>
      <c r="Q30">
        <f t="shared" ref="Q30" si="126">F30*P30</f>
        <v>4011788.6900958274</v>
      </c>
      <c r="R30">
        <f t="shared" ref="R30" si="127">R31+Q30</f>
        <v>700198672.66552758</v>
      </c>
      <c r="S30">
        <f t="shared" ref="S30" si="128">R30/100000</f>
        <v>7001.9867266552756</v>
      </c>
      <c r="T30">
        <f t="shared" ref="T30" si="129">S30/1000</f>
        <v>7.001986726655276</v>
      </c>
    </row>
    <row r="31" spans="1:20" x14ac:dyDescent="0.25">
      <c r="A31" s="5">
        <v>44562</v>
      </c>
      <c r="B31">
        <v>0.52859999999999996</v>
      </c>
      <c r="C31">
        <v>0.5665</v>
      </c>
      <c r="D31">
        <v>0.52290000000000003</v>
      </c>
      <c r="E31">
        <v>0.55840000000000001</v>
      </c>
      <c r="F31">
        <v>12812667</v>
      </c>
      <c r="G31">
        <v>0.55840000000000001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0.62844036697247696</v>
      </c>
      <c r="Q31">
        <f t="shared" ref="Q31" si="131">F31*P31</f>
        <v>8051997.1513761459</v>
      </c>
      <c r="R31">
        <f t="shared" ref="R31" si="132">R32+Q31</f>
        <v>696186883.9754318</v>
      </c>
      <c r="S31">
        <f t="shared" ref="S31" si="133">R31/100000</f>
        <v>6961.8688397543183</v>
      </c>
      <c r="T31">
        <f t="shared" ref="T31" si="134">S31/1000</f>
        <v>6.9618688397543185</v>
      </c>
    </row>
    <row r="32" spans="1:20" x14ac:dyDescent="0.25">
      <c r="A32" s="5">
        <v>44561</v>
      </c>
      <c r="B32">
        <v>0.55740000000000001</v>
      </c>
      <c r="C32">
        <v>0.57120000000000004</v>
      </c>
      <c r="D32">
        <v>0.52070000000000005</v>
      </c>
      <c r="E32">
        <v>0.52859999999999996</v>
      </c>
      <c r="F32">
        <v>12038157</v>
      </c>
      <c r="G32">
        <v>0.52859999999999996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-0.68712871287129074</v>
      </c>
      <c r="Q32">
        <f t="shared" ref="Q32" si="136">F32*P32</f>
        <v>-8271763.3247525189</v>
      </c>
      <c r="R32">
        <f t="shared" ref="R32" si="137">R33+Q32</f>
        <v>688134886.82405567</v>
      </c>
      <c r="S32">
        <f t="shared" ref="S32" si="138">R32/100000</f>
        <v>6881.3488682405568</v>
      </c>
      <c r="T32">
        <f t="shared" ref="T32" si="139">S32/1000</f>
        <v>6.8813488682405568</v>
      </c>
    </row>
    <row r="33" spans="1:20" x14ac:dyDescent="0.25">
      <c r="A33" s="5">
        <v>44560</v>
      </c>
      <c r="B33">
        <v>0.55659999999999998</v>
      </c>
      <c r="C33">
        <v>0.57630000000000003</v>
      </c>
      <c r="D33">
        <v>0.53769999999999996</v>
      </c>
      <c r="E33">
        <v>0.55759999999999998</v>
      </c>
      <c r="F33">
        <v>11283524</v>
      </c>
      <c r="G33">
        <v>0.55759999999999998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3.1088082901553793E-2</v>
      </c>
      <c r="Q33">
        <f t="shared" ref="Q33" si="141">F33*P33</f>
        <v>350783.12953367183</v>
      </c>
      <c r="R33">
        <f t="shared" ref="R33" si="142">R34+Q33</f>
        <v>696406650.14880824</v>
      </c>
      <c r="S33">
        <f t="shared" ref="S33" si="143">R33/100000</f>
        <v>6964.0665014880824</v>
      </c>
      <c r="T33">
        <f t="shared" ref="T33" si="144">S33/1000</f>
        <v>6.964066501488082</v>
      </c>
    </row>
    <row r="34" spans="1:20" x14ac:dyDescent="0.25">
      <c r="A34" s="5">
        <v>44559</v>
      </c>
      <c r="B34">
        <v>0.58360000000000001</v>
      </c>
      <c r="C34">
        <v>0.61990000000000001</v>
      </c>
      <c r="D34">
        <v>0.55049999999999999</v>
      </c>
      <c r="E34">
        <v>0.55579999999999996</v>
      </c>
      <c r="F34">
        <v>13222646</v>
      </c>
      <c r="G34">
        <v>0.55579999999999996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-0.84726224783861759</v>
      </c>
      <c r="Q34">
        <f t="shared" ref="Q34" si="146">F34*P34</f>
        <v>-11203048.772334306</v>
      </c>
      <c r="R34">
        <f t="shared" ref="R34" si="147">R35+Q34</f>
        <v>696055867.01927459</v>
      </c>
      <c r="S34">
        <f t="shared" ref="S34" si="148">R34/100000</f>
        <v>6960.5586701927459</v>
      </c>
      <c r="T34">
        <f t="shared" ref="T34" si="149">S34/1000</f>
        <v>6.9605586701927455</v>
      </c>
    </row>
    <row r="35" spans="1:20" x14ac:dyDescent="0.25">
      <c r="A35" s="5">
        <v>44558</v>
      </c>
      <c r="B35">
        <v>0.62649999999999995</v>
      </c>
      <c r="C35">
        <v>0.63370000000000004</v>
      </c>
      <c r="D35">
        <v>0.57999999999999996</v>
      </c>
      <c r="E35">
        <v>0.58389999999999997</v>
      </c>
      <c r="F35">
        <v>14025549</v>
      </c>
      <c r="G35">
        <v>0.58389999999999997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-0.85474860335195502</v>
      </c>
      <c r="Q35">
        <f t="shared" ref="Q35" si="151">F35*P35</f>
        <v>-11988318.41899441</v>
      </c>
      <c r="R35">
        <f t="shared" ref="R35" si="152">R36+Q35</f>
        <v>707258915.79160893</v>
      </c>
      <c r="S35">
        <f t="shared" ref="S35" si="153">R35/100000</f>
        <v>7072.5891579160889</v>
      </c>
      <c r="T35">
        <f t="shared" ref="T35" si="154">S35/1000</f>
        <v>7.0725891579160889</v>
      </c>
    </row>
    <row r="36" spans="1:20" x14ac:dyDescent="0.25">
      <c r="A36" s="5">
        <v>44557</v>
      </c>
      <c r="B36">
        <v>0.6421</v>
      </c>
      <c r="C36">
        <v>0.69099999999999995</v>
      </c>
      <c r="D36">
        <v>0.62360000000000004</v>
      </c>
      <c r="E36">
        <v>0.62670000000000003</v>
      </c>
      <c r="F36">
        <v>21550077</v>
      </c>
      <c r="G36">
        <v>0.62670000000000003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-0.90801186943620193</v>
      </c>
      <c r="Q36">
        <f t="shared" ref="Q36" si="156">F36*P36</f>
        <v>-19567725.703264099</v>
      </c>
      <c r="R36">
        <f t="shared" ref="R36" si="157">R37+Q36</f>
        <v>719247234.21060336</v>
      </c>
      <c r="S36">
        <f t="shared" ref="S36" si="158">R36/100000</f>
        <v>7192.4723421060335</v>
      </c>
      <c r="T36">
        <f t="shared" ref="T36" si="159">S36/1000</f>
        <v>7.1924723421060337</v>
      </c>
    </row>
    <row r="37" spans="1:20" x14ac:dyDescent="0.25">
      <c r="A37" s="5">
        <v>44556</v>
      </c>
      <c r="B37">
        <v>0.64449999999999996</v>
      </c>
      <c r="C37">
        <v>0.65349999999999997</v>
      </c>
      <c r="D37">
        <v>0.61619999999999997</v>
      </c>
      <c r="E37">
        <v>0.64200000000000002</v>
      </c>
      <c r="F37">
        <v>8655795</v>
      </c>
      <c r="G37">
        <v>0.64200000000000002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0.38337801608579331</v>
      </c>
      <c r="Q37">
        <f t="shared" ref="Q37" si="161">F37*P37</f>
        <v>3318441.514745329</v>
      </c>
      <c r="R37">
        <f t="shared" ref="R37" si="162">R38+Q37</f>
        <v>738814959.91386747</v>
      </c>
      <c r="S37">
        <f t="shared" ref="S37" si="163">R37/100000</f>
        <v>7388.1495991386746</v>
      </c>
      <c r="T37">
        <f t="shared" ref="T37" si="164">S37/1000</f>
        <v>7.388149599138675</v>
      </c>
    </row>
    <row r="38" spans="1:20" x14ac:dyDescent="0.25">
      <c r="A38" s="5">
        <v>44555</v>
      </c>
      <c r="B38">
        <v>0.63919999999999999</v>
      </c>
      <c r="C38">
        <v>0.65910000000000002</v>
      </c>
      <c r="D38">
        <v>0.6331</v>
      </c>
      <c r="E38">
        <v>0.64470000000000005</v>
      </c>
      <c r="F38">
        <v>7250093</v>
      </c>
      <c r="G38">
        <v>0.64470000000000005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-0.10769230769230427</v>
      </c>
      <c r="Q38">
        <f t="shared" ref="Q38" si="166">F38*P38</f>
        <v>-780779.24615382135</v>
      </c>
      <c r="R38">
        <f t="shared" ref="R38" si="167">R39+Q38</f>
        <v>735496518.39912212</v>
      </c>
      <c r="S38">
        <f t="shared" ref="S38" si="168">R38/100000</f>
        <v>7354.9651839912212</v>
      </c>
      <c r="T38">
        <f t="shared" ref="T38" si="169">S38/1000</f>
        <v>7.3549651839912213</v>
      </c>
    </row>
    <row r="39" spans="1:20" x14ac:dyDescent="0.25">
      <c r="A39" s="5">
        <v>44554</v>
      </c>
      <c r="B39">
        <v>0.70620000000000005</v>
      </c>
      <c r="C39">
        <v>0.71750000000000003</v>
      </c>
      <c r="D39">
        <v>0.63109999999999999</v>
      </c>
      <c r="E39">
        <v>0.63890000000000002</v>
      </c>
      <c r="F39">
        <v>20338874</v>
      </c>
      <c r="G39">
        <v>0.63890000000000002</v>
      </c>
      <c r="L39" t="s">
        <v>7</v>
      </c>
      <c r="M39" t="s">
        <v>7</v>
      </c>
      <c r="N39" t="s">
        <v>8</v>
      </c>
      <c r="P39">
        <f t="shared" ref="P39" si="170">IF(C39=D39,0,((E39-D39)-(C39-E39))/(C39-D39))</f>
        <v>-0.81944444444444386</v>
      </c>
      <c r="Q39">
        <f t="shared" ref="Q39" si="171">F39*P39</f>
        <v>-16666577.305555543</v>
      </c>
      <c r="R39">
        <f t="shared" ref="R39" si="172">R40+Q39</f>
        <v>736277297.64527595</v>
      </c>
      <c r="S39">
        <f t="shared" ref="S39" si="173">R39/100000</f>
        <v>7362.7729764527594</v>
      </c>
      <c r="T39">
        <f t="shared" ref="T39" si="174">S39/1000</f>
        <v>7.3627729764527592</v>
      </c>
    </row>
    <row r="40" spans="1:20" x14ac:dyDescent="0.25">
      <c r="A40" s="5">
        <v>44553</v>
      </c>
      <c r="B40">
        <v>0.69389999999999996</v>
      </c>
      <c r="C40">
        <v>0.72529999999999994</v>
      </c>
      <c r="D40">
        <v>0.6825</v>
      </c>
      <c r="E40">
        <v>0.70589999999999997</v>
      </c>
      <c r="F40">
        <v>24258188</v>
      </c>
      <c r="G40">
        <v>0.70589999999999997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9.3457943925233836E-2</v>
      </c>
      <c r="Q40">
        <f t="shared" ref="Q40" si="176">F40*P40</f>
        <v>2267120.3738317802</v>
      </c>
      <c r="R40">
        <f t="shared" ref="R40" si="177">R41+Q40</f>
        <v>752943874.95083153</v>
      </c>
      <c r="S40">
        <f t="shared" ref="S40" si="178">R40/100000</f>
        <v>7529.4387495083156</v>
      </c>
      <c r="T40">
        <f t="shared" ref="T40" si="179">S40/1000</f>
        <v>7.5294387495083157</v>
      </c>
    </row>
    <row r="41" spans="1:20" x14ac:dyDescent="0.25">
      <c r="A41" s="5">
        <v>44552</v>
      </c>
      <c r="B41">
        <v>0.6542</v>
      </c>
      <c r="C41">
        <v>0.77149999999999996</v>
      </c>
      <c r="D41">
        <v>0.63900000000000001</v>
      </c>
      <c r="E41">
        <v>0.69330000000000003</v>
      </c>
      <c r="F41">
        <v>139090903</v>
      </c>
      <c r="G41">
        <v>0.69330000000000003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-0.18037735849056552</v>
      </c>
      <c r="Q41">
        <f t="shared" ref="Q41" si="181">F41*P41</f>
        <v>-25088849.673207477</v>
      </c>
      <c r="R41">
        <f t="shared" ref="R41" si="182">R42+Q41</f>
        <v>750676754.57699978</v>
      </c>
      <c r="S41">
        <f t="shared" ref="S41" si="183">R41/100000</f>
        <v>7506.7675457699979</v>
      </c>
      <c r="T41">
        <f t="shared" ref="T41" si="184">S41/1000</f>
        <v>7.5067675457699981</v>
      </c>
    </row>
    <row r="42" spans="1:20" x14ac:dyDescent="0.25">
      <c r="A42" s="5">
        <v>44551</v>
      </c>
      <c r="B42">
        <v>0.49080000000000001</v>
      </c>
      <c r="C42">
        <v>0.747</v>
      </c>
      <c r="D42">
        <v>0.48530000000000001</v>
      </c>
      <c r="E42">
        <v>0.65480000000000005</v>
      </c>
      <c r="F42">
        <v>95404499</v>
      </c>
      <c r="G42">
        <v>0.65480000000000005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0.29537638517386355</v>
      </c>
      <c r="Q42">
        <f t="shared" ref="Q42" si="186">F42*P42</f>
        <v>28180236.04394348</v>
      </c>
      <c r="R42">
        <f t="shared" ref="R42" si="187">R43+Q42</f>
        <v>775765604.2502073</v>
      </c>
      <c r="S42">
        <f t="shared" ref="S42" si="188">R42/100000</f>
        <v>7757.6560425020734</v>
      </c>
      <c r="T42">
        <f t="shared" ref="T42" si="189">S42/1000</f>
        <v>7.7576560425020737</v>
      </c>
    </row>
    <row r="43" spans="1:20" x14ac:dyDescent="0.25">
      <c r="A43" s="5">
        <v>44550</v>
      </c>
      <c r="B43">
        <v>0.49509999999999998</v>
      </c>
      <c r="C43">
        <v>0.50060000000000004</v>
      </c>
      <c r="D43">
        <v>0.46579999999999999</v>
      </c>
      <c r="E43">
        <v>0.49009999999999998</v>
      </c>
      <c r="F43">
        <v>5367088</v>
      </c>
      <c r="G43">
        <v>0.49009999999999998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0.39655172413792822</v>
      </c>
      <c r="Q43">
        <f t="shared" ref="Q43" si="191">F43*P43</f>
        <v>2128327.9999999851</v>
      </c>
      <c r="R43">
        <f t="shared" ref="R43" si="192">R44+Q43</f>
        <v>747585368.20626378</v>
      </c>
      <c r="S43">
        <f t="shared" ref="S43" si="193">R43/100000</f>
        <v>7475.8536820626377</v>
      </c>
      <c r="T43">
        <f t="shared" ref="T43" si="194">S43/1000</f>
        <v>7.4758536820626373</v>
      </c>
    </row>
    <row r="44" spans="1:20" x14ac:dyDescent="0.25">
      <c r="A44" s="5">
        <v>44549</v>
      </c>
      <c r="B44">
        <v>0.51439999999999997</v>
      </c>
      <c r="C44">
        <v>0.52149999999999996</v>
      </c>
      <c r="D44">
        <v>0.49399999999999999</v>
      </c>
      <c r="E44">
        <v>0.49540000000000001</v>
      </c>
      <c r="F44">
        <v>4905208</v>
      </c>
      <c r="G44">
        <v>0.49540000000000001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-0.89818181818181719</v>
      </c>
      <c r="Q44">
        <f t="shared" ref="Q44" si="196">F44*P44</f>
        <v>-4405768.639999995</v>
      </c>
      <c r="R44">
        <f t="shared" ref="R44" si="197">R45+Q44</f>
        <v>745457040.20626378</v>
      </c>
      <c r="S44">
        <f t="shared" ref="S44" si="198">R44/100000</f>
        <v>7454.5704020626381</v>
      </c>
      <c r="T44">
        <f t="shared" ref="T44" si="199">S44/1000</f>
        <v>7.4545704020626378</v>
      </c>
    </row>
    <row r="45" spans="1:20" x14ac:dyDescent="0.25">
      <c r="A45" s="5">
        <v>44548</v>
      </c>
      <c r="B45">
        <v>0.50639999999999996</v>
      </c>
      <c r="C45">
        <v>0.53059999999999996</v>
      </c>
      <c r="D45">
        <v>0.49230000000000002</v>
      </c>
      <c r="E45">
        <v>0.51500000000000001</v>
      </c>
      <c r="F45">
        <v>4523510</v>
      </c>
      <c r="G45">
        <v>0.51500000000000001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0.18537859007833057</v>
      </c>
      <c r="Q45">
        <f t="shared" ref="Q45" si="201">F45*P45</f>
        <v>838561.9060052291</v>
      </c>
      <c r="R45">
        <f t="shared" ref="R45" si="202">R46+Q45</f>
        <v>749862808.84626377</v>
      </c>
      <c r="S45">
        <f t="shared" ref="S45" si="203">R45/100000</f>
        <v>7498.6280884626376</v>
      </c>
      <c r="T45">
        <f t="shared" ref="T45" si="204">S45/1000</f>
        <v>7.4986280884626373</v>
      </c>
    </row>
    <row r="46" spans="1:20" x14ac:dyDescent="0.25">
      <c r="A46" s="5">
        <v>44547</v>
      </c>
      <c r="B46">
        <v>0.51519999999999999</v>
      </c>
      <c r="C46">
        <v>0.52910000000000001</v>
      </c>
      <c r="D46">
        <v>0.48089999999999999</v>
      </c>
      <c r="E46">
        <v>0.50600000000000001</v>
      </c>
      <c r="F46">
        <v>8559838</v>
      </c>
      <c r="G46">
        <v>0.50600000000000001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4.1493775933609978E-2</v>
      </c>
      <c r="Q46">
        <f t="shared" ref="Q46" si="206">F46*P46</f>
        <v>355180.00000000017</v>
      </c>
      <c r="R46">
        <f t="shared" ref="R46" si="207">R47+Q46</f>
        <v>749024246.9402585</v>
      </c>
      <c r="S46">
        <f t="shared" ref="S46" si="208">R46/100000</f>
        <v>7490.2424694025849</v>
      </c>
      <c r="T46">
        <f t="shared" ref="T46" si="209">S46/1000</f>
        <v>7.4902424694025846</v>
      </c>
    </row>
    <row r="47" spans="1:20" x14ac:dyDescent="0.25">
      <c r="A47" s="5">
        <v>44546</v>
      </c>
      <c r="B47">
        <v>0.5161</v>
      </c>
      <c r="C47">
        <v>0.5494</v>
      </c>
      <c r="D47">
        <v>0.51319999999999999</v>
      </c>
      <c r="E47">
        <v>0.5151</v>
      </c>
      <c r="F47">
        <v>6789226</v>
      </c>
      <c r="G47">
        <v>0.5151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-0.89502762430939153</v>
      </c>
      <c r="Q47">
        <f t="shared" ref="Q47" si="211">F47*P47</f>
        <v>-6076544.8176795533</v>
      </c>
      <c r="R47">
        <f t="shared" ref="R47" si="212">R48+Q47</f>
        <v>748669066.9402585</v>
      </c>
      <c r="S47">
        <f t="shared" ref="S47" si="213">R47/100000</f>
        <v>7486.6906694025847</v>
      </c>
      <c r="T47">
        <f t="shared" ref="T47" si="214">S47/1000</f>
        <v>7.4866906694025843</v>
      </c>
    </row>
    <row r="48" spans="1:20" x14ac:dyDescent="0.25">
      <c r="A48" s="5">
        <v>44545</v>
      </c>
      <c r="B48">
        <v>0.50439999999999996</v>
      </c>
      <c r="C48">
        <v>0.52400000000000002</v>
      </c>
      <c r="D48">
        <v>0.47</v>
      </c>
      <c r="E48">
        <v>0.51559999999999995</v>
      </c>
      <c r="F48">
        <v>8397254</v>
      </c>
      <c r="G48">
        <v>0.51559999999999995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0.68888888888888644</v>
      </c>
      <c r="Q48">
        <f t="shared" ref="Q48" si="216">F48*P48</f>
        <v>5784774.9777777577</v>
      </c>
      <c r="R48">
        <f t="shared" ref="R48" si="217">R49+Q48</f>
        <v>754745611.75793803</v>
      </c>
      <c r="S48">
        <f t="shared" ref="S48" si="218">R48/100000</f>
        <v>7547.4561175793806</v>
      </c>
      <c r="T48">
        <f t="shared" ref="T48" si="219">S48/1000</f>
        <v>7.5474561175793804</v>
      </c>
    </row>
    <row r="49" spans="1:20" x14ac:dyDescent="0.25">
      <c r="A49" s="5">
        <v>44544</v>
      </c>
      <c r="B49">
        <v>0.48980000000000001</v>
      </c>
      <c r="C49">
        <v>0.51100000000000001</v>
      </c>
      <c r="D49">
        <v>0.47949999999999998</v>
      </c>
      <c r="E49">
        <v>0.50439999999999996</v>
      </c>
      <c r="F49">
        <v>9756329</v>
      </c>
      <c r="G49">
        <v>0.50439999999999996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0.58095238095237811</v>
      </c>
      <c r="Q49">
        <f t="shared" ref="Q49" si="221">F49*P49</f>
        <v>5667962.561904734</v>
      </c>
      <c r="R49">
        <f t="shared" ref="R49" si="222">R50+Q49</f>
        <v>748960836.78016031</v>
      </c>
      <c r="S49">
        <f t="shared" ref="S49" si="223">R49/100000</f>
        <v>7489.608367801603</v>
      </c>
      <c r="T49">
        <f t="shared" ref="T49" si="224">S49/1000</f>
        <v>7.489608367801603</v>
      </c>
    </row>
    <row r="50" spans="1:20" x14ac:dyDescent="0.25">
      <c r="A50" s="5">
        <v>44543</v>
      </c>
      <c r="B50">
        <v>0.5625</v>
      </c>
      <c r="C50">
        <v>0.56759999999999999</v>
      </c>
      <c r="D50">
        <v>0.47839999999999999</v>
      </c>
      <c r="E50">
        <v>0.49020000000000002</v>
      </c>
      <c r="F50">
        <v>8026655</v>
      </c>
      <c r="G50">
        <v>0.49020000000000002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-0.7354260089686091</v>
      </c>
      <c r="Q50">
        <f t="shared" ref="Q50" si="226">F50*P50</f>
        <v>-5903010.8520179307</v>
      </c>
      <c r="R50">
        <f t="shared" ref="R50" si="227">R51+Q50</f>
        <v>743292874.21825552</v>
      </c>
      <c r="S50">
        <f t="shared" ref="S50" si="228">R50/100000</f>
        <v>7432.9287421825557</v>
      </c>
      <c r="T50">
        <f t="shared" ref="T50" si="229">S50/1000</f>
        <v>7.4329287421825558</v>
      </c>
    </row>
    <row r="51" spans="1:20" x14ac:dyDescent="0.25">
      <c r="A51" s="5">
        <v>44542</v>
      </c>
      <c r="B51">
        <v>0.56200000000000006</v>
      </c>
      <c r="C51">
        <v>0.57630000000000003</v>
      </c>
      <c r="D51">
        <v>0.54520000000000002</v>
      </c>
      <c r="E51">
        <v>0.5635</v>
      </c>
      <c r="F51">
        <v>6448653</v>
      </c>
      <c r="G51">
        <v>0.5635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0.17684887459806903</v>
      </c>
      <c r="Q51">
        <f t="shared" ref="Q51" si="231">F51*P51</f>
        <v>1140437.0257234615</v>
      </c>
      <c r="R51">
        <f t="shared" ref="R51" si="232">R52+Q51</f>
        <v>749195885.0702734</v>
      </c>
      <c r="S51">
        <f t="shared" ref="S51" si="233">R51/100000</f>
        <v>7491.9588507027338</v>
      </c>
      <c r="T51">
        <f t="shared" ref="T51" si="234">S51/1000</f>
        <v>7.4919588507027335</v>
      </c>
    </row>
    <row r="52" spans="1:20" x14ac:dyDescent="0.25">
      <c r="A52" s="5">
        <v>44541</v>
      </c>
      <c r="B52">
        <v>0.52939999999999998</v>
      </c>
      <c r="C52">
        <v>0.53849999999999998</v>
      </c>
      <c r="D52">
        <v>0.51910000000000001</v>
      </c>
      <c r="E52">
        <v>0.53680000000000005</v>
      </c>
      <c r="F52">
        <v>665783</v>
      </c>
      <c r="G52">
        <v>0.53680000000000005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0.82474226804124473</v>
      </c>
      <c r="Q52">
        <f t="shared" ref="Q52" si="236">F52*P52</f>
        <v>549099.38144330401</v>
      </c>
      <c r="R52">
        <f t="shared" ref="R52" si="237">R53+Q52</f>
        <v>748055448.04454994</v>
      </c>
      <c r="S52">
        <f t="shared" ref="S52" si="238">R52/100000</f>
        <v>7480.5544804454994</v>
      </c>
      <c r="T52">
        <f t="shared" ref="T52" si="239">S52/1000</f>
        <v>7.4805544804454991</v>
      </c>
    </row>
    <row r="53" spans="1:20" x14ac:dyDescent="0.25">
      <c r="A53" s="5">
        <v>44540</v>
      </c>
      <c r="B53">
        <v>0.56999999999999995</v>
      </c>
      <c r="C53">
        <v>0.59309999999999996</v>
      </c>
      <c r="D53">
        <v>0.52629999999999999</v>
      </c>
      <c r="E53">
        <v>0.52929999999999999</v>
      </c>
      <c r="F53">
        <v>16594477</v>
      </c>
      <c r="G53">
        <v>0.52929999999999999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-0.91017964071856272</v>
      </c>
      <c r="Q53">
        <f t="shared" ref="Q53" si="241">F53*P53</f>
        <v>-15103955.113772452</v>
      </c>
      <c r="R53">
        <f t="shared" ref="R53" si="242">R54+Q53</f>
        <v>747506348.66310668</v>
      </c>
      <c r="S53">
        <f t="shared" ref="S53" si="243">R53/100000</f>
        <v>7475.0634866310666</v>
      </c>
      <c r="T53">
        <f t="shared" ref="T53" si="244">S53/1000</f>
        <v>7.4750634866310666</v>
      </c>
    </row>
    <row r="54" spans="1:20" x14ac:dyDescent="0.25">
      <c r="A54" s="5">
        <v>44539</v>
      </c>
      <c r="B54">
        <v>0.63460000000000005</v>
      </c>
      <c r="C54">
        <v>0.64370000000000005</v>
      </c>
      <c r="D54">
        <v>0.56920000000000004</v>
      </c>
      <c r="E54">
        <v>0.56979999999999997</v>
      </c>
      <c r="F54">
        <v>10381388</v>
      </c>
      <c r="G54">
        <v>0.56979999999999997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-0.98389261744966616</v>
      </c>
      <c r="Q54">
        <f t="shared" ref="Q54" si="246">F54*P54</f>
        <v>-10214171.012080556</v>
      </c>
      <c r="R54">
        <f t="shared" ref="R54" si="247">R55+Q54</f>
        <v>762610303.77687919</v>
      </c>
      <c r="S54">
        <f t="shared" ref="S54" si="248">R54/100000</f>
        <v>7626.1030377687921</v>
      </c>
      <c r="T54">
        <f t="shared" ref="T54" si="249">S54/1000</f>
        <v>7.6261030377687922</v>
      </c>
    </row>
    <row r="55" spans="1:20" x14ac:dyDescent="0.25">
      <c r="A55" s="5">
        <v>44538</v>
      </c>
      <c r="B55">
        <v>0.62719999999999998</v>
      </c>
      <c r="C55">
        <v>0.64470000000000005</v>
      </c>
      <c r="D55">
        <v>0.59279999999999999</v>
      </c>
      <c r="E55">
        <v>0.63449999999999995</v>
      </c>
      <c r="F55">
        <v>11434721</v>
      </c>
      <c r="G55">
        <v>0.63449999999999995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0.60693641618496774</v>
      </c>
      <c r="Q55">
        <f t="shared" ref="Q55" si="251">F55*P55</f>
        <v>6940148.5838149907</v>
      </c>
      <c r="R55">
        <f t="shared" ref="R55" si="252">R56+Q55</f>
        <v>772824474.78895974</v>
      </c>
      <c r="S55">
        <f t="shared" ref="S55" si="253">R55/100000</f>
        <v>7728.2447478895974</v>
      </c>
      <c r="T55">
        <f t="shared" ref="T55" si="254">S55/1000</f>
        <v>7.7282447478895975</v>
      </c>
    </row>
    <row r="56" spans="1:20" x14ac:dyDescent="0.25">
      <c r="A56" s="5">
        <v>44537</v>
      </c>
      <c r="B56">
        <v>0.63449999999999995</v>
      </c>
      <c r="C56">
        <v>0.65310000000000001</v>
      </c>
      <c r="D56">
        <v>0.61360000000000003</v>
      </c>
      <c r="E56">
        <v>0.62690000000000001</v>
      </c>
      <c r="F56">
        <v>9908268</v>
      </c>
      <c r="G56">
        <v>0.62690000000000001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-0.3265822784810134</v>
      </c>
      <c r="Q56">
        <f t="shared" ref="Q56" si="256">F56*P56</f>
        <v>-3235864.7392405136</v>
      </c>
      <c r="R56">
        <f t="shared" ref="R56" si="257">R57+Q56</f>
        <v>765884326.20514476</v>
      </c>
      <c r="S56">
        <f t="shared" ref="S56" si="258">R56/100000</f>
        <v>7658.8432620514477</v>
      </c>
      <c r="T56">
        <f t="shared" ref="T56" si="259">S56/1000</f>
        <v>7.6588432620514473</v>
      </c>
    </row>
    <row r="57" spans="1:20" x14ac:dyDescent="0.25">
      <c r="A57" s="5">
        <v>44536</v>
      </c>
      <c r="B57">
        <v>0.62849999999999995</v>
      </c>
      <c r="C57">
        <v>0.64070000000000005</v>
      </c>
      <c r="D57">
        <v>0.55979999999999996</v>
      </c>
      <c r="E57">
        <v>0.63449999999999995</v>
      </c>
      <c r="F57">
        <v>22426775</v>
      </c>
      <c r="G57">
        <v>0.63449999999999995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0.84672435105067767</v>
      </c>
      <c r="Q57">
        <f t="shared" ref="Q57" si="261">F57*P57</f>
        <v>18989296.508034561</v>
      </c>
      <c r="R57">
        <f t="shared" ref="R57" si="262">R58+Q57</f>
        <v>769120190.94438529</v>
      </c>
      <c r="S57">
        <f t="shared" ref="S57" si="263">R57/100000</f>
        <v>7691.2019094438529</v>
      </c>
      <c r="T57">
        <f t="shared" ref="T57" si="264">S57/1000</f>
        <v>7.6912019094438531</v>
      </c>
    </row>
    <row r="58" spans="1:20" x14ac:dyDescent="0.25">
      <c r="A58" s="5">
        <v>44535</v>
      </c>
      <c r="B58">
        <v>0.74509999999999998</v>
      </c>
      <c r="C58">
        <v>0.75880000000000003</v>
      </c>
      <c r="D58">
        <v>0.5978</v>
      </c>
      <c r="E58">
        <v>0.62849999999999995</v>
      </c>
      <c r="F58">
        <v>20697718</v>
      </c>
      <c r="G58">
        <v>0.62849999999999995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-0.61863354037267149</v>
      </c>
      <c r="Q58">
        <f t="shared" ref="Q58" si="266">F58*P58</f>
        <v>-12804302.56397517</v>
      </c>
      <c r="R58">
        <f t="shared" ref="R58" si="267">R59+Q58</f>
        <v>750130894.4363507</v>
      </c>
      <c r="S58">
        <f t="shared" ref="S58" si="268">R58/100000</f>
        <v>7501.3089443635072</v>
      </c>
      <c r="T58">
        <f t="shared" ref="T58" si="269">S58/1000</f>
        <v>7.5013089443635073</v>
      </c>
    </row>
    <row r="59" spans="1:20" x14ac:dyDescent="0.25">
      <c r="A59" s="5">
        <v>44534</v>
      </c>
      <c r="B59">
        <v>0.84689999999999999</v>
      </c>
      <c r="C59">
        <v>0.84730000000000005</v>
      </c>
      <c r="D59">
        <v>0.6421</v>
      </c>
      <c r="E59">
        <v>0.74590000000000001</v>
      </c>
      <c r="F59">
        <v>19220701</v>
      </c>
      <c r="G59">
        <v>0.74590000000000001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1.1695906432748329E-2</v>
      </c>
      <c r="Q59">
        <f t="shared" ref="Q59" si="271">F59*P59</f>
        <v>224803.52046783225</v>
      </c>
      <c r="R59">
        <f t="shared" ref="R59" si="272">R60+Q59</f>
        <v>762935197.00032592</v>
      </c>
      <c r="S59">
        <f t="shared" ref="S59" si="273">R59/100000</f>
        <v>7629.3519700032593</v>
      </c>
      <c r="T59">
        <f t="shared" ref="T59" si="274">S59/1000</f>
        <v>7.6293519700032597</v>
      </c>
    </row>
    <row r="60" spans="1:20" x14ac:dyDescent="0.25">
      <c r="A60" s="5">
        <v>44533</v>
      </c>
      <c r="B60">
        <v>0.89649999999999996</v>
      </c>
      <c r="C60">
        <v>0.91039999999999999</v>
      </c>
      <c r="D60">
        <v>0.82289999999999996</v>
      </c>
      <c r="E60">
        <v>0.84819999999999995</v>
      </c>
      <c r="F60">
        <v>9513355</v>
      </c>
      <c r="G60">
        <v>0.84819999999999995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-0.4217142857142861</v>
      </c>
      <c r="Q60">
        <f t="shared" ref="Q60" si="276">F60*P60</f>
        <v>-4011917.7085714322</v>
      </c>
      <c r="R60">
        <f t="shared" ref="R60" si="277">R61+Q60</f>
        <v>762710393.47985804</v>
      </c>
      <c r="S60">
        <f t="shared" ref="S60" si="278">R60/100000</f>
        <v>7627.1039347985807</v>
      </c>
      <c r="T60">
        <f t="shared" ref="T60" si="279">S60/1000</f>
        <v>7.6271039347985807</v>
      </c>
    </row>
    <row r="61" spans="1:20" x14ac:dyDescent="0.25">
      <c r="A61" s="5">
        <v>44532</v>
      </c>
      <c r="B61">
        <v>0.94979999999999998</v>
      </c>
      <c r="C61">
        <v>0.9536</v>
      </c>
      <c r="D61">
        <v>0.88670000000000004</v>
      </c>
      <c r="E61">
        <v>0.89690000000000003</v>
      </c>
      <c r="F61">
        <v>7973128</v>
      </c>
      <c r="G61">
        <v>0.89690000000000003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-0.69506726457399126</v>
      </c>
      <c r="Q61">
        <f t="shared" ref="Q61" si="281">F61*P61</f>
        <v>-5541860.2690582974</v>
      </c>
      <c r="R61">
        <f t="shared" ref="R61" si="282">R62+Q61</f>
        <v>766722311.18842947</v>
      </c>
      <c r="S61">
        <f t="shared" ref="S61" si="283">R61/100000</f>
        <v>7667.2231118842947</v>
      </c>
      <c r="T61">
        <f t="shared" ref="T61" si="284">S61/1000</f>
        <v>7.6672231118842946</v>
      </c>
    </row>
    <row r="62" spans="1:20" x14ac:dyDescent="0.25">
      <c r="A62" s="5">
        <v>44531</v>
      </c>
      <c r="B62">
        <v>0.89639999999999997</v>
      </c>
      <c r="C62">
        <v>1.0499000000000001</v>
      </c>
      <c r="D62">
        <v>0.88690000000000002</v>
      </c>
      <c r="E62">
        <v>0.9506</v>
      </c>
      <c r="F62">
        <v>24813859</v>
      </c>
      <c r="G62">
        <v>0.9506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-0.21840490797546055</v>
      </c>
      <c r="Q62">
        <f t="shared" ref="Q62" si="286">F62*P62</f>
        <v>-5419468.5914110541</v>
      </c>
      <c r="R62">
        <f t="shared" ref="R62" si="287">R63+Q62</f>
        <v>772264171.45748782</v>
      </c>
      <c r="S62">
        <f t="shared" ref="S62" si="288">R62/100000</f>
        <v>7722.6417145748783</v>
      </c>
      <c r="T62">
        <f t="shared" ref="T62" si="289">S62/1000</f>
        <v>7.7226417145748787</v>
      </c>
    </row>
    <row r="63" spans="1:20" x14ac:dyDescent="0.25">
      <c r="A63" s="5">
        <v>44530</v>
      </c>
      <c r="B63">
        <v>0.88539999999999996</v>
      </c>
      <c r="C63">
        <v>0.93989999999999996</v>
      </c>
      <c r="D63">
        <v>0.85</v>
      </c>
      <c r="E63">
        <v>0.89600000000000002</v>
      </c>
      <c r="F63">
        <v>10080572</v>
      </c>
      <c r="G63">
        <v>0.89600000000000002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2.3359288097887679E-2</v>
      </c>
      <c r="Q63">
        <f t="shared" ref="Q63" si="291">F63*P63</f>
        <v>235474.98553949979</v>
      </c>
      <c r="R63">
        <f t="shared" ref="R63" si="292">R64+Q63</f>
        <v>777683640.04889894</v>
      </c>
      <c r="S63">
        <f t="shared" ref="S63" si="293">R63/100000</f>
        <v>7776.8364004889891</v>
      </c>
      <c r="T63">
        <f t="shared" ref="T63" si="294">S63/1000</f>
        <v>7.7768364004889889</v>
      </c>
    </row>
    <row r="64" spans="1:20" x14ac:dyDescent="0.25">
      <c r="A64" s="5">
        <v>44529</v>
      </c>
      <c r="B64">
        <v>0.91590000000000005</v>
      </c>
      <c r="C64">
        <v>0.92779999999999996</v>
      </c>
      <c r="D64">
        <v>0.87</v>
      </c>
      <c r="E64">
        <v>0.88439999999999996</v>
      </c>
      <c r="F64">
        <v>9783001</v>
      </c>
      <c r="G64">
        <v>0.88439999999999996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-0.50173010380622918</v>
      </c>
      <c r="Q64">
        <f t="shared" ref="Q64" si="296">F64*P64</f>
        <v>-4908426.1072664438</v>
      </c>
      <c r="R64">
        <f t="shared" ref="R64" si="297">R65+Q64</f>
        <v>777448165.06335938</v>
      </c>
      <c r="S64">
        <f t="shared" ref="S64" si="298">R64/100000</f>
        <v>7774.4816506335937</v>
      </c>
      <c r="T64">
        <f t="shared" ref="T64" si="299">S64/1000</f>
        <v>7.7744816506335939</v>
      </c>
    </row>
    <row r="65" spans="1:20" x14ac:dyDescent="0.25">
      <c r="A65" s="5">
        <v>44528</v>
      </c>
      <c r="B65">
        <v>0.95960000000000001</v>
      </c>
      <c r="C65">
        <v>0.96430000000000005</v>
      </c>
      <c r="D65">
        <v>0.85270000000000001</v>
      </c>
      <c r="E65">
        <v>0.91610000000000003</v>
      </c>
      <c r="F65">
        <v>10288288</v>
      </c>
      <c r="G65">
        <v>0.91610000000000003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0.13620071684587801</v>
      </c>
      <c r="Q65">
        <f t="shared" ref="Q65" si="301">F65*P65</f>
        <v>1401272.2007168445</v>
      </c>
      <c r="R65">
        <f t="shared" ref="R65" si="302">R66+Q65</f>
        <v>782356591.17062581</v>
      </c>
      <c r="S65">
        <f t="shared" ref="S65" si="303">R65/100000</f>
        <v>7823.5659117062578</v>
      </c>
      <c r="T65">
        <f t="shared" ref="T65" si="304">S65/1000</f>
        <v>7.8235659117062575</v>
      </c>
    </row>
    <row r="66" spans="1:20" x14ac:dyDescent="0.25">
      <c r="A66" s="5">
        <v>44527</v>
      </c>
      <c r="B66">
        <v>0.88600000000000001</v>
      </c>
      <c r="C66">
        <v>0.98209999999999997</v>
      </c>
      <c r="D66">
        <v>0.88190000000000002</v>
      </c>
      <c r="E66">
        <v>0.95989999999999998</v>
      </c>
      <c r="F66">
        <v>9941229</v>
      </c>
      <c r="G66">
        <v>0.95989999999999998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0.55688622754491002</v>
      </c>
      <c r="Q66">
        <f t="shared" ref="Q66" si="306">F66*P66</f>
        <v>5536133.5149700586</v>
      </c>
      <c r="R66">
        <f t="shared" ref="R66" si="307">R67+Q66</f>
        <v>780955318.96990895</v>
      </c>
      <c r="S66">
        <f t="shared" ref="S66" si="308">R66/100000</f>
        <v>7809.5531896990897</v>
      </c>
      <c r="T66">
        <f t="shared" ref="T66" si="309">S66/1000</f>
        <v>7.8095531896990895</v>
      </c>
    </row>
    <row r="67" spans="1:20" x14ac:dyDescent="0.25">
      <c r="A67" s="5">
        <v>44526</v>
      </c>
      <c r="B67">
        <v>0.96479999999999999</v>
      </c>
      <c r="C67">
        <v>1.0133000000000001</v>
      </c>
      <c r="D67">
        <v>0.83650000000000002</v>
      </c>
      <c r="E67">
        <v>0.88700000000000001</v>
      </c>
      <c r="F67">
        <v>21763374</v>
      </c>
      <c r="G67">
        <v>0.88700000000000001</v>
      </c>
      <c r="L67" t="s">
        <v>7</v>
      </c>
      <c r="M67" t="s">
        <v>8</v>
      </c>
      <c r="N67" t="s">
        <v>8</v>
      </c>
      <c r="P67">
        <f t="shared" ref="P67" si="310">IF(C67=D67,0,((E67-D67)-(C67-E67))/(C67-D67))</f>
        <v>-0.42873303167420851</v>
      </c>
      <c r="Q67">
        <f t="shared" ref="Q67" si="311">F67*P67</f>
        <v>-9330677.3144796453</v>
      </c>
      <c r="R67">
        <f t="shared" ref="R67" si="312">R68+Q67</f>
        <v>775419185.45493889</v>
      </c>
      <c r="S67">
        <f t="shared" ref="S67" si="313">R67/100000</f>
        <v>7754.1918545493891</v>
      </c>
      <c r="T67">
        <f t="shared" ref="T67" si="314">S67/1000</f>
        <v>7.7541918545493891</v>
      </c>
    </row>
    <row r="68" spans="1:20" x14ac:dyDescent="0.25">
      <c r="A68" s="5">
        <v>44525</v>
      </c>
      <c r="B68">
        <v>0.87270000000000003</v>
      </c>
      <c r="C68">
        <v>0.99990000000000001</v>
      </c>
      <c r="D68">
        <v>0.86109999999999998</v>
      </c>
      <c r="E68">
        <v>0.9637</v>
      </c>
      <c r="F68">
        <v>18877251</v>
      </c>
      <c r="G68">
        <v>0.9637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0.47838616714697407</v>
      </c>
      <c r="Q68">
        <f t="shared" ref="Q68" si="316">F68*P68</f>
        <v>9030615.7521613836</v>
      </c>
      <c r="R68">
        <f t="shared" ref="R68" si="317">R69+Q68</f>
        <v>784749862.76941848</v>
      </c>
      <c r="S68">
        <f t="shared" ref="S68" si="318">R68/100000</f>
        <v>7847.4986276941845</v>
      </c>
      <c r="T68">
        <f t="shared" ref="T68" si="319">S68/1000</f>
        <v>7.8474986276941845</v>
      </c>
    </row>
    <row r="69" spans="1:20" x14ac:dyDescent="0.25">
      <c r="A69" s="5">
        <v>44524</v>
      </c>
      <c r="B69">
        <v>0.91830000000000001</v>
      </c>
      <c r="C69">
        <v>0.94499999999999995</v>
      </c>
      <c r="D69">
        <v>0.8921</v>
      </c>
      <c r="E69">
        <v>0.92669999999999997</v>
      </c>
      <c r="F69">
        <v>5686638</v>
      </c>
      <c r="G69">
        <v>0.92669999999999997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0.3081285444234404</v>
      </c>
      <c r="Q69">
        <f t="shared" ref="Q69" si="321">F69*P69</f>
        <v>1752215.4896030242</v>
      </c>
      <c r="R69">
        <f t="shared" ref="R69" si="322">R70+Q69</f>
        <v>775719247.01725709</v>
      </c>
      <c r="S69">
        <f t="shared" ref="S69" si="323">R69/100000</f>
        <v>7757.1924701725711</v>
      </c>
      <c r="T69">
        <f t="shared" ref="T69" si="324">S69/1000</f>
        <v>7.757192470172571</v>
      </c>
    </row>
    <row r="70" spans="1:20" x14ac:dyDescent="0.25">
      <c r="A70" s="5">
        <v>44523</v>
      </c>
      <c r="B70">
        <v>0.76490000000000002</v>
      </c>
      <c r="C70">
        <v>0.97370000000000001</v>
      </c>
      <c r="D70">
        <v>0.75670000000000004</v>
      </c>
      <c r="E70">
        <v>0.91759999999999997</v>
      </c>
      <c r="F70">
        <v>39902561</v>
      </c>
      <c r="G70">
        <v>0.91759999999999997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0.48294930875575992</v>
      </c>
      <c r="Q70">
        <f t="shared" ref="Q70" si="326">F70*P70</f>
        <v>19270914.252534546</v>
      </c>
      <c r="R70">
        <f t="shared" ref="R70" si="327">R71+Q70</f>
        <v>773967031.52765405</v>
      </c>
      <c r="S70">
        <f t="shared" ref="S70" si="328">R70/100000</f>
        <v>7739.6703152765404</v>
      </c>
      <c r="T70">
        <f t="shared" ref="T70" si="329">S70/1000</f>
        <v>7.7396703152765403</v>
      </c>
    </row>
    <row r="71" spans="1:20" x14ac:dyDescent="0.25">
      <c r="A71" s="5">
        <v>44522</v>
      </c>
      <c r="B71">
        <v>0.78590000000000004</v>
      </c>
      <c r="C71">
        <v>0.78979999999999995</v>
      </c>
      <c r="D71">
        <v>0.75</v>
      </c>
      <c r="E71">
        <v>0.76490000000000002</v>
      </c>
      <c r="F71">
        <v>4996645</v>
      </c>
      <c r="G71">
        <v>0.76490000000000002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-0.25125628140703293</v>
      </c>
      <c r="Q71">
        <f t="shared" ref="Q71" si="331">F71*P71</f>
        <v>-1255438.442211044</v>
      </c>
      <c r="R71">
        <f t="shared" ref="R71" si="332">R72+Q71</f>
        <v>754696117.27511954</v>
      </c>
      <c r="S71">
        <f t="shared" ref="S71" si="333">R71/100000</f>
        <v>7546.9611727511956</v>
      </c>
      <c r="T71">
        <f t="shared" ref="T71" si="334">S71/1000</f>
        <v>7.5469611727511952</v>
      </c>
    </row>
    <row r="72" spans="1:20" x14ac:dyDescent="0.25">
      <c r="A72" s="5">
        <v>44521</v>
      </c>
      <c r="B72">
        <v>0.83160000000000001</v>
      </c>
      <c r="C72">
        <v>0.83220000000000005</v>
      </c>
      <c r="D72">
        <v>0.78300000000000003</v>
      </c>
      <c r="E72">
        <v>0.7883</v>
      </c>
      <c r="F72">
        <v>4936065</v>
      </c>
      <c r="G72">
        <v>0.7883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-0.7845528455284565</v>
      </c>
      <c r="Q72">
        <f t="shared" ref="Q72" si="336">F72*P72</f>
        <v>-3872603.8414634205</v>
      </c>
      <c r="R72">
        <f t="shared" ref="R72" si="337">R73+Q72</f>
        <v>755951555.71733057</v>
      </c>
      <c r="S72">
        <f t="shared" ref="S72" si="338">R72/100000</f>
        <v>7559.5155571733058</v>
      </c>
      <c r="T72">
        <f t="shared" ref="T72" si="339">S72/1000</f>
        <v>7.5595155571733059</v>
      </c>
    </row>
    <row r="73" spans="1:20" x14ac:dyDescent="0.25">
      <c r="A73" s="5">
        <v>44520</v>
      </c>
      <c r="B73">
        <v>0.79900000000000004</v>
      </c>
      <c r="C73">
        <v>0.84950000000000003</v>
      </c>
      <c r="D73">
        <v>0.79810000000000003</v>
      </c>
      <c r="E73">
        <v>0.83150000000000002</v>
      </c>
      <c r="F73">
        <v>7829646</v>
      </c>
      <c r="G73">
        <v>0.83150000000000002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0.29961089494163362</v>
      </c>
      <c r="Q73">
        <f t="shared" ref="Q73" si="341">F73*P73</f>
        <v>2345847.2451361818</v>
      </c>
      <c r="R73">
        <f t="shared" ref="R73" si="342">R74+Q73</f>
        <v>759824159.55879402</v>
      </c>
      <c r="S73">
        <f t="shared" ref="S73" si="343">R73/100000</f>
        <v>7598.2415955879405</v>
      </c>
      <c r="T73">
        <f t="shared" ref="T73" si="344">S73/1000</f>
        <v>7.5982415955879405</v>
      </c>
    </row>
    <row r="74" spans="1:20" x14ac:dyDescent="0.25">
      <c r="A74" s="5">
        <v>44519</v>
      </c>
      <c r="B74">
        <v>0.72050000000000003</v>
      </c>
      <c r="C74">
        <v>0.8377</v>
      </c>
      <c r="D74">
        <v>0.71099999999999997</v>
      </c>
      <c r="E74">
        <v>0.79879999999999995</v>
      </c>
      <c r="F74">
        <v>8149338</v>
      </c>
      <c r="G74">
        <v>0.79879999999999995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0.38595106550907599</v>
      </c>
      <c r="Q74">
        <f t="shared" ref="Q74" si="346">F74*P74</f>
        <v>3145245.6842936021</v>
      </c>
      <c r="R74">
        <f t="shared" ref="R74" si="347">R75+Q74</f>
        <v>757478312.31365788</v>
      </c>
      <c r="S74">
        <f t="shared" ref="S74" si="348">R74/100000</f>
        <v>7574.783123136579</v>
      </c>
      <c r="T74">
        <f t="shared" ref="T74" si="349">S74/1000</f>
        <v>7.5747831231365792</v>
      </c>
    </row>
    <row r="75" spans="1:20" x14ac:dyDescent="0.25">
      <c r="A75" s="5">
        <v>44518</v>
      </c>
      <c r="B75">
        <v>0.79149999999999998</v>
      </c>
      <c r="C75">
        <v>0.82130000000000003</v>
      </c>
      <c r="D75">
        <v>0.70589999999999997</v>
      </c>
      <c r="E75">
        <v>0.72040000000000004</v>
      </c>
      <c r="F75">
        <v>8275909</v>
      </c>
      <c r="G75">
        <v>0.72040000000000004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-0.7487001733102242</v>
      </c>
      <c r="Q75">
        <f t="shared" ref="Q75" si="351">F75*P75</f>
        <v>-6196174.5025996445</v>
      </c>
      <c r="R75">
        <f t="shared" ref="R75" si="352">R76+Q75</f>
        <v>754333066.62936425</v>
      </c>
      <c r="S75">
        <f t="shared" ref="S75" si="353">R75/100000</f>
        <v>7543.3306662936429</v>
      </c>
      <c r="T75">
        <f t="shared" ref="T75" si="354">S75/1000</f>
        <v>7.5433306662936426</v>
      </c>
    </row>
    <row r="76" spans="1:20" x14ac:dyDescent="0.25">
      <c r="A76" s="5">
        <v>44517</v>
      </c>
      <c r="B76">
        <v>0.79720000000000002</v>
      </c>
      <c r="C76">
        <v>0.81140000000000001</v>
      </c>
      <c r="D76">
        <v>0.76049999999999995</v>
      </c>
      <c r="E76">
        <v>0.79069999999999996</v>
      </c>
      <c r="F76">
        <v>6082018</v>
      </c>
      <c r="G76">
        <v>0.79069999999999996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0.186640471512769</v>
      </c>
      <c r="Q76">
        <f t="shared" ref="Q76" si="356">F76*P76</f>
        <v>1135150.7072691482</v>
      </c>
      <c r="R76">
        <f t="shared" ref="R76" si="357">R77+Q76</f>
        <v>760529241.13196385</v>
      </c>
      <c r="S76">
        <f t="shared" ref="S76" si="358">R76/100000</f>
        <v>7605.2924113196386</v>
      </c>
      <c r="T76">
        <f t="shared" ref="T76" si="359">S76/1000</f>
        <v>7.6052924113196383</v>
      </c>
    </row>
    <row r="77" spans="1:20" x14ac:dyDescent="0.25">
      <c r="A77" s="5">
        <v>44516</v>
      </c>
      <c r="B77">
        <v>0.90339999999999998</v>
      </c>
      <c r="C77">
        <v>0.90380000000000005</v>
      </c>
      <c r="D77">
        <v>0.75619999999999998</v>
      </c>
      <c r="E77">
        <v>0.79749999999999999</v>
      </c>
      <c r="F77">
        <v>15510490</v>
      </c>
      <c r="G77">
        <v>0.79749999999999999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-0.44037940379403812</v>
      </c>
      <c r="Q77">
        <f t="shared" ref="Q77" si="361">F77*P77</f>
        <v>-6830500.3387533901</v>
      </c>
      <c r="R77">
        <f t="shared" ref="R77" si="362">R78+Q77</f>
        <v>759394090.42469466</v>
      </c>
      <c r="S77">
        <f t="shared" ref="S77" si="363">R77/100000</f>
        <v>7593.940904246947</v>
      </c>
      <c r="T77">
        <f t="shared" ref="T77" si="364">S77/1000</f>
        <v>7.5939409042469466</v>
      </c>
    </row>
    <row r="78" spans="1:20" x14ac:dyDescent="0.25">
      <c r="A78" s="5">
        <v>44515</v>
      </c>
      <c r="B78">
        <v>0.91820000000000002</v>
      </c>
      <c r="C78">
        <v>0.95340000000000003</v>
      </c>
      <c r="D78">
        <v>0.9</v>
      </c>
      <c r="E78">
        <v>0.90290000000000004</v>
      </c>
      <c r="F78">
        <v>6276642</v>
      </c>
      <c r="G78">
        <v>0.90290000000000004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-0.89138576779026168</v>
      </c>
      <c r="Q78">
        <f t="shared" ref="Q78" si="366">F78*P78</f>
        <v>-5594909.3483146038</v>
      </c>
      <c r="R78">
        <f t="shared" ref="R78" si="367">R79+Q78</f>
        <v>766224590.763448</v>
      </c>
      <c r="S78">
        <f t="shared" ref="S78" si="368">R78/100000</f>
        <v>7662.2459076344803</v>
      </c>
      <c r="T78">
        <f t="shared" ref="T78" si="369">S78/1000</f>
        <v>7.66224590763448</v>
      </c>
    </row>
    <row r="79" spans="1:20" x14ac:dyDescent="0.25">
      <c r="A79" s="5">
        <v>44514</v>
      </c>
      <c r="B79">
        <v>0.91059999999999997</v>
      </c>
      <c r="C79">
        <v>0.93179999999999996</v>
      </c>
      <c r="D79">
        <v>0.89649999999999996</v>
      </c>
      <c r="E79">
        <v>0.91769999999999996</v>
      </c>
      <c r="F79">
        <v>3550863</v>
      </c>
      <c r="G79">
        <v>0.91769999999999996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0.20113314447592057</v>
      </c>
      <c r="Q79">
        <f t="shared" ref="Q79" si="371">F79*P79</f>
        <v>714196.24079320068</v>
      </c>
      <c r="R79">
        <f t="shared" ref="R79" si="372">R80+Q79</f>
        <v>771819500.11176264</v>
      </c>
      <c r="S79">
        <f t="shared" ref="S79" si="373">R79/100000</f>
        <v>7718.1950011176268</v>
      </c>
      <c r="T79">
        <f t="shared" ref="T79" si="374">S79/1000</f>
        <v>7.7181950011176266</v>
      </c>
    </row>
    <row r="80" spans="1:20" x14ac:dyDescent="0.25">
      <c r="A80" s="5">
        <v>44513</v>
      </c>
      <c r="B80">
        <v>0.89929999999999999</v>
      </c>
      <c r="C80">
        <v>0.92769999999999997</v>
      </c>
      <c r="D80">
        <v>0.89070000000000005</v>
      </c>
      <c r="E80">
        <v>0.91059999999999997</v>
      </c>
      <c r="F80">
        <v>3417258</v>
      </c>
      <c r="G80">
        <v>0.91059999999999997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7.5675675675673501E-2</v>
      </c>
      <c r="Q80">
        <f t="shared" ref="Q80" si="376">F80*P80</f>
        <v>258603.30810810067</v>
      </c>
      <c r="R80">
        <f t="shared" ref="R80" si="377">R81+Q80</f>
        <v>771105303.87096941</v>
      </c>
      <c r="S80">
        <f t="shared" ref="S80" si="378">R80/100000</f>
        <v>7711.0530387096942</v>
      </c>
      <c r="T80">
        <f t="shared" ref="T80" si="379">S80/1000</f>
        <v>7.7110530387096938</v>
      </c>
    </row>
    <row r="81" spans="1:20" x14ac:dyDescent="0.25">
      <c r="A81" s="5">
        <v>44512</v>
      </c>
      <c r="B81">
        <v>0.92149999999999999</v>
      </c>
      <c r="C81">
        <v>0.93710000000000004</v>
      </c>
      <c r="D81">
        <v>0.86180000000000001</v>
      </c>
      <c r="E81">
        <v>0.89970000000000006</v>
      </c>
      <c r="F81">
        <v>7728311</v>
      </c>
      <c r="G81">
        <v>0.89970000000000006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6.6401062417006072E-3</v>
      </c>
      <c r="Q81">
        <f t="shared" ref="Q81" si="381">F81*P81</f>
        <v>51316.80610890346</v>
      </c>
      <c r="R81">
        <f t="shared" ref="R81" si="382">R82+Q81</f>
        <v>770846700.56286132</v>
      </c>
      <c r="S81">
        <f t="shared" ref="S81" si="383">R81/100000</f>
        <v>7708.4670056286132</v>
      </c>
      <c r="T81">
        <f t="shared" ref="T81" si="384">S81/1000</f>
        <v>7.7084670056286129</v>
      </c>
    </row>
    <row r="82" spans="1:20" x14ac:dyDescent="0.25">
      <c r="A82" s="5">
        <v>44511</v>
      </c>
      <c r="B82">
        <v>0.91110000000000002</v>
      </c>
      <c r="C82">
        <v>0.94810000000000005</v>
      </c>
      <c r="D82">
        <v>0.89510000000000001</v>
      </c>
      <c r="E82">
        <v>0.92159999999999997</v>
      </c>
      <c r="F82">
        <v>7880377</v>
      </c>
      <c r="G82">
        <v>0.92159999999999997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-2.0947604238210482E-15</v>
      </c>
      <c r="Q82">
        <f t="shared" ref="Q82" si="386">F82*P82</f>
        <v>-1.6507501864389639E-8</v>
      </c>
      <c r="R82">
        <f t="shared" ref="R82" si="387">R83+Q82</f>
        <v>770795383.75675237</v>
      </c>
      <c r="S82">
        <f t="shared" ref="S82" si="388">R82/100000</f>
        <v>7707.9538375675238</v>
      </c>
      <c r="T82">
        <f t="shared" ref="T82" si="389">S82/1000</f>
        <v>7.7079538375675236</v>
      </c>
    </row>
    <row r="83" spans="1:20" x14ac:dyDescent="0.25">
      <c r="A83" s="5">
        <v>44510</v>
      </c>
      <c r="B83">
        <v>0.98209999999999997</v>
      </c>
      <c r="C83">
        <v>1.0282</v>
      </c>
      <c r="D83">
        <v>0.88070000000000004</v>
      </c>
      <c r="E83">
        <v>0.91220000000000001</v>
      </c>
      <c r="F83">
        <v>12792344</v>
      </c>
      <c r="G83">
        <v>0.91220000000000001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-0.57288135593220368</v>
      </c>
      <c r="Q83">
        <f t="shared" ref="Q83" si="391">F83*P83</f>
        <v>-7328495.3762711901</v>
      </c>
      <c r="R83">
        <f t="shared" ref="R83" si="392">R84+Q83</f>
        <v>770795383.75675237</v>
      </c>
      <c r="S83">
        <f t="shared" ref="S83" si="393">R83/100000</f>
        <v>7707.9538375675238</v>
      </c>
      <c r="T83">
        <f t="shared" ref="T83" si="394">S83/1000</f>
        <v>7.7079538375675236</v>
      </c>
    </row>
    <row r="84" spans="1:20" x14ac:dyDescent="0.25">
      <c r="A84" s="5">
        <v>44509</v>
      </c>
      <c r="B84">
        <v>0.99239999999999995</v>
      </c>
      <c r="C84">
        <v>1.0128999999999999</v>
      </c>
      <c r="D84">
        <v>0.96009999999999995</v>
      </c>
      <c r="E84">
        <v>0.98099999999999998</v>
      </c>
      <c r="F84">
        <v>9348994</v>
      </c>
      <c r="G84">
        <v>0.98099999999999998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-0.20833333333333159</v>
      </c>
      <c r="Q84">
        <f t="shared" ref="Q84" si="396">F84*P84</f>
        <v>-1947707.083333317</v>
      </c>
      <c r="R84">
        <f t="shared" ref="R84" si="397">R85+Q84</f>
        <v>778123879.13302362</v>
      </c>
      <c r="S84">
        <f t="shared" ref="S84" si="398">R84/100000</f>
        <v>7781.2387913302364</v>
      </c>
      <c r="T84">
        <f t="shared" ref="T84" si="399">S84/1000</f>
        <v>7.7812387913302361</v>
      </c>
    </row>
    <row r="85" spans="1:20" x14ac:dyDescent="0.25">
      <c r="A85" s="5">
        <v>44508</v>
      </c>
      <c r="B85">
        <v>0.95</v>
      </c>
      <c r="C85">
        <v>1.0063</v>
      </c>
      <c r="D85">
        <v>0.93540000000000001</v>
      </c>
      <c r="E85">
        <v>0.99250000000000005</v>
      </c>
      <c r="F85">
        <v>11632731</v>
      </c>
      <c r="G85">
        <v>0.99250000000000005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0.61071932299012888</v>
      </c>
      <c r="Q85">
        <f t="shared" ref="Q85" si="401">F85*P85</f>
        <v>7104333.600846285</v>
      </c>
      <c r="R85">
        <f t="shared" ref="R85" si="402">R86+Q85</f>
        <v>780071586.21635699</v>
      </c>
      <c r="S85">
        <f t="shared" ref="S85" si="403">R85/100000</f>
        <v>7800.7158621635699</v>
      </c>
      <c r="T85">
        <f t="shared" ref="T85" si="404">S85/1000</f>
        <v>7.8007158621635702</v>
      </c>
    </row>
    <row r="86" spans="1:20" x14ac:dyDescent="0.25">
      <c r="A86" s="5">
        <v>44507</v>
      </c>
      <c r="B86">
        <v>0.94720000000000004</v>
      </c>
      <c r="C86">
        <v>0.96130000000000004</v>
      </c>
      <c r="D86">
        <v>0.94040000000000001</v>
      </c>
      <c r="E86">
        <v>0.95</v>
      </c>
      <c r="F86">
        <v>4510646</v>
      </c>
      <c r="G86">
        <v>0.95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-8.1339712918667151E-2</v>
      </c>
      <c r="Q86">
        <f t="shared" ref="Q86" si="406">F86*P86</f>
        <v>-366894.6507177343</v>
      </c>
      <c r="R86">
        <f t="shared" ref="R86" si="407">R87+Q86</f>
        <v>772967252.6155107</v>
      </c>
      <c r="S86">
        <f t="shared" ref="S86" si="408">R86/100000</f>
        <v>7729.6725261551073</v>
      </c>
      <c r="T86">
        <f t="shared" ref="T86" si="409">S86/1000</f>
        <v>7.7296725261551069</v>
      </c>
    </row>
    <row r="87" spans="1:20" x14ac:dyDescent="0.25">
      <c r="A87" s="5">
        <v>44506</v>
      </c>
      <c r="B87">
        <v>0.95030000000000003</v>
      </c>
      <c r="C87">
        <v>0.96650000000000003</v>
      </c>
      <c r="D87">
        <v>0.90600000000000003</v>
      </c>
      <c r="E87">
        <v>0.94720000000000004</v>
      </c>
      <c r="F87">
        <v>5797570</v>
      </c>
      <c r="G87">
        <v>0.94720000000000004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0.36198347107438067</v>
      </c>
      <c r="Q87">
        <f t="shared" ref="Q87" si="411">F87*P87</f>
        <v>2098624.512396697</v>
      </c>
      <c r="R87">
        <f t="shared" ref="R87" si="412">R88+Q87</f>
        <v>773334147.26622844</v>
      </c>
      <c r="S87">
        <f t="shared" ref="S87" si="413">R87/100000</f>
        <v>7733.3414726622841</v>
      </c>
      <c r="T87">
        <f t="shared" ref="T87" si="414">S87/1000</f>
        <v>7.7333414726622838</v>
      </c>
    </row>
    <row r="88" spans="1:20" x14ac:dyDescent="0.25">
      <c r="A88" s="5">
        <v>44505</v>
      </c>
      <c r="B88">
        <v>0.96209999999999996</v>
      </c>
      <c r="C88">
        <v>0.97799999999999998</v>
      </c>
      <c r="D88">
        <v>0.94079999999999997</v>
      </c>
      <c r="E88">
        <v>0.9506</v>
      </c>
      <c r="F88">
        <v>4610898</v>
      </c>
      <c r="G88">
        <v>0.9506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-0.47311827956989094</v>
      </c>
      <c r="Q88">
        <f t="shared" ref="Q88" si="416">F88*P88</f>
        <v>-2181500.129032251</v>
      </c>
      <c r="R88">
        <f t="shared" ref="R88" si="417">R89+Q88</f>
        <v>771235522.75383174</v>
      </c>
      <c r="S88">
        <f t="shared" ref="S88" si="418">R88/100000</f>
        <v>7712.3552275383172</v>
      </c>
      <c r="T88">
        <f t="shared" ref="T88" si="419">S88/1000</f>
        <v>7.7123552275383176</v>
      </c>
    </row>
    <row r="89" spans="1:20" x14ac:dyDescent="0.25">
      <c r="A89" s="5">
        <v>44504</v>
      </c>
      <c r="B89">
        <v>1.0125999999999999</v>
      </c>
      <c r="C89">
        <v>1.0196000000000001</v>
      </c>
      <c r="D89">
        <v>0.93440000000000001</v>
      </c>
      <c r="E89">
        <v>0.96220000000000006</v>
      </c>
      <c r="F89">
        <v>9967522</v>
      </c>
      <c r="G89">
        <v>0.96220000000000006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-0.34741784037558615</v>
      </c>
      <c r="Q89">
        <f t="shared" ref="Q89" si="421">F89*P89</f>
        <v>-3462894.9671361432</v>
      </c>
      <c r="R89">
        <f t="shared" ref="R89" si="422">R90+Q89</f>
        <v>773417022.882864</v>
      </c>
      <c r="S89">
        <f t="shared" ref="S89" si="423">R89/100000</f>
        <v>7734.1702288286397</v>
      </c>
      <c r="T89">
        <f t="shared" ref="T89" si="424">S89/1000</f>
        <v>7.7341702288286394</v>
      </c>
    </row>
    <row r="90" spans="1:20" x14ac:dyDescent="0.25">
      <c r="A90" s="5">
        <v>44503</v>
      </c>
      <c r="B90">
        <v>0.99319999999999997</v>
      </c>
      <c r="C90">
        <v>1.04</v>
      </c>
      <c r="D90">
        <v>0.96009999999999995</v>
      </c>
      <c r="E90">
        <v>1.0121</v>
      </c>
      <c r="F90">
        <v>12528191</v>
      </c>
      <c r="G90">
        <v>1.0121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0.3016270337922401</v>
      </c>
      <c r="Q90">
        <f t="shared" ref="Q90" si="426">F90*P90</f>
        <v>3778841.0901126382</v>
      </c>
      <c r="R90">
        <f t="shared" ref="R90" si="427">R91+Q90</f>
        <v>776879917.85000014</v>
      </c>
      <c r="S90">
        <f t="shared" ref="S90" si="428">R90/100000</f>
        <v>7768.7991785000013</v>
      </c>
      <c r="T90">
        <f t="shared" ref="T90" si="429">S90/1000</f>
        <v>7.768799178500001</v>
      </c>
    </row>
    <row r="91" spans="1:20" x14ac:dyDescent="0.25">
      <c r="A91" s="5">
        <v>44502</v>
      </c>
      <c r="B91">
        <v>1.0058</v>
      </c>
      <c r="C91">
        <v>1.0322</v>
      </c>
      <c r="D91">
        <v>0.99060000000000004</v>
      </c>
      <c r="E91">
        <v>0.99280000000000002</v>
      </c>
      <c r="F91">
        <v>8808406</v>
      </c>
      <c r="G91">
        <v>0.99280000000000002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-0.89423076923077016</v>
      </c>
      <c r="Q91">
        <f t="shared" ref="Q91" si="431">F91*P91</f>
        <v>-7876747.6730769314</v>
      </c>
      <c r="R91">
        <f t="shared" ref="R91" si="432">R92+Q91</f>
        <v>773101076.75988746</v>
      </c>
      <c r="S91">
        <f t="shared" ref="S91" si="433">R91/100000</f>
        <v>7731.0107675988747</v>
      </c>
      <c r="T91">
        <f t="shared" ref="T91" si="434">S91/1000</f>
        <v>7.7310107675988746</v>
      </c>
    </row>
    <row r="92" spans="1:20" x14ac:dyDescent="0.25">
      <c r="A92" s="5">
        <v>44501</v>
      </c>
      <c r="B92">
        <v>1.0284</v>
      </c>
      <c r="C92">
        <v>1.05</v>
      </c>
      <c r="D92">
        <v>0.97399999999999998</v>
      </c>
      <c r="E92">
        <v>1.0049999999999999</v>
      </c>
      <c r="F92">
        <v>7335642</v>
      </c>
      <c r="G92">
        <v>1.0049999999999999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-0.18421052631579241</v>
      </c>
      <c r="Q92">
        <f t="shared" ref="Q92" si="436">F92*P92</f>
        <v>-1351302.473684232</v>
      </c>
      <c r="R92">
        <f t="shared" ref="R92" si="437">R93+Q92</f>
        <v>780977824.43296444</v>
      </c>
      <c r="S92">
        <f t="shared" ref="S92" si="438">R92/100000</f>
        <v>7809.7782443296446</v>
      </c>
      <c r="T92">
        <f t="shared" ref="T92" si="439">S92/1000</f>
        <v>7.8097782443296442</v>
      </c>
    </row>
    <row r="93" spans="1:20" x14ac:dyDescent="0.25">
      <c r="A93" s="5">
        <v>44500</v>
      </c>
      <c r="B93">
        <v>1.004</v>
      </c>
      <c r="C93">
        <v>1.0435000000000001</v>
      </c>
      <c r="D93">
        <v>0.96709999999999996</v>
      </c>
      <c r="E93">
        <v>1.0281</v>
      </c>
      <c r="F93">
        <v>7234959</v>
      </c>
      <c r="G93">
        <v>1.0281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0.59685863874345413</v>
      </c>
      <c r="Q93">
        <f t="shared" ref="Q93" si="441">F93*P93</f>
        <v>4318247.7801047023</v>
      </c>
      <c r="R93">
        <f t="shared" ref="R93" si="442">R94+Q93</f>
        <v>782329126.90664864</v>
      </c>
      <c r="S93">
        <f t="shared" ref="S93" si="443">R93/100000</f>
        <v>7823.2912690664862</v>
      </c>
      <c r="T93">
        <f t="shared" ref="T93" si="444">S93/1000</f>
        <v>7.8232912690664858</v>
      </c>
    </row>
    <row r="94" spans="1:20" x14ac:dyDescent="0.25">
      <c r="A94" s="5">
        <v>44499</v>
      </c>
      <c r="B94">
        <v>1.0395000000000001</v>
      </c>
      <c r="C94">
        <v>1.0435000000000001</v>
      </c>
      <c r="D94">
        <v>0.98509999999999998</v>
      </c>
      <c r="E94">
        <v>1.004</v>
      </c>
      <c r="F94">
        <v>11869420</v>
      </c>
      <c r="G94">
        <v>1.004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-0.35273972602739762</v>
      </c>
      <c r="Q94">
        <f t="shared" ref="Q94" si="446">F94*P94</f>
        <v>-4186815.9589041136</v>
      </c>
      <c r="R94">
        <f t="shared" ref="R94" si="447">R95+Q94</f>
        <v>778010879.12654388</v>
      </c>
      <c r="S94">
        <f t="shared" ref="S94" si="448">R94/100000</f>
        <v>7780.1087912654384</v>
      </c>
      <c r="T94">
        <f t="shared" ref="T94" si="449">S94/1000</f>
        <v>7.7801087912654383</v>
      </c>
    </row>
    <row r="95" spans="1:20" x14ac:dyDescent="0.25">
      <c r="A95" s="5">
        <v>44498</v>
      </c>
      <c r="B95">
        <v>1.0354000000000001</v>
      </c>
      <c r="C95">
        <v>1.0921000000000001</v>
      </c>
      <c r="D95">
        <v>1.0304</v>
      </c>
      <c r="E95">
        <v>1.038</v>
      </c>
      <c r="F95">
        <v>8741790</v>
      </c>
      <c r="G95">
        <v>1.038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-0.75364667747163561</v>
      </c>
      <c r="Q95">
        <f t="shared" ref="Q95" si="451">F95*P95</f>
        <v>-6588220.988654769</v>
      </c>
      <c r="R95">
        <f t="shared" ref="R95" si="452">R96+Q95</f>
        <v>782197695.08544803</v>
      </c>
      <c r="S95">
        <f t="shared" ref="S95" si="453">R95/100000</f>
        <v>7821.9769508544805</v>
      </c>
      <c r="T95">
        <f t="shared" ref="T95" si="454">S95/1000</f>
        <v>7.8219769508544807</v>
      </c>
    </row>
    <row r="96" spans="1:20" x14ac:dyDescent="0.25">
      <c r="A96" s="5">
        <v>44497</v>
      </c>
      <c r="B96">
        <v>1.0149999999999999</v>
      </c>
      <c r="C96">
        <v>1.1066</v>
      </c>
      <c r="D96">
        <v>0.99390000000000001</v>
      </c>
      <c r="E96">
        <v>1.0355000000000001</v>
      </c>
      <c r="F96">
        <v>14147433</v>
      </c>
      <c r="G96">
        <v>1.0355000000000001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-0.26175687666370767</v>
      </c>
      <c r="Q96">
        <f t="shared" ref="Q96" si="456">F96*P96</f>
        <v>-3703187.8748890678</v>
      </c>
      <c r="R96">
        <f t="shared" ref="R96" si="457">R97+Q96</f>
        <v>788785916.07410276</v>
      </c>
      <c r="S96">
        <f t="shared" ref="S96" si="458">R96/100000</f>
        <v>7887.8591607410272</v>
      </c>
      <c r="T96">
        <f t="shared" ref="T96" si="459">S96/1000</f>
        <v>7.8878591607410273</v>
      </c>
    </row>
    <row r="97" spans="1:20" x14ac:dyDescent="0.25">
      <c r="A97" s="5">
        <v>44496</v>
      </c>
      <c r="B97">
        <v>1.1218999999999999</v>
      </c>
      <c r="C97">
        <v>1.165</v>
      </c>
      <c r="D97">
        <v>1.0125</v>
      </c>
      <c r="E97">
        <v>1.0145</v>
      </c>
      <c r="F97">
        <v>16693377</v>
      </c>
      <c r="G97">
        <v>1.0145</v>
      </c>
      <c r="L97" t="s">
        <v>7</v>
      </c>
      <c r="M97" t="s">
        <v>8</v>
      </c>
      <c r="N97" t="s">
        <v>8</v>
      </c>
      <c r="P97">
        <f t="shared" ref="P97" si="460">IF(C97=D97,0,((E97-D97)-(C97-E97))/(C97-D97))</f>
        <v>-0.97377049180327868</v>
      </c>
      <c r="Q97">
        <f t="shared" ref="Q97" si="461">F97*P97</f>
        <v>-16255517.93114754</v>
      </c>
      <c r="R97">
        <f t="shared" ref="R97" si="462">R98+Q97</f>
        <v>792489103.94899178</v>
      </c>
      <c r="S97">
        <f t="shared" ref="S97" si="463">R97/100000</f>
        <v>7924.8910394899176</v>
      </c>
      <c r="T97">
        <f t="shared" ref="T97" si="464">S97/1000</f>
        <v>7.9248910394899177</v>
      </c>
    </row>
    <row r="98" spans="1:20" x14ac:dyDescent="0.25">
      <c r="A98" s="5">
        <v>44495</v>
      </c>
      <c r="B98">
        <v>1.1149</v>
      </c>
      <c r="C98">
        <v>1.1839999999999999</v>
      </c>
      <c r="D98">
        <v>1.1012</v>
      </c>
      <c r="E98">
        <v>1.1211</v>
      </c>
      <c r="F98">
        <v>12980407</v>
      </c>
      <c r="G98">
        <v>1.1211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-0.51932367149758374</v>
      </c>
      <c r="Q98">
        <f t="shared" ref="Q98" si="466">F98*P98</f>
        <v>-6741032.6207729364</v>
      </c>
      <c r="R98">
        <f t="shared" ref="R98" si="467">R99+Q98</f>
        <v>808744621.88013935</v>
      </c>
      <c r="S98">
        <f t="shared" ref="S98" si="468">R98/100000</f>
        <v>8087.4462188013931</v>
      </c>
      <c r="T98">
        <f t="shared" ref="T98" si="469">S98/1000</f>
        <v>8.0874462188013929</v>
      </c>
    </row>
    <row r="99" spans="1:20" x14ac:dyDescent="0.25">
      <c r="A99" s="5">
        <v>44494</v>
      </c>
      <c r="B99">
        <v>1.089</v>
      </c>
      <c r="C99">
        <v>1.1379999999999999</v>
      </c>
      <c r="D99">
        <v>1.0833999999999999</v>
      </c>
      <c r="E99">
        <v>1.1153</v>
      </c>
      <c r="F99">
        <v>7676983</v>
      </c>
      <c r="G99">
        <v>1.1153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0.16849816849817034</v>
      </c>
      <c r="Q99">
        <f t="shared" ref="Q99" si="471">F99*P99</f>
        <v>1293557.5750915892</v>
      </c>
      <c r="R99">
        <f t="shared" ref="R99" si="472">R100+Q99</f>
        <v>815485654.50091231</v>
      </c>
      <c r="S99">
        <f t="shared" ref="S99" si="473">R99/100000</f>
        <v>8154.8565450091228</v>
      </c>
      <c r="T99">
        <f t="shared" ref="T99" si="474">S99/1000</f>
        <v>8.1548565450091228</v>
      </c>
    </row>
    <row r="100" spans="1:20" x14ac:dyDescent="0.25">
      <c r="A100" s="5">
        <v>44493</v>
      </c>
      <c r="B100">
        <v>1.1089</v>
      </c>
      <c r="C100">
        <v>1.1449</v>
      </c>
      <c r="D100">
        <v>1.0615000000000001</v>
      </c>
      <c r="E100">
        <v>1.0883</v>
      </c>
      <c r="F100">
        <v>7729035</v>
      </c>
      <c r="G100">
        <v>1.0883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-0.3573141486810561</v>
      </c>
      <c r="Q100">
        <f t="shared" ref="Q100" si="476">F100*P100</f>
        <v>-2761693.5611510864</v>
      </c>
      <c r="R100">
        <f t="shared" ref="R100" si="477">R101+Q100</f>
        <v>814192096.92582071</v>
      </c>
      <c r="S100">
        <f t="shared" ref="S100" si="478">R100/100000</f>
        <v>8141.9209692582072</v>
      </c>
      <c r="T100">
        <f t="shared" ref="T100" si="479">S100/1000</f>
        <v>8.1419209692582069</v>
      </c>
    </row>
    <row r="101" spans="1:20" x14ac:dyDescent="0.25">
      <c r="A101" s="5">
        <v>44492</v>
      </c>
      <c r="B101">
        <v>1.1079000000000001</v>
      </c>
      <c r="C101">
        <v>1.1189</v>
      </c>
      <c r="D101">
        <v>1.0849</v>
      </c>
      <c r="E101">
        <v>1.1077999999999999</v>
      </c>
      <c r="F101">
        <v>5586963</v>
      </c>
      <c r="G101">
        <v>1.1077999999999999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0.34705882352940587</v>
      </c>
      <c r="Q101">
        <f t="shared" ref="Q101" si="481">F101*P101</f>
        <v>1939004.80588232</v>
      </c>
      <c r="R101">
        <f t="shared" ref="R101" si="482">R102+Q101</f>
        <v>816953790.48697174</v>
      </c>
      <c r="S101">
        <f t="shared" ref="S101" si="483">R101/100000</f>
        <v>8169.5379048697177</v>
      </c>
      <c r="T101">
        <f t="shared" ref="T101" si="484">S101/1000</f>
        <v>8.169537904869717</v>
      </c>
    </row>
    <row r="102" spans="1:20" x14ac:dyDescent="0.25">
      <c r="A102" s="5">
        <v>44491</v>
      </c>
      <c r="B102">
        <v>1.1185</v>
      </c>
      <c r="C102">
        <v>1.1487000000000001</v>
      </c>
      <c r="D102">
        <v>1.0873999999999999</v>
      </c>
      <c r="E102">
        <v>1.1083000000000001</v>
      </c>
      <c r="F102">
        <v>12764737</v>
      </c>
      <c r="G102">
        <v>1.1083000000000001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-0.31810766721043732</v>
      </c>
      <c r="Q102">
        <f t="shared" ref="Q102" si="486">F102*P102</f>
        <v>-4060560.7096247561</v>
      </c>
      <c r="R102">
        <f t="shared" ref="R102" si="487">R103+Q102</f>
        <v>815014785.6810894</v>
      </c>
      <c r="S102">
        <f t="shared" ref="S102" si="488">R102/100000</f>
        <v>8150.1478568108942</v>
      </c>
      <c r="T102">
        <f t="shared" ref="T102" si="489">S102/1000</f>
        <v>8.1501478568108947</v>
      </c>
    </row>
    <row r="103" spans="1:20" x14ac:dyDescent="0.25">
      <c r="A103" s="5">
        <v>44490</v>
      </c>
      <c r="B103">
        <v>1.0625</v>
      </c>
      <c r="C103">
        <v>1.1376999999999999</v>
      </c>
      <c r="D103">
        <v>1.0526</v>
      </c>
      <c r="E103">
        <v>1.1185</v>
      </c>
      <c r="F103">
        <v>22779774</v>
      </c>
      <c r="G103">
        <v>1.1185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0.54876615746181212</v>
      </c>
      <c r="Q103">
        <f t="shared" ref="Q103" si="491">F103*P103</f>
        <v>12500769.045828493</v>
      </c>
      <c r="R103">
        <f t="shared" ref="R103" si="492">R104+Q103</f>
        <v>819075346.39071417</v>
      </c>
      <c r="S103">
        <f t="shared" ref="S103" si="493">R103/100000</f>
        <v>8190.7534639071418</v>
      </c>
      <c r="T103">
        <f t="shared" ref="T103" si="494">S103/1000</f>
        <v>8.1907534639071411</v>
      </c>
    </row>
    <row r="104" spans="1:20" x14ac:dyDescent="0.25">
      <c r="A104" s="5">
        <v>44489</v>
      </c>
      <c r="B104">
        <v>0.98360000000000003</v>
      </c>
      <c r="C104">
        <v>1.07</v>
      </c>
      <c r="D104">
        <v>0.97160000000000002</v>
      </c>
      <c r="E104">
        <v>1.0613999999999999</v>
      </c>
      <c r="F104">
        <v>10051910</v>
      </c>
      <c r="G104">
        <v>1.0613999999999999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0.8252032520325171</v>
      </c>
      <c r="Q104">
        <f t="shared" ref="Q104" si="496">F104*P104</f>
        <v>8294868.8211381789</v>
      </c>
      <c r="R104">
        <f t="shared" ref="R104" si="497">R105+Q104</f>
        <v>806574577.34488571</v>
      </c>
      <c r="S104">
        <f t="shared" ref="S104" si="498">R104/100000</f>
        <v>8065.7457734488571</v>
      </c>
      <c r="T104">
        <f t="shared" ref="T104" si="499">S104/1000</f>
        <v>8.0657457734488567</v>
      </c>
    </row>
    <row r="105" spans="1:20" x14ac:dyDescent="0.25">
      <c r="A105" s="5">
        <v>44488</v>
      </c>
      <c r="B105">
        <v>0.98939999999999995</v>
      </c>
      <c r="C105">
        <v>1.0087999999999999</v>
      </c>
      <c r="D105">
        <v>0.96350000000000002</v>
      </c>
      <c r="E105">
        <v>0.9829</v>
      </c>
      <c r="F105">
        <v>5280459</v>
      </c>
      <c r="G105">
        <v>0.9829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-0.14348785871964603</v>
      </c>
      <c r="Q105">
        <f t="shared" ref="Q105" si="501">F105*P105</f>
        <v>-757681.75496688334</v>
      </c>
      <c r="R105">
        <f t="shared" ref="R105" si="502">R106+Q105</f>
        <v>798279708.52374756</v>
      </c>
      <c r="S105">
        <f t="shared" ref="S105" si="503">R105/100000</f>
        <v>7982.7970852374756</v>
      </c>
      <c r="T105">
        <f t="shared" ref="T105" si="504">S105/1000</f>
        <v>7.9827970852374754</v>
      </c>
    </row>
    <row r="106" spans="1:20" x14ac:dyDescent="0.25">
      <c r="A106" s="5">
        <v>44487</v>
      </c>
      <c r="B106">
        <v>1.03</v>
      </c>
      <c r="C106">
        <v>1.0309999999999999</v>
      </c>
      <c r="D106">
        <v>0.96560000000000001</v>
      </c>
      <c r="E106">
        <v>0.98919999999999997</v>
      </c>
      <c r="F106">
        <v>6426950</v>
      </c>
      <c r="G106">
        <v>0.98919999999999997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-0.27828746177370062</v>
      </c>
      <c r="Q106">
        <f t="shared" ref="Q106" si="506">F106*P106</f>
        <v>-1788539.6024464851</v>
      </c>
      <c r="R106">
        <f t="shared" ref="R106" si="507">R107+Q106</f>
        <v>799037390.27871442</v>
      </c>
      <c r="S106">
        <f t="shared" ref="S106" si="508">R106/100000</f>
        <v>7990.3739027871443</v>
      </c>
      <c r="T106">
        <f t="shared" ref="T106" si="509">S106/1000</f>
        <v>7.9903739027871445</v>
      </c>
    </row>
    <row r="107" spans="1:20" x14ac:dyDescent="0.25">
      <c r="A107" s="5">
        <v>44486</v>
      </c>
      <c r="B107">
        <v>1.0303</v>
      </c>
      <c r="C107">
        <v>1.0780000000000001</v>
      </c>
      <c r="D107">
        <v>0.98819999999999997</v>
      </c>
      <c r="E107">
        <v>1.03</v>
      </c>
      <c r="F107">
        <v>8164599</v>
      </c>
      <c r="G107">
        <v>1.03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-6.9042316258351624E-2</v>
      </c>
      <c r="Q107">
        <f t="shared" ref="Q107" si="511">F107*P107</f>
        <v>-563702.82628062146</v>
      </c>
      <c r="R107">
        <f t="shared" ref="R107" si="512">R108+Q107</f>
        <v>800825929.88116086</v>
      </c>
      <c r="S107">
        <f t="shared" ref="S107" si="513">R107/100000</f>
        <v>8008.2592988116085</v>
      </c>
      <c r="T107">
        <f t="shared" ref="T107" si="514">S107/1000</f>
        <v>8.008259298811609</v>
      </c>
    </row>
    <row r="108" spans="1:20" x14ac:dyDescent="0.25">
      <c r="A108" s="5">
        <v>44485</v>
      </c>
      <c r="B108">
        <v>1.0354000000000001</v>
      </c>
      <c r="C108">
        <v>1.0837000000000001</v>
      </c>
      <c r="D108">
        <v>1.0125</v>
      </c>
      <c r="E108">
        <v>1.0305</v>
      </c>
      <c r="F108">
        <v>9579871</v>
      </c>
      <c r="G108">
        <v>1.0305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-0.49438202247191076</v>
      </c>
      <c r="Q108">
        <f t="shared" ref="Q108" si="516">F108*P108</f>
        <v>-4736116.0000000065</v>
      </c>
      <c r="R108">
        <f t="shared" ref="R108" si="517">R109+Q108</f>
        <v>801389632.70744145</v>
      </c>
      <c r="S108">
        <f t="shared" ref="S108" si="518">R108/100000</f>
        <v>8013.8963270744143</v>
      </c>
      <c r="T108">
        <f t="shared" ref="T108" si="519">S108/1000</f>
        <v>8.0138963270744146</v>
      </c>
    </row>
    <row r="109" spans="1:20" x14ac:dyDescent="0.25">
      <c r="A109" s="5">
        <v>44484</v>
      </c>
      <c r="B109">
        <v>1.0077</v>
      </c>
      <c r="C109">
        <v>1.1100000000000001</v>
      </c>
      <c r="D109">
        <v>0.97829999999999995</v>
      </c>
      <c r="E109">
        <v>1.034</v>
      </c>
      <c r="F109">
        <v>20745810</v>
      </c>
      <c r="G109">
        <v>1.034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-0.15413819286256614</v>
      </c>
      <c r="Q109">
        <f t="shared" ref="Q109" si="521">F109*P109</f>
        <v>-3197721.6628701533</v>
      </c>
      <c r="R109">
        <f t="shared" ref="R109" si="522">R110+Q109</f>
        <v>806125748.70744145</v>
      </c>
      <c r="S109">
        <f t="shared" ref="S109" si="523">R109/100000</f>
        <v>8061.2574870744147</v>
      </c>
      <c r="T109">
        <f t="shared" ref="T109" si="524">S109/1000</f>
        <v>8.061257487074414</v>
      </c>
    </row>
    <row r="110" spans="1:20" x14ac:dyDescent="0.25">
      <c r="A110" s="5">
        <v>44483</v>
      </c>
      <c r="B110">
        <v>0.99350000000000005</v>
      </c>
      <c r="C110">
        <v>1.0589</v>
      </c>
      <c r="D110">
        <v>0.98280000000000001</v>
      </c>
      <c r="E110">
        <v>1.0077</v>
      </c>
      <c r="F110">
        <v>11007965</v>
      </c>
      <c r="G110">
        <v>1.0077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-0.34559789750328379</v>
      </c>
      <c r="Q110">
        <f t="shared" ref="Q110" si="526">F110*P110</f>
        <v>-3804329.5597897354</v>
      </c>
      <c r="R110">
        <f t="shared" ref="R110" si="527">R111+Q110</f>
        <v>809323470.37031162</v>
      </c>
      <c r="S110">
        <f t="shared" ref="S110" si="528">R110/100000</f>
        <v>8093.2347037031159</v>
      </c>
      <c r="T110">
        <f t="shared" ref="T110" si="529">S110/1000</f>
        <v>8.093234703703116</v>
      </c>
    </row>
    <row r="111" spans="1:20" x14ac:dyDescent="0.25">
      <c r="A111" s="5">
        <v>44482</v>
      </c>
      <c r="B111">
        <v>1.0092000000000001</v>
      </c>
      <c r="C111">
        <v>1.0247999999999999</v>
      </c>
      <c r="D111">
        <v>0.9446</v>
      </c>
      <c r="E111">
        <v>0.99390000000000001</v>
      </c>
      <c r="F111">
        <v>11291596</v>
      </c>
      <c r="G111">
        <v>0.99390000000000001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0.22942643391521317</v>
      </c>
      <c r="Q111">
        <f t="shared" ref="Q111" si="531">F111*P111</f>
        <v>2590590.6034912854</v>
      </c>
      <c r="R111">
        <f t="shared" ref="R111" si="532">R112+Q111</f>
        <v>813127799.93010139</v>
      </c>
      <c r="S111">
        <f t="shared" ref="S111" si="533">R111/100000</f>
        <v>8131.2779993010136</v>
      </c>
      <c r="T111">
        <f t="shared" ref="T111" si="534">S111/1000</f>
        <v>8.1312779993010142</v>
      </c>
    </row>
    <row r="112" spans="1:20" x14ac:dyDescent="0.25">
      <c r="A112" s="5">
        <v>44481</v>
      </c>
      <c r="B112">
        <v>1.0150999999999999</v>
      </c>
      <c r="C112">
        <v>1.0181</v>
      </c>
      <c r="D112">
        <v>0.93879999999999997</v>
      </c>
      <c r="E112">
        <v>1.0099</v>
      </c>
      <c r="F112">
        <v>16202100</v>
      </c>
      <c r="G112">
        <v>1.0099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0.79319041614123631</v>
      </c>
      <c r="Q112">
        <f t="shared" ref="Q112" si="536">F112*P112</f>
        <v>12851350.441361925</v>
      </c>
      <c r="R112">
        <f t="shared" ref="R112" si="537">R113+Q112</f>
        <v>810537209.32661009</v>
      </c>
      <c r="S112">
        <f t="shared" ref="S112" si="538">R112/100000</f>
        <v>8105.3720932661008</v>
      </c>
      <c r="T112">
        <f t="shared" ref="T112" si="539">S112/1000</f>
        <v>8.1053720932661015</v>
      </c>
    </row>
    <row r="113" spans="1:20" x14ac:dyDescent="0.25">
      <c r="A113" s="5">
        <v>44480</v>
      </c>
      <c r="B113">
        <v>1.0118</v>
      </c>
      <c r="C113">
        <v>1.1477999999999999</v>
      </c>
      <c r="D113">
        <v>0.98229999999999995</v>
      </c>
      <c r="E113">
        <v>1.0145999999999999</v>
      </c>
      <c r="F113">
        <v>20754677</v>
      </c>
      <c r="G113">
        <v>1.0145999999999999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-0.60966767371601205</v>
      </c>
      <c r="Q113">
        <f t="shared" ref="Q113" si="541">F113*P113</f>
        <v>-12653455.645317219</v>
      </c>
      <c r="R113">
        <f t="shared" ref="R113" si="542">R114+Q113</f>
        <v>797685858.88524818</v>
      </c>
      <c r="S113">
        <f t="shared" ref="S113" si="543">R113/100000</f>
        <v>7976.8585888524822</v>
      </c>
      <c r="T113">
        <f t="shared" ref="T113" si="544">S113/1000</f>
        <v>7.9768585888524823</v>
      </c>
    </row>
    <row r="114" spans="1:20" x14ac:dyDescent="0.25">
      <c r="A114" s="5">
        <v>44479</v>
      </c>
      <c r="B114">
        <v>1.0729</v>
      </c>
      <c r="C114">
        <v>1.0740000000000001</v>
      </c>
      <c r="D114">
        <v>1.0039</v>
      </c>
      <c r="E114">
        <v>1.0117</v>
      </c>
      <c r="F114">
        <v>7830179</v>
      </c>
      <c r="G114">
        <v>1.0117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-0.77746077032810201</v>
      </c>
      <c r="Q114">
        <f t="shared" ref="Q114" si="546">F114*P114</f>
        <v>-6087656.9971469278</v>
      </c>
      <c r="R114">
        <f t="shared" ref="R114" si="547">R115+Q114</f>
        <v>810339314.53056538</v>
      </c>
      <c r="S114">
        <f t="shared" ref="S114" si="548">R114/100000</f>
        <v>8103.3931453056539</v>
      </c>
      <c r="T114">
        <f t="shared" ref="T114" si="549">S114/1000</f>
        <v>8.1033931453056542</v>
      </c>
    </row>
    <row r="115" spans="1:20" x14ac:dyDescent="0.25">
      <c r="A115" s="5">
        <v>44478</v>
      </c>
      <c r="B115">
        <v>1.0992999999999999</v>
      </c>
      <c r="C115">
        <v>1.1052</v>
      </c>
      <c r="D115">
        <v>1.0612999999999999</v>
      </c>
      <c r="E115">
        <v>1.0747</v>
      </c>
      <c r="F115">
        <v>8481546</v>
      </c>
      <c r="G115">
        <v>1.0747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-0.38952164009111329</v>
      </c>
      <c r="Q115">
        <f t="shared" ref="Q115" si="551">F115*P115</f>
        <v>-3303745.7084282218</v>
      </c>
      <c r="R115">
        <f t="shared" ref="R115" si="552">R116+Q115</f>
        <v>816426971.52771235</v>
      </c>
      <c r="S115">
        <f t="shared" ref="S115" si="553">R115/100000</f>
        <v>8164.2697152771234</v>
      </c>
      <c r="T115">
        <f t="shared" ref="T115" si="554">S115/1000</f>
        <v>8.1642697152771238</v>
      </c>
    </row>
    <row r="116" spans="1:20" x14ac:dyDescent="0.25">
      <c r="A116" s="5">
        <v>44477</v>
      </c>
      <c r="B116">
        <v>1.1539999999999999</v>
      </c>
      <c r="C116">
        <v>1.1539999999999999</v>
      </c>
      <c r="D116">
        <v>1.0892999999999999</v>
      </c>
      <c r="E116">
        <v>1.0992</v>
      </c>
      <c r="F116">
        <v>9924834</v>
      </c>
      <c r="G116">
        <v>1.0992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-0.69397217928902555</v>
      </c>
      <c r="Q116">
        <f t="shared" ref="Q116" si="556">F116*P116</f>
        <v>-6887558.6800618162</v>
      </c>
      <c r="R116">
        <f t="shared" ref="R116" si="557">R117+Q116</f>
        <v>819730717.23614061</v>
      </c>
      <c r="S116">
        <f t="shared" ref="S116" si="558">R116/100000</f>
        <v>8197.3071723614066</v>
      </c>
      <c r="T116">
        <f t="shared" ref="T116" si="559">S116/1000</f>
        <v>8.1973071723614073</v>
      </c>
    </row>
    <row r="117" spans="1:20" x14ac:dyDescent="0.25">
      <c r="A117" s="5">
        <v>44476</v>
      </c>
      <c r="B117">
        <v>1.1325000000000001</v>
      </c>
      <c r="C117">
        <v>1.1759999999999999</v>
      </c>
      <c r="D117">
        <v>1.08</v>
      </c>
      <c r="E117">
        <v>1.1540999999999999</v>
      </c>
      <c r="F117">
        <v>16739189</v>
      </c>
      <c r="G117">
        <v>1.1540999999999999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0.54374999999999873</v>
      </c>
      <c r="Q117">
        <f t="shared" ref="Q117" si="561">F117*P117</f>
        <v>9101934.0187499784</v>
      </c>
      <c r="R117">
        <f t="shared" ref="R117" si="562">R118+Q117</f>
        <v>826618275.91620243</v>
      </c>
      <c r="S117">
        <f t="shared" ref="S117" si="563">R117/100000</f>
        <v>8266.182759162024</v>
      </c>
      <c r="T117">
        <f t="shared" ref="T117" si="564">S117/1000</f>
        <v>8.2661827591620245</v>
      </c>
    </row>
    <row r="118" spans="1:20" x14ac:dyDescent="0.25">
      <c r="A118" s="5">
        <v>44475</v>
      </c>
      <c r="B118">
        <v>1.2024999999999999</v>
      </c>
      <c r="C118">
        <v>1.2236</v>
      </c>
      <c r="D118">
        <v>1.1000000000000001</v>
      </c>
      <c r="E118">
        <v>1.1326000000000001</v>
      </c>
      <c r="F118">
        <v>20308647</v>
      </c>
      <c r="G118">
        <v>1.1326000000000001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-0.4724919093851136</v>
      </c>
      <c r="Q118">
        <f t="shared" ref="Q118" si="566">F118*P118</f>
        <v>-9595671.3980582599</v>
      </c>
      <c r="R118">
        <f t="shared" ref="R118" si="567">R119+Q118</f>
        <v>817516341.89745247</v>
      </c>
      <c r="S118">
        <f t="shared" ref="S118" si="568">R118/100000</f>
        <v>8175.1634189745246</v>
      </c>
      <c r="T118">
        <f t="shared" ref="T118" si="569">S118/1000</f>
        <v>8.1751634189745239</v>
      </c>
    </row>
    <row r="119" spans="1:20" x14ac:dyDescent="0.25">
      <c r="A119" s="5">
        <v>44474</v>
      </c>
      <c r="B119">
        <v>1.1657</v>
      </c>
      <c r="C119">
        <v>1.3080000000000001</v>
      </c>
      <c r="D119">
        <v>1.1507000000000001</v>
      </c>
      <c r="E119">
        <v>1.2021999999999999</v>
      </c>
      <c r="F119">
        <v>28302408</v>
      </c>
      <c r="G119">
        <v>1.2021999999999999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-0.34520025429116491</v>
      </c>
      <c r="Q119">
        <f t="shared" ref="Q119" si="571">F119*P119</f>
        <v>-9769998.4386522993</v>
      </c>
      <c r="R119">
        <f t="shared" ref="R119" si="572">R120+Q119</f>
        <v>827112013.29551077</v>
      </c>
      <c r="S119">
        <f t="shared" ref="S119" si="573">R119/100000</f>
        <v>8271.1201329551077</v>
      </c>
      <c r="T119">
        <f t="shared" ref="T119" si="574">S119/1000</f>
        <v>8.2711201329551081</v>
      </c>
    </row>
    <row r="120" spans="1:20" x14ac:dyDescent="0.25">
      <c r="A120" s="5">
        <v>44473</v>
      </c>
      <c r="B120">
        <v>1.2136</v>
      </c>
      <c r="C120">
        <v>1.2354000000000001</v>
      </c>
      <c r="D120">
        <v>1.105</v>
      </c>
      <c r="E120">
        <v>1.1655</v>
      </c>
      <c r="F120">
        <v>22498117</v>
      </c>
      <c r="G120">
        <v>1.1655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-7.2085889570552689E-2</v>
      </c>
      <c r="Q120">
        <f t="shared" ref="Q120" si="576">F120*P120</f>
        <v>-1621796.7776073741</v>
      </c>
      <c r="R120">
        <f t="shared" ref="R120" si="577">R121+Q120</f>
        <v>836882011.73416305</v>
      </c>
      <c r="S120">
        <f t="shared" ref="S120" si="578">R120/100000</f>
        <v>8368.820117341631</v>
      </c>
      <c r="T120">
        <f t="shared" ref="T120" si="579">S120/1000</f>
        <v>8.368820117341631</v>
      </c>
    </row>
    <row r="121" spans="1:20" x14ac:dyDescent="0.25">
      <c r="A121" s="5">
        <v>44472</v>
      </c>
      <c r="B121">
        <v>1.2258</v>
      </c>
      <c r="C121">
        <v>1.2398</v>
      </c>
      <c r="D121">
        <v>1.1605000000000001</v>
      </c>
      <c r="E121">
        <v>1.2110000000000001</v>
      </c>
      <c r="F121">
        <v>26120540</v>
      </c>
      <c r="G121">
        <v>1.2110000000000001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0.2736443883984877</v>
      </c>
      <c r="Q121">
        <f t="shared" ref="Q121" si="581">F121*P121</f>
        <v>7147739.1929382337</v>
      </c>
      <c r="R121">
        <f t="shared" ref="R121" si="582">R122+Q121</f>
        <v>838503808.51177037</v>
      </c>
      <c r="S121">
        <f t="shared" ref="S121" si="583">R121/100000</f>
        <v>8385.0380851177033</v>
      </c>
      <c r="T121">
        <f t="shared" ref="T121" si="584">S121/1000</f>
        <v>8.3850380851177029</v>
      </c>
    </row>
    <row r="122" spans="1:20" x14ac:dyDescent="0.25">
      <c r="A122" s="5">
        <v>44471</v>
      </c>
      <c r="B122">
        <v>1.0471999999999999</v>
      </c>
      <c r="C122">
        <v>1.3249</v>
      </c>
      <c r="D122">
        <v>1.0229999999999999</v>
      </c>
      <c r="E122">
        <v>1.2243999999999999</v>
      </c>
      <c r="F122">
        <v>59920721.799999997</v>
      </c>
      <c r="G122">
        <v>1.2243999999999999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0.33421662802252394</v>
      </c>
      <c r="Q122">
        <f t="shared" ref="Q122" si="586">F122*P122</f>
        <v>20026501.58867174</v>
      </c>
      <c r="R122">
        <f t="shared" ref="R122" si="587">R123+Q122</f>
        <v>831356069.31883216</v>
      </c>
      <c r="S122">
        <f t="shared" ref="S122" si="588">R122/100000</f>
        <v>8313.5606931883212</v>
      </c>
      <c r="T122">
        <f t="shared" ref="T122" si="589">S122/1000</f>
        <v>8.3135606931883217</v>
      </c>
    </row>
    <row r="123" spans="1:20" x14ac:dyDescent="0.25">
      <c r="A123" s="5">
        <v>44470</v>
      </c>
      <c r="B123">
        <v>0.93989999999999996</v>
      </c>
      <c r="C123">
        <v>1.0597000000000001</v>
      </c>
      <c r="D123">
        <v>0.91</v>
      </c>
      <c r="E123">
        <v>1.0470999999999999</v>
      </c>
      <c r="F123">
        <v>27022276</v>
      </c>
      <c r="G123">
        <v>1.0470999999999999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0.83166332665330445</v>
      </c>
      <c r="Q123">
        <f t="shared" ref="Q123" si="591">F123*P123</f>
        <v>22473435.951903749</v>
      </c>
      <c r="R123">
        <f t="shared" ref="R123" si="592">R124+Q123</f>
        <v>811329567.73016047</v>
      </c>
      <c r="S123">
        <f t="shared" ref="S123" si="593">R123/100000</f>
        <v>8113.2956773016049</v>
      </c>
      <c r="T123">
        <f t="shared" ref="T123" si="594">S123/1000</f>
        <v>8.1132956773016041</v>
      </c>
    </row>
    <row r="124" spans="1:20" x14ac:dyDescent="0.25">
      <c r="A124" s="5">
        <v>44469</v>
      </c>
      <c r="B124">
        <v>0.92130000000000001</v>
      </c>
      <c r="C124">
        <v>0.97650000000000003</v>
      </c>
      <c r="D124">
        <v>0.90010000000000001</v>
      </c>
      <c r="E124">
        <v>0.94</v>
      </c>
      <c r="F124">
        <v>16151218</v>
      </c>
      <c r="G124">
        <v>0.94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4.4502617801045113E-2</v>
      </c>
      <c r="Q124">
        <f t="shared" ref="Q124" si="596">F124*P124</f>
        <v>718771.48167536024</v>
      </c>
      <c r="R124">
        <f t="shared" ref="R124" si="597">R125+Q124</f>
        <v>788856131.77825677</v>
      </c>
      <c r="S124">
        <f t="shared" ref="S124" si="598">R124/100000</f>
        <v>7888.561317782568</v>
      </c>
      <c r="T124">
        <f t="shared" ref="T124" si="599">S124/1000</f>
        <v>7.8885613177825684</v>
      </c>
    </row>
    <row r="125" spans="1:20" x14ac:dyDescent="0.25">
      <c r="A125" s="5">
        <v>44468</v>
      </c>
      <c r="B125">
        <v>0.92549999999999999</v>
      </c>
      <c r="C125">
        <v>1.0175000000000001</v>
      </c>
      <c r="D125">
        <v>0.89459999999999995</v>
      </c>
      <c r="E125">
        <v>0.92169999999999996</v>
      </c>
      <c r="F125">
        <v>19604702</v>
      </c>
      <c r="G125">
        <v>0.92169999999999996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-0.55899104963384882</v>
      </c>
      <c r="Q125">
        <f t="shared" ref="Q125" si="601">F125*P125</f>
        <v>-10958852.948738815</v>
      </c>
      <c r="R125">
        <f t="shared" ref="R125" si="602">R126+Q125</f>
        <v>788137360.29658139</v>
      </c>
      <c r="S125">
        <f t="shared" ref="S125" si="603">R125/100000</f>
        <v>7881.3736029658139</v>
      </c>
      <c r="T125">
        <f t="shared" ref="T125" si="604">S125/1000</f>
        <v>7.8813736029658141</v>
      </c>
    </row>
    <row r="126" spans="1:20" x14ac:dyDescent="0.25">
      <c r="A126" s="5">
        <v>44467</v>
      </c>
      <c r="B126">
        <v>1.0263</v>
      </c>
      <c r="C126">
        <v>1.0425</v>
      </c>
      <c r="D126">
        <v>0.92500000000000004</v>
      </c>
      <c r="E126">
        <v>0.92600000000000005</v>
      </c>
      <c r="F126">
        <v>24012064</v>
      </c>
      <c r="G126">
        <v>0.92600000000000005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-0.98297872340425529</v>
      </c>
      <c r="Q126">
        <f t="shared" ref="Q126" si="606">F126*P126</f>
        <v>-23603348.017021276</v>
      </c>
      <c r="R126">
        <f t="shared" ref="R126" si="607">R127+Q126</f>
        <v>799096213.2453202</v>
      </c>
      <c r="S126">
        <f t="shared" ref="S126" si="608">R126/100000</f>
        <v>7990.9621324532018</v>
      </c>
      <c r="T126">
        <f t="shared" ref="T126" si="609">S126/1000</f>
        <v>7.9909621324532019</v>
      </c>
    </row>
    <row r="127" spans="1:20" x14ac:dyDescent="0.25">
      <c r="A127" s="5">
        <v>44466</v>
      </c>
      <c r="B127">
        <v>1.1581999999999999</v>
      </c>
      <c r="C127">
        <v>1.1638999999999999</v>
      </c>
      <c r="D127">
        <v>1.0209999999999999</v>
      </c>
      <c r="E127">
        <v>1.026</v>
      </c>
      <c r="F127">
        <v>39099165</v>
      </c>
      <c r="G127">
        <v>1.026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-0.93002099370188784</v>
      </c>
      <c r="Q127">
        <f t="shared" ref="Q127" si="611">F127*P127</f>
        <v>-36363044.286214076</v>
      </c>
      <c r="R127">
        <f t="shared" ref="R127" si="612">R128+Q127</f>
        <v>822699561.2623415</v>
      </c>
      <c r="S127">
        <f t="shared" ref="S127" si="613">R127/100000</f>
        <v>8226.9956126234156</v>
      </c>
      <c r="T127">
        <f t="shared" ref="T127" si="614">S127/1000</f>
        <v>8.2269956126234156</v>
      </c>
    </row>
    <row r="128" spans="1:20" x14ac:dyDescent="0.25">
      <c r="A128" s="5">
        <v>44465</v>
      </c>
      <c r="B128">
        <v>1.0195000000000001</v>
      </c>
      <c r="C128">
        <v>1.1789000000000001</v>
      </c>
      <c r="D128">
        <v>0.92110000000000003</v>
      </c>
      <c r="E128">
        <v>1.159</v>
      </c>
      <c r="F128">
        <v>59388938</v>
      </c>
      <c r="G128">
        <v>1.159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0.84561675717610529</v>
      </c>
      <c r="Q128">
        <f t="shared" ref="Q128" si="616">F128*P128</f>
        <v>50220281.163692772</v>
      </c>
      <c r="R128">
        <f t="shared" ref="R128" si="617">R129+Q128</f>
        <v>859062605.54855561</v>
      </c>
      <c r="S128">
        <f t="shared" ref="S128" si="618">R128/100000</f>
        <v>8590.6260554855562</v>
      </c>
      <c r="T128">
        <f t="shared" ref="T128" si="619">S128/1000</f>
        <v>8.590626055485556</v>
      </c>
    </row>
    <row r="129" spans="1:20" x14ac:dyDescent="0.25">
      <c r="A129" s="5">
        <v>44464</v>
      </c>
      <c r="B129">
        <v>1.1185</v>
      </c>
      <c r="C129">
        <v>1.1748000000000001</v>
      </c>
      <c r="D129">
        <v>0.998</v>
      </c>
      <c r="E129">
        <v>1.0201</v>
      </c>
      <c r="F129">
        <v>62986129</v>
      </c>
      <c r="G129">
        <v>1.0201</v>
      </c>
      <c r="L129" t="s">
        <v>7</v>
      </c>
      <c r="M129" t="s">
        <v>7</v>
      </c>
      <c r="N129" t="s">
        <v>8</v>
      </c>
      <c r="P129">
        <f t="shared" ref="P129" si="620">IF(C129=D129,0,((E129-D129)-(C129-E129))/(C129-D129))</f>
        <v>-0.75</v>
      </c>
      <c r="Q129">
        <f t="shared" ref="Q129" si="621">F129*P129</f>
        <v>-47239596.75</v>
      </c>
      <c r="R129">
        <f t="shared" ref="R129" si="622">R130+Q129</f>
        <v>808842324.3848629</v>
      </c>
      <c r="S129">
        <f t="shared" ref="S129" si="623">R129/100000</f>
        <v>8088.4232438486288</v>
      </c>
      <c r="T129">
        <f t="shared" ref="T129" si="624">S129/1000</f>
        <v>8.088423243848629</v>
      </c>
    </row>
    <row r="130" spans="1:20" x14ac:dyDescent="0.25">
      <c r="A130" s="5">
        <v>44463</v>
      </c>
      <c r="B130">
        <v>0.9073</v>
      </c>
      <c r="C130">
        <v>1.22</v>
      </c>
      <c r="D130">
        <v>0.88500000000000001</v>
      </c>
      <c r="E130">
        <v>1.1182000000000001</v>
      </c>
      <c r="F130">
        <v>145388232</v>
      </c>
      <c r="G130">
        <v>1.1182000000000001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0.39223880597014982</v>
      </c>
      <c r="Q130">
        <f t="shared" ref="Q130" si="626">F130*P130</f>
        <v>57026906.52179113</v>
      </c>
      <c r="R130">
        <f t="shared" ref="R130" si="627">R131+Q130</f>
        <v>856081921.1348629</v>
      </c>
      <c r="S130">
        <f t="shared" ref="S130" si="628">R130/100000</f>
        <v>8560.8192113486293</v>
      </c>
      <c r="T130">
        <f t="shared" ref="T130" si="629">S130/1000</f>
        <v>8.5608192113486297</v>
      </c>
    </row>
    <row r="131" spans="1:20" x14ac:dyDescent="0.25">
      <c r="A131" s="5">
        <v>44462</v>
      </c>
      <c r="B131">
        <v>0.83460000000000001</v>
      </c>
      <c r="C131">
        <v>0.91100000000000003</v>
      </c>
      <c r="D131">
        <v>0.79149999999999998</v>
      </c>
      <c r="E131">
        <v>0.90739999999999998</v>
      </c>
      <c r="F131">
        <v>19960144</v>
      </c>
      <c r="G131">
        <v>0.90739999999999998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0.93974895397489466</v>
      </c>
      <c r="Q131">
        <f t="shared" ref="Q131" si="631">F131*P131</f>
        <v>18757524.445188269</v>
      </c>
      <c r="R131">
        <f t="shared" ref="R131" si="632">R132+Q131</f>
        <v>799055014.6130718</v>
      </c>
      <c r="S131">
        <f t="shared" ref="S131" si="633">R131/100000</f>
        <v>7990.5501461307176</v>
      </c>
      <c r="T131">
        <f t="shared" ref="T131" si="634">S131/1000</f>
        <v>7.990550146130718</v>
      </c>
    </row>
    <row r="132" spans="1:20" x14ac:dyDescent="0.25">
      <c r="A132" s="5">
        <v>44461</v>
      </c>
      <c r="B132">
        <v>0.71279999999999999</v>
      </c>
      <c r="C132">
        <v>0.84109999999999996</v>
      </c>
      <c r="D132">
        <v>0.69340000000000002</v>
      </c>
      <c r="E132">
        <v>0.83379999999999999</v>
      </c>
      <c r="F132">
        <v>104951142</v>
      </c>
      <c r="G132">
        <v>0.83379999999999999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0.90115098171970243</v>
      </c>
      <c r="Q132">
        <f t="shared" ref="Q132" si="636">F132*P132</f>
        <v>94576824.6459039</v>
      </c>
      <c r="R132">
        <f t="shared" ref="R132" si="637">R133+Q132</f>
        <v>780297490.16788352</v>
      </c>
      <c r="S132">
        <f t="shared" ref="S132" si="638">R132/100000</f>
        <v>7802.9749016788355</v>
      </c>
      <c r="T132">
        <f t="shared" ref="T132" si="639">S132/1000</f>
        <v>7.8029749016788355</v>
      </c>
    </row>
    <row r="133" spans="1:20" x14ac:dyDescent="0.25">
      <c r="A133" s="5">
        <v>44460</v>
      </c>
      <c r="B133">
        <v>0.75039999999999996</v>
      </c>
      <c r="C133">
        <v>0.85250000000000004</v>
      </c>
      <c r="D133">
        <v>0.6885</v>
      </c>
      <c r="E133">
        <v>0.71240000000000003</v>
      </c>
      <c r="F133">
        <v>33173459</v>
      </c>
      <c r="G133">
        <v>0.71240000000000003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-0.70853658536585329</v>
      </c>
      <c r="Q133">
        <f t="shared" ref="Q133" si="641">F133*P133</f>
        <v>-23504609.364634134</v>
      </c>
      <c r="R133">
        <f t="shared" ref="R133" si="642">R134+Q133</f>
        <v>685720665.52197957</v>
      </c>
      <c r="S133">
        <f t="shared" ref="S133" si="643">R133/100000</f>
        <v>6857.2066552197957</v>
      </c>
      <c r="T133">
        <f t="shared" ref="T133" si="644">S133/1000</f>
        <v>6.8572066552197954</v>
      </c>
    </row>
    <row r="134" spans="1:20" x14ac:dyDescent="0.25">
      <c r="A134" s="5">
        <v>44459</v>
      </c>
      <c r="B134">
        <v>0.8891</v>
      </c>
      <c r="C134">
        <v>0.89419999999999999</v>
      </c>
      <c r="D134">
        <v>0.78690000000000004</v>
      </c>
      <c r="E134">
        <v>0.80179999999999996</v>
      </c>
      <c r="F134">
        <v>14266142</v>
      </c>
      <c r="G134">
        <v>0.80179999999999996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-0.72227399813606863</v>
      </c>
      <c r="Q134">
        <f t="shared" ref="Q134" si="646">F134*P134</f>
        <v>-10304063.42031689</v>
      </c>
      <c r="R134">
        <f t="shared" ref="R134" si="647">R135+Q134</f>
        <v>709225274.88661373</v>
      </c>
      <c r="S134">
        <f t="shared" ref="S134" si="648">R134/100000</f>
        <v>7092.2527488661372</v>
      </c>
      <c r="T134">
        <f t="shared" ref="T134" si="649">S134/1000</f>
        <v>7.0922527488661373</v>
      </c>
    </row>
    <row r="135" spans="1:20" x14ac:dyDescent="0.25">
      <c r="A135" s="5">
        <v>44458</v>
      </c>
      <c r="B135">
        <v>0.97540000000000004</v>
      </c>
      <c r="C135">
        <v>0.9758</v>
      </c>
      <c r="D135">
        <v>0.88590000000000002</v>
      </c>
      <c r="E135">
        <v>0.88880000000000003</v>
      </c>
      <c r="F135">
        <v>16981739</v>
      </c>
      <c r="G135">
        <v>0.88880000000000003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-0.93548387096774166</v>
      </c>
      <c r="Q135">
        <f t="shared" ref="Q135" si="651">F135*P135</f>
        <v>-15886142.935483865</v>
      </c>
      <c r="R135">
        <f t="shared" ref="R135" si="652">R136+Q135</f>
        <v>719529338.30693066</v>
      </c>
      <c r="S135">
        <f t="shared" ref="S135" si="653">R135/100000</f>
        <v>7195.2933830693064</v>
      </c>
      <c r="T135">
        <f t="shared" ref="T135" si="654">S135/1000</f>
        <v>7.1952933830693064</v>
      </c>
    </row>
    <row r="136" spans="1:20" x14ac:dyDescent="0.25">
      <c r="A136" s="5">
        <v>44457</v>
      </c>
      <c r="B136">
        <v>0.94489999999999996</v>
      </c>
      <c r="C136">
        <v>1.1000000000000001</v>
      </c>
      <c r="D136">
        <v>0.92300000000000004</v>
      </c>
      <c r="E136">
        <v>0.97550000000000003</v>
      </c>
      <c r="F136">
        <v>35747603</v>
      </c>
      <c r="G136">
        <v>0.97550000000000003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-0.4067796610169494</v>
      </c>
      <c r="Q136">
        <f t="shared" ref="Q136" si="656">F136*P136</f>
        <v>-14541397.830508484</v>
      </c>
      <c r="R136">
        <f t="shared" ref="R136" si="657">R137+Q136</f>
        <v>735415481.24241447</v>
      </c>
      <c r="S136">
        <f t="shared" ref="S136" si="658">R136/100000</f>
        <v>7354.1548124241444</v>
      </c>
      <c r="T136">
        <f t="shared" ref="T136" si="659">S136/1000</f>
        <v>7.3541548124241443</v>
      </c>
    </row>
    <row r="137" spans="1:20" x14ac:dyDescent="0.25">
      <c r="A137" s="5">
        <v>44456</v>
      </c>
      <c r="B137">
        <v>0.99199999999999999</v>
      </c>
      <c r="C137">
        <v>1.0321</v>
      </c>
      <c r="D137">
        <v>0.91690000000000005</v>
      </c>
      <c r="E137">
        <v>0.94499999999999995</v>
      </c>
      <c r="F137">
        <v>30736968</v>
      </c>
      <c r="G137">
        <v>0.94499999999999995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-0.51215277777777934</v>
      </c>
      <c r="Q137">
        <f t="shared" ref="Q137" si="661">F137*P137</f>
        <v>-15742023.541666714</v>
      </c>
      <c r="R137">
        <f t="shared" ref="R137" si="662">R138+Q137</f>
        <v>749956879.07292295</v>
      </c>
      <c r="S137">
        <f t="shared" ref="S137" si="663">R137/100000</f>
        <v>7499.5687907292295</v>
      </c>
      <c r="T137">
        <f t="shared" ref="T137" si="664">S137/1000</f>
        <v>7.4995687907292297</v>
      </c>
    </row>
    <row r="138" spans="1:20" x14ac:dyDescent="0.25">
      <c r="A138" s="5">
        <v>44455</v>
      </c>
      <c r="B138">
        <v>1.0851999999999999</v>
      </c>
      <c r="C138">
        <v>1.1552</v>
      </c>
      <c r="D138">
        <v>0.96899999999999997</v>
      </c>
      <c r="E138">
        <v>0.9919</v>
      </c>
      <c r="F138">
        <v>68397029</v>
      </c>
      <c r="G138">
        <v>0.9919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-0.75402792696025744</v>
      </c>
      <c r="Q138">
        <f t="shared" ref="Q138" si="666">F138*P138</f>
        <v>-51573269.987110607</v>
      </c>
      <c r="R138">
        <f t="shared" ref="R138" si="667">R139+Q138</f>
        <v>765698902.61458969</v>
      </c>
      <c r="S138">
        <f t="shared" ref="S138" si="668">R138/100000</f>
        <v>7656.9890261458968</v>
      </c>
      <c r="T138">
        <f t="shared" ref="T138" si="669">S138/1000</f>
        <v>7.6569890261458964</v>
      </c>
    </row>
    <row r="139" spans="1:20" x14ac:dyDescent="0.25">
      <c r="A139" s="5">
        <v>44454</v>
      </c>
      <c r="B139">
        <v>0.8226</v>
      </c>
      <c r="C139">
        <v>1.1573</v>
      </c>
      <c r="D139">
        <v>0.81699999999999995</v>
      </c>
      <c r="E139">
        <v>1.0846</v>
      </c>
      <c r="F139">
        <v>132460410.5</v>
      </c>
      <c r="G139">
        <v>1.0846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0.5727299441669117</v>
      </c>
      <c r="Q139">
        <f t="shared" ref="Q139" si="671">F139*P139</f>
        <v>75864043.509991199</v>
      </c>
      <c r="R139">
        <f t="shared" ref="R139" si="672">R140+Q139</f>
        <v>817272172.60170031</v>
      </c>
      <c r="S139">
        <f t="shared" ref="S139" si="673">R139/100000</f>
        <v>8172.7217260170028</v>
      </c>
      <c r="T139">
        <f t="shared" ref="T139" si="674">S139/1000</f>
        <v>8.1727217260170022</v>
      </c>
    </row>
    <row r="140" spans="1:20" x14ac:dyDescent="0.25">
      <c r="A140" s="5">
        <v>44453</v>
      </c>
      <c r="B140">
        <v>0.66759999999999997</v>
      </c>
      <c r="C140">
        <v>0.85</v>
      </c>
      <c r="D140">
        <v>0.65890000000000004</v>
      </c>
      <c r="E140">
        <v>0.8226</v>
      </c>
      <c r="F140">
        <v>27013889</v>
      </c>
      <c r="G140">
        <v>0.8226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0.71323914181057047</v>
      </c>
      <c r="Q140">
        <f t="shared" ref="Q140" si="676">F140*P140</f>
        <v>19267363.007326011</v>
      </c>
      <c r="R140">
        <f t="shared" ref="R140" si="677">R141+Q140</f>
        <v>741408129.09170914</v>
      </c>
      <c r="S140">
        <f t="shared" ref="S140" si="678">R140/100000</f>
        <v>7414.0812909170918</v>
      </c>
      <c r="T140">
        <f t="shared" ref="T140" si="679">S140/1000</f>
        <v>7.4140812909170917</v>
      </c>
    </row>
    <row r="141" spans="1:20" x14ac:dyDescent="0.25">
      <c r="A141" s="5">
        <v>44452</v>
      </c>
      <c r="B141">
        <v>0.72960000000000003</v>
      </c>
      <c r="C141">
        <v>0.73480000000000001</v>
      </c>
      <c r="D141">
        <v>0.62280000000000002</v>
      </c>
      <c r="E141">
        <v>0.66700000000000004</v>
      </c>
      <c r="F141">
        <v>13806414</v>
      </c>
      <c r="G141">
        <v>0.66700000000000004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-0.21071428571428533</v>
      </c>
      <c r="Q141">
        <f t="shared" ref="Q141" si="681">F141*P141</f>
        <v>-2909208.6642857092</v>
      </c>
      <c r="R141">
        <f t="shared" ref="R141" si="682">R142+Q141</f>
        <v>722140766.08438313</v>
      </c>
      <c r="S141">
        <f t="shared" ref="S141" si="683">R141/100000</f>
        <v>7221.4076608438309</v>
      </c>
      <c r="T141">
        <f t="shared" ref="T141" si="684">S141/1000</f>
        <v>7.2214076608438305</v>
      </c>
    </row>
    <row r="142" spans="1:20" x14ac:dyDescent="0.25">
      <c r="A142" s="5">
        <v>44451</v>
      </c>
      <c r="B142">
        <v>0.70399999999999996</v>
      </c>
      <c r="C142">
        <v>0.76990000000000003</v>
      </c>
      <c r="D142">
        <v>0.68310000000000004</v>
      </c>
      <c r="E142">
        <v>0.73060000000000003</v>
      </c>
      <c r="F142">
        <v>14745032</v>
      </c>
      <c r="G142">
        <v>0.73060000000000003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9.447004608294915E-2</v>
      </c>
      <c r="Q142">
        <f t="shared" ref="Q142" si="686">F142*P142</f>
        <v>1392963.8525345598</v>
      </c>
      <c r="R142">
        <f t="shared" ref="R142" si="687">R143+Q142</f>
        <v>725049974.74866879</v>
      </c>
      <c r="S142">
        <f t="shared" ref="S142" si="688">R142/100000</f>
        <v>7250.4997474866877</v>
      </c>
      <c r="T142">
        <f t="shared" ref="T142" si="689">S142/1000</f>
        <v>7.2504997474866881</v>
      </c>
    </row>
    <row r="143" spans="1:20" x14ac:dyDescent="0.25">
      <c r="A143" s="5">
        <v>44450</v>
      </c>
      <c r="B143">
        <v>0.70779999999999998</v>
      </c>
      <c r="C143">
        <v>0.7369</v>
      </c>
      <c r="D143">
        <v>0.69189999999999996</v>
      </c>
      <c r="E143">
        <v>0.70409999999999995</v>
      </c>
      <c r="F143">
        <v>7977187</v>
      </c>
      <c r="G143">
        <v>0.70409999999999995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-0.45777777777777878</v>
      </c>
      <c r="Q143">
        <f t="shared" ref="Q143" si="691">F143*P143</f>
        <v>-3651778.9377777856</v>
      </c>
      <c r="R143">
        <f t="shared" ref="R143" si="692">R144+Q143</f>
        <v>723657010.89613426</v>
      </c>
      <c r="S143">
        <f t="shared" ref="S143" si="693">R143/100000</f>
        <v>7236.5701089613422</v>
      </c>
      <c r="T143">
        <f t="shared" ref="T143" si="694">S143/1000</f>
        <v>7.2365701089613426</v>
      </c>
    </row>
    <row r="144" spans="1:20" x14ac:dyDescent="0.25">
      <c r="A144" s="5">
        <v>44449</v>
      </c>
      <c r="B144">
        <v>0.73019999999999996</v>
      </c>
      <c r="C144">
        <v>0.82120000000000004</v>
      </c>
      <c r="D144">
        <v>0.67720000000000002</v>
      </c>
      <c r="E144">
        <v>0.70799999999999996</v>
      </c>
      <c r="F144">
        <v>26261767</v>
      </c>
      <c r="G144">
        <v>0.70799999999999996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-0.57222222222222308</v>
      </c>
      <c r="Q144">
        <f t="shared" ref="Q144" si="696">F144*P144</f>
        <v>-15027566.672222245</v>
      </c>
      <c r="R144">
        <f t="shared" ref="R144" si="697">R145+Q144</f>
        <v>727308789.83391201</v>
      </c>
      <c r="S144">
        <f t="shared" ref="S144" si="698">R144/100000</f>
        <v>7273.0878983391203</v>
      </c>
      <c r="T144">
        <f t="shared" ref="T144" si="699">S144/1000</f>
        <v>7.2730878983391207</v>
      </c>
    </row>
    <row r="145" spans="1:20" x14ac:dyDescent="0.25">
      <c r="A145" s="5">
        <v>44448</v>
      </c>
      <c r="B145">
        <v>0.66959999999999997</v>
      </c>
      <c r="C145">
        <v>0.76329999999999998</v>
      </c>
      <c r="D145">
        <v>0.65969999999999995</v>
      </c>
      <c r="E145">
        <v>0.72989999999999999</v>
      </c>
      <c r="F145">
        <v>11612538</v>
      </c>
      <c r="G145">
        <v>0.72989999999999999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0.35521235521235567</v>
      </c>
      <c r="Q145">
        <f t="shared" ref="Q145" si="701">F145*P145</f>
        <v>4124916.9729729784</v>
      </c>
      <c r="R145">
        <f t="shared" ref="R145" si="702">R146+Q145</f>
        <v>742336356.50613427</v>
      </c>
      <c r="S145">
        <f t="shared" ref="S145" si="703">R145/100000</f>
        <v>7423.3635650613423</v>
      </c>
      <c r="T145">
        <f t="shared" ref="T145" si="704">S145/1000</f>
        <v>7.4233635650613428</v>
      </c>
    </row>
    <row r="146" spans="1:20" x14ac:dyDescent="0.25">
      <c r="A146" s="5">
        <v>44447</v>
      </c>
      <c r="B146">
        <v>0.67520000000000002</v>
      </c>
      <c r="C146">
        <v>0.70050000000000001</v>
      </c>
      <c r="D146">
        <v>0.61060000000000003</v>
      </c>
      <c r="E146">
        <v>0.67020000000000002</v>
      </c>
      <c r="F146">
        <v>12512908</v>
      </c>
      <c r="G146">
        <v>0.67020000000000002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0.32591768631813123</v>
      </c>
      <c r="Q146">
        <f t="shared" ref="Q146" si="706">F146*P146</f>
        <v>4078178.024471635</v>
      </c>
      <c r="R146">
        <f t="shared" ref="R146" si="707">R147+Q146</f>
        <v>738211439.53316128</v>
      </c>
      <c r="S146">
        <f t="shared" ref="S146" si="708">R146/100000</f>
        <v>7382.1143953316132</v>
      </c>
      <c r="T146">
        <f t="shared" ref="T146" si="709">S146/1000</f>
        <v>7.3821143953316133</v>
      </c>
    </row>
    <row r="147" spans="1:20" x14ac:dyDescent="0.25">
      <c r="A147" s="5">
        <v>44446</v>
      </c>
      <c r="B147">
        <v>0.80449999999999999</v>
      </c>
      <c r="C147">
        <v>0.82589999999999997</v>
      </c>
      <c r="D147">
        <v>0.57899999999999996</v>
      </c>
      <c r="E147">
        <v>0.67520000000000002</v>
      </c>
      <c r="F147">
        <v>28931371</v>
      </c>
      <c r="G147">
        <v>0.67520000000000002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-0.22073714054272936</v>
      </c>
      <c r="Q147">
        <f t="shared" ref="Q147" si="711">F147*P147</f>
        <v>-6386228.1065208446</v>
      </c>
      <c r="R147">
        <f t="shared" ref="R147" si="712">R148+Q147</f>
        <v>734133261.50868964</v>
      </c>
      <c r="S147">
        <f t="shared" ref="S147" si="713">R147/100000</f>
        <v>7341.3326150868961</v>
      </c>
      <c r="T147">
        <f t="shared" ref="T147" si="714">S147/1000</f>
        <v>7.3413326150868965</v>
      </c>
    </row>
    <row r="148" spans="1:20" x14ac:dyDescent="0.25">
      <c r="A148" s="5">
        <v>44445</v>
      </c>
      <c r="B148">
        <v>0.84860000000000002</v>
      </c>
      <c r="C148">
        <v>0.86499999999999999</v>
      </c>
      <c r="D148">
        <v>0.754</v>
      </c>
      <c r="E148">
        <v>0.80400000000000005</v>
      </c>
      <c r="F148">
        <v>13262527</v>
      </c>
      <c r="G148">
        <v>0.80400000000000005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-9.9099099099098198E-2</v>
      </c>
      <c r="Q148">
        <f t="shared" ref="Q148" si="716">F148*P148</f>
        <v>-1314304.4774774655</v>
      </c>
      <c r="R148">
        <f t="shared" ref="R148" si="717">R149+Q148</f>
        <v>740519489.61521053</v>
      </c>
      <c r="S148">
        <f t="shared" ref="S148" si="718">R148/100000</f>
        <v>7405.1948961521057</v>
      </c>
      <c r="T148">
        <f t="shared" ref="T148" si="719">S148/1000</f>
        <v>7.4051948961521052</v>
      </c>
    </row>
    <row r="149" spans="1:20" x14ac:dyDescent="0.25">
      <c r="A149" s="5">
        <v>44444</v>
      </c>
      <c r="B149">
        <v>0.84189999999999998</v>
      </c>
      <c r="C149">
        <v>0.87990000000000002</v>
      </c>
      <c r="D149">
        <v>0.82799999999999996</v>
      </c>
      <c r="E149">
        <v>0.84840000000000004</v>
      </c>
      <c r="F149">
        <v>12255942</v>
      </c>
      <c r="G149">
        <v>0.84840000000000004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-0.21387283236993979</v>
      </c>
      <c r="Q149">
        <f t="shared" ref="Q149" si="721">F149*P149</f>
        <v>-2621213.0289017046</v>
      </c>
      <c r="R149">
        <f t="shared" ref="R149" si="722">R150+Q149</f>
        <v>741833794.09268796</v>
      </c>
      <c r="S149">
        <f t="shared" ref="S149" si="723">R149/100000</f>
        <v>7418.33794092688</v>
      </c>
      <c r="T149">
        <f t="shared" ref="T149" si="724">S149/1000</f>
        <v>7.4183379409268797</v>
      </c>
    </row>
    <row r="150" spans="1:20" x14ac:dyDescent="0.25">
      <c r="A150" s="5">
        <v>44443</v>
      </c>
      <c r="B150">
        <v>0.82179999999999997</v>
      </c>
      <c r="C150">
        <v>0.8669</v>
      </c>
      <c r="D150">
        <v>0.8054</v>
      </c>
      <c r="E150">
        <v>0.84109999999999996</v>
      </c>
      <c r="F150">
        <v>16409496</v>
      </c>
      <c r="G150">
        <v>0.84109999999999996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0.16097560975609609</v>
      </c>
      <c r="Q150">
        <f t="shared" ref="Q150" si="726">F150*P150</f>
        <v>2641528.6243902198</v>
      </c>
      <c r="R150">
        <f t="shared" ref="R150" si="727">R151+Q150</f>
        <v>744455007.12158966</v>
      </c>
      <c r="S150">
        <f t="shared" ref="S150" si="728">R150/100000</f>
        <v>7444.5500712158964</v>
      </c>
      <c r="T150">
        <f t="shared" ref="T150" si="729">S150/1000</f>
        <v>7.4445500712158967</v>
      </c>
    </row>
    <row r="151" spans="1:20" x14ac:dyDescent="0.25">
      <c r="A151" s="5">
        <v>44442</v>
      </c>
      <c r="B151">
        <v>0.80700000000000005</v>
      </c>
      <c r="C151">
        <v>0.86609999999999998</v>
      </c>
      <c r="D151">
        <v>0.78759999999999997</v>
      </c>
      <c r="E151">
        <v>0.82189999999999996</v>
      </c>
      <c r="F151">
        <v>16235238</v>
      </c>
      <c r="G151">
        <v>0.82189999999999996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-0.12611464968152888</v>
      </c>
      <c r="Q151">
        <f t="shared" ref="Q151" si="731">F151*P151</f>
        <v>-2047501.3528662457</v>
      </c>
      <c r="R151">
        <f t="shared" ref="R151" si="732">R152+Q151</f>
        <v>741813478.49719942</v>
      </c>
      <c r="S151">
        <f t="shared" ref="S151" si="733">R151/100000</f>
        <v>7418.1347849719941</v>
      </c>
      <c r="T151">
        <f t="shared" ref="T151" si="734">S151/1000</f>
        <v>7.4181347849719943</v>
      </c>
    </row>
    <row r="152" spans="1:20" x14ac:dyDescent="0.25">
      <c r="A152" s="5">
        <v>44441</v>
      </c>
      <c r="B152">
        <v>0.86960000000000004</v>
      </c>
      <c r="C152">
        <v>0.90990000000000004</v>
      </c>
      <c r="D152">
        <v>0.80559999999999998</v>
      </c>
      <c r="E152">
        <v>0.80720000000000003</v>
      </c>
      <c r="F152">
        <v>29763910.5</v>
      </c>
      <c r="G152">
        <v>0.80720000000000003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-0.96931927133269324</v>
      </c>
      <c r="Q152">
        <f t="shared" ref="Q152" si="736">F152*P152</f>
        <v>-28850732.037871499</v>
      </c>
      <c r="R152">
        <f t="shared" ref="R152" si="737">R153+Q152</f>
        <v>743860979.85006571</v>
      </c>
      <c r="S152">
        <f t="shared" ref="S152" si="738">R152/100000</f>
        <v>7438.6097985006572</v>
      </c>
      <c r="T152">
        <f t="shared" ref="T152" si="739">S152/1000</f>
        <v>7.4386097985006572</v>
      </c>
    </row>
    <row r="153" spans="1:20" x14ac:dyDescent="0.25">
      <c r="A153" s="5">
        <v>44440</v>
      </c>
      <c r="B153">
        <v>0.7591</v>
      </c>
      <c r="C153">
        <v>0.87</v>
      </c>
      <c r="D153">
        <v>0.71599999999999997</v>
      </c>
      <c r="E153">
        <v>0.87</v>
      </c>
      <c r="F153">
        <v>29327071.699999999</v>
      </c>
      <c r="G153">
        <v>0.87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1</v>
      </c>
      <c r="Q153">
        <f t="shared" ref="Q153" si="741">F153*P153</f>
        <v>29327071.699999999</v>
      </c>
      <c r="R153">
        <f t="shared" ref="R153" si="742">R154+Q153</f>
        <v>772711711.88793719</v>
      </c>
      <c r="S153">
        <f t="shared" ref="S153" si="743">R153/100000</f>
        <v>7727.1171188793714</v>
      </c>
      <c r="T153">
        <f t="shared" ref="T153" si="744">S153/1000</f>
        <v>7.727117118879371</v>
      </c>
    </row>
    <row r="154" spans="1:20" x14ac:dyDescent="0.25">
      <c r="A154" s="5">
        <v>44439</v>
      </c>
      <c r="B154">
        <v>0.64539999999999997</v>
      </c>
      <c r="C154">
        <v>0.80489999999999995</v>
      </c>
      <c r="D154">
        <v>0.63449999999999995</v>
      </c>
      <c r="E154">
        <v>0.75890000000000002</v>
      </c>
      <c r="F154">
        <v>41357134.700000003</v>
      </c>
      <c r="G154">
        <v>0.75890000000000002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0.46009389671361584</v>
      </c>
      <c r="Q154">
        <f t="shared" ref="Q154" si="746">F154*P154</f>
        <v>19028165.261032898</v>
      </c>
      <c r="R154">
        <f t="shared" ref="R154" si="747">R155+Q154</f>
        <v>743384640.18793714</v>
      </c>
      <c r="S154">
        <f t="shared" ref="S154" si="748">R154/100000</f>
        <v>7433.8464018793711</v>
      </c>
      <c r="T154">
        <f t="shared" ref="T154" si="749">S154/1000</f>
        <v>7.4338464018793715</v>
      </c>
    </row>
    <row r="155" spans="1:20" x14ac:dyDescent="0.25">
      <c r="A155" s="5">
        <v>44438</v>
      </c>
      <c r="B155">
        <v>0.6663</v>
      </c>
      <c r="C155">
        <v>0.70660000000000001</v>
      </c>
      <c r="D155">
        <v>0.63739999999999997</v>
      </c>
      <c r="E155">
        <v>0.6452</v>
      </c>
      <c r="F155">
        <v>18373129</v>
      </c>
      <c r="G155">
        <v>0.6452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-0.77456647398843859</v>
      </c>
      <c r="Q155">
        <f t="shared" ref="Q155" si="751">F155*P155</f>
        <v>-14231209.745664727</v>
      </c>
      <c r="R155">
        <f t="shared" ref="R155" si="752">R156+Q155</f>
        <v>724356474.9269042</v>
      </c>
      <c r="S155">
        <f t="shared" ref="S155" si="753">R155/100000</f>
        <v>7243.5647492690423</v>
      </c>
      <c r="T155">
        <f t="shared" ref="T155" si="754">S155/1000</f>
        <v>7.2435647492690425</v>
      </c>
    </row>
    <row r="156" spans="1:20" x14ac:dyDescent="0.25">
      <c r="A156" s="5">
        <v>44437</v>
      </c>
      <c r="B156">
        <v>0.60580000000000001</v>
      </c>
      <c r="C156">
        <v>0.70389999999999997</v>
      </c>
      <c r="D156">
        <v>0.58169999999999999</v>
      </c>
      <c r="E156">
        <v>0.6663</v>
      </c>
      <c r="F156">
        <v>35783011</v>
      </c>
      <c r="G156">
        <v>0.6663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0.38461538461538503</v>
      </c>
      <c r="Q156">
        <f t="shared" ref="Q156" si="756">F156*P156</f>
        <v>13762696.538461553</v>
      </c>
      <c r="R156">
        <f t="shared" ref="R156" si="757">R157+Q156</f>
        <v>738587684.67256892</v>
      </c>
      <c r="S156">
        <f t="shared" ref="S156" si="758">R156/100000</f>
        <v>7385.8768467256896</v>
      </c>
      <c r="T156">
        <f t="shared" ref="T156" si="759">S156/1000</f>
        <v>7.3858768467256892</v>
      </c>
    </row>
    <row r="157" spans="1:20" x14ac:dyDescent="0.25">
      <c r="A157" s="5">
        <v>44436</v>
      </c>
      <c r="B157">
        <v>0.61409999999999998</v>
      </c>
      <c r="C157">
        <v>0.62339999999999995</v>
      </c>
      <c r="D157">
        <v>0.59279999999999999</v>
      </c>
      <c r="E157">
        <v>0.60570000000000002</v>
      </c>
      <c r="F157">
        <v>9961757.5</v>
      </c>
      <c r="G157">
        <v>0.60570000000000002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-0.15686274509803666</v>
      </c>
      <c r="Q157">
        <f t="shared" ref="Q157" si="761">F157*P157</f>
        <v>-1562628.6274509549</v>
      </c>
      <c r="R157">
        <f t="shared" ref="R157" si="762">R158+Q157</f>
        <v>724824988.13410735</v>
      </c>
      <c r="S157">
        <f t="shared" ref="S157" si="763">R157/100000</f>
        <v>7248.2498813410739</v>
      </c>
      <c r="T157">
        <f t="shared" ref="T157" si="764">S157/1000</f>
        <v>7.2482498813410743</v>
      </c>
    </row>
    <row r="158" spans="1:20" x14ac:dyDescent="0.25">
      <c r="A158" s="5">
        <v>44435</v>
      </c>
      <c r="B158">
        <v>0.54059999999999997</v>
      </c>
      <c r="C158">
        <v>0.61880000000000002</v>
      </c>
      <c r="D158">
        <v>0.52090000000000003</v>
      </c>
      <c r="E158">
        <v>0.6139</v>
      </c>
      <c r="F158">
        <v>15426716.5</v>
      </c>
      <c r="G158">
        <v>0.6139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0.8998978549540344</v>
      </c>
      <c r="Q158">
        <f t="shared" ref="Q158" si="766">F158*P158</f>
        <v>13882469.087334009</v>
      </c>
      <c r="R158">
        <f t="shared" ref="R158" si="767">R159+Q158</f>
        <v>726387616.76155829</v>
      </c>
      <c r="S158">
        <f t="shared" ref="S158" si="768">R158/100000</f>
        <v>7263.8761676155827</v>
      </c>
      <c r="T158">
        <f t="shared" ref="T158" si="769">S158/1000</f>
        <v>7.2638761676155825</v>
      </c>
    </row>
    <row r="159" spans="1:20" x14ac:dyDescent="0.25">
      <c r="A159" s="5">
        <v>44434</v>
      </c>
      <c r="B159">
        <v>0.58794000000000002</v>
      </c>
      <c r="C159">
        <v>0.59840000000000004</v>
      </c>
      <c r="D159">
        <v>0.53410000000000002</v>
      </c>
      <c r="E159">
        <v>0.54090000000000005</v>
      </c>
      <c r="F159">
        <v>11597531.5</v>
      </c>
      <c r="G159">
        <v>0.54090000000000005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-0.78849144634525581</v>
      </c>
      <c r="Q159">
        <f t="shared" ref="Q159" si="771">F159*P159</f>
        <v>-9144554.3864696641</v>
      </c>
      <c r="R159">
        <f t="shared" ref="R159" si="772">R160+Q159</f>
        <v>712505147.67422426</v>
      </c>
      <c r="S159">
        <f t="shared" ref="S159" si="773">R159/100000</f>
        <v>7125.0514767422428</v>
      </c>
      <c r="T159">
        <f t="shared" ref="T159" si="774">S159/1000</f>
        <v>7.125051476742243</v>
      </c>
    </row>
    <row r="160" spans="1:20" x14ac:dyDescent="0.25">
      <c r="A160" s="5">
        <v>44433</v>
      </c>
      <c r="B160">
        <v>0.60885</v>
      </c>
      <c r="C160">
        <v>0.61541000000000001</v>
      </c>
      <c r="D160">
        <v>0.56137000000000004</v>
      </c>
      <c r="E160">
        <v>0.58779000000000003</v>
      </c>
      <c r="F160">
        <v>16167641.6</v>
      </c>
      <c r="G160">
        <v>0.58779000000000003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-2.2205773501109909E-2</v>
      </c>
      <c r="Q160">
        <f t="shared" ref="Q160" si="776">F160*P160</f>
        <v>-359014.98741672217</v>
      </c>
      <c r="R160">
        <f t="shared" ref="R160" si="777">R161+Q160</f>
        <v>721649702.06069398</v>
      </c>
      <c r="S160">
        <f t="shared" ref="S160" si="778">R160/100000</f>
        <v>7216.4970206069402</v>
      </c>
      <c r="T160">
        <f t="shared" ref="T160" si="779">S160/1000</f>
        <v>7.2164970206069405</v>
      </c>
    </row>
    <row r="161" spans="1:20" x14ac:dyDescent="0.25">
      <c r="A161" s="5">
        <v>44432</v>
      </c>
      <c r="B161">
        <v>0.65449000000000002</v>
      </c>
      <c r="C161">
        <v>0.65461000000000003</v>
      </c>
      <c r="D161">
        <v>0.56928000000000001</v>
      </c>
      <c r="E161">
        <v>0.60836000000000001</v>
      </c>
      <c r="F161">
        <v>16905624.5</v>
      </c>
      <c r="G161">
        <v>0.60836000000000001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-8.4026719793742044E-2</v>
      </c>
      <c r="Q161">
        <f t="shared" ref="Q161" si="781">F161*P161</f>
        <v>-1420524.1727997204</v>
      </c>
      <c r="R161">
        <f t="shared" ref="R161" si="782">R162+Q161</f>
        <v>722008717.04811072</v>
      </c>
      <c r="S161">
        <f t="shared" ref="S161" si="783">R161/100000</f>
        <v>7220.087170481107</v>
      </c>
      <c r="T161">
        <f t="shared" ref="T161" si="784">S161/1000</f>
        <v>7.2200871704811069</v>
      </c>
    </row>
    <row r="162" spans="1:20" x14ac:dyDescent="0.25">
      <c r="A162" s="5">
        <v>44431</v>
      </c>
      <c r="B162">
        <v>0.61199999999999999</v>
      </c>
      <c r="C162">
        <v>0.66666000000000003</v>
      </c>
      <c r="D162">
        <v>0.60748000000000002</v>
      </c>
      <c r="E162">
        <v>0.65329999999999999</v>
      </c>
      <c r="F162">
        <v>15481458.199999999</v>
      </c>
      <c r="G162">
        <v>0.65329999999999999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0.54849611355187444</v>
      </c>
      <c r="Q162">
        <f t="shared" ref="Q162" si="786">F162*P162</f>
        <v>8491519.6548157968</v>
      </c>
      <c r="R162">
        <f t="shared" ref="R162" si="787">R163+Q162</f>
        <v>723429241.22091043</v>
      </c>
      <c r="S162">
        <f t="shared" ref="S162" si="788">R162/100000</f>
        <v>7234.2924122091044</v>
      </c>
      <c r="T162">
        <f t="shared" ref="T162" si="789">S162/1000</f>
        <v>7.2342924122091041</v>
      </c>
    </row>
    <row r="163" spans="1:20" x14ac:dyDescent="0.25">
      <c r="A163" s="5">
        <v>44430</v>
      </c>
      <c r="B163">
        <v>0.60560000000000003</v>
      </c>
      <c r="C163">
        <v>0.62134999999999996</v>
      </c>
      <c r="D163">
        <v>0.60443000000000002</v>
      </c>
      <c r="E163">
        <v>0.61648999999999998</v>
      </c>
      <c r="F163">
        <v>2605595.6</v>
      </c>
      <c r="G163">
        <v>0.61648999999999998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0.42553191489361775</v>
      </c>
      <c r="Q163">
        <f t="shared" ref="Q163" si="791">F163*P163</f>
        <v>1108764.0851063849</v>
      </c>
      <c r="R163">
        <f t="shared" ref="R163" si="792">R164+Q163</f>
        <v>714937721.56609464</v>
      </c>
      <c r="S163">
        <f t="shared" ref="S163" si="793">R163/100000</f>
        <v>7149.3772156609466</v>
      </c>
      <c r="T163">
        <f t="shared" ref="T163" si="794">S163/1000</f>
        <v>7.1493772156609463</v>
      </c>
    </row>
    <row r="164" spans="1:20" x14ac:dyDescent="0.25">
      <c r="A164" s="5">
        <v>44429</v>
      </c>
      <c r="B164">
        <v>0.64380000000000004</v>
      </c>
      <c r="C164">
        <v>0.64998</v>
      </c>
      <c r="D164">
        <v>0.60126000000000002</v>
      </c>
      <c r="E164">
        <v>0.60501000000000005</v>
      </c>
      <c r="F164">
        <v>14188207.4</v>
      </c>
      <c r="G164">
        <v>0.60501000000000005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-0.84605911330049133</v>
      </c>
      <c r="Q164">
        <f t="shared" ref="Q164" si="796">F164*P164</f>
        <v>-12004062.172167471</v>
      </c>
      <c r="R164">
        <f t="shared" ref="R164" si="797">R165+Q164</f>
        <v>713828957.48098826</v>
      </c>
      <c r="S164">
        <f t="shared" ref="S164" si="798">R164/100000</f>
        <v>7138.2895748098827</v>
      </c>
      <c r="T164">
        <f t="shared" ref="T164" si="799">S164/1000</f>
        <v>7.1382895748098827</v>
      </c>
    </row>
    <row r="165" spans="1:20" x14ac:dyDescent="0.25">
      <c r="A165" s="5">
        <v>44428</v>
      </c>
      <c r="B165">
        <v>0.57032000000000005</v>
      </c>
      <c r="C165">
        <v>0.64385999999999999</v>
      </c>
      <c r="D165">
        <v>0.56820000000000004</v>
      </c>
      <c r="E165">
        <v>0.64380000000000004</v>
      </c>
      <c r="F165">
        <v>23300659.699999999</v>
      </c>
      <c r="G165">
        <v>0.64380000000000004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0.99841395717684511</v>
      </c>
      <c r="Q165">
        <f t="shared" ref="Q165" si="801">F165*P165</f>
        <v>23263703.85590804</v>
      </c>
      <c r="R165">
        <f t="shared" ref="R165" si="802">R166+Q165</f>
        <v>725833019.65315568</v>
      </c>
      <c r="S165">
        <f t="shared" ref="S165" si="803">R165/100000</f>
        <v>7258.3301965315568</v>
      </c>
      <c r="T165">
        <f t="shared" ref="T165" si="804">S165/1000</f>
        <v>7.2583301965315572</v>
      </c>
    </row>
    <row r="166" spans="1:20" x14ac:dyDescent="0.25">
      <c r="A166" s="5">
        <v>44427</v>
      </c>
      <c r="B166">
        <v>0.55298999999999998</v>
      </c>
      <c r="C166">
        <v>0.57177999999999995</v>
      </c>
      <c r="D166">
        <v>0.53359000000000001</v>
      </c>
      <c r="E166">
        <v>0.56916</v>
      </c>
      <c r="F166">
        <v>23661721</v>
      </c>
      <c r="G166">
        <v>0.56916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0.86279130662477299</v>
      </c>
      <c r="Q166">
        <f t="shared" ref="Q166" si="806">F166*P166</f>
        <v>20415127.178580832</v>
      </c>
      <c r="R166">
        <f t="shared" ref="R166" si="807">R167+Q166</f>
        <v>702569315.79724765</v>
      </c>
      <c r="S166">
        <f t="shared" ref="S166" si="808">R166/100000</f>
        <v>7025.6931579724769</v>
      </c>
      <c r="T166">
        <f t="shared" ref="T166" si="809">S166/1000</f>
        <v>7.0256931579724773</v>
      </c>
    </row>
    <row r="167" spans="1:20" x14ac:dyDescent="0.25">
      <c r="A167" s="5">
        <v>44426</v>
      </c>
      <c r="B167">
        <v>0.59060000000000001</v>
      </c>
      <c r="C167">
        <v>0.61726999999999999</v>
      </c>
      <c r="D167">
        <v>0.54254999999999998</v>
      </c>
      <c r="E167">
        <v>0.55223</v>
      </c>
      <c r="F167">
        <v>38696468.799999997</v>
      </c>
      <c r="G167">
        <v>0.55223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-0.74089935760171255</v>
      </c>
      <c r="Q167">
        <f t="shared" ref="Q167" si="811">F167*P167</f>
        <v>-28670188.875374712</v>
      </c>
      <c r="R167">
        <f t="shared" ref="R167" si="812">R168+Q167</f>
        <v>682154188.61866677</v>
      </c>
      <c r="S167">
        <f t="shared" ref="S167" si="813">R167/100000</f>
        <v>6821.5418861866674</v>
      </c>
      <c r="T167">
        <f t="shared" ref="T167" si="814">S167/1000</f>
        <v>6.821541886186667</v>
      </c>
    </row>
    <row r="168" spans="1:20" x14ac:dyDescent="0.25">
      <c r="A168" s="5">
        <v>44425</v>
      </c>
      <c r="B168">
        <v>0.50190999999999997</v>
      </c>
      <c r="C168">
        <v>0.62</v>
      </c>
      <c r="D168">
        <v>0.5</v>
      </c>
      <c r="E168">
        <v>0.59004000000000001</v>
      </c>
      <c r="F168">
        <v>72470783.099999994</v>
      </c>
      <c r="G168">
        <v>0.59004000000000001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0.50066666666666682</v>
      </c>
      <c r="Q168">
        <f t="shared" ref="Q168" si="816">F168*P168</f>
        <v>36283705.405400008</v>
      </c>
      <c r="R168">
        <f t="shared" ref="R168" si="817">R169+Q168</f>
        <v>710824377.49404144</v>
      </c>
      <c r="S168">
        <f t="shared" ref="S168" si="818">R168/100000</f>
        <v>7108.2437749404144</v>
      </c>
      <c r="T168">
        <f t="shared" ref="T168" si="819">S168/1000</f>
        <v>7.1082437749404139</v>
      </c>
    </row>
    <row r="169" spans="1:20" x14ac:dyDescent="0.25">
      <c r="A169" s="5">
        <v>44424</v>
      </c>
      <c r="B169">
        <v>0.51449</v>
      </c>
      <c r="C169">
        <v>0.54498999999999997</v>
      </c>
      <c r="D169">
        <v>0.49630999999999997</v>
      </c>
      <c r="E169">
        <v>0.50202000000000002</v>
      </c>
      <c r="F169">
        <v>17621093.199999999</v>
      </c>
      <c r="G169">
        <v>0.50202000000000002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-0.76540673788003089</v>
      </c>
      <c r="Q169">
        <f t="shared" ref="Q169" si="821">F169*P169</f>
        <v>-13487303.464091994</v>
      </c>
      <c r="R169">
        <f t="shared" ref="R169" si="822">R170+Q169</f>
        <v>674540672.08864141</v>
      </c>
      <c r="S169">
        <f t="shared" ref="S169" si="823">R169/100000</f>
        <v>6745.4067208864144</v>
      </c>
      <c r="T169">
        <f t="shared" ref="T169" si="824">S169/1000</f>
        <v>6.7454067208864146</v>
      </c>
    </row>
    <row r="170" spans="1:20" x14ac:dyDescent="0.25">
      <c r="A170" s="5">
        <v>44423</v>
      </c>
      <c r="B170">
        <v>0.52283999999999997</v>
      </c>
      <c r="C170">
        <v>0.53574999999999995</v>
      </c>
      <c r="D170">
        <v>0.48809000000000002</v>
      </c>
      <c r="E170">
        <v>0.51419000000000004</v>
      </c>
      <c r="F170">
        <v>15780079.4</v>
      </c>
      <c r="G170">
        <v>0.51419000000000004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9.5258078052876768E-2</v>
      </c>
      <c r="Q170">
        <f t="shared" ref="Q170" si="826">F170*P170</f>
        <v>1503180.0351657928</v>
      </c>
      <c r="R170">
        <f t="shared" ref="R170" si="827">R171+Q170</f>
        <v>688027975.55273342</v>
      </c>
      <c r="S170">
        <f t="shared" ref="S170" si="828">R170/100000</f>
        <v>6880.2797555273346</v>
      </c>
      <c r="T170">
        <f t="shared" ref="T170" si="829">S170/1000</f>
        <v>6.8802797555273347</v>
      </c>
    </row>
    <row r="171" spans="1:20" x14ac:dyDescent="0.25">
      <c r="A171" s="5">
        <v>44422</v>
      </c>
      <c r="B171">
        <v>0.52100999999999997</v>
      </c>
      <c r="C171">
        <v>0.52947</v>
      </c>
      <c r="D171">
        <v>0.49252000000000001</v>
      </c>
      <c r="E171">
        <v>0.52320999999999995</v>
      </c>
      <c r="F171">
        <v>12383090.199999999</v>
      </c>
      <c r="G171">
        <v>0.52320999999999995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0.66116373477672286</v>
      </c>
      <c r="Q171">
        <f t="shared" ref="Q171" si="831">F171*P171</f>
        <v>8187250.1647090353</v>
      </c>
      <c r="R171">
        <f t="shared" ref="R171" si="832">R172+Q171</f>
        <v>686524795.51756763</v>
      </c>
      <c r="S171">
        <f t="shared" ref="S171" si="833">R171/100000</f>
        <v>6865.247955175676</v>
      </c>
      <c r="T171">
        <f t="shared" ref="T171" si="834">S171/1000</f>
        <v>6.8652479551756764</v>
      </c>
    </row>
    <row r="172" spans="1:20" x14ac:dyDescent="0.25">
      <c r="A172" s="5">
        <v>44421</v>
      </c>
      <c r="B172">
        <v>0.47552</v>
      </c>
      <c r="C172">
        <v>0.52493000000000001</v>
      </c>
      <c r="D172">
        <v>0.46600000000000003</v>
      </c>
      <c r="E172">
        <v>0.52080000000000004</v>
      </c>
      <c r="F172">
        <v>13439731.199999999</v>
      </c>
      <c r="G172">
        <v>0.52080000000000004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0.85983370100118894</v>
      </c>
      <c r="Q172">
        <f t="shared" ref="Q172" si="836">F172*P172</f>
        <v>11555933.818157149</v>
      </c>
      <c r="R172">
        <f t="shared" ref="R172" si="837">R173+Q172</f>
        <v>678337545.35285854</v>
      </c>
      <c r="S172">
        <f t="shared" ref="S172" si="838">R172/100000</f>
        <v>6783.3754535285852</v>
      </c>
      <c r="T172">
        <f t="shared" ref="T172" si="839">S172/1000</f>
        <v>6.7833754535285848</v>
      </c>
    </row>
    <row r="173" spans="1:20" x14ac:dyDescent="0.25">
      <c r="A173" s="5">
        <v>44420</v>
      </c>
      <c r="B173">
        <v>0.50116000000000005</v>
      </c>
      <c r="C173">
        <v>0.53090999999999999</v>
      </c>
      <c r="D173">
        <v>0.45599000000000001</v>
      </c>
      <c r="E173">
        <v>0.47585</v>
      </c>
      <c r="F173">
        <v>23268889.300000001</v>
      </c>
      <c r="G173">
        <v>0.47585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-0.46983449012279788</v>
      </c>
      <c r="Q173">
        <f t="shared" ref="Q173" si="841">F173*P173</f>
        <v>-10932526.739989327</v>
      </c>
      <c r="R173">
        <f t="shared" ref="R173" si="842">R174+Q173</f>
        <v>666781611.53470135</v>
      </c>
      <c r="S173">
        <f t="shared" ref="S173" si="843">R173/100000</f>
        <v>6667.8161153470137</v>
      </c>
      <c r="T173">
        <f t="shared" ref="T173" si="844">S173/1000</f>
        <v>6.6678161153470139</v>
      </c>
    </row>
    <row r="174" spans="1:20" x14ac:dyDescent="0.25">
      <c r="A174" s="5">
        <v>44419</v>
      </c>
      <c r="B174">
        <v>0.47406999999999999</v>
      </c>
      <c r="C174">
        <v>0.52717999999999998</v>
      </c>
      <c r="D174">
        <v>0.47066999999999998</v>
      </c>
      <c r="E174">
        <v>0.50124999999999997</v>
      </c>
      <c r="F174">
        <v>23496279.699999999</v>
      </c>
      <c r="G174">
        <v>0.50124999999999997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8.2286321005131613E-2</v>
      </c>
      <c r="Q174">
        <f t="shared" ref="Q174" si="846">F174*P174</f>
        <v>1933422.4138205575</v>
      </c>
      <c r="R174">
        <f t="shared" ref="R174" si="847">R175+Q174</f>
        <v>677714138.27469063</v>
      </c>
      <c r="S174">
        <f t="shared" ref="S174" si="848">R174/100000</f>
        <v>6777.1413827469059</v>
      </c>
      <c r="T174">
        <f t="shared" ref="T174" si="849">S174/1000</f>
        <v>6.7771413827469056</v>
      </c>
    </row>
    <row r="175" spans="1:20" x14ac:dyDescent="0.25">
      <c r="A175" s="5">
        <v>44418</v>
      </c>
      <c r="B175">
        <v>0.44964999999999999</v>
      </c>
      <c r="C175">
        <v>0.47659000000000001</v>
      </c>
      <c r="D175">
        <v>0.43863000000000002</v>
      </c>
      <c r="E175">
        <v>0.47321999999999997</v>
      </c>
      <c r="F175">
        <v>16922023.300000001</v>
      </c>
      <c r="G175">
        <v>0.47321999999999997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0.82244467860906001</v>
      </c>
      <c r="Q175">
        <f t="shared" ref="Q175" si="851">F175*P175</f>
        <v>13917428.014383527</v>
      </c>
      <c r="R175">
        <f t="shared" ref="R175" si="852">R176+Q175</f>
        <v>675780715.86087012</v>
      </c>
      <c r="S175">
        <f t="shared" ref="S175" si="853">R175/100000</f>
        <v>6757.8071586087008</v>
      </c>
      <c r="T175">
        <f t="shared" ref="T175" si="854">S175/1000</f>
        <v>6.757807158608701</v>
      </c>
    </row>
    <row r="176" spans="1:20" x14ac:dyDescent="0.25">
      <c r="A176" s="5">
        <v>44417</v>
      </c>
      <c r="B176">
        <v>0.42414000000000002</v>
      </c>
      <c r="C176">
        <v>0.45156000000000002</v>
      </c>
      <c r="D176">
        <v>0.40954000000000002</v>
      </c>
      <c r="E176">
        <v>0.44956000000000002</v>
      </c>
      <c r="F176">
        <v>13936695.9</v>
      </c>
      <c r="G176">
        <v>0.44956000000000002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0.90480723465016655</v>
      </c>
      <c r="Q176">
        <f t="shared" ref="Q176" si="856">F176*P176</f>
        <v>12610023.277439315</v>
      </c>
      <c r="R176">
        <f t="shared" ref="R176" si="857">R177+Q176</f>
        <v>661863287.84648657</v>
      </c>
      <c r="S176">
        <f t="shared" ref="S176" si="858">R176/100000</f>
        <v>6618.6328784648658</v>
      </c>
      <c r="T176">
        <f t="shared" ref="T176" si="859">S176/1000</f>
        <v>6.618632878464866</v>
      </c>
    </row>
    <row r="177" spans="1:20" x14ac:dyDescent="0.25">
      <c r="A177" s="5">
        <v>44416</v>
      </c>
      <c r="B177">
        <v>0.47091</v>
      </c>
      <c r="C177">
        <v>0.47377000000000002</v>
      </c>
      <c r="D177">
        <v>0.42266999999999999</v>
      </c>
      <c r="E177">
        <v>0.42441000000000001</v>
      </c>
      <c r="F177">
        <v>13080170.1</v>
      </c>
      <c r="G177">
        <v>0.42441000000000001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-0.93189823874755306</v>
      </c>
      <c r="Q177">
        <f t="shared" ref="Q177" si="861">F177*P177</f>
        <v>-12189387.478708405</v>
      </c>
      <c r="R177">
        <f t="shared" ref="R177" si="862">R178+Q177</f>
        <v>649253264.56904721</v>
      </c>
      <c r="S177">
        <f t="shared" ref="S177" si="863">R177/100000</f>
        <v>6492.5326456904722</v>
      </c>
      <c r="T177">
        <f t="shared" ref="T177" si="864">S177/1000</f>
        <v>6.4925326456904724</v>
      </c>
    </row>
    <row r="178" spans="1:20" x14ac:dyDescent="0.25">
      <c r="A178" s="5">
        <v>44415</v>
      </c>
      <c r="B178">
        <v>0.4461</v>
      </c>
      <c r="C178">
        <v>0.47499999999999998</v>
      </c>
      <c r="D178">
        <v>0.43668000000000001</v>
      </c>
      <c r="E178">
        <v>0.46995999999999999</v>
      </c>
      <c r="F178">
        <v>20209284.100000001</v>
      </c>
      <c r="G178">
        <v>0.46995999999999999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0.73695198329853895</v>
      </c>
      <c r="Q178">
        <f t="shared" ref="Q178" si="866">F178*P178</f>
        <v>14893271.99853863</v>
      </c>
      <c r="R178">
        <f t="shared" ref="R178" si="867">R179+Q178</f>
        <v>661442652.0477556</v>
      </c>
      <c r="S178">
        <f t="shared" ref="S178" si="868">R178/100000</f>
        <v>6614.4265204775556</v>
      </c>
      <c r="T178">
        <f t="shared" ref="T178" si="869">S178/1000</f>
        <v>6.6144265204775561</v>
      </c>
    </row>
    <row r="179" spans="1:20" x14ac:dyDescent="0.25">
      <c r="A179" s="5">
        <v>44414</v>
      </c>
      <c r="B179">
        <v>0.43153999999999998</v>
      </c>
      <c r="C179">
        <v>0.45588000000000001</v>
      </c>
      <c r="D179">
        <v>0.42099999999999999</v>
      </c>
      <c r="E179">
        <v>0.44607999999999998</v>
      </c>
      <c r="F179">
        <v>14269958.9</v>
      </c>
      <c r="G179">
        <v>0.44607999999999998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0.43807339449541144</v>
      </c>
      <c r="Q179">
        <f t="shared" ref="Q179" si="871">F179*P179</f>
        <v>6251289.3346330076</v>
      </c>
      <c r="R179">
        <f t="shared" ref="R179" si="872">R180+Q179</f>
        <v>646549380.04921699</v>
      </c>
      <c r="S179">
        <f t="shared" ref="S179" si="873">R179/100000</f>
        <v>6465.4938004921696</v>
      </c>
      <c r="T179">
        <f t="shared" ref="T179" si="874">S179/1000</f>
        <v>6.4654938004921698</v>
      </c>
    </row>
    <row r="180" spans="1:20" x14ac:dyDescent="0.25">
      <c r="A180" s="5">
        <v>44413</v>
      </c>
      <c r="B180">
        <v>0.42867</v>
      </c>
      <c r="C180">
        <v>0.44061</v>
      </c>
      <c r="D180">
        <v>0.40755999999999998</v>
      </c>
      <c r="E180">
        <v>0.43195</v>
      </c>
      <c r="F180">
        <v>14247521.1</v>
      </c>
      <c r="G180">
        <v>0.43195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0.47594553706505327</v>
      </c>
      <c r="Q180">
        <f t="shared" ref="Q180" si="876">F180*P180</f>
        <v>6781044.0817851787</v>
      </c>
      <c r="R180">
        <f t="shared" ref="R180" si="877">R181+Q180</f>
        <v>640298090.71458399</v>
      </c>
      <c r="S180">
        <f t="shared" ref="S180" si="878">R180/100000</f>
        <v>6402.9809071458403</v>
      </c>
      <c r="T180">
        <f t="shared" ref="T180" si="879">S180/1000</f>
        <v>6.4029809071458406</v>
      </c>
    </row>
    <row r="181" spans="1:20" x14ac:dyDescent="0.25">
      <c r="A181" s="5">
        <v>44412</v>
      </c>
      <c r="B181">
        <v>0.42544999999999999</v>
      </c>
      <c r="C181">
        <v>0.44</v>
      </c>
      <c r="D181">
        <v>0.40921999999999997</v>
      </c>
      <c r="E181">
        <v>0.42849999999999999</v>
      </c>
      <c r="F181">
        <v>7605873.2999999998</v>
      </c>
      <c r="G181">
        <v>0.42849999999999999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0.25276153346328789</v>
      </c>
      <c r="Q181">
        <f t="shared" ref="Q181" si="881">F181*P181</f>
        <v>1922472.1986354778</v>
      </c>
      <c r="R181">
        <f t="shared" ref="R181" si="882">R182+Q181</f>
        <v>633517046.63279879</v>
      </c>
      <c r="S181">
        <f t="shared" ref="S181" si="883">R181/100000</f>
        <v>6335.1704663279879</v>
      </c>
      <c r="T181">
        <f t="shared" ref="T181" si="884">S181/1000</f>
        <v>6.3351704663279875</v>
      </c>
    </row>
    <row r="182" spans="1:20" x14ac:dyDescent="0.25">
      <c r="A182" s="5">
        <v>44411</v>
      </c>
      <c r="B182">
        <v>0.43454999999999999</v>
      </c>
      <c r="C182">
        <v>0.43734000000000001</v>
      </c>
      <c r="D182">
        <v>0.40438000000000002</v>
      </c>
      <c r="E182">
        <v>0.42482999999999999</v>
      </c>
      <c r="F182">
        <v>8384600.5</v>
      </c>
      <c r="G182">
        <v>0.42482999999999999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0.24089805825242566</v>
      </c>
      <c r="Q182">
        <f t="shared" ref="Q182" si="886">F182*P182</f>
        <v>2019833.9796723174</v>
      </c>
      <c r="R182">
        <f t="shared" ref="R182" si="887">R183+Q182</f>
        <v>631594574.43416333</v>
      </c>
      <c r="S182">
        <f t="shared" ref="S182" si="888">R182/100000</f>
        <v>6315.9457443416331</v>
      </c>
      <c r="T182">
        <f t="shared" ref="T182" si="889">S182/1000</f>
        <v>6.3159457443416329</v>
      </c>
    </row>
    <row r="183" spans="1:20" x14ac:dyDescent="0.25">
      <c r="A183" s="5">
        <v>44410</v>
      </c>
      <c r="B183">
        <v>0.43284</v>
      </c>
      <c r="C183">
        <v>0.44729999999999998</v>
      </c>
      <c r="D183">
        <v>0.42286000000000001</v>
      </c>
      <c r="E183">
        <v>0.43437999999999999</v>
      </c>
      <c r="F183">
        <v>9313488.0999999996</v>
      </c>
      <c r="G183">
        <v>0.43437999999999999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-5.7283142389525962E-2</v>
      </c>
      <c r="Q183">
        <f t="shared" ref="Q183" si="891">F183*P183</f>
        <v>-533505.86497545557</v>
      </c>
      <c r="R183">
        <f t="shared" ref="R183" si="892">R184+Q183</f>
        <v>629574740.45449102</v>
      </c>
      <c r="S183">
        <f t="shared" ref="S183" si="893">R183/100000</f>
        <v>6295.7474045449098</v>
      </c>
      <c r="T183">
        <f t="shared" ref="T183" si="894">S183/1000</f>
        <v>6.29574740454491</v>
      </c>
    </row>
    <row r="184" spans="1:20" x14ac:dyDescent="0.25">
      <c r="A184" s="5">
        <v>44409</v>
      </c>
      <c r="B184">
        <v>0.43834000000000001</v>
      </c>
      <c r="C184">
        <v>0.45993000000000001</v>
      </c>
      <c r="D184">
        <v>0.42992000000000002</v>
      </c>
      <c r="E184">
        <v>0.43339</v>
      </c>
      <c r="F184">
        <v>15760348.1</v>
      </c>
      <c r="G184">
        <v>0.43339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-0.76874375208264079</v>
      </c>
      <c r="Q184">
        <f t="shared" ref="Q184" si="896">F184*P184</f>
        <v>-12115669.132522518</v>
      </c>
      <c r="R184">
        <f t="shared" ref="R184" si="897">R185+Q184</f>
        <v>630108246.31946647</v>
      </c>
      <c r="S184">
        <f t="shared" ref="S184" si="898">R184/100000</f>
        <v>6301.0824631946643</v>
      </c>
      <c r="T184">
        <f t="shared" ref="T184" si="899">S184/1000</f>
        <v>6.301082463194664</v>
      </c>
    </row>
    <row r="185" spans="1:20" x14ac:dyDescent="0.25">
      <c r="A185" s="5">
        <v>44408</v>
      </c>
      <c r="B185">
        <v>0.41897000000000001</v>
      </c>
      <c r="C185">
        <v>0.47199999999999998</v>
      </c>
      <c r="D185">
        <v>0.41206999999999999</v>
      </c>
      <c r="E185">
        <v>0.43851000000000001</v>
      </c>
      <c r="F185">
        <v>23124806.899999999</v>
      </c>
      <c r="G185">
        <v>0.43851000000000001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-0.1176372434506916</v>
      </c>
      <c r="Q185">
        <f t="shared" ref="Q185" si="901">F185*P185</f>
        <v>-2720338.5390455327</v>
      </c>
      <c r="R185">
        <f t="shared" ref="R185" si="902">R186+Q185</f>
        <v>642223915.45198894</v>
      </c>
      <c r="S185">
        <f t="shared" ref="S185" si="903">R185/100000</f>
        <v>6422.2391545198898</v>
      </c>
      <c r="T185">
        <f t="shared" ref="T185" si="904">S185/1000</f>
        <v>6.4222391545198896</v>
      </c>
    </row>
    <row r="186" spans="1:20" x14ac:dyDescent="0.25">
      <c r="A186" s="5">
        <v>44407</v>
      </c>
      <c r="B186">
        <v>0.38070999999999999</v>
      </c>
      <c r="C186">
        <v>0.42409000000000002</v>
      </c>
      <c r="D186">
        <v>0.36313000000000001</v>
      </c>
      <c r="E186">
        <v>0.41936000000000001</v>
      </c>
      <c r="F186">
        <v>28394082.600000001</v>
      </c>
      <c r="G186">
        <v>0.41936000000000001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0.84481627296587891</v>
      </c>
      <c r="Q186">
        <f t="shared" ref="Q186" si="906">F186*P186</f>
        <v>23987783.036417313</v>
      </c>
      <c r="R186">
        <f t="shared" ref="R186" si="907">R187+Q186</f>
        <v>644944253.99103451</v>
      </c>
      <c r="S186">
        <f t="shared" ref="S186" si="908">R186/100000</f>
        <v>6449.4425399103447</v>
      </c>
      <c r="T186">
        <f t="shared" ref="T186" si="909">S186/1000</f>
        <v>6.4494425399103443</v>
      </c>
    </row>
    <row r="187" spans="1:20" x14ac:dyDescent="0.25">
      <c r="A187" s="5">
        <v>44406</v>
      </c>
      <c r="B187">
        <v>0.36196</v>
      </c>
      <c r="C187">
        <v>0.38184000000000001</v>
      </c>
      <c r="D187">
        <v>0.35213</v>
      </c>
      <c r="E187">
        <v>0.37996000000000002</v>
      </c>
      <c r="F187">
        <v>15045451.300000001</v>
      </c>
      <c r="G187">
        <v>0.37996000000000002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0.87344328508919611</v>
      </c>
      <c r="Q187">
        <f t="shared" ref="Q187" si="911">F187*P187</f>
        <v>13141348.409121517</v>
      </c>
      <c r="R187">
        <f t="shared" ref="R187" si="912">R188+Q187</f>
        <v>620956470.95461714</v>
      </c>
      <c r="S187">
        <f t="shared" ref="S187" si="913">R187/100000</f>
        <v>6209.5647095461718</v>
      </c>
      <c r="T187">
        <f t="shared" ref="T187" si="914">S187/1000</f>
        <v>6.2095647095461715</v>
      </c>
    </row>
    <row r="188" spans="1:20" x14ac:dyDescent="0.25">
      <c r="A188" s="5">
        <v>44405</v>
      </c>
      <c r="B188">
        <v>0.34959000000000001</v>
      </c>
      <c r="C188">
        <v>0.36953999999999998</v>
      </c>
      <c r="D188">
        <v>0.34107999999999999</v>
      </c>
      <c r="E188">
        <v>0.36237999999999998</v>
      </c>
      <c r="F188">
        <v>10721788.9</v>
      </c>
      <c r="G188">
        <v>0.36237999999999998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0.4968376669009133</v>
      </c>
      <c r="Q188">
        <f t="shared" ref="Q188" si="916">F188*P188</f>
        <v>5326988.58208011</v>
      </c>
      <c r="R188">
        <f t="shared" ref="R188" si="917">R189+Q188</f>
        <v>607815122.54549563</v>
      </c>
      <c r="S188">
        <f t="shared" ref="S188" si="918">R188/100000</f>
        <v>6078.1512254549561</v>
      </c>
      <c r="T188">
        <f t="shared" ref="T188" si="919">S188/1000</f>
        <v>6.0781512254549561</v>
      </c>
    </row>
    <row r="189" spans="1:20" x14ac:dyDescent="0.25">
      <c r="A189" s="5">
        <v>44404</v>
      </c>
      <c r="B189">
        <v>0.34764</v>
      </c>
      <c r="C189">
        <v>0.35604000000000002</v>
      </c>
      <c r="D189">
        <v>0.32982</v>
      </c>
      <c r="E189">
        <v>0.34939999999999999</v>
      </c>
      <c r="F189">
        <v>13831230</v>
      </c>
      <c r="G189">
        <v>0.34939999999999999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0.49351639969488714</v>
      </c>
      <c r="Q189">
        <f t="shared" ref="Q189" si="921">F189*P189</f>
        <v>6825938.8329519136</v>
      </c>
      <c r="R189">
        <f t="shared" ref="R189" si="922">R190+Q189</f>
        <v>602488133.9634155</v>
      </c>
      <c r="S189">
        <f t="shared" ref="S189" si="923">R189/100000</f>
        <v>6024.8813396341548</v>
      </c>
      <c r="T189">
        <f t="shared" ref="T189" si="924">S189/1000</f>
        <v>6.0248813396341552</v>
      </c>
    </row>
    <row r="190" spans="1:20" x14ac:dyDescent="0.25">
      <c r="A190" s="5">
        <v>44403</v>
      </c>
      <c r="B190">
        <v>0.33738000000000001</v>
      </c>
      <c r="C190">
        <v>0.38622000000000001</v>
      </c>
      <c r="D190">
        <v>0.33643000000000001</v>
      </c>
      <c r="E190">
        <v>0.34743000000000002</v>
      </c>
      <c r="F190">
        <v>35343443.899999999</v>
      </c>
      <c r="G190">
        <v>0.34743000000000002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-0.55814420566378753</v>
      </c>
      <c r="Q190">
        <f t="shared" ref="Q190" si="926">F190*P190</f>
        <v>-19726738.420988135</v>
      </c>
      <c r="R190">
        <f t="shared" ref="R190" si="927">R191+Q190</f>
        <v>595662195.1304636</v>
      </c>
      <c r="S190">
        <f t="shared" ref="S190" si="928">R190/100000</f>
        <v>5956.6219513046362</v>
      </c>
      <c r="T190">
        <f t="shared" ref="T190" si="929">S190/1000</f>
        <v>5.9566219513046361</v>
      </c>
    </row>
    <row r="191" spans="1:20" x14ac:dyDescent="0.25">
      <c r="A191" s="5">
        <v>44402</v>
      </c>
      <c r="B191">
        <v>0.33545000000000003</v>
      </c>
      <c r="C191">
        <v>0.33768999999999999</v>
      </c>
      <c r="D191">
        <v>0.32106000000000001</v>
      </c>
      <c r="E191">
        <v>0.33745000000000003</v>
      </c>
      <c r="F191">
        <v>5720975.2000000002</v>
      </c>
      <c r="G191">
        <v>0.33745000000000003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0.97113650030066589</v>
      </c>
      <c r="Q191">
        <f t="shared" ref="Q191" si="931">F191*P191</f>
        <v>5555847.834034902</v>
      </c>
      <c r="R191">
        <f t="shared" ref="R191" si="932">R192+Q191</f>
        <v>615388933.55145168</v>
      </c>
      <c r="S191">
        <f t="shared" ref="S191" si="933">R191/100000</f>
        <v>6153.8893355145165</v>
      </c>
      <c r="T191">
        <f t="shared" ref="T191:T197" si="934">S191/1000</f>
        <v>6.1538893355145161</v>
      </c>
    </row>
    <row r="192" spans="1:20" x14ac:dyDescent="0.25">
      <c r="A192" s="5">
        <v>44401</v>
      </c>
      <c r="B192">
        <v>0.33939000000000002</v>
      </c>
      <c r="C192">
        <v>0.34910000000000002</v>
      </c>
      <c r="D192">
        <v>0.33134999999999998</v>
      </c>
      <c r="E192">
        <v>0.33605000000000002</v>
      </c>
      <c r="F192">
        <v>10225290.1</v>
      </c>
      <c r="G192">
        <v>0.33605000000000002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-0.4704225352112647</v>
      </c>
      <c r="Q192">
        <f t="shared" ref="Q192" si="936">F192*P192</f>
        <v>-4810206.8921126463</v>
      </c>
      <c r="R192">
        <f t="shared" ref="R192" si="937">R193+Q192</f>
        <v>609833085.71741676</v>
      </c>
      <c r="S192">
        <f t="shared" ref="S192" si="938">R192/100000</f>
        <v>6098.3308571741672</v>
      </c>
      <c r="T192">
        <f t="shared" si="934"/>
        <v>6.098330857174167</v>
      </c>
    </row>
    <row r="193" spans="1:20" x14ac:dyDescent="0.25">
      <c r="A193" s="5">
        <v>44400</v>
      </c>
      <c r="B193">
        <v>0.32555000000000001</v>
      </c>
      <c r="C193">
        <v>0.34411000000000003</v>
      </c>
      <c r="D193">
        <v>0.32340999999999998</v>
      </c>
      <c r="E193">
        <v>0.33912999999999999</v>
      </c>
      <c r="F193">
        <v>10781061.199999999</v>
      </c>
      <c r="G193">
        <v>0.33912999999999999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0.5188405797101423</v>
      </c>
      <c r="Q193">
        <f t="shared" ref="Q193" si="940">F193*P193</f>
        <v>5593652.0428985218</v>
      </c>
      <c r="R193">
        <f t="shared" ref="R193" si="941">R194+Q193</f>
        <v>614643292.60952938</v>
      </c>
      <c r="S193">
        <f t="shared" ref="S193" si="942">R193/100000</f>
        <v>6146.4329260952936</v>
      </c>
      <c r="T193">
        <f t="shared" si="934"/>
        <v>6.1464329260952937</v>
      </c>
    </row>
    <row r="194" spans="1:20" x14ac:dyDescent="0.25">
      <c r="A194" s="5">
        <v>44399</v>
      </c>
      <c r="B194">
        <v>0.31472</v>
      </c>
      <c r="C194">
        <v>0.32650000000000001</v>
      </c>
      <c r="D194">
        <v>0.30330000000000001</v>
      </c>
      <c r="E194">
        <v>0.32533000000000001</v>
      </c>
      <c r="F194">
        <v>9317788.3000000007</v>
      </c>
      <c r="G194">
        <v>0.32533000000000001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0.89913793103448236</v>
      </c>
      <c r="Q194">
        <f t="shared" ref="Q194" si="944">F194*P194</f>
        <v>8377976.8938793074</v>
      </c>
      <c r="R194">
        <f t="shared" ref="R194" si="945">R195+Q194</f>
        <v>609049640.56663084</v>
      </c>
      <c r="S194">
        <f t="shared" ref="S194" si="946">R194/100000</f>
        <v>6090.4964056663084</v>
      </c>
      <c r="T194">
        <f t="shared" si="934"/>
        <v>6.0904964056663085</v>
      </c>
    </row>
    <row r="195" spans="1:20" x14ac:dyDescent="0.25">
      <c r="A195" s="5">
        <v>44398</v>
      </c>
      <c r="B195">
        <v>0.27831</v>
      </c>
      <c r="C195">
        <v>0.31680000000000003</v>
      </c>
      <c r="D195">
        <v>0.27056999999999998</v>
      </c>
      <c r="E195">
        <v>0.31472</v>
      </c>
      <c r="F195">
        <v>17084417.699999999</v>
      </c>
      <c r="G195">
        <v>0.31472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0.91001514168288888</v>
      </c>
      <c r="Q195">
        <f t="shared" ref="Q195" si="948">F195*P195</f>
        <v>15547078.793835154</v>
      </c>
      <c r="R195">
        <f t="shared" ref="R195" si="949">R196+Q195</f>
        <v>600671663.67275155</v>
      </c>
      <c r="S195">
        <f t="shared" ref="S195" si="950">R195/100000</f>
        <v>6006.7166367275158</v>
      </c>
      <c r="T195">
        <f t="shared" si="934"/>
        <v>6.006716636727516</v>
      </c>
    </row>
    <row r="196" spans="1:20" x14ac:dyDescent="0.25">
      <c r="A196" s="5">
        <v>44397</v>
      </c>
      <c r="B196">
        <v>0.29475000000000001</v>
      </c>
      <c r="C196">
        <v>0.30216999999999999</v>
      </c>
      <c r="D196">
        <v>0.26682</v>
      </c>
      <c r="E196">
        <v>0.27927000000000002</v>
      </c>
      <c r="F196">
        <v>10441309.800000001</v>
      </c>
      <c r="G196">
        <v>0.27927000000000002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-0.29561527581329455</v>
      </c>
      <c r="Q196">
        <f t="shared" ref="Q196" si="952">F196*P196</f>
        <v>-3086610.6763790557</v>
      </c>
      <c r="R196">
        <f t="shared" ref="R196" si="953">R197+Q196</f>
        <v>585124584.87891638</v>
      </c>
      <c r="S196">
        <f t="shared" ref="S196" si="954">R196/100000</f>
        <v>5851.2458487891636</v>
      </c>
      <c r="T196">
        <f t="shared" si="934"/>
        <v>5.8512458487891639</v>
      </c>
    </row>
    <row r="197" spans="1:20" x14ac:dyDescent="0.25">
      <c r="A197" s="5">
        <v>44396</v>
      </c>
      <c r="B197">
        <v>0.31222</v>
      </c>
      <c r="C197">
        <v>0.31376999999999999</v>
      </c>
      <c r="D197">
        <v>0.28692000000000001</v>
      </c>
      <c r="E197">
        <v>0.29565000000000002</v>
      </c>
      <c r="F197">
        <v>8954649.6999999993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-0.34972067039105992</v>
      </c>
      <c r="Q197">
        <f t="shared" ref="Q197" si="956">F197*P197</f>
        <v>-3131626.0962011032</v>
      </c>
      <c r="R197">
        <f t="shared" ref="R197" si="957">R198+Q197</f>
        <v>588211195.55529547</v>
      </c>
      <c r="S197">
        <f t="shared" ref="S197" si="958">R197/100000</f>
        <v>5882.1119555529549</v>
      </c>
      <c r="T197">
        <f t="shared" si="934"/>
        <v>5.8821119555529551</v>
      </c>
    </row>
    <row r="198" spans="1:20" x14ac:dyDescent="0.25">
      <c r="A198" s="5">
        <v>44395</v>
      </c>
      <c r="B198">
        <v>0.30597999999999997</v>
      </c>
      <c r="C198">
        <v>0.32450000000000001</v>
      </c>
      <c r="D198">
        <v>0.30298000000000003</v>
      </c>
      <c r="E198">
        <v>0.31219000000000002</v>
      </c>
      <c r="F198">
        <v>6622552.0999999996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-0.14405204460966514</v>
      </c>
      <c r="Q198">
        <f t="shared" ref="Q198:Q261" si="960">F198*P198</f>
        <v>-953992.1705390315</v>
      </c>
      <c r="R198">
        <f t="shared" ref="R198:R261" si="961">R199+Q198</f>
        <v>591342821.65149653</v>
      </c>
      <c r="S198">
        <f t="shared" ref="S198:S261" si="962">R198/100000</f>
        <v>5913.4282165149652</v>
      </c>
      <c r="T198">
        <f t="shared" ref="T198:T261" si="963">S198/1000</f>
        <v>5.9134282165149656</v>
      </c>
    </row>
    <row r="199" spans="1:20" x14ac:dyDescent="0.25">
      <c r="A199" s="5">
        <v>44394</v>
      </c>
      <c r="B199">
        <v>0.30484</v>
      </c>
      <c r="C199">
        <v>0.31476999999999999</v>
      </c>
      <c r="D199">
        <v>0.29782999999999998</v>
      </c>
      <c r="E199">
        <v>0.30624000000000001</v>
      </c>
      <c r="F199">
        <v>4916713.0999999996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-7.0838252656406971E-3</v>
      </c>
      <c r="Q199">
        <f t="shared" si="960"/>
        <v>-34829.13648168659</v>
      </c>
      <c r="R199">
        <f t="shared" si="961"/>
        <v>592296813.82203555</v>
      </c>
      <c r="S199">
        <f t="shared" si="962"/>
        <v>5922.9681382203553</v>
      </c>
      <c r="T199">
        <f t="shared" si="963"/>
        <v>5.9229681382203552</v>
      </c>
    </row>
    <row r="200" spans="1:20" x14ac:dyDescent="0.25">
      <c r="A200" s="5">
        <v>44393</v>
      </c>
      <c r="B200">
        <v>0.32083</v>
      </c>
      <c r="C200">
        <v>0.33045999999999998</v>
      </c>
      <c r="D200">
        <v>0.30379</v>
      </c>
      <c r="E200">
        <v>0.30484</v>
      </c>
      <c r="F200">
        <v>5872327.9000000004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-0.92125984251968529</v>
      </c>
      <c r="Q200">
        <f t="shared" si="960"/>
        <v>-5409939.8763779541</v>
      </c>
      <c r="R200">
        <f t="shared" si="961"/>
        <v>592331642.95851719</v>
      </c>
      <c r="S200">
        <f t="shared" si="962"/>
        <v>5923.316429585172</v>
      </c>
      <c r="T200">
        <f t="shared" si="963"/>
        <v>5.9233164295851717</v>
      </c>
    </row>
    <row r="201" spans="1:20" x14ac:dyDescent="0.25">
      <c r="A201" s="5">
        <v>44392</v>
      </c>
      <c r="B201">
        <v>0.33788000000000001</v>
      </c>
      <c r="C201">
        <v>0.34571000000000002</v>
      </c>
      <c r="D201">
        <v>0.31575999999999999</v>
      </c>
      <c r="E201">
        <v>0.32064999999999999</v>
      </c>
      <c r="F201">
        <v>10793392.699999999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-0.67345575959933224</v>
      </c>
      <c r="Q201">
        <f t="shared" si="960"/>
        <v>-7268872.4794323873</v>
      </c>
      <c r="R201">
        <f t="shared" si="961"/>
        <v>597741582.83489513</v>
      </c>
      <c r="S201">
        <f t="shared" si="962"/>
        <v>5977.4158283489514</v>
      </c>
      <c r="T201">
        <f t="shared" si="963"/>
        <v>5.9774158283489518</v>
      </c>
    </row>
    <row r="202" spans="1:20" x14ac:dyDescent="0.25">
      <c r="A202" s="5">
        <v>44391</v>
      </c>
      <c r="B202">
        <v>0.33581</v>
      </c>
      <c r="C202">
        <v>0.35225000000000001</v>
      </c>
      <c r="D202">
        <v>0.31705</v>
      </c>
      <c r="E202">
        <v>0.33787</v>
      </c>
      <c r="F202">
        <v>10184827.699999999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0.18295454545454545</v>
      </c>
      <c r="Q202">
        <f t="shared" si="960"/>
        <v>1863360.5223863635</v>
      </c>
      <c r="R202">
        <f t="shared" si="961"/>
        <v>605010455.31432748</v>
      </c>
      <c r="S202">
        <f t="shared" si="962"/>
        <v>6050.1045531432746</v>
      </c>
      <c r="T202">
        <f t="shared" si="963"/>
        <v>6.0501045531432744</v>
      </c>
    </row>
    <row r="203" spans="1:20" x14ac:dyDescent="0.25">
      <c r="A203" s="5">
        <v>44390</v>
      </c>
      <c r="B203">
        <v>0.35874</v>
      </c>
      <c r="C203">
        <v>0.35874</v>
      </c>
      <c r="D203">
        <v>0.32423999999999997</v>
      </c>
      <c r="E203">
        <v>0.33595000000000003</v>
      </c>
      <c r="F203">
        <v>10371257.6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-0.32115942028985256</v>
      </c>
      <c r="Q203">
        <f t="shared" si="960"/>
        <v>-3330827.0784927276</v>
      </c>
      <c r="R203">
        <f t="shared" si="961"/>
        <v>603147094.79194117</v>
      </c>
      <c r="S203">
        <f t="shared" si="962"/>
        <v>6031.4709479194116</v>
      </c>
      <c r="T203">
        <f t="shared" si="963"/>
        <v>6.031470947919412</v>
      </c>
    </row>
    <row r="204" spans="1:20" x14ac:dyDescent="0.25">
      <c r="A204" s="5">
        <v>44389</v>
      </c>
      <c r="B204">
        <v>0.36971999999999999</v>
      </c>
      <c r="C204">
        <v>0.40988000000000002</v>
      </c>
      <c r="D204">
        <v>0.34755000000000003</v>
      </c>
      <c r="E204">
        <v>0.35846</v>
      </c>
      <c r="F204">
        <v>15852920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-0.64992780362586311</v>
      </c>
      <c r="Q204">
        <f t="shared" si="960"/>
        <v>-10303253.476656517</v>
      </c>
      <c r="R204">
        <f t="shared" si="961"/>
        <v>606477921.87043393</v>
      </c>
      <c r="S204">
        <f t="shared" si="962"/>
        <v>6064.7792187043397</v>
      </c>
      <c r="T204">
        <f t="shared" si="963"/>
        <v>6.0647792187043397</v>
      </c>
    </row>
    <row r="205" spans="1:20" x14ac:dyDescent="0.25">
      <c r="A205" s="5">
        <v>44388</v>
      </c>
      <c r="B205">
        <v>0.36758000000000002</v>
      </c>
      <c r="C205">
        <v>0.37781999999999999</v>
      </c>
      <c r="D205">
        <v>0.36031000000000002</v>
      </c>
      <c r="E205">
        <v>0.36971999999999999</v>
      </c>
      <c r="F205">
        <v>4573200.4000000004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7.4814391776126796E-2</v>
      </c>
      <c r="Q205">
        <f t="shared" si="960"/>
        <v>342141.20639633981</v>
      </c>
      <c r="R205">
        <f t="shared" si="961"/>
        <v>616781175.34709048</v>
      </c>
      <c r="S205">
        <f t="shared" si="962"/>
        <v>6167.8117534709045</v>
      </c>
      <c r="T205">
        <f t="shared" si="963"/>
        <v>6.1678117534709047</v>
      </c>
    </row>
    <row r="206" spans="1:20" x14ac:dyDescent="0.25">
      <c r="A206" s="5">
        <v>44387</v>
      </c>
      <c r="B206">
        <v>0.36652000000000001</v>
      </c>
      <c r="C206">
        <v>0.37390000000000001</v>
      </c>
      <c r="D206">
        <v>0.35367999999999999</v>
      </c>
      <c r="E206">
        <v>0.36749999999999999</v>
      </c>
      <c r="F206">
        <v>5510189.7999999998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0.36696340257171001</v>
      </c>
      <c r="Q206">
        <f t="shared" si="960"/>
        <v>2022037.9978239301</v>
      </c>
      <c r="R206">
        <f t="shared" si="961"/>
        <v>616439034.14069414</v>
      </c>
      <c r="S206">
        <f t="shared" si="962"/>
        <v>6164.3903414069418</v>
      </c>
      <c r="T206">
        <f t="shared" si="963"/>
        <v>6.1643903414069419</v>
      </c>
    </row>
    <row r="207" spans="1:20" x14ac:dyDescent="0.25">
      <c r="A207" s="5">
        <v>44386</v>
      </c>
      <c r="B207">
        <v>0.36079</v>
      </c>
      <c r="C207">
        <v>0.37180000000000002</v>
      </c>
      <c r="D207">
        <v>0.34316000000000002</v>
      </c>
      <c r="E207">
        <v>0.36687999999999998</v>
      </c>
      <c r="F207">
        <v>6125493.2999999998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0.6564245810055841</v>
      </c>
      <c r="Q207">
        <f t="shared" si="960"/>
        <v>4020924.3729050127</v>
      </c>
      <c r="R207">
        <f t="shared" si="961"/>
        <v>614416996.14287019</v>
      </c>
      <c r="S207">
        <f t="shared" si="962"/>
        <v>6144.1699614287018</v>
      </c>
      <c r="T207">
        <f t="shared" si="963"/>
        <v>6.1441699614287018</v>
      </c>
    </row>
    <row r="208" spans="1:20" x14ac:dyDescent="0.25">
      <c r="A208" s="5">
        <v>44385</v>
      </c>
      <c r="B208">
        <v>0.39596999999999999</v>
      </c>
      <c r="C208">
        <v>0.39712999999999998</v>
      </c>
      <c r="D208">
        <v>0.35124</v>
      </c>
      <c r="E208">
        <v>0.36070999999999998</v>
      </c>
      <c r="F208">
        <v>10969948.199999999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-0.58727391588581468</v>
      </c>
      <c r="Q208">
        <f t="shared" si="960"/>
        <v>-6442364.436478544</v>
      </c>
      <c r="R208">
        <f t="shared" si="961"/>
        <v>610396071.76996517</v>
      </c>
      <c r="S208">
        <f t="shared" si="962"/>
        <v>6103.9607176996515</v>
      </c>
      <c r="T208">
        <f t="shared" si="963"/>
        <v>6.1039607176996515</v>
      </c>
    </row>
    <row r="209" spans="1:20" x14ac:dyDescent="0.25">
      <c r="A209" s="5">
        <v>44384</v>
      </c>
      <c r="B209">
        <v>0.38945999999999997</v>
      </c>
      <c r="C209">
        <v>0.42</v>
      </c>
      <c r="D209">
        <v>0.38272</v>
      </c>
      <c r="E209">
        <v>0.39611000000000002</v>
      </c>
      <c r="F209">
        <v>13864339.800000001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-0.28165236051502035</v>
      </c>
      <c r="Q209">
        <f t="shared" si="960"/>
        <v>-3904924.0316523453</v>
      </c>
      <c r="R209">
        <f t="shared" si="961"/>
        <v>616838436.20644367</v>
      </c>
      <c r="S209">
        <f t="shared" si="962"/>
        <v>6168.3843620644366</v>
      </c>
      <c r="T209">
        <f t="shared" si="963"/>
        <v>6.1683843620644367</v>
      </c>
    </row>
    <row r="210" spans="1:20" x14ac:dyDescent="0.25">
      <c r="A210" s="5">
        <v>44383</v>
      </c>
      <c r="B210">
        <v>0.37010999999999999</v>
      </c>
      <c r="C210">
        <v>0.41316999999999998</v>
      </c>
      <c r="D210">
        <v>0.36936000000000002</v>
      </c>
      <c r="E210">
        <v>0.38918000000000003</v>
      </c>
      <c r="F210">
        <v>21377414.399999999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-9.5183748002738086E-2</v>
      </c>
      <c r="Q210">
        <f t="shared" si="960"/>
        <v>-2034782.4251997042</v>
      </c>
      <c r="R210">
        <f t="shared" si="961"/>
        <v>620743360.238096</v>
      </c>
      <c r="S210">
        <f t="shared" si="962"/>
        <v>6207.4336023809601</v>
      </c>
      <c r="T210">
        <f t="shared" si="963"/>
        <v>6.2074336023809602</v>
      </c>
    </row>
    <row r="211" spans="1:20" x14ac:dyDescent="0.25">
      <c r="A211" s="5">
        <v>44382</v>
      </c>
      <c r="B211">
        <v>0.38200000000000001</v>
      </c>
      <c r="C211">
        <v>0.38200000000000001</v>
      </c>
      <c r="D211">
        <v>0.35492000000000001</v>
      </c>
      <c r="E211">
        <v>0.37010999999999999</v>
      </c>
      <c r="F211">
        <v>7864012.9000000004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0.12186115214180097</v>
      </c>
      <c r="Q211">
        <f t="shared" si="960"/>
        <v>958317.67245198553</v>
      </c>
      <c r="R211">
        <f t="shared" si="961"/>
        <v>622778142.66329575</v>
      </c>
      <c r="S211">
        <f t="shared" si="962"/>
        <v>6227.7814266329578</v>
      </c>
      <c r="T211">
        <f t="shared" si="963"/>
        <v>6.2277814266329576</v>
      </c>
    </row>
    <row r="212" spans="1:20" x14ac:dyDescent="0.25">
      <c r="A212" s="5">
        <v>44381</v>
      </c>
      <c r="B212">
        <v>0.38717000000000001</v>
      </c>
      <c r="C212">
        <v>0.39583000000000002</v>
      </c>
      <c r="D212">
        <v>0.37120999999999998</v>
      </c>
      <c r="E212">
        <v>0.38274999999999998</v>
      </c>
      <c r="F212">
        <v>8367808.5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-6.2550771730302171E-2</v>
      </c>
      <c r="Q212">
        <f t="shared" si="960"/>
        <v>-523412.8793663822</v>
      </c>
      <c r="R212">
        <f t="shared" si="961"/>
        <v>621819824.99084377</v>
      </c>
      <c r="S212">
        <f t="shared" si="962"/>
        <v>6218.1982499084379</v>
      </c>
      <c r="T212">
        <f t="shared" si="963"/>
        <v>6.2181982499084381</v>
      </c>
    </row>
    <row r="213" spans="1:20" x14ac:dyDescent="0.25">
      <c r="A213" s="5">
        <v>44380</v>
      </c>
      <c r="B213">
        <v>0.35622999999999999</v>
      </c>
      <c r="C213">
        <v>0.39215</v>
      </c>
      <c r="D213">
        <v>0.34863</v>
      </c>
      <c r="E213">
        <v>0.38696000000000003</v>
      </c>
      <c r="F213">
        <v>18398053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0.76148897058823661</v>
      </c>
      <c r="Q213">
        <f t="shared" si="960"/>
        <v>14009914.439797819</v>
      </c>
      <c r="R213">
        <f t="shared" si="961"/>
        <v>622343237.87021017</v>
      </c>
      <c r="S213">
        <f t="shared" si="962"/>
        <v>6223.4323787021021</v>
      </c>
      <c r="T213">
        <f t="shared" si="963"/>
        <v>6.2234323787021024</v>
      </c>
    </row>
    <row r="214" spans="1:20" x14ac:dyDescent="0.25">
      <c r="A214" s="5">
        <v>44379</v>
      </c>
      <c r="B214">
        <v>0.35324</v>
      </c>
      <c r="C214">
        <v>0.35931000000000002</v>
      </c>
      <c r="D214">
        <v>0.33389999999999997</v>
      </c>
      <c r="E214">
        <v>0.35654000000000002</v>
      </c>
      <c r="F214">
        <v>4239563.9000000004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0.78197560015741918</v>
      </c>
      <c r="Q214">
        <f t="shared" si="960"/>
        <v>3315235.5251082289</v>
      </c>
      <c r="R214">
        <f t="shared" si="961"/>
        <v>608333323.43041241</v>
      </c>
      <c r="S214">
        <f t="shared" si="962"/>
        <v>6083.3332343041238</v>
      </c>
      <c r="T214">
        <f t="shared" si="963"/>
        <v>6.0833332343041242</v>
      </c>
    </row>
    <row r="215" spans="1:20" x14ac:dyDescent="0.25">
      <c r="A215" s="5">
        <v>44378</v>
      </c>
      <c r="B215">
        <v>0.37342999999999998</v>
      </c>
      <c r="C215">
        <v>0.37363000000000002</v>
      </c>
      <c r="D215">
        <v>0.34610000000000002</v>
      </c>
      <c r="E215">
        <v>0.35348000000000002</v>
      </c>
      <c r="F215">
        <v>8415362.5999999996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-0.46385760988013092</v>
      </c>
      <c r="Q215">
        <f t="shared" si="960"/>
        <v>-3903529.9819106441</v>
      </c>
      <c r="R215">
        <f t="shared" si="961"/>
        <v>605018087.90530419</v>
      </c>
      <c r="S215">
        <f t="shared" si="962"/>
        <v>6050.1808790530422</v>
      </c>
      <c r="T215">
        <f t="shared" si="963"/>
        <v>6.050180879053042</v>
      </c>
    </row>
    <row r="216" spans="1:20" x14ac:dyDescent="0.25">
      <c r="A216" s="5">
        <v>44377</v>
      </c>
      <c r="B216">
        <v>0.38108999999999998</v>
      </c>
      <c r="C216">
        <v>0.38694000000000001</v>
      </c>
      <c r="D216">
        <v>0.34815000000000002</v>
      </c>
      <c r="E216">
        <v>0.37363000000000002</v>
      </c>
      <c r="F216">
        <v>11039853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0.31374065480794061</v>
      </c>
      <c r="Q216">
        <f t="shared" si="960"/>
        <v>3463650.7092034076</v>
      </c>
      <c r="R216">
        <f t="shared" si="961"/>
        <v>608921617.88721478</v>
      </c>
      <c r="S216">
        <f t="shared" si="962"/>
        <v>6089.2161788721478</v>
      </c>
      <c r="T216">
        <f t="shared" si="963"/>
        <v>6.0892161788721477</v>
      </c>
    </row>
    <row r="217" spans="1:20" x14ac:dyDescent="0.25">
      <c r="A217" s="5">
        <v>44376</v>
      </c>
      <c r="B217">
        <v>0.35907</v>
      </c>
      <c r="C217">
        <v>0.39401000000000003</v>
      </c>
      <c r="D217">
        <v>0.35661999999999999</v>
      </c>
      <c r="E217">
        <v>0.38218000000000002</v>
      </c>
      <c r="F217">
        <v>13021432.800000001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0.36721048408665441</v>
      </c>
      <c r="Q217">
        <f t="shared" si="960"/>
        <v>4781606.6419898402</v>
      </c>
      <c r="R217">
        <f t="shared" si="961"/>
        <v>605457967.17801142</v>
      </c>
      <c r="S217">
        <f t="shared" si="962"/>
        <v>6054.579671780114</v>
      </c>
      <c r="T217">
        <f t="shared" si="963"/>
        <v>6.0545796717801137</v>
      </c>
    </row>
    <row r="218" spans="1:20" x14ac:dyDescent="0.25">
      <c r="A218" s="5">
        <v>44375</v>
      </c>
      <c r="B218">
        <v>0.34977000000000003</v>
      </c>
      <c r="C218">
        <v>0.36725999999999998</v>
      </c>
      <c r="D218">
        <v>0.34404000000000001</v>
      </c>
      <c r="E218">
        <v>0.35911999999999999</v>
      </c>
      <c r="F218">
        <v>12165700.699999999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0.29888027562446223</v>
      </c>
      <c r="Q218">
        <f t="shared" si="960"/>
        <v>3636087.9783807127</v>
      </c>
      <c r="R218">
        <f t="shared" si="961"/>
        <v>600676360.53602159</v>
      </c>
      <c r="S218">
        <f t="shared" si="962"/>
        <v>6006.7636053602155</v>
      </c>
      <c r="T218">
        <f t="shared" si="963"/>
        <v>6.0067636053602156</v>
      </c>
    </row>
    <row r="219" spans="1:20" x14ac:dyDescent="0.25">
      <c r="A219" s="5">
        <v>44374</v>
      </c>
      <c r="B219">
        <v>0.33396999999999999</v>
      </c>
      <c r="C219">
        <v>0.35004999999999997</v>
      </c>
      <c r="D219">
        <v>0.32199</v>
      </c>
      <c r="E219">
        <v>0.35004999999999997</v>
      </c>
      <c r="F219">
        <v>8053431.0999999996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1</v>
      </c>
      <c r="Q219">
        <f t="shared" si="960"/>
        <v>8053431.0999999996</v>
      </c>
      <c r="R219">
        <f t="shared" si="961"/>
        <v>597040272.55764091</v>
      </c>
      <c r="S219">
        <f t="shared" si="962"/>
        <v>5970.4027255764095</v>
      </c>
      <c r="T219">
        <f t="shared" si="963"/>
        <v>5.9704027255764096</v>
      </c>
    </row>
    <row r="220" spans="1:20" x14ac:dyDescent="0.25">
      <c r="A220" s="5">
        <v>44373</v>
      </c>
      <c r="B220">
        <v>0.33977000000000002</v>
      </c>
      <c r="C220">
        <v>0.34540999999999999</v>
      </c>
      <c r="D220">
        <v>0.31141999999999997</v>
      </c>
      <c r="E220">
        <v>0.33409</v>
      </c>
      <c r="F220">
        <v>22923305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0.33392174168873257</v>
      </c>
      <c r="Q220">
        <f t="shared" si="960"/>
        <v>7654589.9308620319</v>
      </c>
      <c r="R220">
        <f t="shared" si="961"/>
        <v>588986841.45764089</v>
      </c>
      <c r="S220">
        <f t="shared" si="962"/>
        <v>5889.8684145764091</v>
      </c>
      <c r="T220">
        <f t="shared" si="963"/>
        <v>5.8898684145764095</v>
      </c>
    </row>
    <row r="221" spans="1:20" x14ac:dyDescent="0.25">
      <c r="A221" s="5">
        <v>44372</v>
      </c>
      <c r="B221">
        <v>0.35370000000000001</v>
      </c>
      <c r="C221">
        <v>0.39448</v>
      </c>
      <c r="D221">
        <v>0.32879000000000003</v>
      </c>
      <c r="E221">
        <v>0.34</v>
      </c>
      <c r="F221">
        <v>26982317.100000001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-0.6586999543309483</v>
      </c>
      <c r="Q221">
        <f t="shared" si="960"/>
        <v>-17773251.041513167</v>
      </c>
      <c r="R221">
        <f t="shared" si="961"/>
        <v>581332251.52677882</v>
      </c>
      <c r="S221">
        <f t="shared" si="962"/>
        <v>5813.3225152677878</v>
      </c>
      <c r="T221">
        <f t="shared" si="963"/>
        <v>5.8133225152677879</v>
      </c>
    </row>
    <row r="222" spans="1:20" x14ac:dyDescent="0.25">
      <c r="A222" s="5">
        <v>44371</v>
      </c>
      <c r="B222">
        <v>0.34461999999999998</v>
      </c>
      <c r="C222">
        <v>0.36445</v>
      </c>
      <c r="D222">
        <v>0.32462999999999997</v>
      </c>
      <c r="E222">
        <v>0.35378999999999999</v>
      </c>
      <c r="F222">
        <v>9640116.4000000004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0.46459065796082388</v>
      </c>
      <c r="Q222">
        <f t="shared" si="960"/>
        <v>4478708.0210949294</v>
      </c>
      <c r="R222">
        <f t="shared" si="961"/>
        <v>599105502.56829202</v>
      </c>
      <c r="S222">
        <f t="shared" si="962"/>
        <v>5991.0550256829201</v>
      </c>
      <c r="T222">
        <f t="shared" si="963"/>
        <v>5.99105502568292</v>
      </c>
    </row>
    <row r="223" spans="1:20" x14ac:dyDescent="0.25">
      <c r="A223" s="5">
        <v>44370</v>
      </c>
      <c r="B223">
        <v>0.31850000000000001</v>
      </c>
      <c r="C223">
        <v>0.372</v>
      </c>
      <c r="D223">
        <v>0.30554999999999999</v>
      </c>
      <c r="E223">
        <v>0.34459000000000001</v>
      </c>
      <c r="F223">
        <v>16082011.4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0.17501881113619305</v>
      </c>
      <c r="Q223">
        <f t="shared" si="960"/>
        <v>2814654.5159067037</v>
      </c>
      <c r="R223">
        <f t="shared" si="961"/>
        <v>594626794.5471971</v>
      </c>
      <c r="S223">
        <f t="shared" si="962"/>
        <v>5946.267945471971</v>
      </c>
      <c r="T223">
        <f t="shared" si="963"/>
        <v>5.9462679454719707</v>
      </c>
    </row>
    <row r="224" spans="1:20" x14ac:dyDescent="0.25">
      <c r="A224" s="5">
        <v>44369</v>
      </c>
      <c r="B224">
        <v>0.33328999999999998</v>
      </c>
      <c r="C224">
        <v>0.35261999999999999</v>
      </c>
      <c r="D224">
        <v>0.27978999999999998</v>
      </c>
      <c r="E224">
        <v>0.31841999999999998</v>
      </c>
      <c r="F224">
        <v>28147411.899999999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6.0826582452285997E-2</v>
      </c>
      <c r="Q224">
        <f t="shared" si="960"/>
        <v>1712110.8707538061</v>
      </c>
      <c r="R224">
        <f t="shared" si="961"/>
        <v>591812140.03129041</v>
      </c>
      <c r="S224">
        <f t="shared" si="962"/>
        <v>5918.1214003129044</v>
      </c>
      <c r="T224">
        <f t="shared" si="963"/>
        <v>5.9181214003129048</v>
      </c>
    </row>
    <row r="225" spans="1:20" x14ac:dyDescent="0.25">
      <c r="A225" s="5">
        <v>44368</v>
      </c>
      <c r="B225">
        <v>0.41347</v>
      </c>
      <c r="C225">
        <v>0.41597000000000001</v>
      </c>
      <c r="D225">
        <v>0.33200000000000002</v>
      </c>
      <c r="E225">
        <v>0.33321000000000001</v>
      </c>
      <c r="F225">
        <v>14958564.1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-0.97118018339883316</v>
      </c>
      <c r="Q225">
        <f t="shared" si="960"/>
        <v>-14527461.026021201</v>
      </c>
      <c r="R225">
        <f t="shared" si="961"/>
        <v>590100029.16053665</v>
      </c>
      <c r="S225">
        <f t="shared" si="962"/>
        <v>5901.0002916053663</v>
      </c>
      <c r="T225">
        <f t="shared" si="963"/>
        <v>5.9010002916053663</v>
      </c>
    </row>
    <row r="226" spans="1:20" x14ac:dyDescent="0.25">
      <c r="A226" s="5">
        <v>44367</v>
      </c>
      <c r="B226">
        <v>0.40761999999999998</v>
      </c>
      <c r="C226">
        <v>0.41843000000000002</v>
      </c>
      <c r="D226">
        <v>0.38052999999999998</v>
      </c>
      <c r="E226">
        <v>0.41302</v>
      </c>
      <c r="F226">
        <v>8156421.7999999998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0.71451187335092248</v>
      </c>
      <c r="Q226">
        <f t="shared" si="960"/>
        <v>5827860.2201583032</v>
      </c>
      <c r="R226">
        <f t="shared" si="961"/>
        <v>604627490.18655789</v>
      </c>
      <c r="S226">
        <f t="shared" si="962"/>
        <v>6046.2749018655786</v>
      </c>
      <c r="T226">
        <f t="shared" si="963"/>
        <v>6.046274901865579</v>
      </c>
    </row>
    <row r="227" spans="1:20" x14ac:dyDescent="0.25">
      <c r="A227" s="5">
        <v>44366</v>
      </c>
      <c r="B227">
        <v>0.40403</v>
      </c>
      <c r="C227">
        <v>0.43248999999999999</v>
      </c>
      <c r="D227">
        <v>0.40118999999999999</v>
      </c>
      <c r="E227">
        <v>0.40760999999999997</v>
      </c>
      <c r="F227">
        <v>10255646.699999999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-0.58977635782747717</v>
      </c>
      <c r="Q227">
        <f t="shared" si="960"/>
        <v>-6048537.9578913851</v>
      </c>
      <c r="R227">
        <f t="shared" si="961"/>
        <v>598799629.96639955</v>
      </c>
      <c r="S227">
        <f t="shared" si="962"/>
        <v>5987.9962996639952</v>
      </c>
      <c r="T227">
        <f t="shared" si="963"/>
        <v>5.9879962996639948</v>
      </c>
    </row>
    <row r="228" spans="1:20" x14ac:dyDescent="0.25">
      <c r="A228" s="5">
        <v>44365</v>
      </c>
      <c r="B228">
        <v>0.44130000000000003</v>
      </c>
      <c r="C228">
        <v>0.44530999999999998</v>
      </c>
      <c r="D228">
        <v>0.37951000000000001</v>
      </c>
      <c r="E228">
        <v>0.40448000000000001</v>
      </c>
      <c r="F228">
        <v>14133919.699999999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-0.24103343465045582</v>
      </c>
      <c r="Q228">
        <f t="shared" si="960"/>
        <v>-3406747.2103647399</v>
      </c>
      <c r="R228">
        <f t="shared" si="961"/>
        <v>604848167.9242909</v>
      </c>
      <c r="S228">
        <f t="shared" si="962"/>
        <v>6048.4816792429092</v>
      </c>
      <c r="T228">
        <f t="shared" si="963"/>
        <v>6.0484816792429088</v>
      </c>
    </row>
    <row r="229" spans="1:20" x14ac:dyDescent="0.25">
      <c r="A229" s="5">
        <v>44364</v>
      </c>
      <c r="B229">
        <v>0.42897000000000002</v>
      </c>
      <c r="C229">
        <v>0.45356999999999997</v>
      </c>
      <c r="D229">
        <v>0.42159999999999997</v>
      </c>
      <c r="E229">
        <v>0.44127</v>
      </c>
      <c r="F229">
        <v>9614887.3000000007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0.23052862058179679</v>
      </c>
      <c r="Q229">
        <f t="shared" si="960"/>
        <v>2216506.7063184367</v>
      </c>
      <c r="R229">
        <f t="shared" si="961"/>
        <v>608254915.13465559</v>
      </c>
      <c r="S229">
        <f t="shared" si="962"/>
        <v>6082.5491513465558</v>
      </c>
      <c r="T229">
        <f t="shared" si="963"/>
        <v>6.0825491513465559</v>
      </c>
    </row>
    <row r="230" spans="1:20" x14ac:dyDescent="0.25">
      <c r="A230" s="5">
        <v>44363</v>
      </c>
      <c r="B230">
        <v>0.47244000000000003</v>
      </c>
      <c r="C230">
        <v>0.47481000000000001</v>
      </c>
      <c r="D230">
        <v>0.42092000000000002</v>
      </c>
      <c r="E230">
        <v>0.42854999999999999</v>
      </c>
      <c r="F230">
        <v>10478615.4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-0.71683058081276785</v>
      </c>
      <c r="Q230">
        <f t="shared" si="960"/>
        <v>-7511391.9632956143</v>
      </c>
      <c r="R230">
        <f t="shared" si="961"/>
        <v>606038408.42833722</v>
      </c>
      <c r="S230">
        <f t="shared" si="962"/>
        <v>6060.3840842833724</v>
      </c>
      <c r="T230">
        <f t="shared" si="963"/>
        <v>6.0603840842833723</v>
      </c>
    </row>
    <row r="231" spans="1:20" x14ac:dyDescent="0.25">
      <c r="A231" s="5">
        <v>44362</v>
      </c>
      <c r="B231">
        <v>0.46082000000000001</v>
      </c>
      <c r="C231">
        <v>0.48956</v>
      </c>
      <c r="D231">
        <v>0.45356000000000002</v>
      </c>
      <c r="E231">
        <v>0.47212999999999999</v>
      </c>
      <c r="F231">
        <v>8985967.5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3.1666666666665975E-2</v>
      </c>
      <c r="Q231">
        <f t="shared" si="960"/>
        <v>284555.63749999378</v>
      </c>
      <c r="R231">
        <f t="shared" si="961"/>
        <v>613549800.3916328</v>
      </c>
      <c r="S231">
        <f t="shared" si="962"/>
        <v>6135.4980039163283</v>
      </c>
      <c r="T231">
        <f t="shared" si="963"/>
        <v>6.1354980039163287</v>
      </c>
    </row>
    <row r="232" spans="1:20" x14ac:dyDescent="0.25">
      <c r="A232" s="5">
        <v>44361</v>
      </c>
      <c r="B232">
        <v>0.43520999999999999</v>
      </c>
      <c r="C232">
        <v>0.5</v>
      </c>
      <c r="D232">
        <v>0.42664999999999997</v>
      </c>
      <c r="E232">
        <v>0.46037</v>
      </c>
      <c r="F232">
        <v>17003399.300000001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-8.0572597137013882E-2</v>
      </c>
      <c r="Q232">
        <f t="shared" si="960"/>
        <v>-1370008.041758684</v>
      </c>
      <c r="R232">
        <f t="shared" si="961"/>
        <v>613265244.75413275</v>
      </c>
      <c r="S232">
        <f t="shared" si="962"/>
        <v>6132.6524475413271</v>
      </c>
      <c r="T232">
        <f t="shared" si="963"/>
        <v>6.1326524475413269</v>
      </c>
    </row>
    <row r="233" spans="1:20" x14ac:dyDescent="0.25">
      <c r="A233" s="5">
        <v>44360</v>
      </c>
      <c r="B233">
        <v>0.40822999999999998</v>
      </c>
      <c r="C233">
        <v>0.43909999999999999</v>
      </c>
      <c r="D233">
        <v>0.39623000000000003</v>
      </c>
      <c r="E233">
        <v>0.43536000000000002</v>
      </c>
      <c r="F233">
        <v>8522704.5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0.8255190109633791</v>
      </c>
      <c r="Q233">
        <f t="shared" si="960"/>
        <v>7035654.5895731403</v>
      </c>
      <c r="R233">
        <f t="shared" si="961"/>
        <v>614635252.7958914</v>
      </c>
      <c r="S233">
        <f t="shared" si="962"/>
        <v>6146.3525279589139</v>
      </c>
      <c r="T233">
        <f t="shared" si="963"/>
        <v>6.1463525279589142</v>
      </c>
    </row>
    <row r="234" spans="1:20" x14ac:dyDescent="0.25">
      <c r="A234" s="5">
        <v>44359</v>
      </c>
      <c r="B234">
        <v>0.42598999999999998</v>
      </c>
      <c r="C234">
        <v>0.42741000000000001</v>
      </c>
      <c r="D234">
        <v>0.39300000000000002</v>
      </c>
      <c r="E234">
        <v>0.40853</v>
      </c>
      <c r="F234">
        <v>12901303.6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-9.7355419936065682E-2</v>
      </c>
      <c r="Q234">
        <f t="shared" si="960"/>
        <v>-1256011.829700676</v>
      </c>
      <c r="R234">
        <f t="shared" si="961"/>
        <v>607599598.20631826</v>
      </c>
      <c r="S234">
        <f t="shared" si="962"/>
        <v>6075.995982063183</v>
      </c>
      <c r="T234">
        <f t="shared" si="963"/>
        <v>6.0759959820631826</v>
      </c>
    </row>
    <row r="235" spans="1:20" x14ac:dyDescent="0.25">
      <c r="A235" s="5">
        <v>44358</v>
      </c>
      <c r="B235">
        <v>0.45473000000000002</v>
      </c>
      <c r="C235">
        <v>0.46994999999999998</v>
      </c>
      <c r="D235">
        <v>0.41660999999999998</v>
      </c>
      <c r="E235">
        <v>0.42631999999999998</v>
      </c>
      <c r="F235">
        <v>9943616.9000000004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-0.63592050993625804</v>
      </c>
      <c r="Q235">
        <f t="shared" si="960"/>
        <v>-6323349.9296587938</v>
      </c>
      <c r="R235">
        <f t="shared" si="961"/>
        <v>608855610.03601897</v>
      </c>
      <c r="S235">
        <f t="shared" si="962"/>
        <v>6088.5561003601897</v>
      </c>
      <c r="T235">
        <f t="shared" si="963"/>
        <v>6.08855610036019</v>
      </c>
    </row>
    <row r="236" spans="1:20" x14ac:dyDescent="0.25">
      <c r="A236" s="5">
        <v>44357</v>
      </c>
      <c r="B236">
        <v>0.49314999999999998</v>
      </c>
      <c r="C236">
        <v>0.49723000000000001</v>
      </c>
      <c r="D236">
        <v>0.44768000000000002</v>
      </c>
      <c r="E236">
        <v>0.45504</v>
      </c>
      <c r="F236">
        <v>12524178.6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-0.70292633703330054</v>
      </c>
      <c r="Q236">
        <f t="shared" si="960"/>
        <v>-8803574.9876488503</v>
      </c>
      <c r="R236">
        <f t="shared" si="961"/>
        <v>615178959.96567774</v>
      </c>
      <c r="S236">
        <f t="shared" si="962"/>
        <v>6151.7895996567777</v>
      </c>
      <c r="T236">
        <f t="shared" si="963"/>
        <v>6.1517895996567775</v>
      </c>
    </row>
    <row r="237" spans="1:20" x14ac:dyDescent="0.25">
      <c r="A237" s="5">
        <v>44356</v>
      </c>
      <c r="B237">
        <v>0.50004999999999999</v>
      </c>
      <c r="C237">
        <v>0.51227999999999996</v>
      </c>
      <c r="D237">
        <v>0.45615</v>
      </c>
      <c r="E237">
        <v>0.49226999999999999</v>
      </c>
      <c r="F237">
        <v>18704699.399999999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0.28701229289150232</v>
      </c>
      <c r="Q237">
        <f t="shared" si="960"/>
        <v>5368478.6626403071</v>
      </c>
      <c r="R237">
        <f t="shared" si="961"/>
        <v>623982534.95332658</v>
      </c>
      <c r="S237">
        <f t="shared" si="962"/>
        <v>6239.8253495332656</v>
      </c>
      <c r="T237">
        <f t="shared" si="963"/>
        <v>6.2398253495332652</v>
      </c>
    </row>
    <row r="238" spans="1:20" x14ac:dyDescent="0.25">
      <c r="A238" s="5">
        <v>44355</v>
      </c>
      <c r="B238">
        <v>0.47475000000000001</v>
      </c>
      <c r="C238">
        <v>0.50848000000000004</v>
      </c>
      <c r="D238">
        <v>0.41932999999999998</v>
      </c>
      <c r="E238">
        <v>0.49951000000000001</v>
      </c>
      <c r="F238">
        <v>17796397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0.79876612450925344</v>
      </c>
      <c r="Q238">
        <f t="shared" si="960"/>
        <v>14215159.061918104</v>
      </c>
      <c r="R238">
        <f t="shared" si="961"/>
        <v>618614056.29068625</v>
      </c>
      <c r="S238">
        <f t="shared" si="962"/>
        <v>6186.1405629068622</v>
      </c>
      <c r="T238">
        <f t="shared" si="963"/>
        <v>6.1861405629068624</v>
      </c>
    </row>
    <row r="239" spans="1:20" x14ac:dyDescent="0.25">
      <c r="A239" s="5">
        <v>44354</v>
      </c>
      <c r="B239">
        <v>0.53546000000000005</v>
      </c>
      <c r="C239">
        <v>0.54983000000000004</v>
      </c>
      <c r="D239">
        <v>0.46532000000000001</v>
      </c>
      <c r="E239">
        <v>0.47467999999999999</v>
      </c>
      <c r="F239">
        <v>10547519.5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-0.77848775292864802</v>
      </c>
      <c r="Q239">
        <f t="shared" si="960"/>
        <v>-8211114.7545260973</v>
      </c>
      <c r="R239">
        <f t="shared" si="961"/>
        <v>604398897.22876811</v>
      </c>
      <c r="S239">
        <f t="shared" si="962"/>
        <v>6043.9889722876815</v>
      </c>
      <c r="T239">
        <f t="shared" si="963"/>
        <v>6.0439889722876812</v>
      </c>
    </row>
    <row r="240" spans="1:20" x14ac:dyDescent="0.25">
      <c r="A240" s="5">
        <v>44353</v>
      </c>
      <c r="B240">
        <v>0.51753000000000005</v>
      </c>
      <c r="C240">
        <v>0.54137000000000002</v>
      </c>
      <c r="D240">
        <v>0.51297999999999999</v>
      </c>
      <c r="E240">
        <v>0.53544999999999998</v>
      </c>
      <c r="F240">
        <v>8065657.4000000004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0.582951743571678</v>
      </c>
      <c r="Q240">
        <f t="shared" si="960"/>
        <v>4701889.0443818076</v>
      </c>
      <c r="R240">
        <f t="shared" si="961"/>
        <v>612610011.98329425</v>
      </c>
      <c r="S240">
        <f t="shared" si="962"/>
        <v>6126.1001198329423</v>
      </c>
      <c r="T240">
        <f t="shared" si="963"/>
        <v>6.1261001198329419</v>
      </c>
    </row>
    <row r="241" spans="1:20" x14ac:dyDescent="0.25">
      <c r="A241" s="5">
        <v>44352</v>
      </c>
      <c r="B241">
        <v>0.54981000000000002</v>
      </c>
      <c r="C241">
        <v>0.59789999999999999</v>
      </c>
      <c r="D241">
        <v>0.50117</v>
      </c>
      <c r="E241">
        <v>0.51841000000000004</v>
      </c>
      <c r="F241">
        <v>18009613.100000001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-0.6435438850408346</v>
      </c>
      <c r="Q241">
        <f t="shared" si="960"/>
        <v>-11589976.38245631</v>
      </c>
      <c r="R241">
        <f t="shared" si="961"/>
        <v>607908122.93891239</v>
      </c>
      <c r="S241">
        <f t="shared" si="962"/>
        <v>6079.081229389124</v>
      </c>
      <c r="T241">
        <f t="shared" si="963"/>
        <v>6.0790812293891241</v>
      </c>
    </row>
    <row r="242" spans="1:20" x14ac:dyDescent="0.25">
      <c r="A242" s="5">
        <v>44351</v>
      </c>
      <c r="B242">
        <v>0.61</v>
      </c>
      <c r="C242">
        <v>0.61097999999999997</v>
      </c>
      <c r="D242">
        <v>0.52253000000000005</v>
      </c>
      <c r="E242">
        <v>0.54920999999999998</v>
      </c>
      <c r="F242">
        <v>19645604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-0.39672131147541095</v>
      </c>
      <c r="Q242">
        <f t="shared" si="960"/>
        <v>-7793829.7836065795</v>
      </c>
      <c r="R242">
        <f t="shared" si="961"/>
        <v>619498099.32136869</v>
      </c>
      <c r="S242">
        <f t="shared" si="962"/>
        <v>6194.9809932136868</v>
      </c>
      <c r="T242">
        <f t="shared" si="963"/>
        <v>6.1949809932136866</v>
      </c>
    </row>
    <row r="243" spans="1:20" x14ac:dyDescent="0.25">
      <c r="A243" s="5">
        <v>44350</v>
      </c>
      <c r="B243">
        <v>0.59769000000000005</v>
      </c>
      <c r="C243">
        <v>0.65</v>
      </c>
      <c r="D243">
        <v>0.57428000000000001</v>
      </c>
      <c r="E243">
        <v>0.60997999999999997</v>
      </c>
      <c r="F243">
        <v>35044652.399999999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-5.7052297939779464E-2</v>
      </c>
      <c r="Q243">
        <f t="shared" si="960"/>
        <v>-1999377.9499208073</v>
      </c>
      <c r="R243">
        <f t="shared" si="961"/>
        <v>627291929.10497522</v>
      </c>
      <c r="S243">
        <f t="shared" si="962"/>
        <v>6272.9192910497522</v>
      </c>
      <c r="T243">
        <f t="shared" si="963"/>
        <v>6.2729192910497522</v>
      </c>
    </row>
    <row r="244" spans="1:20" x14ac:dyDescent="0.25">
      <c r="A244" s="5">
        <v>44349</v>
      </c>
      <c r="B244">
        <v>0.62863999999999998</v>
      </c>
      <c r="C244">
        <v>0.63907000000000003</v>
      </c>
      <c r="D244">
        <v>0.58257999999999999</v>
      </c>
      <c r="E244">
        <v>0.59767000000000003</v>
      </c>
      <c r="F244">
        <v>29627272.5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-0.46574614976101836</v>
      </c>
      <c r="Q244">
        <f t="shared" si="960"/>
        <v>-13798788.094795501</v>
      </c>
      <c r="R244">
        <f t="shared" si="961"/>
        <v>629291307.054896</v>
      </c>
      <c r="S244">
        <f t="shared" si="962"/>
        <v>6292.9130705489597</v>
      </c>
      <c r="T244">
        <f t="shared" si="963"/>
        <v>6.29291307054896</v>
      </c>
    </row>
    <row r="245" spans="1:20" x14ac:dyDescent="0.25">
      <c r="A245" s="5">
        <v>44348</v>
      </c>
      <c r="B245">
        <v>0.56401000000000001</v>
      </c>
      <c r="C245">
        <v>0.65498999999999996</v>
      </c>
      <c r="D245">
        <v>0.54076000000000002</v>
      </c>
      <c r="E245">
        <v>0.62865000000000004</v>
      </c>
      <c r="F245">
        <v>80375983.599999994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0.53882517727392221</v>
      </c>
      <c r="Q245">
        <f t="shared" si="960"/>
        <v>43308603.61183586</v>
      </c>
      <c r="R245">
        <f t="shared" si="961"/>
        <v>643090095.14969146</v>
      </c>
      <c r="S245">
        <f t="shared" si="962"/>
        <v>6430.9009514969148</v>
      </c>
      <c r="T245">
        <f t="shared" si="963"/>
        <v>6.4309009514969144</v>
      </c>
    </row>
    <row r="246" spans="1:20" x14ac:dyDescent="0.25">
      <c r="A246" s="5">
        <v>44347</v>
      </c>
      <c r="B246">
        <v>0.45606000000000002</v>
      </c>
      <c r="C246">
        <v>0.56589</v>
      </c>
      <c r="D246">
        <v>0.42706</v>
      </c>
      <c r="E246">
        <v>0.56589</v>
      </c>
      <c r="F246">
        <v>30700466.100000001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1</v>
      </c>
      <c r="Q246">
        <f t="shared" si="960"/>
        <v>30700466.100000001</v>
      </c>
      <c r="R246">
        <f t="shared" si="961"/>
        <v>599781491.53785563</v>
      </c>
      <c r="S246">
        <f t="shared" si="962"/>
        <v>5997.8149153785562</v>
      </c>
      <c r="T246">
        <f t="shared" si="963"/>
        <v>5.997814915378556</v>
      </c>
    </row>
    <row r="247" spans="1:20" x14ac:dyDescent="0.25">
      <c r="A247" s="5">
        <v>44346</v>
      </c>
      <c r="B247">
        <v>0.44952999999999999</v>
      </c>
      <c r="C247">
        <v>0.47320000000000001</v>
      </c>
      <c r="D247">
        <v>0.41728999999999999</v>
      </c>
      <c r="E247">
        <v>0.45630999999999999</v>
      </c>
      <c r="F247">
        <v>24858788.5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0.39581470219996384</v>
      </c>
      <c r="Q247">
        <f t="shared" si="960"/>
        <v>9839473.9671793859</v>
      </c>
      <c r="R247">
        <f t="shared" si="961"/>
        <v>569081025.4378556</v>
      </c>
      <c r="S247">
        <f t="shared" si="962"/>
        <v>5690.8102543785562</v>
      </c>
      <c r="T247">
        <f t="shared" si="963"/>
        <v>5.6908102543785564</v>
      </c>
    </row>
    <row r="248" spans="1:20" x14ac:dyDescent="0.25">
      <c r="A248" s="5">
        <v>44345</v>
      </c>
      <c r="B248">
        <v>0.51407000000000003</v>
      </c>
      <c r="C248">
        <v>0.53678999999999999</v>
      </c>
      <c r="D248">
        <v>0.42920999999999998</v>
      </c>
      <c r="E248">
        <v>0.44923000000000002</v>
      </c>
      <c r="F248">
        <v>30948738.100000001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-0.62781186094069463</v>
      </c>
      <c r="Q248">
        <f t="shared" si="960"/>
        <v>-19429984.86032718</v>
      </c>
      <c r="R248">
        <f t="shared" si="961"/>
        <v>559241551.47067618</v>
      </c>
      <c r="S248">
        <f t="shared" si="962"/>
        <v>5592.4155147067622</v>
      </c>
      <c r="T248">
        <f t="shared" si="963"/>
        <v>5.5924155147067625</v>
      </c>
    </row>
    <row r="249" spans="1:20" x14ac:dyDescent="0.25">
      <c r="A249" s="5">
        <v>44344</v>
      </c>
      <c r="B249">
        <v>0.60219999999999996</v>
      </c>
      <c r="C249">
        <v>0.61255999999999999</v>
      </c>
      <c r="D249">
        <v>0.49718000000000001</v>
      </c>
      <c r="E249">
        <v>0.51478000000000002</v>
      </c>
      <c r="F249">
        <v>25840426.199999999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-0.6949211301785404</v>
      </c>
      <c r="Q249">
        <f t="shared" si="960"/>
        <v>-17957058.179199167</v>
      </c>
      <c r="R249">
        <f t="shared" si="961"/>
        <v>578671536.33100331</v>
      </c>
      <c r="S249">
        <f t="shared" si="962"/>
        <v>5786.7153633100334</v>
      </c>
      <c r="T249">
        <f t="shared" si="963"/>
        <v>5.7867153633100337</v>
      </c>
    </row>
    <row r="250" spans="1:20" x14ac:dyDescent="0.25">
      <c r="A250" s="5">
        <v>44343</v>
      </c>
      <c r="B250">
        <v>0.59140999999999999</v>
      </c>
      <c r="C250">
        <v>0.69</v>
      </c>
      <c r="D250">
        <v>0.52800000000000002</v>
      </c>
      <c r="E250">
        <v>0.60150000000000003</v>
      </c>
      <c r="F250">
        <v>46295015.600000001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-9.2592592592592032E-2</v>
      </c>
      <c r="Q250">
        <f t="shared" si="960"/>
        <v>-4286575.5185184926</v>
      </c>
      <c r="R250">
        <f t="shared" si="961"/>
        <v>596628594.51020253</v>
      </c>
      <c r="S250">
        <f t="shared" si="962"/>
        <v>5966.2859451020249</v>
      </c>
      <c r="T250">
        <f t="shared" si="963"/>
        <v>5.9662859451020251</v>
      </c>
    </row>
    <row r="251" spans="1:20" x14ac:dyDescent="0.25">
      <c r="A251" s="5">
        <v>44342</v>
      </c>
      <c r="B251">
        <v>0.47899000000000003</v>
      </c>
      <c r="C251">
        <v>0.59153999999999995</v>
      </c>
      <c r="D251">
        <v>0.46751999999999999</v>
      </c>
      <c r="E251">
        <v>0.59086000000000005</v>
      </c>
      <c r="F251">
        <v>19977626.899999999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0.98903402676987739</v>
      </c>
      <c r="Q251">
        <f t="shared" si="960"/>
        <v>19758552.778213222</v>
      </c>
      <c r="R251">
        <f t="shared" si="961"/>
        <v>600915170.02872097</v>
      </c>
      <c r="S251">
        <f t="shared" si="962"/>
        <v>6009.1517002872097</v>
      </c>
      <c r="T251">
        <f t="shared" si="963"/>
        <v>6.0091517002872097</v>
      </c>
    </row>
    <row r="252" spans="1:20" x14ac:dyDescent="0.25">
      <c r="A252" s="5">
        <v>44341</v>
      </c>
      <c r="B252">
        <v>0.47889999999999999</v>
      </c>
      <c r="C252">
        <v>0.50753000000000004</v>
      </c>
      <c r="D252">
        <v>0.43409999999999999</v>
      </c>
      <c r="E252">
        <v>0.47876999999999997</v>
      </c>
      <c r="F252">
        <v>16393005.199999999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0.21666893640201434</v>
      </c>
      <c r="Q252">
        <f t="shared" si="960"/>
        <v>3551855.0011166902</v>
      </c>
      <c r="R252">
        <f t="shared" si="961"/>
        <v>581156617.25050771</v>
      </c>
      <c r="S252">
        <f t="shared" si="962"/>
        <v>5811.5661725050768</v>
      </c>
      <c r="T252">
        <f t="shared" si="963"/>
        <v>5.8115661725050769</v>
      </c>
    </row>
    <row r="253" spans="1:20" x14ac:dyDescent="0.25">
      <c r="A253" s="5">
        <v>44340</v>
      </c>
      <c r="B253">
        <v>0.36553999999999998</v>
      </c>
      <c r="C253">
        <v>0.48448999999999998</v>
      </c>
      <c r="D253">
        <v>0.36180000000000001</v>
      </c>
      <c r="E253">
        <v>0.47920000000000001</v>
      </c>
      <c r="F253">
        <v>24750529.100000001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0.91376640312984003</v>
      </c>
      <c r="Q253">
        <f t="shared" si="960"/>
        <v>22616201.95126744</v>
      </c>
      <c r="R253">
        <f t="shared" si="961"/>
        <v>577604762.24939108</v>
      </c>
      <c r="S253">
        <f t="shared" si="962"/>
        <v>5776.0476224939111</v>
      </c>
      <c r="T253">
        <f t="shared" si="963"/>
        <v>5.7760476224939108</v>
      </c>
    </row>
    <row r="254" spans="1:20" x14ac:dyDescent="0.25">
      <c r="A254" s="5">
        <v>44339</v>
      </c>
      <c r="B254">
        <v>0.41515999999999997</v>
      </c>
      <c r="C254">
        <v>0.432</v>
      </c>
      <c r="D254">
        <v>0.28672999999999998</v>
      </c>
      <c r="E254">
        <v>0.36499999999999999</v>
      </c>
      <c r="F254">
        <v>38883202.799999997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7.757967921800786E-2</v>
      </c>
      <c r="Q254">
        <f t="shared" si="960"/>
        <v>3016546.400192745</v>
      </c>
      <c r="R254">
        <f t="shared" si="961"/>
        <v>554988560.2981236</v>
      </c>
      <c r="S254">
        <f t="shared" si="962"/>
        <v>5549.8856029812359</v>
      </c>
      <c r="T254">
        <f t="shared" si="963"/>
        <v>5.5498856029812362</v>
      </c>
    </row>
    <row r="255" spans="1:20" x14ac:dyDescent="0.25">
      <c r="A255" s="5">
        <v>44338</v>
      </c>
      <c r="B255">
        <v>0.46178999999999998</v>
      </c>
      <c r="C255">
        <v>0.47065000000000001</v>
      </c>
      <c r="D255">
        <v>0.40062999999999999</v>
      </c>
      <c r="E255">
        <v>0.41592000000000001</v>
      </c>
      <c r="F255">
        <v>20157442.899999999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-0.56326763781776579</v>
      </c>
      <c r="Q255">
        <f t="shared" si="960"/>
        <v>-11354035.246729493</v>
      </c>
      <c r="R255">
        <f t="shared" si="961"/>
        <v>551972013.89793086</v>
      </c>
      <c r="S255">
        <f t="shared" si="962"/>
        <v>5519.720138979309</v>
      </c>
      <c r="T255">
        <f t="shared" si="963"/>
        <v>5.5197201389793094</v>
      </c>
    </row>
    <row r="256" spans="1:20" x14ac:dyDescent="0.25">
      <c r="A256" s="5">
        <v>44337</v>
      </c>
      <c r="B256">
        <v>0.55284</v>
      </c>
      <c r="C256">
        <v>0.59177000000000002</v>
      </c>
      <c r="D256">
        <v>0.39579999999999999</v>
      </c>
      <c r="E256">
        <v>0.46188000000000001</v>
      </c>
      <c r="F256">
        <v>21599623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-0.32561106291779335</v>
      </c>
      <c r="Q256">
        <f t="shared" si="960"/>
        <v>-7033076.2036536159</v>
      </c>
      <c r="R256">
        <f t="shared" si="961"/>
        <v>563326049.14466035</v>
      </c>
      <c r="S256">
        <f t="shared" si="962"/>
        <v>5633.2604914466037</v>
      </c>
      <c r="T256">
        <f t="shared" si="963"/>
        <v>5.6332604914466033</v>
      </c>
    </row>
    <row r="257" spans="1:20" x14ac:dyDescent="0.25">
      <c r="A257" s="5">
        <v>44336</v>
      </c>
      <c r="B257">
        <v>0.46224999999999999</v>
      </c>
      <c r="C257">
        <v>0.57199</v>
      </c>
      <c r="D257">
        <v>0.40759000000000001</v>
      </c>
      <c r="E257">
        <v>0.55274000000000001</v>
      </c>
      <c r="F257">
        <v>31844431.899999999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0.765815085158151</v>
      </c>
      <c r="Q257">
        <f t="shared" si="960"/>
        <v>24386946.327311438</v>
      </c>
      <c r="R257">
        <f t="shared" si="961"/>
        <v>570359125.34831393</v>
      </c>
      <c r="S257">
        <f t="shared" si="962"/>
        <v>5703.5912534831396</v>
      </c>
      <c r="T257">
        <f t="shared" si="963"/>
        <v>5.7035912534831397</v>
      </c>
    </row>
    <row r="258" spans="1:20" x14ac:dyDescent="0.25">
      <c r="A258" s="5">
        <v>44335</v>
      </c>
      <c r="B258">
        <v>0.74961</v>
      </c>
      <c r="C258">
        <v>0.76293</v>
      </c>
      <c r="D258">
        <v>0.314</v>
      </c>
      <c r="E258">
        <v>0.46343000000000001</v>
      </c>
      <c r="F258">
        <v>65583105.299999997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-0.33428374134052075</v>
      </c>
      <c r="Q258">
        <f t="shared" si="960"/>
        <v>-21923365.808413334</v>
      </c>
      <c r="R258">
        <f t="shared" si="961"/>
        <v>545972179.02100253</v>
      </c>
      <c r="S258">
        <f t="shared" si="962"/>
        <v>5459.7217902100256</v>
      </c>
      <c r="T258">
        <f t="shared" si="963"/>
        <v>5.4597217902100255</v>
      </c>
    </row>
    <row r="259" spans="1:20" x14ac:dyDescent="0.25">
      <c r="A259" s="5">
        <v>44334</v>
      </c>
      <c r="B259">
        <v>0.71899999999999997</v>
      </c>
      <c r="C259">
        <v>0.78356999999999999</v>
      </c>
      <c r="D259">
        <v>0.71213000000000004</v>
      </c>
      <c r="E259">
        <v>0.74899000000000004</v>
      </c>
      <c r="F259">
        <v>13293875.6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3.1914893617022135E-2</v>
      </c>
      <c r="Q259">
        <f t="shared" si="960"/>
        <v>424272.62553192629</v>
      </c>
      <c r="R259">
        <f t="shared" si="961"/>
        <v>567895544.82941592</v>
      </c>
      <c r="S259">
        <f t="shared" si="962"/>
        <v>5678.9554482941594</v>
      </c>
      <c r="T259">
        <f t="shared" si="963"/>
        <v>5.6789554482941593</v>
      </c>
    </row>
    <row r="260" spans="1:20" x14ac:dyDescent="0.25">
      <c r="A260" s="5">
        <v>44333</v>
      </c>
      <c r="B260">
        <v>0.77585000000000004</v>
      </c>
      <c r="C260">
        <v>0.77585000000000004</v>
      </c>
      <c r="D260">
        <v>0.69659000000000004</v>
      </c>
      <c r="E260">
        <v>0.71828000000000003</v>
      </c>
      <c r="F260">
        <v>19162191.899999999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-0.4526873580620745</v>
      </c>
      <c r="Q260">
        <f t="shared" si="960"/>
        <v>-8674482.0258894823</v>
      </c>
      <c r="R260">
        <f t="shared" si="961"/>
        <v>567471272.20388401</v>
      </c>
      <c r="S260">
        <f t="shared" si="962"/>
        <v>5674.7127220388402</v>
      </c>
      <c r="T260">
        <f t="shared" si="963"/>
        <v>5.6747127220388398</v>
      </c>
    </row>
    <row r="261" spans="1:20" x14ac:dyDescent="0.25">
      <c r="A261" s="5">
        <v>44332</v>
      </c>
      <c r="B261">
        <v>0.77370000000000005</v>
      </c>
      <c r="C261">
        <v>0.83518000000000003</v>
      </c>
      <c r="D261">
        <v>0.71972000000000003</v>
      </c>
      <c r="E261">
        <v>0.77500000000000002</v>
      </c>
      <c r="F261">
        <v>17621140.5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-4.2438939892603632E-2</v>
      </c>
      <c r="Q261">
        <f t="shared" si="960"/>
        <v>-747822.5225186235</v>
      </c>
      <c r="R261">
        <f t="shared" si="961"/>
        <v>576145754.22977352</v>
      </c>
      <c r="S261">
        <f t="shared" si="962"/>
        <v>5761.457542297735</v>
      </c>
      <c r="T261">
        <f t="shared" si="963"/>
        <v>5.7614575422977348</v>
      </c>
    </row>
    <row r="262" spans="1:20" x14ac:dyDescent="0.25">
      <c r="A262" s="5">
        <v>44331</v>
      </c>
      <c r="B262">
        <v>0.85202</v>
      </c>
      <c r="C262">
        <v>0.86302000000000001</v>
      </c>
      <c r="D262">
        <v>0.75002999999999997</v>
      </c>
      <c r="E262">
        <v>0.77495000000000003</v>
      </c>
      <c r="F262">
        <v>23506468.199999999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-0.55889901761217731</v>
      </c>
      <c r="Q262">
        <f t="shared" ref="Q262:Q325" si="965">F262*P262</f>
        <v>-13137741.984511886</v>
      </c>
      <c r="R262">
        <f t="shared" ref="R262:R325" si="966">R263+Q262</f>
        <v>576893576.75229216</v>
      </c>
      <c r="S262">
        <f t="shared" ref="S262:S325" si="967">R262/100000</f>
        <v>5768.9357675229212</v>
      </c>
      <c r="T262">
        <f t="shared" ref="T262:T325" si="968">S262/1000</f>
        <v>5.7689357675229216</v>
      </c>
    </row>
    <row r="263" spans="1:20" x14ac:dyDescent="0.25">
      <c r="A263" s="5">
        <v>44330</v>
      </c>
      <c r="B263">
        <v>0.82096999999999998</v>
      </c>
      <c r="C263">
        <v>0.86750000000000005</v>
      </c>
      <c r="D263">
        <v>0.79949000000000003</v>
      </c>
      <c r="E263">
        <v>0.85240000000000005</v>
      </c>
      <c r="F263">
        <v>20798414.100000001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0.55594765475665342</v>
      </c>
      <c r="Q263">
        <f t="shared" si="965"/>
        <v>11562829.541552713</v>
      </c>
      <c r="R263">
        <f t="shared" si="966"/>
        <v>590031318.73680401</v>
      </c>
      <c r="S263">
        <f t="shared" si="967"/>
        <v>5900.3131873680404</v>
      </c>
      <c r="T263">
        <f t="shared" si="968"/>
        <v>5.9003131873680408</v>
      </c>
    </row>
    <row r="264" spans="1:20" x14ac:dyDescent="0.25">
      <c r="A264" s="5">
        <v>44329</v>
      </c>
      <c r="B264">
        <v>0.80910000000000004</v>
      </c>
      <c r="C264">
        <v>0.87336999999999998</v>
      </c>
      <c r="D264">
        <v>0.74436000000000002</v>
      </c>
      <c r="E264">
        <v>0.82223999999999997</v>
      </c>
      <c r="F264">
        <v>33599389.899999999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0.20734826757615649</v>
      </c>
      <c r="Q264">
        <f t="shared" si="965"/>
        <v>6966775.287380809</v>
      </c>
      <c r="R264">
        <f t="shared" si="966"/>
        <v>578468489.19525135</v>
      </c>
      <c r="S264">
        <f t="shared" si="967"/>
        <v>5784.6848919525137</v>
      </c>
      <c r="T264">
        <f t="shared" si="968"/>
        <v>5.784684891952514</v>
      </c>
    </row>
    <row r="265" spans="1:20" x14ac:dyDescent="0.25">
      <c r="A265" s="5">
        <v>44328</v>
      </c>
      <c r="B265">
        <v>0.92708999999999997</v>
      </c>
      <c r="C265">
        <v>0.96443999999999996</v>
      </c>
      <c r="D265">
        <v>0.78769</v>
      </c>
      <c r="E265">
        <v>0.81271000000000004</v>
      </c>
      <c r="F265">
        <v>24394099.199999999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-0.7168882602545964</v>
      </c>
      <c r="Q265">
        <f t="shared" si="965"/>
        <v>-17487843.335966039</v>
      </c>
      <c r="R265">
        <f t="shared" si="966"/>
        <v>571501713.90787053</v>
      </c>
      <c r="S265">
        <f t="shared" si="967"/>
        <v>5715.0171390787054</v>
      </c>
      <c r="T265">
        <f t="shared" si="968"/>
        <v>5.7150171390787055</v>
      </c>
    </row>
    <row r="266" spans="1:20" x14ac:dyDescent="0.25">
      <c r="A266" s="5">
        <v>44327</v>
      </c>
      <c r="B266">
        <v>0.8609</v>
      </c>
      <c r="C266">
        <v>0.94452999999999998</v>
      </c>
      <c r="D266">
        <v>0.83567000000000002</v>
      </c>
      <c r="E266">
        <v>0.92642999999999998</v>
      </c>
      <c r="F266">
        <v>22364038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0.66746279625206661</v>
      </c>
      <c r="Q266">
        <f t="shared" si="965"/>
        <v>14927163.338967476</v>
      </c>
      <c r="R266">
        <f t="shared" si="966"/>
        <v>588989557.24383652</v>
      </c>
      <c r="S266">
        <f t="shared" si="967"/>
        <v>5889.895572438365</v>
      </c>
      <c r="T266">
        <f t="shared" si="968"/>
        <v>5.8898955724383653</v>
      </c>
    </row>
    <row r="267" spans="1:20" x14ac:dyDescent="0.25">
      <c r="A267" s="5">
        <v>44326</v>
      </c>
      <c r="B267">
        <v>0.97199999999999998</v>
      </c>
      <c r="C267">
        <v>0.99751999999999996</v>
      </c>
      <c r="D267">
        <v>0.80908999999999998</v>
      </c>
      <c r="E267">
        <v>0.86102000000000001</v>
      </c>
      <c r="F267">
        <v>27491505.600000001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-0.44881388313962706</v>
      </c>
      <c r="Q267">
        <f t="shared" si="965"/>
        <v>-12338569.381690804</v>
      </c>
      <c r="R267">
        <f t="shared" si="966"/>
        <v>574062393.90486908</v>
      </c>
      <c r="S267">
        <f t="shared" si="967"/>
        <v>5740.6239390486908</v>
      </c>
      <c r="T267">
        <f t="shared" si="968"/>
        <v>5.7406239390486906</v>
      </c>
    </row>
    <row r="268" spans="1:20" x14ac:dyDescent="0.25">
      <c r="A268" s="5">
        <v>44325</v>
      </c>
      <c r="B268">
        <v>1.0094399999999999</v>
      </c>
      <c r="C268">
        <v>1.0213399999999999</v>
      </c>
      <c r="D268">
        <v>0.94013000000000002</v>
      </c>
      <c r="E268">
        <v>0.97185999999999995</v>
      </c>
      <c r="F268">
        <v>19926314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-0.2185691417313147</v>
      </c>
      <c r="Q268">
        <f t="shared" si="965"/>
        <v>-4355277.34884868</v>
      </c>
      <c r="R268">
        <f t="shared" si="966"/>
        <v>586400963.28655994</v>
      </c>
      <c r="S268">
        <f t="shared" si="967"/>
        <v>5864.0096328655991</v>
      </c>
      <c r="T268">
        <f t="shared" si="968"/>
        <v>5.8640096328655993</v>
      </c>
    </row>
    <row r="269" spans="1:20" x14ac:dyDescent="0.25">
      <c r="A269" s="5">
        <v>44324</v>
      </c>
      <c r="B269">
        <v>1.01559</v>
      </c>
      <c r="C269">
        <v>1.0629999999999999</v>
      </c>
      <c r="D269">
        <v>0.98658000000000001</v>
      </c>
      <c r="E269">
        <v>1.0094399999999999</v>
      </c>
      <c r="F269">
        <v>33691669.100000001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-0.40172729651923839</v>
      </c>
      <c r="Q269">
        <f t="shared" si="965"/>
        <v>-13534863.142763762</v>
      </c>
      <c r="R269">
        <f t="shared" si="966"/>
        <v>590756240.63540864</v>
      </c>
      <c r="S269">
        <f t="shared" si="967"/>
        <v>5907.5624063540863</v>
      </c>
      <c r="T269">
        <f t="shared" si="968"/>
        <v>5.9075624063540859</v>
      </c>
    </row>
    <row r="270" spans="1:20" x14ac:dyDescent="0.25">
      <c r="A270" s="5">
        <v>44323</v>
      </c>
      <c r="B270">
        <v>0.97170000000000001</v>
      </c>
      <c r="C270">
        <v>1.0893200000000001</v>
      </c>
      <c r="D270">
        <v>0.93500000000000005</v>
      </c>
      <c r="E270">
        <v>1.01454</v>
      </c>
      <c r="F270">
        <v>50024689.5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3.0844997407982602E-2</v>
      </c>
      <c r="Q270">
        <f t="shared" si="965"/>
        <v>1543011.4179626345</v>
      </c>
      <c r="R270">
        <f t="shared" si="966"/>
        <v>604291103.77817237</v>
      </c>
      <c r="S270">
        <f t="shared" si="967"/>
        <v>6042.9110377817242</v>
      </c>
      <c r="T270">
        <f t="shared" si="968"/>
        <v>6.0429110377817246</v>
      </c>
    </row>
    <row r="271" spans="1:20" x14ac:dyDescent="0.25">
      <c r="A271" s="5">
        <v>44322</v>
      </c>
      <c r="B271">
        <v>0.97596000000000005</v>
      </c>
      <c r="C271">
        <v>1.02521</v>
      </c>
      <c r="D271">
        <v>0.93215999999999999</v>
      </c>
      <c r="E271">
        <v>0.97050000000000003</v>
      </c>
      <c r="F271">
        <v>30636462.399999999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-0.17592692101020838</v>
      </c>
      <c r="Q271">
        <f t="shared" si="965"/>
        <v>-5389778.5006770184</v>
      </c>
      <c r="R271">
        <f t="shared" si="966"/>
        <v>602748092.3602097</v>
      </c>
      <c r="S271">
        <f t="shared" si="967"/>
        <v>6027.4809236020974</v>
      </c>
      <c r="T271">
        <f t="shared" si="968"/>
        <v>6.0274809236020976</v>
      </c>
    </row>
    <row r="272" spans="1:20" x14ac:dyDescent="0.25">
      <c r="A272" s="5">
        <v>44321</v>
      </c>
      <c r="B272">
        <v>0.87751999999999997</v>
      </c>
      <c r="C272">
        <v>0.9788</v>
      </c>
      <c r="D272">
        <v>0.87044999999999995</v>
      </c>
      <c r="E272">
        <v>0.97543999999999997</v>
      </c>
      <c r="F272">
        <v>22229061.699999999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0.93797877249653849</v>
      </c>
      <c r="Q272">
        <f t="shared" si="965"/>
        <v>20850388.007115815</v>
      </c>
      <c r="R272">
        <f t="shared" si="966"/>
        <v>608137870.86088669</v>
      </c>
      <c r="S272">
        <f t="shared" si="967"/>
        <v>6081.3787086088669</v>
      </c>
      <c r="T272">
        <f t="shared" si="968"/>
        <v>6.0813787086088666</v>
      </c>
    </row>
    <row r="273" spans="1:20" x14ac:dyDescent="0.25">
      <c r="A273" s="5">
        <v>44320</v>
      </c>
      <c r="B273">
        <v>0.98351</v>
      </c>
      <c r="C273">
        <v>0.98580999999999996</v>
      </c>
      <c r="D273">
        <v>0.86143000000000003</v>
      </c>
      <c r="E273">
        <v>0.87956999999999996</v>
      </c>
      <c r="F273">
        <v>30398737.600000001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-0.70831323363884957</v>
      </c>
      <c r="Q273">
        <f t="shared" si="965"/>
        <v>-21531828.127994884</v>
      </c>
      <c r="R273">
        <f t="shared" si="966"/>
        <v>587287482.85377085</v>
      </c>
      <c r="S273">
        <f t="shared" si="967"/>
        <v>5872.8748285377087</v>
      </c>
      <c r="T273">
        <f t="shared" si="968"/>
        <v>5.872874828537709</v>
      </c>
    </row>
    <row r="274" spans="1:20" x14ac:dyDescent="0.25">
      <c r="A274" s="5">
        <v>44319</v>
      </c>
      <c r="B274">
        <v>0.96399000000000001</v>
      </c>
      <c r="C274">
        <v>1.03555</v>
      </c>
      <c r="D274">
        <v>0.96343999999999996</v>
      </c>
      <c r="E274">
        <v>0.98353000000000002</v>
      </c>
      <c r="F274">
        <v>27895643.399999999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-0.44279572874774509</v>
      </c>
      <c r="Q274">
        <f t="shared" si="965"/>
        <v>-12352071.748190224</v>
      </c>
      <c r="R274">
        <f t="shared" si="966"/>
        <v>608819310.98176575</v>
      </c>
      <c r="S274">
        <f t="shared" si="967"/>
        <v>6088.1931098176574</v>
      </c>
      <c r="T274">
        <f t="shared" si="968"/>
        <v>6.0881931098176576</v>
      </c>
    </row>
    <row r="275" spans="1:20" x14ac:dyDescent="0.25">
      <c r="A275" s="5">
        <v>44318</v>
      </c>
      <c r="B275">
        <v>0.98219000000000001</v>
      </c>
      <c r="C275">
        <v>0.999</v>
      </c>
      <c r="D275">
        <v>0.92271000000000003</v>
      </c>
      <c r="E275">
        <v>0.96330000000000005</v>
      </c>
      <c r="F275">
        <v>19228094.399999999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6.4097522611090085E-2</v>
      </c>
      <c r="Q275">
        <f t="shared" si="965"/>
        <v>1232473.2155721746</v>
      </c>
      <c r="R275">
        <f t="shared" si="966"/>
        <v>621171382.72995603</v>
      </c>
      <c r="S275">
        <f t="shared" si="967"/>
        <v>6211.7138272995608</v>
      </c>
      <c r="T275">
        <f t="shared" si="968"/>
        <v>6.2117138272995609</v>
      </c>
    </row>
    <row r="276" spans="1:20" x14ac:dyDescent="0.25">
      <c r="A276" s="5">
        <v>44317</v>
      </c>
      <c r="B276">
        <v>0.97685</v>
      </c>
      <c r="C276">
        <v>1.0267599999999999</v>
      </c>
      <c r="D276">
        <v>0.94823000000000002</v>
      </c>
      <c r="E276">
        <v>0.98221000000000003</v>
      </c>
      <c r="F276">
        <v>28558500.899999999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-0.13459824270979082</v>
      </c>
      <c r="Q276">
        <f t="shared" si="965"/>
        <v>-3843924.0355659793</v>
      </c>
      <c r="R276">
        <f t="shared" si="966"/>
        <v>619938909.51438391</v>
      </c>
      <c r="S276">
        <f t="shared" si="967"/>
        <v>6199.3890951438389</v>
      </c>
      <c r="T276">
        <f t="shared" si="968"/>
        <v>6.1993890951438386</v>
      </c>
    </row>
    <row r="277" spans="1:20" x14ac:dyDescent="0.25">
      <c r="A277" s="5">
        <v>44316</v>
      </c>
      <c r="B277">
        <v>0.84291000000000005</v>
      </c>
      <c r="C277">
        <v>0.97799999999999998</v>
      </c>
      <c r="D277">
        <v>0.82750999999999997</v>
      </c>
      <c r="E277">
        <v>0.97685999999999995</v>
      </c>
      <c r="F277">
        <v>36470534.100000001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0.984849491660575</v>
      </c>
      <c r="Q277">
        <f t="shared" si="965"/>
        <v>35917986.968974665</v>
      </c>
      <c r="R277">
        <f t="shared" si="966"/>
        <v>623782833.54994988</v>
      </c>
      <c r="S277">
        <f t="shared" si="967"/>
        <v>6237.8283354994992</v>
      </c>
      <c r="T277">
        <f t="shared" si="968"/>
        <v>6.2378283354994988</v>
      </c>
    </row>
    <row r="278" spans="1:20" x14ac:dyDescent="0.25">
      <c r="A278" s="5">
        <v>44315</v>
      </c>
      <c r="B278">
        <v>0.85619000000000001</v>
      </c>
      <c r="C278">
        <v>0.89080000000000004</v>
      </c>
      <c r="D278">
        <v>0.81279000000000001</v>
      </c>
      <c r="E278">
        <v>0.84289999999999998</v>
      </c>
      <c r="F278">
        <v>17825854.300000001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-0.2280476861940787</v>
      </c>
      <c r="Q278">
        <f t="shared" si="965"/>
        <v>-4065144.8275477686</v>
      </c>
      <c r="R278">
        <f t="shared" si="966"/>
        <v>587864846.58097517</v>
      </c>
      <c r="S278">
        <f t="shared" si="967"/>
        <v>5878.6484658097515</v>
      </c>
      <c r="T278">
        <f t="shared" si="968"/>
        <v>5.8786484658097518</v>
      </c>
    </row>
    <row r="279" spans="1:20" x14ac:dyDescent="0.25">
      <c r="A279" s="5">
        <v>44314</v>
      </c>
      <c r="B279">
        <v>0.90517000000000003</v>
      </c>
      <c r="C279">
        <v>0.91088999999999998</v>
      </c>
      <c r="D279">
        <v>0.81671000000000005</v>
      </c>
      <c r="E279">
        <v>0.85487999999999997</v>
      </c>
      <c r="F279">
        <v>18767191.699999999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-0.18942450626460067</v>
      </c>
      <c r="Q279">
        <f t="shared" si="965"/>
        <v>-3554966.0217456114</v>
      </c>
      <c r="R279">
        <f t="shared" si="966"/>
        <v>591929991.40852296</v>
      </c>
      <c r="S279">
        <f t="shared" si="967"/>
        <v>5919.2999140852298</v>
      </c>
      <c r="T279">
        <f t="shared" si="968"/>
        <v>5.9192999140852303</v>
      </c>
    </row>
    <row r="280" spans="1:20" x14ac:dyDescent="0.25">
      <c r="A280" s="5">
        <v>44313</v>
      </c>
      <c r="B280">
        <v>0.85287000000000002</v>
      </c>
      <c r="C280">
        <v>0.90742999999999996</v>
      </c>
      <c r="D280">
        <v>0.83077000000000001</v>
      </c>
      <c r="E280">
        <v>0.90517000000000003</v>
      </c>
      <c r="F280">
        <v>19753290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0.94103835116097234</v>
      </c>
      <c r="Q280">
        <f t="shared" si="965"/>
        <v>18588603.451604523</v>
      </c>
      <c r="R280">
        <f t="shared" si="966"/>
        <v>595484957.43026853</v>
      </c>
      <c r="S280">
        <f t="shared" si="967"/>
        <v>5954.8495743026851</v>
      </c>
      <c r="T280">
        <f t="shared" si="968"/>
        <v>5.9548495743026848</v>
      </c>
    </row>
    <row r="281" spans="1:20" x14ac:dyDescent="0.25">
      <c r="A281" s="5">
        <v>44312</v>
      </c>
      <c r="B281">
        <v>0.74312</v>
      </c>
      <c r="C281">
        <v>0.85858999999999996</v>
      </c>
      <c r="D281">
        <v>0.73475000000000001</v>
      </c>
      <c r="E281">
        <v>0.85309999999999997</v>
      </c>
      <c r="F281">
        <v>17214184.899999999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0.91133720930232565</v>
      </c>
      <c r="Q281">
        <f t="shared" si="965"/>
        <v>15687927.227180233</v>
      </c>
      <c r="R281">
        <f t="shared" si="966"/>
        <v>576896353.97866404</v>
      </c>
      <c r="S281">
        <f t="shared" si="967"/>
        <v>5768.9635397866405</v>
      </c>
      <c r="T281">
        <f t="shared" si="968"/>
        <v>5.7689635397866406</v>
      </c>
    </row>
    <row r="282" spans="1:20" x14ac:dyDescent="0.25">
      <c r="A282" s="5">
        <v>44311</v>
      </c>
      <c r="B282">
        <v>0.75529000000000002</v>
      </c>
      <c r="C282">
        <v>0.80908999999999998</v>
      </c>
      <c r="D282">
        <v>0.7</v>
      </c>
      <c r="E282">
        <v>0.74390999999999996</v>
      </c>
      <c r="F282">
        <v>15065496.1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-0.19497662480520678</v>
      </c>
      <c r="Q282">
        <f t="shared" si="965"/>
        <v>-2937419.580594006</v>
      </c>
      <c r="R282">
        <f t="shared" si="966"/>
        <v>561208426.7514838</v>
      </c>
      <c r="S282">
        <f t="shared" si="967"/>
        <v>5612.0842675148378</v>
      </c>
      <c r="T282">
        <f t="shared" si="968"/>
        <v>5.6120842675148381</v>
      </c>
    </row>
    <row r="283" spans="1:20" x14ac:dyDescent="0.25">
      <c r="A283" s="5">
        <v>44310</v>
      </c>
      <c r="B283">
        <v>0.82138999999999995</v>
      </c>
      <c r="C283">
        <v>0.82330000000000003</v>
      </c>
      <c r="D283">
        <v>0.74734999999999996</v>
      </c>
      <c r="E283">
        <v>0.75502999999999998</v>
      </c>
      <c r="F283">
        <v>17287113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-0.7977616853192887</v>
      </c>
      <c r="Q283">
        <f t="shared" si="965"/>
        <v>-13790996.401184985</v>
      </c>
      <c r="R283">
        <f t="shared" si="966"/>
        <v>564145846.33207786</v>
      </c>
      <c r="S283">
        <f t="shared" si="967"/>
        <v>5641.4584633207787</v>
      </c>
      <c r="T283">
        <f t="shared" si="968"/>
        <v>5.6414584633207792</v>
      </c>
    </row>
    <row r="284" spans="1:20" x14ac:dyDescent="0.25">
      <c r="A284" s="5">
        <v>44309</v>
      </c>
      <c r="B284">
        <v>0.80528999999999995</v>
      </c>
      <c r="C284">
        <v>0.83126</v>
      </c>
      <c r="D284">
        <v>0.68735000000000002</v>
      </c>
      <c r="E284">
        <v>0.82038</v>
      </c>
      <c r="F284">
        <v>34560467.600000001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0.84879438537975116</v>
      </c>
      <c r="Q284">
        <f t="shared" si="965"/>
        <v>29334730.854978804</v>
      </c>
      <c r="R284">
        <f t="shared" si="966"/>
        <v>577936842.7332629</v>
      </c>
      <c r="S284">
        <f t="shared" si="967"/>
        <v>5779.3684273326289</v>
      </c>
      <c r="T284">
        <f t="shared" si="968"/>
        <v>5.7793684273326287</v>
      </c>
    </row>
    <row r="285" spans="1:20" x14ac:dyDescent="0.25">
      <c r="A285" s="5">
        <v>44308</v>
      </c>
      <c r="B285">
        <v>0.84213000000000005</v>
      </c>
      <c r="C285">
        <v>0.91444000000000003</v>
      </c>
      <c r="D285">
        <v>0.77400000000000002</v>
      </c>
      <c r="E285">
        <v>0.80586999999999998</v>
      </c>
      <c r="F285">
        <v>27677095.800000001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-0.54614070065508469</v>
      </c>
      <c r="Q285">
        <f t="shared" si="965"/>
        <v>-15115588.492309902</v>
      </c>
      <c r="R285">
        <f t="shared" si="966"/>
        <v>548602111.8782841</v>
      </c>
      <c r="S285">
        <f t="shared" si="967"/>
        <v>5486.0211187828409</v>
      </c>
      <c r="T285">
        <f t="shared" si="968"/>
        <v>5.4860211187828405</v>
      </c>
    </row>
    <row r="286" spans="1:20" x14ac:dyDescent="0.25">
      <c r="A286" s="5">
        <v>44307</v>
      </c>
      <c r="B286">
        <v>0.88244</v>
      </c>
      <c r="C286">
        <v>0.91500999999999999</v>
      </c>
      <c r="D286">
        <v>0.83440000000000003</v>
      </c>
      <c r="E286">
        <v>0.84340999999999999</v>
      </c>
      <c r="F286">
        <v>21562636.399999999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-0.77645453417690191</v>
      </c>
      <c r="Q286">
        <f t="shared" si="965"/>
        <v>-16742406.801587908</v>
      </c>
      <c r="R286">
        <f t="shared" si="966"/>
        <v>563717700.37059402</v>
      </c>
      <c r="S286">
        <f t="shared" si="967"/>
        <v>5637.1770037059405</v>
      </c>
      <c r="T286">
        <f t="shared" si="968"/>
        <v>5.6371770037059408</v>
      </c>
    </row>
    <row r="287" spans="1:20" x14ac:dyDescent="0.25">
      <c r="A287" s="5">
        <v>44306</v>
      </c>
      <c r="B287">
        <v>0.86878999999999995</v>
      </c>
      <c r="C287">
        <v>0.90329999999999999</v>
      </c>
      <c r="D287">
        <v>0.75</v>
      </c>
      <c r="E287">
        <v>0.88251999999999997</v>
      </c>
      <c r="F287">
        <v>26090392.300000001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0.72889758643183278</v>
      </c>
      <c r="Q287">
        <f t="shared" si="965"/>
        <v>19017223.976529676</v>
      </c>
      <c r="R287">
        <f t="shared" si="966"/>
        <v>580460107.17218196</v>
      </c>
      <c r="S287">
        <f t="shared" si="967"/>
        <v>5804.6010717218196</v>
      </c>
      <c r="T287">
        <f t="shared" si="968"/>
        <v>5.8046010717218195</v>
      </c>
    </row>
    <row r="288" spans="1:20" x14ac:dyDescent="0.25">
      <c r="A288" s="5">
        <v>44305</v>
      </c>
      <c r="B288">
        <v>0.9597</v>
      </c>
      <c r="C288">
        <v>0.98199999999999998</v>
      </c>
      <c r="D288">
        <v>0.84123999999999999</v>
      </c>
      <c r="E288">
        <v>0.86846999999999996</v>
      </c>
      <c r="F288">
        <v>28209116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-0.61310031258880393</v>
      </c>
      <c r="Q288">
        <f t="shared" si="965"/>
        <v>-17295017.837453831</v>
      </c>
      <c r="R288">
        <f t="shared" si="966"/>
        <v>561442883.19565225</v>
      </c>
      <c r="S288">
        <f t="shared" si="967"/>
        <v>5614.4288319565221</v>
      </c>
      <c r="T288">
        <f t="shared" si="968"/>
        <v>5.6144288319565225</v>
      </c>
    </row>
    <row r="289" spans="1:20" x14ac:dyDescent="0.25">
      <c r="A289" s="5">
        <v>44304</v>
      </c>
      <c r="B289">
        <v>1.0934999999999999</v>
      </c>
      <c r="C289">
        <v>1.1060000000000001</v>
      </c>
      <c r="D289">
        <v>1.5100000000000001E-2</v>
      </c>
      <c r="E289">
        <v>0.9597</v>
      </c>
      <c r="F289">
        <v>67511177.799999997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0.73178109817581793</v>
      </c>
      <c r="Q289">
        <f t="shared" si="965"/>
        <v>49403403.829626895</v>
      </c>
      <c r="R289">
        <f t="shared" si="966"/>
        <v>578737901.03310609</v>
      </c>
      <c r="S289">
        <f t="shared" si="967"/>
        <v>5787.3790103310612</v>
      </c>
      <c r="T289">
        <f t="shared" si="968"/>
        <v>5.7873790103310609</v>
      </c>
    </row>
    <row r="290" spans="1:20" x14ac:dyDescent="0.25">
      <c r="A290" s="5">
        <v>44303</v>
      </c>
      <c r="B290">
        <v>1.1539999999999999</v>
      </c>
      <c r="C290">
        <v>1.2341899999999999</v>
      </c>
      <c r="D290">
        <v>1.0848500000000001</v>
      </c>
      <c r="E290">
        <v>1.093</v>
      </c>
      <c r="F290">
        <v>38508200.200000003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-0.89085308691576415</v>
      </c>
      <c r="Q290">
        <f t="shared" si="965"/>
        <v>-34305149.019740246</v>
      </c>
      <c r="R290">
        <f t="shared" si="966"/>
        <v>529334497.20347917</v>
      </c>
      <c r="S290">
        <f t="shared" si="967"/>
        <v>5293.3449720347917</v>
      </c>
      <c r="T290">
        <f t="shared" si="968"/>
        <v>5.2933449720347916</v>
      </c>
    </row>
    <row r="291" spans="1:20" x14ac:dyDescent="0.25">
      <c r="A291" s="5">
        <v>44302</v>
      </c>
      <c r="B291">
        <v>1.0984100000000001</v>
      </c>
      <c r="C291">
        <v>1.2170000000000001</v>
      </c>
      <c r="D291">
        <v>1.0221199999999999</v>
      </c>
      <c r="E291">
        <v>1.1536500000000001</v>
      </c>
      <c r="F291">
        <v>65245120.5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0.34985632183908083</v>
      </c>
      <c r="Q291">
        <f t="shared" si="965"/>
        <v>22826417.876077611</v>
      </c>
      <c r="R291">
        <f t="shared" si="966"/>
        <v>563639646.22321939</v>
      </c>
      <c r="S291">
        <f t="shared" si="967"/>
        <v>5636.3964622321937</v>
      </c>
      <c r="T291">
        <f t="shared" si="968"/>
        <v>5.6363964622321934</v>
      </c>
    </row>
    <row r="292" spans="1:20" x14ac:dyDescent="0.25">
      <c r="A292" s="5">
        <v>44301</v>
      </c>
      <c r="B292">
        <v>1.0210300000000001</v>
      </c>
      <c r="C292">
        <v>1.1399999999999999</v>
      </c>
      <c r="D292">
        <v>1.01712</v>
      </c>
      <c r="E292">
        <v>1.09857</v>
      </c>
      <c r="F292">
        <v>45360611.200000003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0.32568359375000167</v>
      </c>
      <c r="Q292">
        <f t="shared" si="965"/>
        <v>14773206.870312577</v>
      </c>
      <c r="R292">
        <f t="shared" si="966"/>
        <v>540813228.34714174</v>
      </c>
      <c r="S292">
        <f t="shared" si="967"/>
        <v>5408.1322834714174</v>
      </c>
      <c r="T292">
        <f t="shared" si="968"/>
        <v>5.4081322834714172</v>
      </c>
    </row>
    <row r="293" spans="1:20" x14ac:dyDescent="0.25">
      <c r="A293" s="5">
        <v>44300</v>
      </c>
      <c r="B293">
        <v>1.02</v>
      </c>
      <c r="C293">
        <v>1.06328</v>
      </c>
      <c r="D293">
        <v>0.98501000000000005</v>
      </c>
      <c r="E293">
        <v>1.0203199999999999</v>
      </c>
      <c r="F293">
        <v>29238336.800000001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-9.7738597163667715E-2</v>
      </c>
      <c r="Q293">
        <f t="shared" si="965"/>
        <v>-2857714.0222308412</v>
      </c>
      <c r="R293">
        <f t="shared" si="966"/>
        <v>526040021.47682911</v>
      </c>
      <c r="S293">
        <f t="shared" si="967"/>
        <v>5260.4002147682913</v>
      </c>
      <c r="T293">
        <f t="shared" si="968"/>
        <v>5.2604002147682909</v>
      </c>
    </row>
    <row r="294" spans="1:20" x14ac:dyDescent="0.25">
      <c r="A294" s="5">
        <v>44299</v>
      </c>
      <c r="B294">
        <v>1.02658</v>
      </c>
      <c r="C294">
        <v>1.0450699999999999</v>
      </c>
      <c r="D294">
        <v>0.99485999999999997</v>
      </c>
      <c r="E294">
        <v>1.0195799999999999</v>
      </c>
      <c r="F294">
        <v>16673651.800000001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-1.5335590519817741E-2</v>
      </c>
      <c r="Q294">
        <f t="shared" si="965"/>
        <v>-255700.29647482201</v>
      </c>
      <c r="R294">
        <f t="shared" si="966"/>
        <v>528897735.49905998</v>
      </c>
      <c r="S294">
        <f t="shared" si="967"/>
        <v>5288.9773549905995</v>
      </c>
      <c r="T294">
        <f t="shared" si="968"/>
        <v>5.2889773549905996</v>
      </c>
    </row>
    <row r="295" spans="1:20" x14ac:dyDescent="0.25">
      <c r="A295" s="5">
        <v>44298</v>
      </c>
      <c r="B295">
        <v>1.0459000000000001</v>
      </c>
      <c r="C295">
        <v>1.07</v>
      </c>
      <c r="D295">
        <v>1.00196</v>
      </c>
      <c r="E295">
        <v>1.02658</v>
      </c>
      <c r="F295">
        <v>20719662.600000001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-0.27630805408583042</v>
      </c>
      <c r="Q295">
        <f t="shared" si="965"/>
        <v>-5725009.6543209581</v>
      </c>
      <c r="R295">
        <f t="shared" si="966"/>
        <v>529153435.79553479</v>
      </c>
      <c r="S295">
        <f t="shared" si="967"/>
        <v>5291.5343579553482</v>
      </c>
      <c r="T295">
        <f t="shared" si="968"/>
        <v>5.2915343579553484</v>
      </c>
    </row>
    <row r="296" spans="1:20" x14ac:dyDescent="0.25">
      <c r="A296" s="5">
        <v>44297</v>
      </c>
      <c r="B296">
        <v>1.06671</v>
      </c>
      <c r="C296">
        <v>1.0922499999999999</v>
      </c>
      <c r="D296">
        <v>1.0402400000000001</v>
      </c>
      <c r="E296">
        <v>1.04589</v>
      </c>
      <c r="F296">
        <v>18926951.300000001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-0.78273408959815627</v>
      </c>
      <c r="Q296">
        <f t="shared" si="965"/>
        <v>-14814769.994674141</v>
      </c>
      <c r="R296">
        <f t="shared" si="966"/>
        <v>534878445.44985574</v>
      </c>
      <c r="S296">
        <f t="shared" si="967"/>
        <v>5348.7844544985574</v>
      </c>
      <c r="T296">
        <f t="shared" si="968"/>
        <v>5.3487844544985572</v>
      </c>
    </row>
    <row r="297" spans="1:20" x14ac:dyDescent="0.25">
      <c r="A297" s="5">
        <v>44296</v>
      </c>
      <c r="B297">
        <v>1.0472999999999999</v>
      </c>
      <c r="C297">
        <v>1.13087</v>
      </c>
      <c r="D297">
        <v>1.0302</v>
      </c>
      <c r="E297">
        <v>1.06671</v>
      </c>
      <c r="F297">
        <v>33347063.699999999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-0.27465977947750014</v>
      </c>
      <c r="Q297">
        <f t="shared" si="965"/>
        <v>-9159097.16206415</v>
      </c>
      <c r="R297">
        <f t="shared" si="966"/>
        <v>549693215.44452989</v>
      </c>
      <c r="S297">
        <f t="shared" si="967"/>
        <v>5496.9321544452987</v>
      </c>
      <c r="T297">
        <f t="shared" si="968"/>
        <v>5.4969321544452985</v>
      </c>
    </row>
    <row r="298" spans="1:20" x14ac:dyDescent="0.25">
      <c r="A298" s="5">
        <v>44295</v>
      </c>
      <c r="B298">
        <v>1.02938</v>
      </c>
      <c r="C298">
        <v>1.0824400000000001</v>
      </c>
      <c r="D298">
        <v>1.01389</v>
      </c>
      <c r="E298">
        <v>1.0472999999999999</v>
      </c>
      <c r="F298">
        <v>25290776.199999999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-2.5237053245809316E-2</v>
      </c>
      <c r="Q298">
        <f t="shared" si="965"/>
        <v>-638264.665587247</v>
      </c>
      <c r="R298">
        <f t="shared" si="966"/>
        <v>558852312.60659409</v>
      </c>
      <c r="S298">
        <f t="shared" si="967"/>
        <v>5588.5231260659411</v>
      </c>
      <c r="T298">
        <f t="shared" si="968"/>
        <v>5.5885231260659411</v>
      </c>
    </row>
    <row r="299" spans="1:20" x14ac:dyDescent="0.25">
      <c r="A299" s="5">
        <v>44294</v>
      </c>
      <c r="B299">
        <v>0.98829</v>
      </c>
      <c r="C299">
        <v>1.0489999999999999</v>
      </c>
      <c r="D299">
        <v>0.97823000000000004</v>
      </c>
      <c r="E299">
        <v>1.02989</v>
      </c>
      <c r="F299">
        <v>18931661.5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0.45994065281899138</v>
      </c>
      <c r="Q299">
        <f t="shared" si="965"/>
        <v>8707440.7492581662</v>
      </c>
      <c r="R299">
        <f t="shared" si="966"/>
        <v>559490577.27218139</v>
      </c>
      <c r="S299">
        <f t="shared" si="967"/>
        <v>5594.9057727218142</v>
      </c>
      <c r="T299">
        <f t="shared" si="968"/>
        <v>5.5949057727218143</v>
      </c>
    </row>
    <row r="300" spans="1:20" x14ac:dyDescent="0.25">
      <c r="A300" s="5">
        <v>44293</v>
      </c>
      <c r="B300">
        <v>1.07924</v>
      </c>
      <c r="C300">
        <v>1.0918399999999999</v>
      </c>
      <c r="D300">
        <v>0.93230000000000002</v>
      </c>
      <c r="E300">
        <v>0.98855000000000004</v>
      </c>
      <c r="F300">
        <v>36009309.899999999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-0.29484768710041298</v>
      </c>
      <c r="Q300">
        <f t="shared" si="965"/>
        <v>-10617261.738097003</v>
      </c>
      <c r="R300">
        <f t="shared" si="966"/>
        <v>550783136.52292323</v>
      </c>
      <c r="S300">
        <f t="shared" si="967"/>
        <v>5507.8313652292327</v>
      </c>
      <c r="T300">
        <f t="shared" si="968"/>
        <v>5.507831365229233</v>
      </c>
    </row>
    <row r="301" spans="1:20" x14ac:dyDescent="0.25">
      <c r="A301" s="5">
        <v>44292</v>
      </c>
      <c r="B301">
        <v>1.03955</v>
      </c>
      <c r="C301">
        <v>1.19</v>
      </c>
      <c r="D301">
        <v>1.024</v>
      </c>
      <c r="E301">
        <v>1.0791999999999999</v>
      </c>
      <c r="F301">
        <v>60142113.5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-0.33493975903614531</v>
      </c>
      <c r="Q301">
        <f t="shared" si="965"/>
        <v>-20143985.0036145</v>
      </c>
      <c r="R301">
        <f t="shared" si="966"/>
        <v>561400398.26102018</v>
      </c>
      <c r="S301">
        <f t="shared" si="967"/>
        <v>5614.003982610202</v>
      </c>
      <c r="T301">
        <f t="shared" si="968"/>
        <v>5.6140039826102024</v>
      </c>
    </row>
    <row r="302" spans="1:20" x14ac:dyDescent="0.25">
      <c r="A302" s="5">
        <v>44291</v>
      </c>
      <c r="B302">
        <v>1.0794999999999999</v>
      </c>
      <c r="C302">
        <v>1.0876300000000001</v>
      </c>
      <c r="D302">
        <v>1.00569</v>
      </c>
      <c r="E302">
        <v>1.03904</v>
      </c>
      <c r="F302">
        <v>27077622.399999999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-0.1859897485965355</v>
      </c>
      <c r="Q302">
        <f t="shared" si="965"/>
        <v>-5036160.1827679183</v>
      </c>
      <c r="R302">
        <f t="shared" si="966"/>
        <v>581544383.26463473</v>
      </c>
      <c r="S302">
        <f t="shared" si="967"/>
        <v>5815.4438326463469</v>
      </c>
      <c r="T302">
        <f t="shared" si="968"/>
        <v>5.8154438326463467</v>
      </c>
    </row>
    <row r="303" spans="1:20" x14ac:dyDescent="0.25">
      <c r="A303" s="5">
        <v>44290</v>
      </c>
      <c r="B303">
        <v>1.00824</v>
      </c>
      <c r="C303">
        <v>1.1200000000000001</v>
      </c>
      <c r="D303">
        <v>0.96891000000000005</v>
      </c>
      <c r="E303">
        <v>1.08012</v>
      </c>
      <c r="F303">
        <v>22743080.899999999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0.47210272023297212</v>
      </c>
      <c r="Q303">
        <f t="shared" si="965"/>
        <v>10737070.359368552</v>
      </c>
      <c r="R303">
        <f t="shared" si="966"/>
        <v>586580543.4474026</v>
      </c>
      <c r="S303">
        <f t="shared" si="967"/>
        <v>5865.8054344740258</v>
      </c>
      <c r="T303">
        <f t="shared" si="968"/>
        <v>5.8658054344740256</v>
      </c>
    </row>
    <row r="304" spans="1:20" x14ac:dyDescent="0.25">
      <c r="A304" s="5">
        <v>44289</v>
      </c>
      <c r="B304">
        <v>1.1046899999999999</v>
      </c>
      <c r="C304">
        <v>1.1249</v>
      </c>
      <c r="D304">
        <v>1.0016099999999999</v>
      </c>
      <c r="E304">
        <v>1.0087999999999999</v>
      </c>
      <c r="F304">
        <v>24373865.300000001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-0.88336442533863213</v>
      </c>
      <c r="Q304">
        <f t="shared" si="965"/>
        <v>-21531005.514015727</v>
      </c>
      <c r="R304">
        <f t="shared" si="966"/>
        <v>575843473.08803403</v>
      </c>
      <c r="S304">
        <f t="shared" si="967"/>
        <v>5758.4347308803399</v>
      </c>
      <c r="T304">
        <f t="shared" si="968"/>
        <v>5.7584347308803396</v>
      </c>
    </row>
    <row r="305" spans="1:20" x14ac:dyDescent="0.25">
      <c r="A305" s="5">
        <v>44288</v>
      </c>
      <c r="B305">
        <v>1.0475000000000001</v>
      </c>
      <c r="C305">
        <v>1.135</v>
      </c>
      <c r="D305">
        <v>1.0367999999999999</v>
      </c>
      <c r="E305">
        <v>1.1046400000000001</v>
      </c>
      <c r="F305">
        <v>28856321.199999999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0.3816700610997979</v>
      </c>
      <c r="Q305">
        <f t="shared" si="965"/>
        <v>11013593.875519393</v>
      </c>
      <c r="R305">
        <f t="shared" si="966"/>
        <v>597374478.60204971</v>
      </c>
      <c r="S305">
        <f t="shared" si="967"/>
        <v>5973.7447860204975</v>
      </c>
      <c r="T305">
        <f t="shared" si="968"/>
        <v>5.9737447860204975</v>
      </c>
    </row>
    <row r="306" spans="1:20" x14ac:dyDescent="0.25">
      <c r="A306" s="5">
        <v>44287</v>
      </c>
      <c r="B306">
        <v>1.02948</v>
      </c>
      <c r="C306">
        <v>1.0885800000000001</v>
      </c>
      <c r="D306">
        <v>1.01325</v>
      </c>
      <c r="E306">
        <v>1.0466599999999999</v>
      </c>
      <c r="F306">
        <v>22966183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-0.11296960042480056</v>
      </c>
      <c r="Q306">
        <f t="shared" si="965"/>
        <v>-2594480.5167928473</v>
      </c>
      <c r="R306">
        <f t="shared" si="966"/>
        <v>586360884.72653031</v>
      </c>
      <c r="S306">
        <f t="shared" si="967"/>
        <v>5863.6088472653028</v>
      </c>
      <c r="T306">
        <f t="shared" si="968"/>
        <v>5.8636088472653025</v>
      </c>
    </row>
    <row r="307" spans="1:20" x14ac:dyDescent="0.25">
      <c r="A307" s="5">
        <v>44286</v>
      </c>
      <c r="B307">
        <v>1.06925</v>
      </c>
      <c r="C307">
        <v>1.0799000000000001</v>
      </c>
      <c r="D307">
        <v>0.96311999999999998</v>
      </c>
      <c r="E307">
        <v>1.02901</v>
      </c>
      <c r="F307">
        <v>27016476.100000001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0.12844665182394149</v>
      </c>
      <c r="Q307">
        <f t="shared" si="965"/>
        <v>3470175.8991265371</v>
      </c>
      <c r="R307">
        <f t="shared" si="966"/>
        <v>588955365.24332321</v>
      </c>
      <c r="S307">
        <f t="shared" si="967"/>
        <v>5889.5536524332319</v>
      </c>
      <c r="T307">
        <f t="shared" si="968"/>
        <v>5.8895536524332321</v>
      </c>
    </row>
    <row r="308" spans="1:20" x14ac:dyDescent="0.25">
      <c r="A308" s="5">
        <v>44285</v>
      </c>
      <c r="B308">
        <v>1.0865800000000001</v>
      </c>
      <c r="C308">
        <v>1.1251500000000001</v>
      </c>
      <c r="D308">
        <v>1.05305</v>
      </c>
      <c r="E308">
        <v>1.0692999999999999</v>
      </c>
      <c r="F308">
        <v>21099474.100000001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-0.54923717059639765</v>
      </c>
      <c r="Q308">
        <f t="shared" si="965"/>
        <v>-11588615.455755975</v>
      </c>
      <c r="R308">
        <f t="shared" si="966"/>
        <v>585485189.34419668</v>
      </c>
      <c r="S308">
        <f t="shared" si="967"/>
        <v>5854.8518934419671</v>
      </c>
      <c r="T308">
        <f t="shared" si="968"/>
        <v>5.8548518934419675</v>
      </c>
    </row>
    <row r="309" spans="1:20" x14ac:dyDescent="0.25">
      <c r="A309" s="5">
        <v>44284</v>
      </c>
      <c r="B309">
        <v>1.01329</v>
      </c>
      <c r="C309">
        <v>1.1000000000000001</v>
      </c>
      <c r="D309">
        <v>0.99150000000000005</v>
      </c>
      <c r="E309">
        <v>1.08619</v>
      </c>
      <c r="F309">
        <v>27494702.699999999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0.74543778801843141</v>
      </c>
      <c r="Q309">
        <f t="shared" si="965"/>
        <v>20495590.362912394</v>
      </c>
      <c r="R309">
        <f t="shared" si="966"/>
        <v>597073804.79995263</v>
      </c>
      <c r="S309">
        <f t="shared" si="967"/>
        <v>5970.7380479995263</v>
      </c>
      <c r="T309">
        <f t="shared" si="968"/>
        <v>5.970738047999526</v>
      </c>
    </row>
    <row r="310" spans="1:20" x14ac:dyDescent="0.25">
      <c r="A310" s="5">
        <v>44283</v>
      </c>
      <c r="B310">
        <v>0.96813000000000005</v>
      </c>
      <c r="C310">
        <v>1.06</v>
      </c>
      <c r="D310">
        <v>0.96116000000000001</v>
      </c>
      <c r="E310">
        <v>1.01294</v>
      </c>
      <c r="F310">
        <v>28046247.5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4.7753945770941254E-2</v>
      </c>
      <c r="Q310">
        <f t="shared" si="965"/>
        <v>1339318.9821933967</v>
      </c>
      <c r="R310">
        <f t="shared" si="966"/>
        <v>576578214.43704021</v>
      </c>
      <c r="S310">
        <f t="shared" si="967"/>
        <v>5765.7821443704024</v>
      </c>
      <c r="T310">
        <f t="shared" si="968"/>
        <v>5.7657821443704025</v>
      </c>
    </row>
    <row r="311" spans="1:20" x14ac:dyDescent="0.25">
      <c r="A311" s="5">
        <v>44282</v>
      </c>
      <c r="B311">
        <v>0.95716000000000001</v>
      </c>
      <c r="C311">
        <v>1.02156</v>
      </c>
      <c r="D311">
        <v>0.89588999999999996</v>
      </c>
      <c r="E311">
        <v>0.96813000000000005</v>
      </c>
      <c r="F311">
        <v>21757520.100000001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0.14967772738123733</v>
      </c>
      <c r="Q311">
        <f t="shared" si="965"/>
        <v>3256616.1620195918</v>
      </c>
      <c r="R311">
        <f t="shared" si="966"/>
        <v>575238895.45484686</v>
      </c>
      <c r="S311">
        <f t="shared" si="967"/>
        <v>5752.388954548469</v>
      </c>
      <c r="T311">
        <f t="shared" si="968"/>
        <v>5.7523889545484685</v>
      </c>
    </row>
    <row r="312" spans="1:20" x14ac:dyDescent="0.25">
      <c r="A312" s="5">
        <v>44281</v>
      </c>
      <c r="B312">
        <v>0.84899000000000002</v>
      </c>
      <c r="C312">
        <v>0.99861999999999995</v>
      </c>
      <c r="D312">
        <v>0.84355999999999998</v>
      </c>
      <c r="E312">
        <v>0.95645999999999998</v>
      </c>
      <c r="F312">
        <v>15265723.800000001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0.4562104991616151</v>
      </c>
      <c r="Q312">
        <f t="shared" si="965"/>
        <v>6964383.474861348</v>
      </c>
      <c r="R312">
        <f t="shared" si="966"/>
        <v>571982279.29282725</v>
      </c>
      <c r="S312">
        <f t="shared" si="967"/>
        <v>5719.8227929282721</v>
      </c>
      <c r="T312">
        <f t="shared" si="968"/>
        <v>5.7198227929282721</v>
      </c>
    </row>
    <row r="313" spans="1:20" x14ac:dyDescent="0.25">
      <c r="A313" s="5">
        <v>44280</v>
      </c>
      <c r="B313">
        <v>0.87641000000000002</v>
      </c>
      <c r="C313">
        <v>0.88895000000000002</v>
      </c>
      <c r="D313">
        <v>0.80559999999999998</v>
      </c>
      <c r="E313">
        <v>0.84772999999999998</v>
      </c>
      <c r="F313">
        <v>26229030.699999999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1.091781643671225E-2</v>
      </c>
      <c r="Q313">
        <f t="shared" si="965"/>
        <v>286363.74249549018</v>
      </c>
      <c r="R313">
        <f t="shared" si="966"/>
        <v>565017895.81796587</v>
      </c>
      <c r="S313">
        <f t="shared" si="967"/>
        <v>5650.1789581796584</v>
      </c>
      <c r="T313">
        <f t="shared" si="968"/>
        <v>5.6501789581796587</v>
      </c>
    </row>
    <row r="314" spans="1:20" x14ac:dyDescent="0.25">
      <c r="A314" s="5">
        <v>44279</v>
      </c>
      <c r="B314">
        <v>0.95989999999999998</v>
      </c>
      <c r="C314">
        <v>1.0216400000000001</v>
      </c>
      <c r="D314">
        <v>0.84299999999999997</v>
      </c>
      <c r="E314">
        <v>0.87688999999999995</v>
      </c>
      <c r="F314">
        <v>16869591.699999999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-0.62057769816390562</v>
      </c>
      <c r="Q314">
        <f t="shared" si="965"/>
        <v>-10468892.386150926</v>
      </c>
      <c r="R314">
        <f t="shared" si="966"/>
        <v>564731532.07547033</v>
      </c>
      <c r="S314">
        <f t="shared" si="967"/>
        <v>5647.315320754703</v>
      </c>
      <c r="T314">
        <f t="shared" si="968"/>
        <v>5.6473153207547027</v>
      </c>
    </row>
    <row r="315" spans="1:20" x14ac:dyDescent="0.25">
      <c r="A315" s="5">
        <v>44278</v>
      </c>
      <c r="B315">
        <v>0.99626000000000003</v>
      </c>
      <c r="C315">
        <v>1.0289200000000001</v>
      </c>
      <c r="D315">
        <v>0.95194000000000001</v>
      </c>
      <c r="E315">
        <v>0.95986000000000005</v>
      </c>
      <c r="F315">
        <v>11807562.699999999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-0.7942322681215892</v>
      </c>
      <c r="Q315">
        <f t="shared" si="965"/>
        <v>-9377947.3042088747</v>
      </c>
      <c r="R315">
        <f t="shared" si="966"/>
        <v>575200424.46162128</v>
      </c>
      <c r="S315">
        <f t="shared" si="967"/>
        <v>5752.0042446162124</v>
      </c>
      <c r="T315">
        <f t="shared" si="968"/>
        <v>5.7520042446162121</v>
      </c>
    </row>
    <row r="316" spans="1:20" x14ac:dyDescent="0.25">
      <c r="A316" s="5">
        <v>44277</v>
      </c>
      <c r="B316">
        <v>1.0686800000000001</v>
      </c>
      <c r="C316">
        <v>1.13236</v>
      </c>
      <c r="D316">
        <v>0.98556999999999995</v>
      </c>
      <c r="E316">
        <v>0.99650000000000005</v>
      </c>
      <c r="F316">
        <v>17631078.899999999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-0.85107977382655353</v>
      </c>
      <c r="Q316">
        <f t="shared" si="965"/>
        <v>-15005454.642530119</v>
      </c>
      <c r="R316">
        <f t="shared" si="966"/>
        <v>584578371.76583016</v>
      </c>
      <c r="S316">
        <f t="shared" si="967"/>
        <v>5845.7837176583016</v>
      </c>
      <c r="T316">
        <f t="shared" si="968"/>
        <v>5.8457837176583016</v>
      </c>
    </row>
    <row r="317" spans="1:20" x14ac:dyDescent="0.25">
      <c r="A317" s="5">
        <v>44276</v>
      </c>
      <c r="B317">
        <v>1.0730299999999999</v>
      </c>
      <c r="C317">
        <v>1.09137</v>
      </c>
      <c r="D317">
        <v>1.03318</v>
      </c>
      <c r="E317">
        <v>1.0686800000000001</v>
      </c>
      <c r="F317">
        <v>9087550.5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0.22014091768345451</v>
      </c>
      <c r="Q317">
        <f t="shared" si="965"/>
        <v>2000541.7065647359</v>
      </c>
      <c r="R317">
        <f t="shared" si="966"/>
        <v>599583826.40836024</v>
      </c>
      <c r="S317">
        <f t="shared" si="967"/>
        <v>5995.8382640836026</v>
      </c>
      <c r="T317">
        <f t="shared" si="968"/>
        <v>5.995838264083603</v>
      </c>
    </row>
    <row r="318" spans="1:20" x14ac:dyDescent="0.25">
      <c r="A318" s="5">
        <v>44275</v>
      </c>
      <c r="B318">
        <v>1.10501</v>
      </c>
      <c r="C318">
        <v>1.155</v>
      </c>
      <c r="D318">
        <v>1.0686</v>
      </c>
      <c r="E318">
        <v>1.0730299999999999</v>
      </c>
      <c r="F318">
        <v>11976840.699999999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-0.89745370370370525</v>
      </c>
      <c r="Q318">
        <f t="shared" si="965"/>
        <v>-10748660.044884278</v>
      </c>
      <c r="R318">
        <f t="shared" si="966"/>
        <v>597583284.70179546</v>
      </c>
      <c r="S318">
        <f t="shared" si="967"/>
        <v>5975.8328470179549</v>
      </c>
      <c r="T318">
        <f t="shared" si="968"/>
        <v>5.9758328470179549</v>
      </c>
    </row>
    <row r="319" spans="1:20" x14ac:dyDescent="0.25">
      <c r="A319" s="5">
        <v>44274</v>
      </c>
      <c r="B319">
        <v>1.09666</v>
      </c>
      <c r="C319">
        <v>1.18</v>
      </c>
      <c r="D319">
        <v>1.0499099999999999</v>
      </c>
      <c r="E319">
        <v>1.105</v>
      </c>
      <c r="F319">
        <v>12211787.699999999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-0.1530478899223604</v>
      </c>
      <c r="Q319">
        <f t="shared" si="965"/>
        <v>-1868988.3396648346</v>
      </c>
      <c r="R319">
        <f t="shared" si="966"/>
        <v>608331944.74667978</v>
      </c>
      <c r="S319">
        <f t="shared" si="967"/>
        <v>6083.319447466798</v>
      </c>
      <c r="T319">
        <f t="shared" si="968"/>
        <v>6.0833194474667982</v>
      </c>
    </row>
    <row r="320" spans="1:20" x14ac:dyDescent="0.25">
      <c r="A320" s="5">
        <v>44273</v>
      </c>
      <c r="B320">
        <v>1.10077</v>
      </c>
      <c r="C320">
        <v>1.1879999999999999</v>
      </c>
      <c r="D320">
        <v>1.085</v>
      </c>
      <c r="E320">
        <v>1.09666</v>
      </c>
      <c r="F320">
        <v>18570016.5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-0.77359223300970859</v>
      </c>
      <c r="Q320">
        <f t="shared" si="965"/>
        <v>-14365620.531262133</v>
      </c>
      <c r="R320">
        <f t="shared" si="966"/>
        <v>610200933.0863446</v>
      </c>
      <c r="S320">
        <f t="shared" si="967"/>
        <v>6102.0093308634459</v>
      </c>
      <c r="T320">
        <f t="shared" si="968"/>
        <v>6.1020093308634458</v>
      </c>
    </row>
    <row r="321" spans="1:20" x14ac:dyDescent="0.25">
      <c r="A321" s="5">
        <v>44272</v>
      </c>
      <c r="B321">
        <v>1.09917</v>
      </c>
      <c r="C321">
        <v>1.1119000000000001</v>
      </c>
      <c r="D321">
        <v>1.0199100000000001</v>
      </c>
      <c r="E321">
        <v>1.10077</v>
      </c>
      <c r="F321">
        <v>14056151.300000001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0.75801717577997429</v>
      </c>
      <c r="Q321">
        <f t="shared" si="965"/>
        <v>10654804.110762015</v>
      </c>
      <c r="R321">
        <f t="shared" si="966"/>
        <v>624566553.61760676</v>
      </c>
      <c r="S321">
        <f t="shared" si="967"/>
        <v>6245.6655361760677</v>
      </c>
      <c r="T321">
        <f t="shared" si="968"/>
        <v>6.2456655361760678</v>
      </c>
    </row>
    <row r="322" spans="1:20" x14ac:dyDescent="0.25">
      <c r="A322" s="5">
        <v>44271</v>
      </c>
      <c r="B322">
        <v>1.0902799999999999</v>
      </c>
      <c r="C322">
        <v>1.12704</v>
      </c>
      <c r="D322">
        <v>1.0109999999999999</v>
      </c>
      <c r="E322">
        <v>1.0975600000000001</v>
      </c>
      <c r="F322">
        <v>15646856.199999999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0.4918993450534313</v>
      </c>
      <c r="Q322">
        <f t="shared" si="965"/>
        <v>7696678.3169252202</v>
      </c>
      <c r="R322">
        <f t="shared" si="966"/>
        <v>613911749.50684476</v>
      </c>
      <c r="S322">
        <f t="shared" si="967"/>
        <v>6139.1174950684472</v>
      </c>
      <c r="T322">
        <f t="shared" si="968"/>
        <v>6.1391174950684473</v>
      </c>
    </row>
    <row r="323" spans="1:20" x14ac:dyDescent="0.25">
      <c r="A323" s="5">
        <v>44270</v>
      </c>
      <c r="B323">
        <v>1.10246</v>
      </c>
      <c r="C323">
        <v>1.149</v>
      </c>
      <c r="D323">
        <v>1.02721</v>
      </c>
      <c r="E323">
        <v>1.0880000000000001</v>
      </c>
      <c r="F323">
        <v>17362201.199999999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-1.7242794974942223E-3</v>
      </c>
      <c r="Q323">
        <f t="shared" si="965"/>
        <v>-29937.287560529581</v>
      </c>
      <c r="R323">
        <f t="shared" si="966"/>
        <v>606215071.18991959</v>
      </c>
      <c r="S323">
        <f t="shared" si="967"/>
        <v>6062.1507118991958</v>
      </c>
      <c r="T323">
        <f t="shared" si="968"/>
        <v>6.0621507118991955</v>
      </c>
    </row>
    <row r="324" spans="1:20" x14ac:dyDescent="0.25">
      <c r="A324" s="5">
        <v>44269</v>
      </c>
      <c r="B324">
        <v>1.1970499999999999</v>
      </c>
      <c r="C324">
        <v>1.20363</v>
      </c>
      <c r="D324">
        <v>1.1005799999999999</v>
      </c>
      <c r="E324">
        <v>1.1011899999999999</v>
      </c>
      <c r="F324">
        <v>13023591.699999999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-0.9881610868510432</v>
      </c>
      <c r="Q324">
        <f t="shared" si="965"/>
        <v>-12869406.528976224</v>
      </c>
      <c r="R324">
        <f t="shared" si="966"/>
        <v>606245008.47748017</v>
      </c>
      <c r="S324">
        <f t="shared" si="967"/>
        <v>6062.4500847748013</v>
      </c>
      <c r="T324">
        <f t="shared" si="968"/>
        <v>6.0624500847748015</v>
      </c>
    </row>
    <row r="325" spans="1:20" x14ac:dyDescent="0.25">
      <c r="A325" s="5">
        <v>44268</v>
      </c>
      <c r="B325">
        <v>1.1570499999999999</v>
      </c>
      <c r="C325">
        <v>1.2261599999999999</v>
      </c>
      <c r="D325">
        <v>1.1081700000000001</v>
      </c>
      <c r="E325">
        <v>1.1976800000000001</v>
      </c>
      <c r="F325">
        <v>13320199.300000001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0.51724722434104786</v>
      </c>
      <c r="Q325">
        <f t="shared" si="965"/>
        <v>6889836.1155945687</v>
      </c>
      <c r="R325">
        <f t="shared" si="966"/>
        <v>619114415.00645638</v>
      </c>
      <c r="S325">
        <f t="shared" si="967"/>
        <v>6191.1441500645642</v>
      </c>
      <c r="T325">
        <f t="shared" si="968"/>
        <v>6.1911441500645639</v>
      </c>
    </row>
    <row r="326" spans="1:20" x14ac:dyDescent="0.25">
      <c r="A326" s="5">
        <v>44267</v>
      </c>
      <c r="B326">
        <v>1.25099</v>
      </c>
      <c r="C326">
        <v>1.2581199999999999</v>
      </c>
      <c r="D326">
        <v>1.11111</v>
      </c>
      <c r="E326">
        <v>1.15594</v>
      </c>
      <c r="F326">
        <v>19769355.800000001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-0.39010951635943175</v>
      </c>
      <c r="Q326">
        <f t="shared" ref="Q326:Q389" si="970">F326*P326</f>
        <v>-7712213.8298755269</v>
      </c>
      <c r="R326">
        <f t="shared" ref="R326:R389" si="971">R327+Q326</f>
        <v>612224578.89086175</v>
      </c>
      <c r="S326">
        <f t="shared" ref="S326:S389" si="972">R326/100000</f>
        <v>6122.2457889086172</v>
      </c>
      <c r="T326">
        <f t="shared" ref="T326:T389" si="973">S326/1000</f>
        <v>6.122245788908617</v>
      </c>
    </row>
    <row r="327" spans="1:20" x14ac:dyDescent="0.25">
      <c r="A327" s="5">
        <v>44266</v>
      </c>
      <c r="B327">
        <v>1.23682</v>
      </c>
      <c r="C327">
        <v>1.3193299999999999</v>
      </c>
      <c r="D327">
        <v>1.2041200000000001</v>
      </c>
      <c r="E327">
        <v>1.2511399999999999</v>
      </c>
      <c r="F327">
        <v>21044964.899999999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-0.1837514104678428</v>
      </c>
      <c r="Q327">
        <f t="shared" si="970"/>
        <v>-3867041.9836212439</v>
      </c>
      <c r="R327">
        <f t="shared" si="971"/>
        <v>619936792.72073722</v>
      </c>
      <c r="S327">
        <f t="shared" si="972"/>
        <v>6199.3679272073723</v>
      </c>
      <c r="T327">
        <f t="shared" si="973"/>
        <v>6.1993679272073727</v>
      </c>
    </row>
    <row r="328" spans="1:20" x14ac:dyDescent="0.25">
      <c r="A328" s="5">
        <v>44265</v>
      </c>
      <c r="B328">
        <v>1.33918</v>
      </c>
      <c r="C328">
        <v>1.3676699999999999</v>
      </c>
      <c r="D328">
        <v>1.19783</v>
      </c>
      <c r="E328">
        <v>1.2368300000000001</v>
      </c>
      <c r="F328">
        <v>29097534.5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-0.5407442298633991</v>
      </c>
      <c r="Q328">
        <f t="shared" si="970"/>
        <v>-15734323.884126186</v>
      </c>
      <c r="R328">
        <f t="shared" si="971"/>
        <v>623803834.70435846</v>
      </c>
      <c r="S328">
        <f t="shared" si="972"/>
        <v>6238.0383470435845</v>
      </c>
      <c r="T328">
        <f t="shared" si="973"/>
        <v>6.2380383470435845</v>
      </c>
    </row>
    <row r="329" spans="1:20" x14ac:dyDescent="0.25">
      <c r="A329" s="5">
        <v>44264</v>
      </c>
      <c r="B329">
        <v>1.2096899999999999</v>
      </c>
      <c r="C329">
        <v>1.38175</v>
      </c>
      <c r="D329">
        <v>1.1806399999999999</v>
      </c>
      <c r="E329">
        <v>1.34</v>
      </c>
      <c r="F329">
        <v>38595167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0.58480433593555836</v>
      </c>
      <c r="Q329">
        <f t="shared" si="970"/>
        <v>22570621.007756975</v>
      </c>
      <c r="R329">
        <f t="shared" si="971"/>
        <v>639538158.58848464</v>
      </c>
      <c r="S329">
        <f t="shared" si="972"/>
        <v>6395.3815858848466</v>
      </c>
      <c r="T329">
        <f t="shared" si="973"/>
        <v>6.3953815858848468</v>
      </c>
    </row>
    <row r="330" spans="1:20" x14ac:dyDescent="0.25">
      <c r="A330" s="5">
        <v>44263</v>
      </c>
      <c r="B330">
        <v>1.1779200000000001</v>
      </c>
      <c r="C330">
        <v>1.27725</v>
      </c>
      <c r="D330">
        <v>1.1314599999999999</v>
      </c>
      <c r="E330">
        <v>1.2099</v>
      </c>
      <c r="F330">
        <v>37549258.5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7.6068317442897576E-2</v>
      </c>
      <c r="Q330">
        <f t="shared" si="970"/>
        <v>2856308.91532342</v>
      </c>
      <c r="R330">
        <f t="shared" si="971"/>
        <v>616967537.5807277</v>
      </c>
      <c r="S330">
        <f t="shared" si="972"/>
        <v>6169.6753758072773</v>
      </c>
      <c r="T330">
        <f t="shared" si="973"/>
        <v>6.1696753758072775</v>
      </c>
    </row>
    <row r="331" spans="1:20" x14ac:dyDescent="0.25">
      <c r="A331" s="5">
        <v>44262</v>
      </c>
      <c r="B331">
        <v>1.0696699999999999</v>
      </c>
      <c r="C331">
        <v>1.19922</v>
      </c>
      <c r="D331">
        <v>1.0540799999999999</v>
      </c>
      <c r="E331">
        <v>1.17638</v>
      </c>
      <c r="F331">
        <v>21989266.800000001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0.68526939506683249</v>
      </c>
      <c r="Q331">
        <f t="shared" si="970"/>
        <v>15068571.557999184</v>
      </c>
      <c r="R331">
        <f t="shared" si="971"/>
        <v>614111228.66540432</v>
      </c>
      <c r="S331">
        <f t="shared" si="972"/>
        <v>6141.1122866540436</v>
      </c>
      <c r="T331">
        <f t="shared" si="973"/>
        <v>6.1411122866540433</v>
      </c>
    </row>
    <row r="332" spans="1:20" x14ac:dyDescent="0.25">
      <c r="A332" s="5">
        <v>44261</v>
      </c>
      <c r="B332">
        <v>1.0469900000000001</v>
      </c>
      <c r="C332">
        <v>1.09416</v>
      </c>
      <c r="D332">
        <v>1.0175000000000001</v>
      </c>
      <c r="E332">
        <v>1.0702799999999999</v>
      </c>
      <c r="F332">
        <v>9385408.4000000004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0.37698930341768488</v>
      </c>
      <c r="Q332">
        <f t="shared" si="970"/>
        <v>3538198.5750064887</v>
      </c>
      <c r="R332">
        <f t="shared" si="971"/>
        <v>599042657.10740519</v>
      </c>
      <c r="S332">
        <f t="shared" si="972"/>
        <v>5990.4265710740519</v>
      </c>
      <c r="T332">
        <f t="shared" si="973"/>
        <v>5.9904265710740523</v>
      </c>
    </row>
    <row r="333" spans="1:20" x14ac:dyDescent="0.25">
      <c r="A333" s="5">
        <v>44260</v>
      </c>
      <c r="B333">
        <v>1.0439499999999999</v>
      </c>
      <c r="C333">
        <v>1.0938600000000001</v>
      </c>
      <c r="D333">
        <v>0.97291000000000005</v>
      </c>
      <c r="E333">
        <v>1.0469999999999999</v>
      </c>
      <c r="F333">
        <v>16530962.6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0.22513435303844359</v>
      </c>
      <c r="Q333">
        <f t="shared" si="970"/>
        <v>3721687.5700537073</v>
      </c>
      <c r="R333">
        <f t="shared" si="971"/>
        <v>595504458.5323987</v>
      </c>
      <c r="S333">
        <f t="shared" si="972"/>
        <v>5955.0445853239871</v>
      </c>
      <c r="T333">
        <f t="shared" si="973"/>
        <v>5.9550445853239875</v>
      </c>
    </row>
    <row r="334" spans="1:20" x14ac:dyDescent="0.25">
      <c r="A334" s="5">
        <v>44259</v>
      </c>
      <c r="B334">
        <v>1.1202099999999999</v>
      </c>
      <c r="C334">
        <v>1.1535500000000001</v>
      </c>
      <c r="D334">
        <v>1.00746</v>
      </c>
      <c r="E334">
        <v>1.04434</v>
      </c>
      <c r="F334">
        <v>18927499.5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-0.49510575672530616</v>
      </c>
      <c r="Q334">
        <f t="shared" si="970"/>
        <v>-9371113.9628653545</v>
      </c>
      <c r="R334">
        <f t="shared" si="971"/>
        <v>591782770.962345</v>
      </c>
      <c r="S334">
        <f t="shared" si="972"/>
        <v>5917.8277096234497</v>
      </c>
      <c r="T334">
        <f t="shared" si="973"/>
        <v>5.9178277096234497</v>
      </c>
    </row>
    <row r="335" spans="1:20" x14ac:dyDescent="0.25">
      <c r="A335" s="5">
        <v>44258</v>
      </c>
      <c r="B335">
        <v>1.1019000000000001</v>
      </c>
      <c r="C335">
        <v>1.17001</v>
      </c>
      <c r="D335">
        <v>1.0805</v>
      </c>
      <c r="E335">
        <v>1.1202099999999999</v>
      </c>
      <c r="F335">
        <v>18310989.199999999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-0.11272483521394433</v>
      </c>
      <c r="Q335">
        <f t="shared" si="970"/>
        <v>-2064103.2401743142</v>
      </c>
      <c r="R335">
        <f t="shared" si="971"/>
        <v>601153884.92521036</v>
      </c>
      <c r="S335">
        <f t="shared" si="972"/>
        <v>6011.5388492521033</v>
      </c>
      <c r="T335">
        <f t="shared" si="973"/>
        <v>6.0115388492521031</v>
      </c>
    </row>
    <row r="336" spans="1:20" x14ac:dyDescent="0.25">
      <c r="A336" s="5">
        <v>44257</v>
      </c>
      <c r="B336">
        <v>1.1559600000000001</v>
      </c>
      <c r="C336">
        <v>1.179</v>
      </c>
      <c r="D336">
        <v>1.03887</v>
      </c>
      <c r="E336">
        <v>1.10117</v>
      </c>
      <c r="F336">
        <v>23652946.300000001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-0.11082566188539238</v>
      </c>
      <c r="Q336">
        <f t="shared" si="970"/>
        <v>-2621353.4292371427</v>
      </c>
      <c r="R336">
        <f t="shared" si="971"/>
        <v>603217988.16538465</v>
      </c>
      <c r="S336">
        <f t="shared" si="972"/>
        <v>6032.1798816538467</v>
      </c>
      <c r="T336">
        <f t="shared" si="973"/>
        <v>6.032179881653847</v>
      </c>
    </row>
    <row r="337" spans="1:20" x14ac:dyDescent="0.25">
      <c r="A337" s="5">
        <v>44256</v>
      </c>
      <c r="B337">
        <v>1.0485100000000001</v>
      </c>
      <c r="C337">
        <v>1.1950000000000001</v>
      </c>
      <c r="D337">
        <v>1.0264599999999999</v>
      </c>
      <c r="E337">
        <v>1.1559699999999999</v>
      </c>
      <c r="F337">
        <v>27255406.399999999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0.53684585261658846</v>
      </c>
      <c r="Q337">
        <f t="shared" si="970"/>
        <v>14631951.887219621</v>
      </c>
      <c r="R337">
        <f t="shared" si="971"/>
        <v>605839341.59462178</v>
      </c>
      <c r="S337">
        <f t="shared" si="972"/>
        <v>6058.3934159462178</v>
      </c>
      <c r="T337">
        <f t="shared" si="973"/>
        <v>6.0583934159462176</v>
      </c>
    </row>
    <row r="338" spans="1:20" x14ac:dyDescent="0.25">
      <c r="A338" s="5">
        <v>44255</v>
      </c>
      <c r="B338">
        <v>1.07067</v>
      </c>
      <c r="C338">
        <v>1.0783100000000001</v>
      </c>
      <c r="D338">
        <v>0.89019000000000004</v>
      </c>
      <c r="E338">
        <v>1.0469999999999999</v>
      </c>
      <c r="F338">
        <v>27319115.899999999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0.66712736551137397</v>
      </c>
      <c r="Q338">
        <f t="shared" si="970"/>
        <v>18225329.818466887</v>
      </c>
      <c r="R338">
        <f t="shared" si="971"/>
        <v>591207389.70740211</v>
      </c>
      <c r="S338">
        <f t="shared" si="972"/>
        <v>5912.0738970740213</v>
      </c>
      <c r="T338">
        <f t="shared" si="973"/>
        <v>5.9120738970740216</v>
      </c>
    </row>
    <row r="339" spans="1:20" x14ac:dyDescent="0.25">
      <c r="A339" s="5">
        <v>44254</v>
      </c>
      <c r="B339">
        <v>1.0161</v>
      </c>
      <c r="C339">
        <v>1.14516</v>
      </c>
      <c r="D339">
        <v>1.01416</v>
      </c>
      <c r="E339">
        <v>1.0719000000000001</v>
      </c>
      <c r="F339">
        <v>26205584.899999999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-0.11847328244274623</v>
      </c>
      <c r="Q339">
        <f t="shared" si="970"/>
        <v>-3104661.6614350653</v>
      </c>
      <c r="R339">
        <f t="shared" si="971"/>
        <v>572982059.88893521</v>
      </c>
      <c r="S339">
        <f t="shared" si="972"/>
        <v>5729.8205988893524</v>
      </c>
      <c r="T339">
        <f t="shared" si="973"/>
        <v>5.7298205988893525</v>
      </c>
    </row>
    <row r="340" spans="1:20" x14ac:dyDescent="0.25">
      <c r="A340" s="5">
        <v>44253</v>
      </c>
      <c r="B340">
        <v>1.0689299999999999</v>
      </c>
      <c r="C340">
        <v>1.1436900000000001</v>
      </c>
      <c r="D340">
        <v>0.96243000000000001</v>
      </c>
      <c r="E340">
        <v>1.0177499999999999</v>
      </c>
      <c r="F340">
        <v>29017055.5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-0.38960609069844537</v>
      </c>
      <c r="Q340">
        <f t="shared" si="970"/>
        <v>-11305221.556934822</v>
      </c>
      <c r="R340">
        <f t="shared" si="971"/>
        <v>576086721.55037022</v>
      </c>
      <c r="S340">
        <f t="shared" si="972"/>
        <v>5760.867215503702</v>
      </c>
      <c r="T340">
        <f t="shared" si="973"/>
        <v>5.7608672155037022</v>
      </c>
    </row>
    <row r="341" spans="1:20" x14ac:dyDescent="0.25">
      <c r="A341" s="5">
        <v>44252</v>
      </c>
      <c r="B341">
        <v>1.14507</v>
      </c>
      <c r="C341">
        <v>1.2689999999999999</v>
      </c>
      <c r="D341">
        <v>1.0559099999999999</v>
      </c>
      <c r="E341">
        <v>1.07073</v>
      </c>
      <c r="F341">
        <v>31087844.800000001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-0.86090384344643056</v>
      </c>
      <c r="Q341">
        <f t="shared" si="970"/>
        <v>-26763645.07278613</v>
      </c>
      <c r="R341">
        <f t="shared" si="971"/>
        <v>587391943.10730505</v>
      </c>
      <c r="S341">
        <f t="shared" si="972"/>
        <v>5873.9194310730509</v>
      </c>
      <c r="T341">
        <f t="shared" si="973"/>
        <v>5.8739194310730509</v>
      </c>
    </row>
    <row r="342" spans="1:20" x14ac:dyDescent="0.25">
      <c r="A342" s="5">
        <v>44251</v>
      </c>
      <c r="B342">
        <v>1.12642</v>
      </c>
      <c r="C342">
        <v>1.3174699999999999</v>
      </c>
      <c r="D342">
        <v>1.01545</v>
      </c>
      <c r="E342">
        <v>1.1469800000000001</v>
      </c>
      <c r="F342">
        <v>40021417.399999999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-0.12899807959737655</v>
      </c>
      <c r="Q342">
        <f t="shared" si="970"/>
        <v>-5162685.9873650307</v>
      </c>
      <c r="R342">
        <f t="shared" si="971"/>
        <v>614155588.18009114</v>
      </c>
      <c r="S342">
        <f t="shared" si="972"/>
        <v>6141.5558818009113</v>
      </c>
      <c r="T342">
        <f t="shared" si="973"/>
        <v>6.1415558818009108</v>
      </c>
    </row>
    <row r="343" spans="1:20" x14ac:dyDescent="0.25">
      <c r="A343" s="5">
        <v>44250</v>
      </c>
      <c r="B343">
        <v>1.3468</v>
      </c>
      <c r="C343">
        <v>1.3531200000000001</v>
      </c>
      <c r="D343">
        <v>0.8821</v>
      </c>
      <c r="E343">
        <v>1.1250800000000001</v>
      </c>
      <c r="F343">
        <v>64457259.899999999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3.1718398369496116E-2</v>
      </c>
      <c r="Q343">
        <f t="shared" si="970"/>
        <v>2044481.0473143472</v>
      </c>
      <c r="R343">
        <f t="shared" si="971"/>
        <v>619318274.16745615</v>
      </c>
      <c r="S343">
        <f t="shared" si="972"/>
        <v>6193.1827416745618</v>
      </c>
      <c r="T343">
        <f t="shared" si="973"/>
        <v>6.193182741674562</v>
      </c>
    </row>
    <row r="344" spans="1:20" x14ac:dyDescent="0.25">
      <c r="A344" s="5">
        <v>44249</v>
      </c>
      <c r="B344">
        <v>1.38706</v>
      </c>
      <c r="C344">
        <v>1.4196899999999999</v>
      </c>
      <c r="D344">
        <v>1.0209999999999999</v>
      </c>
      <c r="E344">
        <v>1.34558</v>
      </c>
      <c r="F344">
        <v>51225615.200000003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0.62823246131079336</v>
      </c>
      <c r="Q344">
        <f t="shared" si="970"/>
        <v>32181594.31925559</v>
      </c>
      <c r="R344">
        <f t="shared" si="971"/>
        <v>617273793.12014174</v>
      </c>
      <c r="S344">
        <f t="shared" si="972"/>
        <v>6172.7379312014173</v>
      </c>
      <c r="T344">
        <f t="shared" si="973"/>
        <v>6.172737931201417</v>
      </c>
    </row>
    <row r="345" spans="1:20" x14ac:dyDescent="0.25">
      <c r="A345" s="5">
        <v>44248</v>
      </c>
      <c r="B345">
        <v>1.4075800000000001</v>
      </c>
      <c r="C345">
        <v>1.58</v>
      </c>
      <c r="D345">
        <v>1.3313999999999999</v>
      </c>
      <c r="E345">
        <v>1.3850100000000001</v>
      </c>
      <c r="F345">
        <v>36523457.600000001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-0.56870474658085179</v>
      </c>
      <c r="Q345">
        <f t="shared" si="970"/>
        <v>-20771063.698664486</v>
      </c>
      <c r="R345">
        <f t="shared" si="971"/>
        <v>585092198.80088615</v>
      </c>
      <c r="S345">
        <f t="shared" si="972"/>
        <v>5850.9219880088613</v>
      </c>
      <c r="T345">
        <f t="shared" si="973"/>
        <v>5.850921988008861</v>
      </c>
    </row>
    <row r="346" spans="1:20" x14ac:dyDescent="0.25">
      <c r="A346" s="5">
        <v>44247</v>
      </c>
      <c r="B346">
        <v>1.75196</v>
      </c>
      <c r="C346">
        <v>1.84</v>
      </c>
      <c r="D346">
        <v>1.2833000000000001</v>
      </c>
      <c r="E346">
        <v>1.4075800000000001</v>
      </c>
      <c r="F346">
        <v>66284817.700000003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-0.55351176576252936</v>
      </c>
      <c r="Q346">
        <f t="shared" si="970"/>
        <v>-36689426.48837436</v>
      </c>
      <c r="R346">
        <f t="shared" si="971"/>
        <v>605863262.4995507</v>
      </c>
      <c r="S346">
        <f t="shared" si="972"/>
        <v>6058.6326249955073</v>
      </c>
      <c r="T346">
        <f t="shared" si="973"/>
        <v>6.0586326249955071</v>
      </c>
    </row>
    <row r="347" spans="1:20" x14ac:dyDescent="0.25">
      <c r="A347" s="5">
        <v>44246</v>
      </c>
      <c r="B347">
        <v>1.19723</v>
      </c>
      <c r="C347">
        <v>1.7662899999999999</v>
      </c>
      <c r="D347">
        <v>1.08447</v>
      </c>
      <c r="E347">
        <v>1.75177</v>
      </c>
      <c r="F347">
        <v>77594493.5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0.95740811357836419</v>
      </c>
      <c r="Q347">
        <f t="shared" si="970"/>
        <v>74289597.645903647</v>
      </c>
      <c r="R347">
        <f t="shared" si="971"/>
        <v>642552688.98792505</v>
      </c>
      <c r="S347">
        <f t="shared" si="972"/>
        <v>6425.5268898792501</v>
      </c>
      <c r="T347">
        <f t="shared" si="973"/>
        <v>6.4255268898792499</v>
      </c>
    </row>
    <row r="348" spans="1:20" x14ac:dyDescent="0.25">
      <c r="A348" s="5">
        <v>44245</v>
      </c>
      <c r="B348">
        <v>1.0207299999999999</v>
      </c>
      <c r="C348">
        <v>1.23007</v>
      </c>
      <c r="D348">
        <v>0.98</v>
      </c>
      <c r="E348">
        <v>1.1970400000000001</v>
      </c>
      <c r="F348">
        <v>41896505.899999999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0.73583396648938382</v>
      </c>
      <c r="Q348">
        <f t="shared" si="970"/>
        <v>30828872.118442871</v>
      </c>
      <c r="R348">
        <f t="shared" si="971"/>
        <v>568263091.34202135</v>
      </c>
      <c r="S348">
        <f t="shared" si="972"/>
        <v>5682.6309134202138</v>
      </c>
      <c r="T348">
        <f t="shared" si="973"/>
        <v>5.6826309134202138</v>
      </c>
    </row>
    <row r="349" spans="1:20" x14ac:dyDescent="0.25">
      <c r="A349" s="5">
        <v>44244</v>
      </c>
      <c r="B349">
        <v>1.0783799999999999</v>
      </c>
      <c r="C349">
        <v>1.08999</v>
      </c>
      <c r="D349">
        <v>0.93799999999999994</v>
      </c>
      <c r="E349">
        <v>1.01979</v>
      </c>
      <c r="F349">
        <v>37851167.799999997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7.6255016777419457E-2</v>
      </c>
      <c r="Q349">
        <f t="shared" si="970"/>
        <v>2886341.4356339187</v>
      </c>
      <c r="R349">
        <f t="shared" si="971"/>
        <v>537434219.22357845</v>
      </c>
      <c r="S349">
        <f t="shared" si="972"/>
        <v>5374.3421922357848</v>
      </c>
      <c r="T349">
        <f t="shared" si="973"/>
        <v>5.374342192235785</v>
      </c>
    </row>
    <row r="350" spans="1:20" x14ac:dyDescent="0.25">
      <c r="A350" s="5">
        <v>44243</v>
      </c>
      <c r="B350">
        <v>0.91276000000000002</v>
      </c>
      <c r="C350">
        <v>1.1100000000000001</v>
      </c>
      <c r="D350">
        <v>0.87355000000000005</v>
      </c>
      <c r="E350">
        <v>1.0764499999999999</v>
      </c>
      <c r="F350">
        <v>57404761.600000001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0.7162190737999562</v>
      </c>
      <c r="Q350">
        <f t="shared" si="970"/>
        <v>41114385.184859291</v>
      </c>
      <c r="R350">
        <f t="shared" si="971"/>
        <v>534547877.7879445</v>
      </c>
      <c r="S350">
        <f t="shared" si="972"/>
        <v>5345.4787778794453</v>
      </c>
      <c r="T350">
        <f t="shared" si="973"/>
        <v>5.3454787778794453</v>
      </c>
    </row>
    <row r="351" spans="1:20" x14ac:dyDescent="0.25">
      <c r="A351" s="5">
        <v>44242</v>
      </c>
      <c r="B351">
        <v>0.89710999999999996</v>
      </c>
      <c r="C351">
        <v>0.99</v>
      </c>
      <c r="D351">
        <v>0.71382000000000001</v>
      </c>
      <c r="E351">
        <v>0.91300999999999999</v>
      </c>
      <c r="F351">
        <v>42850981.899999999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0.44246505901947997</v>
      </c>
      <c r="Q351">
        <f t="shared" si="970"/>
        <v>18960062.235426169</v>
      </c>
      <c r="R351">
        <f t="shared" si="971"/>
        <v>493433492.60308522</v>
      </c>
      <c r="S351">
        <f t="shared" si="972"/>
        <v>4934.3349260308523</v>
      </c>
      <c r="T351">
        <f t="shared" si="973"/>
        <v>4.9343349260308527</v>
      </c>
    </row>
    <row r="352" spans="1:20" x14ac:dyDescent="0.25">
      <c r="A352" s="5">
        <v>44241</v>
      </c>
      <c r="B352">
        <v>0.99400999999999995</v>
      </c>
      <c r="C352">
        <v>1.01075</v>
      </c>
      <c r="D352">
        <v>0.86299999999999999</v>
      </c>
      <c r="E352">
        <v>0.89771000000000001</v>
      </c>
      <c r="F352">
        <v>20845138.800000001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-0.53015228426395933</v>
      </c>
      <c r="Q352">
        <f t="shared" si="970"/>
        <v>-11051097.950619288</v>
      </c>
      <c r="R352">
        <f t="shared" si="971"/>
        <v>474473430.36765903</v>
      </c>
      <c r="S352">
        <f t="shared" si="972"/>
        <v>4744.7343036765906</v>
      </c>
      <c r="T352">
        <f t="shared" si="973"/>
        <v>4.7447343036765908</v>
      </c>
    </row>
    <row r="353" spans="1:20" x14ac:dyDescent="0.25">
      <c r="A353" s="5">
        <v>44240</v>
      </c>
      <c r="B353">
        <v>1.0479700000000001</v>
      </c>
      <c r="C353">
        <v>1.08406</v>
      </c>
      <c r="D353">
        <v>0.89732999999999996</v>
      </c>
      <c r="E353">
        <v>0.99358999999999997</v>
      </c>
      <c r="F353">
        <v>30224519.699999999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3.1007336796443848E-2</v>
      </c>
      <c r="Q353">
        <f t="shared" si="970"/>
        <v>937181.86184865201</v>
      </c>
      <c r="R353">
        <f t="shared" si="971"/>
        <v>485524528.31827831</v>
      </c>
      <c r="S353">
        <f t="shared" si="972"/>
        <v>4855.2452831827832</v>
      </c>
      <c r="T353">
        <f t="shared" si="973"/>
        <v>4.855245283182783</v>
      </c>
    </row>
    <row r="354" spans="1:20" x14ac:dyDescent="0.25">
      <c r="A354" s="5">
        <v>44239</v>
      </c>
      <c r="B354">
        <v>0.99505999999999994</v>
      </c>
      <c r="C354">
        <v>1.1025499999999999</v>
      </c>
      <c r="D354">
        <v>0.92425000000000002</v>
      </c>
      <c r="E354">
        <v>1.0452699999999999</v>
      </c>
      <c r="F354">
        <v>34002515.399999999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0.35748738081884435</v>
      </c>
      <c r="Q354">
        <f t="shared" si="970"/>
        <v>12155470.17159842</v>
      </c>
      <c r="R354">
        <f t="shared" si="971"/>
        <v>484587346.45642966</v>
      </c>
      <c r="S354">
        <f t="shared" si="972"/>
        <v>4845.8734645642962</v>
      </c>
      <c r="T354">
        <f t="shared" si="973"/>
        <v>4.8458734645642965</v>
      </c>
    </row>
    <row r="355" spans="1:20" x14ac:dyDescent="0.25">
      <c r="A355" s="5">
        <v>44238</v>
      </c>
      <c r="B355">
        <v>0.85524999999999995</v>
      </c>
      <c r="C355">
        <v>1.06</v>
      </c>
      <c r="D355">
        <v>0.84014</v>
      </c>
      <c r="E355">
        <v>0.99533000000000005</v>
      </c>
      <c r="F355">
        <v>38259305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0.41171654689347775</v>
      </c>
      <c r="Q355">
        <f t="shared" si="970"/>
        <v>15751988.941144368</v>
      </c>
      <c r="R355">
        <f t="shared" si="971"/>
        <v>472431876.28483123</v>
      </c>
      <c r="S355">
        <f t="shared" si="972"/>
        <v>4724.318762848312</v>
      </c>
      <c r="T355">
        <f t="shared" si="973"/>
        <v>4.7243187628483119</v>
      </c>
    </row>
    <row r="356" spans="1:20" x14ac:dyDescent="0.25">
      <c r="A356" s="5">
        <v>44237</v>
      </c>
      <c r="B356">
        <v>0.87680999999999998</v>
      </c>
      <c r="C356">
        <v>0.95499999999999996</v>
      </c>
      <c r="D356">
        <v>0.78315000000000001</v>
      </c>
      <c r="E356">
        <v>0.85429999999999995</v>
      </c>
      <c r="F356">
        <v>36102218.600000001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-0.17195228396857776</v>
      </c>
      <c r="Q356">
        <f t="shared" si="970"/>
        <v>-6207858.9446028704</v>
      </c>
      <c r="R356">
        <f t="shared" si="971"/>
        <v>456679887.34368688</v>
      </c>
      <c r="S356">
        <f t="shared" si="972"/>
        <v>4566.7988734368691</v>
      </c>
      <c r="T356">
        <f t="shared" si="973"/>
        <v>4.566798873436869</v>
      </c>
    </row>
    <row r="357" spans="1:20" x14ac:dyDescent="0.25">
      <c r="A357" s="5">
        <v>44236</v>
      </c>
      <c r="B357">
        <v>0.80418999999999996</v>
      </c>
      <c r="C357">
        <v>0.92032999999999998</v>
      </c>
      <c r="D357">
        <v>0.77595999999999998</v>
      </c>
      <c r="E357">
        <v>0.87507000000000001</v>
      </c>
      <c r="F357">
        <v>30504515.399999999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0.37299993073353233</v>
      </c>
      <c r="Q357">
        <f t="shared" si="970"/>
        <v>11378182.13125997</v>
      </c>
      <c r="R357">
        <f t="shared" si="971"/>
        <v>462887746.28828973</v>
      </c>
      <c r="S357">
        <f t="shared" si="972"/>
        <v>4628.8774628828969</v>
      </c>
      <c r="T357">
        <f t="shared" si="973"/>
        <v>4.6288774628828966</v>
      </c>
    </row>
    <row r="358" spans="1:20" x14ac:dyDescent="0.25">
      <c r="A358" s="5">
        <v>44235</v>
      </c>
      <c r="B358">
        <v>0.76756999999999997</v>
      </c>
      <c r="C358">
        <v>0.87585999999999997</v>
      </c>
      <c r="D358">
        <v>0.74643999999999999</v>
      </c>
      <c r="E358">
        <v>0.80342000000000002</v>
      </c>
      <c r="F358">
        <v>35255656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-0.11945603461597837</v>
      </c>
      <c r="Q358">
        <f t="shared" si="970"/>
        <v>-4211500.8635450257</v>
      </c>
      <c r="R358">
        <f t="shared" si="971"/>
        <v>451509564.15702975</v>
      </c>
      <c r="S358">
        <f t="shared" si="972"/>
        <v>4515.0956415702976</v>
      </c>
      <c r="T358">
        <f t="shared" si="973"/>
        <v>4.5150956415702979</v>
      </c>
    </row>
    <row r="359" spans="1:20" x14ac:dyDescent="0.25">
      <c r="A359" s="5">
        <v>44234</v>
      </c>
      <c r="B359">
        <v>0.78347</v>
      </c>
      <c r="C359">
        <v>0.79457</v>
      </c>
      <c r="D359">
        <v>0.69403000000000004</v>
      </c>
      <c r="E359">
        <v>0.76803999999999994</v>
      </c>
      <c r="F359">
        <v>31351456.5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0.47224985080564824</v>
      </c>
      <c r="Q359">
        <f t="shared" si="970"/>
        <v>14805720.654664772</v>
      </c>
      <c r="R359">
        <f t="shared" si="971"/>
        <v>455721065.02057475</v>
      </c>
      <c r="S359">
        <f t="shared" si="972"/>
        <v>4557.2106502057477</v>
      </c>
      <c r="T359">
        <f t="shared" si="973"/>
        <v>4.5572106502057474</v>
      </c>
    </row>
    <row r="360" spans="1:20" x14ac:dyDescent="0.25">
      <c r="A360" s="5">
        <v>44233</v>
      </c>
      <c r="B360">
        <v>0.84140999999999999</v>
      </c>
      <c r="C360">
        <v>0.93</v>
      </c>
      <c r="D360">
        <v>0.76690000000000003</v>
      </c>
      <c r="E360">
        <v>0.78347999999999995</v>
      </c>
      <c r="F360">
        <v>45565539.100000001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-0.79668914776211008</v>
      </c>
      <c r="Q360">
        <f t="shared" si="970"/>
        <v>-36301570.512900107</v>
      </c>
      <c r="R360">
        <f t="shared" si="971"/>
        <v>440915344.36590999</v>
      </c>
      <c r="S360">
        <f t="shared" si="972"/>
        <v>4409.1534436591</v>
      </c>
      <c r="T360">
        <f t="shared" si="973"/>
        <v>4.4091534436591004</v>
      </c>
    </row>
    <row r="361" spans="1:20" x14ac:dyDescent="0.25">
      <c r="A361" s="5">
        <v>44232</v>
      </c>
      <c r="B361">
        <v>0.80437000000000003</v>
      </c>
      <c r="C361">
        <v>0.99</v>
      </c>
      <c r="D361">
        <v>0.80410000000000004</v>
      </c>
      <c r="E361">
        <v>0.84140999999999999</v>
      </c>
      <c r="F361">
        <v>62141716.700000003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-0.59860139860139905</v>
      </c>
      <c r="Q361">
        <f t="shared" si="970"/>
        <v>-37198118.52811192</v>
      </c>
      <c r="R361">
        <f t="shared" si="971"/>
        <v>477216914.87881011</v>
      </c>
      <c r="S361">
        <f t="shared" si="972"/>
        <v>4772.1691487881008</v>
      </c>
      <c r="T361">
        <f t="shared" si="973"/>
        <v>4.7721691487881008</v>
      </c>
    </row>
    <row r="362" spans="1:20" x14ac:dyDescent="0.25">
      <c r="A362" s="5">
        <v>44231</v>
      </c>
      <c r="B362">
        <v>0.68359000000000003</v>
      </c>
      <c r="C362">
        <v>0.85911999999999999</v>
      </c>
      <c r="D362">
        <v>0.67008999999999996</v>
      </c>
      <c r="E362">
        <v>0.80447999999999997</v>
      </c>
      <c r="F362">
        <v>47717673.200000003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0.42189070517907196</v>
      </c>
      <c r="Q362">
        <f t="shared" si="970"/>
        <v>20131642.795852505</v>
      </c>
      <c r="R362">
        <f t="shared" si="971"/>
        <v>514415033.40692204</v>
      </c>
      <c r="S362">
        <f t="shared" si="972"/>
        <v>5144.1503340692207</v>
      </c>
      <c r="T362">
        <f t="shared" si="973"/>
        <v>5.144150334069221</v>
      </c>
    </row>
    <row r="363" spans="1:20" x14ac:dyDescent="0.25">
      <c r="A363" s="5">
        <v>44230</v>
      </c>
      <c r="B363">
        <v>0.66956000000000004</v>
      </c>
      <c r="C363">
        <v>0.69843999999999995</v>
      </c>
      <c r="D363">
        <v>0.63751000000000002</v>
      </c>
      <c r="E363">
        <v>0.68357000000000001</v>
      </c>
      <c r="F363">
        <v>19497205.199999999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0.51189890037748376</v>
      </c>
      <c r="Q363">
        <f t="shared" si="970"/>
        <v>9980597.9023141582</v>
      </c>
      <c r="R363">
        <f t="shared" si="971"/>
        <v>494283390.61106956</v>
      </c>
      <c r="S363">
        <f t="shared" si="972"/>
        <v>4942.8339061106954</v>
      </c>
      <c r="T363">
        <f t="shared" si="973"/>
        <v>4.9428339061106952</v>
      </c>
    </row>
    <row r="364" spans="1:20" x14ac:dyDescent="0.25">
      <c r="A364" s="5">
        <v>44229</v>
      </c>
      <c r="B364">
        <v>0.62487999999999999</v>
      </c>
      <c r="C364">
        <v>0.74550000000000005</v>
      </c>
      <c r="D364">
        <v>0.60801000000000005</v>
      </c>
      <c r="E364">
        <v>0.66942000000000002</v>
      </c>
      <c r="F364">
        <v>42087904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-0.10669866899410918</v>
      </c>
      <c r="Q364">
        <f t="shared" si="970"/>
        <v>-4490723.3375518434</v>
      </c>
      <c r="R364">
        <f t="shared" si="971"/>
        <v>484302792.70875537</v>
      </c>
      <c r="S364">
        <f t="shared" si="972"/>
        <v>4843.0279270875535</v>
      </c>
      <c r="T364">
        <f t="shared" si="973"/>
        <v>4.8430279270875536</v>
      </c>
    </row>
    <row r="365" spans="1:20" x14ac:dyDescent="0.25">
      <c r="A365" s="5">
        <v>44228</v>
      </c>
      <c r="B365">
        <v>0.63088</v>
      </c>
      <c r="C365">
        <v>0.63197000000000003</v>
      </c>
      <c r="D365">
        <v>0.58206000000000002</v>
      </c>
      <c r="E365">
        <v>0.62400999999999995</v>
      </c>
      <c r="F365">
        <v>21847833.800000001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0.68102584652373965</v>
      </c>
      <c r="Q365">
        <f t="shared" si="970"/>
        <v>14878939.508354973</v>
      </c>
      <c r="R365">
        <f t="shared" si="971"/>
        <v>488793516.04630721</v>
      </c>
      <c r="S365">
        <f t="shared" si="972"/>
        <v>4887.935160463072</v>
      </c>
      <c r="T365">
        <f t="shared" si="973"/>
        <v>4.8879351604630719</v>
      </c>
    </row>
    <row r="366" spans="1:20" x14ac:dyDescent="0.25">
      <c r="A366" s="5">
        <v>44227</v>
      </c>
      <c r="B366">
        <v>0.58984000000000003</v>
      </c>
      <c r="C366">
        <v>0.66790000000000005</v>
      </c>
      <c r="D366">
        <v>0.58099999999999996</v>
      </c>
      <c r="E366">
        <v>0.63090000000000002</v>
      </c>
      <c r="F366">
        <v>37847864.5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0.14844649021864223</v>
      </c>
      <c r="Q366">
        <f t="shared" si="970"/>
        <v>5618382.647295746</v>
      </c>
      <c r="R366">
        <f t="shared" si="971"/>
        <v>473914576.53795224</v>
      </c>
      <c r="S366">
        <f t="shared" si="972"/>
        <v>4739.1457653795223</v>
      </c>
      <c r="T366">
        <f t="shared" si="973"/>
        <v>4.7391457653795221</v>
      </c>
    </row>
    <row r="367" spans="1:20" x14ac:dyDescent="0.25">
      <c r="A367" s="5">
        <v>44226</v>
      </c>
      <c r="B367">
        <v>0.56686999999999999</v>
      </c>
      <c r="C367">
        <v>0.62</v>
      </c>
      <c r="D367">
        <v>0.5494</v>
      </c>
      <c r="E367">
        <v>0.58896000000000004</v>
      </c>
      <c r="F367">
        <v>15963892.5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0.12067988668555359</v>
      </c>
      <c r="Q367">
        <f t="shared" si="970"/>
        <v>1926520.7379603588</v>
      </c>
      <c r="R367">
        <f t="shared" si="971"/>
        <v>468296193.89065647</v>
      </c>
      <c r="S367">
        <f t="shared" si="972"/>
        <v>4682.9619389065647</v>
      </c>
      <c r="T367">
        <f t="shared" si="973"/>
        <v>4.6829619389065646</v>
      </c>
    </row>
    <row r="368" spans="1:20" x14ac:dyDescent="0.25">
      <c r="A368" s="5">
        <v>44225</v>
      </c>
      <c r="B368">
        <v>0.57706999999999997</v>
      </c>
      <c r="C368">
        <v>0.60619999999999996</v>
      </c>
      <c r="D368">
        <v>0.55191999999999997</v>
      </c>
      <c r="E368">
        <v>0.56732000000000005</v>
      </c>
      <c r="F368">
        <v>20952970.199999999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-0.43257184966838313</v>
      </c>
      <c r="Q368">
        <f t="shared" si="970"/>
        <v>-9063665.0754605122</v>
      </c>
      <c r="R368">
        <f t="shared" si="971"/>
        <v>466369673.15269613</v>
      </c>
      <c r="S368">
        <f t="shared" si="972"/>
        <v>4663.6967315269612</v>
      </c>
      <c r="T368">
        <f t="shared" si="973"/>
        <v>4.6636967315269615</v>
      </c>
    </row>
    <row r="369" spans="1:20" x14ac:dyDescent="0.25">
      <c r="A369" s="5">
        <v>44224</v>
      </c>
      <c r="B369">
        <v>0.51929000000000003</v>
      </c>
      <c r="C369">
        <v>0.61</v>
      </c>
      <c r="D369">
        <v>0.50900000000000001</v>
      </c>
      <c r="E369">
        <v>0.57701000000000002</v>
      </c>
      <c r="F369">
        <v>27710105.699999999</v>
      </c>
      <c r="G369">
        <v>0</v>
      </c>
      <c r="L369" t="s">
        <v>7</v>
      </c>
      <c r="M369" t="s">
        <v>7</v>
      </c>
      <c r="N369" t="s">
        <v>7</v>
      </c>
      <c r="P369">
        <f t="shared" si="969"/>
        <v>0.34673267326732732</v>
      </c>
      <c r="Q369">
        <f t="shared" si="970"/>
        <v>9607999.0258812048</v>
      </c>
      <c r="R369">
        <f t="shared" si="971"/>
        <v>475433338.22815663</v>
      </c>
      <c r="S369">
        <f t="shared" si="972"/>
        <v>4754.3333822815666</v>
      </c>
      <c r="T369">
        <f t="shared" si="973"/>
        <v>4.7543333822815663</v>
      </c>
    </row>
    <row r="370" spans="1:20" x14ac:dyDescent="0.25">
      <c r="A370" s="5">
        <v>44223</v>
      </c>
      <c r="B370">
        <v>0.59889000000000003</v>
      </c>
      <c r="C370">
        <v>0.60009999999999997</v>
      </c>
      <c r="D370">
        <v>0.51212999999999997</v>
      </c>
      <c r="E370">
        <v>0.51932</v>
      </c>
      <c r="F370">
        <v>22007279.199999999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-0.83653518244856129</v>
      </c>
      <c r="Q370">
        <f t="shared" si="970"/>
        <v>-18409863.320768427</v>
      </c>
      <c r="R370">
        <f t="shared" si="971"/>
        <v>465825339.2022754</v>
      </c>
      <c r="S370">
        <f t="shared" si="972"/>
        <v>4658.2533920227543</v>
      </c>
      <c r="T370">
        <f t="shared" si="973"/>
        <v>4.658253392022754</v>
      </c>
    </row>
    <row r="371" spans="1:20" x14ac:dyDescent="0.25">
      <c r="A371" s="5">
        <v>44222</v>
      </c>
      <c r="B371">
        <v>0.5716</v>
      </c>
      <c r="C371">
        <v>0.60633999999999999</v>
      </c>
      <c r="D371">
        <v>0.52681999999999995</v>
      </c>
      <c r="E371">
        <v>0.59950999999999999</v>
      </c>
      <c r="F371">
        <v>21748116.5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0.82821931589537223</v>
      </c>
      <c r="Q371">
        <f t="shared" si="970"/>
        <v>18012210.169642858</v>
      </c>
      <c r="R371">
        <f t="shared" si="971"/>
        <v>484235202.52304381</v>
      </c>
      <c r="S371">
        <f t="shared" si="972"/>
        <v>4842.3520252304379</v>
      </c>
      <c r="T371">
        <f t="shared" si="973"/>
        <v>4.8423520252304382</v>
      </c>
    </row>
    <row r="372" spans="1:20" x14ac:dyDescent="0.25">
      <c r="A372" s="5">
        <v>44221</v>
      </c>
      <c r="B372">
        <v>0.62899000000000005</v>
      </c>
      <c r="C372">
        <v>0.63900000000000001</v>
      </c>
      <c r="D372">
        <v>0.56525000000000003</v>
      </c>
      <c r="E372">
        <v>0.57188000000000005</v>
      </c>
      <c r="F372">
        <v>21100182.800000001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-0.82020338983050778</v>
      </c>
      <c r="Q372">
        <f t="shared" si="970"/>
        <v>-17306441.458603375</v>
      </c>
      <c r="R372">
        <f t="shared" si="971"/>
        <v>466222992.35340095</v>
      </c>
      <c r="S372">
        <f t="shared" si="972"/>
        <v>4662.2299235340097</v>
      </c>
      <c r="T372">
        <f t="shared" si="973"/>
        <v>4.6622299235340101</v>
      </c>
    </row>
    <row r="373" spans="1:20" x14ac:dyDescent="0.25">
      <c r="A373" s="5">
        <v>44220</v>
      </c>
      <c r="B373">
        <v>0.62755000000000005</v>
      </c>
      <c r="C373">
        <v>0.65</v>
      </c>
      <c r="D373">
        <v>0.59387999999999996</v>
      </c>
      <c r="E373">
        <v>0.62878999999999996</v>
      </c>
      <c r="F373">
        <v>22072177.5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0.24411974340698361</v>
      </c>
      <c r="Q373">
        <f t="shared" si="970"/>
        <v>5388254.307733397</v>
      </c>
      <c r="R373">
        <f t="shared" si="971"/>
        <v>483529433.81200433</v>
      </c>
      <c r="S373">
        <f t="shared" si="972"/>
        <v>4835.294338120043</v>
      </c>
      <c r="T373">
        <f t="shared" si="973"/>
        <v>4.8352943381200433</v>
      </c>
    </row>
    <row r="374" spans="1:20" x14ac:dyDescent="0.25">
      <c r="A374" s="5">
        <v>44219</v>
      </c>
      <c r="B374">
        <v>0.63482000000000005</v>
      </c>
      <c r="C374">
        <v>0.68471000000000004</v>
      </c>
      <c r="D374">
        <v>0.59935000000000005</v>
      </c>
      <c r="E374">
        <v>0.62748999999999999</v>
      </c>
      <c r="F374">
        <v>38213320.299999997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-0.34067478912839866</v>
      </c>
      <c r="Q374">
        <f t="shared" si="970"/>
        <v>-13018314.835098455</v>
      </c>
      <c r="R374">
        <f t="shared" si="971"/>
        <v>478141179.50427091</v>
      </c>
      <c r="S374">
        <f t="shared" si="972"/>
        <v>4781.4117950427089</v>
      </c>
      <c r="T374">
        <f t="shared" si="973"/>
        <v>4.7814117950427093</v>
      </c>
    </row>
    <row r="375" spans="1:20" x14ac:dyDescent="0.25">
      <c r="A375" s="5">
        <v>44218</v>
      </c>
      <c r="B375">
        <v>0.58411000000000002</v>
      </c>
      <c r="C375">
        <v>0.68913000000000002</v>
      </c>
      <c r="D375">
        <v>0.52</v>
      </c>
      <c r="E375">
        <v>0.63500999999999996</v>
      </c>
      <c r="F375">
        <v>31892890.899999999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0.36001892035712107</v>
      </c>
      <c r="Q375">
        <f t="shared" si="970"/>
        <v>11482044.148885451</v>
      </c>
      <c r="R375">
        <f t="shared" si="971"/>
        <v>491159494.33936936</v>
      </c>
      <c r="S375">
        <f t="shared" si="972"/>
        <v>4911.5949433936939</v>
      </c>
      <c r="T375">
        <f t="shared" si="973"/>
        <v>4.9115949433936938</v>
      </c>
    </row>
    <row r="376" spans="1:20" x14ac:dyDescent="0.25">
      <c r="A376" s="5">
        <v>44217</v>
      </c>
      <c r="B376">
        <v>0.75927999999999995</v>
      </c>
      <c r="C376">
        <v>0.76890000000000003</v>
      </c>
      <c r="D376">
        <v>0.56569000000000003</v>
      </c>
      <c r="E376">
        <v>0.58528999999999998</v>
      </c>
      <c r="F376">
        <v>41120871.299999997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-0.80709610747502636</v>
      </c>
      <c r="Q376">
        <f t="shared" si="970"/>
        <v>-33188495.162211526</v>
      </c>
      <c r="R376">
        <f t="shared" si="971"/>
        <v>479677450.19048393</v>
      </c>
      <c r="S376">
        <f t="shared" si="972"/>
        <v>4796.7745019048389</v>
      </c>
      <c r="T376">
        <f t="shared" si="973"/>
        <v>4.7967745019048387</v>
      </c>
    </row>
    <row r="377" spans="1:20" x14ac:dyDescent="0.25">
      <c r="A377" s="5">
        <v>44216</v>
      </c>
      <c r="B377">
        <v>0.68728999999999996</v>
      </c>
      <c r="C377">
        <v>0.77998999999999996</v>
      </c>
      <c r="D377">
        <v>0.64</v>
      </c>
      <c r="E377">
        <v>0.75927999999999995</v>
      </c>
      <c r="F377">
        <v>71515022.799999997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0.70412172298021269</v>
      </c>
      <c r="Q377">
        <f t="shared" si="970"/>
        <v>50355281.07290519</v>
      </c>
      <c r="R377">
        <f t="shared" si="971"/>
        <v>512865945.35269547</v>
      </c>
      <c r="S377">
        <f t="shared" si="972"/>
        <v>5128.6594535269551</v>
      </c>
      <c r="T377">
        <f t="shared" si="973"/>
        <v>5.1286594535269554</v>
      </c>
    </row>
    <row r="378" spans="1:20" x14ac:dyDescent="0.25">
      <c r="A378" s="5">
        <v>44215</v>
      </c>
      <c r="B378">
        <v>0.59287000000000001</v>
      </c>
      <c r="C378">
        <v>0.71709999999999996</v>
      </c>
      <c r="D378">
        <v>0.57203999999999999</v>
      </c>
      <c r="E378">
        <v>0.68720000000000003</v>
      </c>
      <c r="F378">
        <v>44448156.600000001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0.58775679029367245</v>
      </c>
      <c r="Q378">
        <f t="shared" si="970"/>
        <v>26124705.857686512</v>
      </c>
      <c r="R378">
        <f t="shared" si="971"/>
        <v>462510664.27979028</v>
      </c>
      <c r="S378">
        <f t="shared" si="972"/>
        <v>4625.1066427979031</v>
      </c>
      <c r="T378">
        <f t="shared" si="973"/>
        <v>4.6251066427979035</v>
      </c>
    </row>
    <row r="379" spans="1:20" x14ac:dyDescent="0.25">
      <c r="A379" s="5">
        <v>44214</v>
      </c>
      <c r="B379">
        <v>0.61865999999999999</v>
      </c>
      <c r="C379">
        <v>0.68572</v>
      </c>
      <c r="D379">
        <v>0.56915000000000004</v>
      </c>
      <c r="E379">
        <v>0.59275999999999995</v>
      </c>
      <c r="F379">
        <v>39691809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-0.59492150639101105</v>
      </c>
      <c r="Q379">
        <f t="shared" si="970"/>
        <v>-23613510.801664289</v>
      </c>
      <c r="R379">
        <f t="shared" si="971"/>
        <v>436385958.42210376</v>
      </c>
      <c r="S379">
        <f t="shared" si="972"/>
        <v>4363.8595842210379</v>
      </c>
      <c r="T379">
        <f t="shared" si="973"/>
        <v>4.3638595842210384</v>
      </c>
    </row>
    <row r="380" spans="1:20" x14ac:dyDescent="0.25">
      <c r="A380" s="5">
        <v>44213</v>
      </c>
      <c r="B380">
        <v>0.53381999999999996</v>
      </c>
      <c r="C380">
        <v>0.65</v>
      </c>
      <c r="D380">
        <v>0.51597999999999999</v>
      </c>
      <c r="E380">
        <v>0.61889000000000005</v>
      </c>
      <c r="F380">
        <v>50314439.899999999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0.53574093418892754</v>
      </c>
      <c r="Q380">
        <f t="shared" si="970"/>
        <v>26955505.035218649</v>
      </c>
      <c r="R380">
        <f t="shared" si="971"/>
        <v>459999469.22376806</v>
      </c>
      <c r="S380">
        <f t="shared" si="972"/>
        <v>4599.9946922376803</v>
      </c>
      <c r="T380">
        <f t="shared" si="973"/>
        <v>4.5999946922376802</v>
      </c>
    </row>
    <row r="381" spans="1:20" x14ac:dyDescent="0.25">
      <c r="A381" s="5">
        <v>44212</v>
      </c>
      <c r="B381">
        <v>0.52136000000000005</v>
      </c>
      <c r="C381">
        <v>0.58320000000000005</v>
      </c>
      <c r="D381">
        <v>0.48499999999999999</v>
      </c>
      <c r="E381">
        <v>0.53517999999999999</v>
      </c>
      <c r="F381">
        <v>37141311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2.199592668024377E-2</v>
      </c>
      <c r="Q381">
        <f t="shared" si="970"/>
        <v>816957.55356413138</v>
      </c>
      <c r="R381">
        <f t="shared" si="971"/>
        <v>433043964.1885494</v>
      </c>
      <c r="S381">
        <f t="shared" si="972"/>
        <v>4330.439641885494</v>
      </c>
      <c r="T381">
        <f t="shared" si="973"/>
        <v>4.3304396418854942</v>
      </c>
    </row>
    <row r="382" spans="1:20" x14ac:dyDescent="0.25">
      <c r="A382" s="5">
        <v>44211</v>
      </c>
      <c r="B382">
        <v>0.47899000000000003</v>
      </c>
      <c r="C382">
        <v>0.57279999999999998</v>
      </c>
      <c r="D382">
        <v>0.44291000000000003</v>
      </c>
      <c r="E382">
        <v>0.52019000000000004</v>
      </c>
      <c r="F382">
        <v>56930931.100000001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0.18992994071907068</v>
      </c>
      <c r="Q382">
        <f t="shared" si="970"/>
        <v>10812888.368904497</v>
      </c>
      <c r="R382">
        <f t="shared" si="971"/>
        <v>432227006.63498527</v>
      </c>
      <c r="S382">
        <f t="shared" si="972"/>
        <v>4322.2700663498526</v>
      </c>
      <c r="T382">
        <f t="shared" si="973"/>
        <v>4.3222700663498523</v>
      </c>
    </row>
    <row r="383" spans="1:20" x14ac:dyDescent="0.25">
      <c r="A383" s="5">
        <v>44210</v>
      </c>
      <c r="B383">
        <v>0.43836000000000003</v>
      </c>
      <c r="C383">
        <v>0.49680000000000002</v>
      </c>
      <c r="D383">
        <v>0.41066999999999998</v>
      </c>
      <c r="E383">
        <v>0.47869</v>
      </c>
      <c r="F383">
        <v>42407379.799999997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0.57947288981771727</v>
      </c>
      <c r="Q383">
        <f t="shared" si="970"/>
        <v>24573926.922303487</v>
      </c>
      <c r="R383">
        <f t="shared" si="971"/>
        <v>421414118.2660808</v>
      </c>
      <c r="S383">
        <f t="shared" si="972"/>
        <v>4214.1411826608082</v>
      </c>
      <c r="T383">
        <f t="shared" si="973"/>
        <v>4.2141411826608079</v>
      </c>
    </row>
    <row r="384" spans="1:20" x14ac:dyDescent="0.25">
      <c r="A384" s="5">
        <v>44209</v>
      </c>
      <c r="B384">
        <v>0.36085</v>
      </c>
      <c r="C384">
        <v>0.43906000000000001</v>
      </c>
      <c r="D384">
        <v>0.34822999999999998</v>
      </c>
      <c r="E384">
        <v>0.43786999999999998</v>
      </c>
      <c r="F384">
        <v>25257761.399999999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0.97379720356710286</v>
      </c>
      <c r="Q384">
        <f t="shared" si="970"/>
        <v>24595937.41968511</v>
      </c>
      <c r="R384">
        <f t="shared" si="971"/>
        <v>396840191.3437773</v>
      </c>
      <c r="S384">
        <f t="shared" si="972"/>
        <v>3968.4019134377731</v>
      </c>
      <c r="T384">
        <f t="shared" si="973"/>
        <v>3.968401913437773</v>
      </c>
    </row>
    <row r="385" spans="1:20" x14ac:dyDescent="0.25">
      <c r="A385" s="5">
        <v>44208</v>
      </c>
      <c r="B385">
        <v>0.36674000000000001</v>
      </c>
      <c r="C385">
        <v>0.39950000000000002</v>
      </c>
      <c r="D385">
        <v>0.34539999999999998</v>
      </c>
      <c r="E385">
        <v>0.36104999999999998</v>
      </c>
      <c r="F385">
        <v>23444860.800000001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-0.42144177449168257</v>
      </c>
      <c r="Q385">
        <f t="shared" si="970"/>
        <v>-9880643.7382624894</v>
      </c>
      <c r="R385">
        <f t="shared" si="971"/>
        <v>372244253.92409217</v>
      </c>
      <c r="S385">
        <f t="shared" si="972"/>
        <v>3722.4425392409216</v>
      </c>
      <c r="T385">
        <f t="shared" si="973"/>
        <v>3.7224425392409217</v>
      </c>
    </row>
    <row r="386" spans="1:20" x14ac:dyDescent="0.25">
      <c r="A386" s="5">
        <v>44207</v>
      </c>
      <c r="B386">
        <v>0.41187000000000001</v>
      </c>
      <c r="C386">
        <v>0.41322999999999999</v>
      </c>
      <c r="D386">
        <v>0.31069999999999998</v>
      </c>
      <c r="E386">
        <v>0.36663000000000001</v>
      </c>
      <c r="F386">
        <v>39458722.399999999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9.099775675412132E-2</v>
      </c>
      <c r="Q386">
        <f t="shared" si="970"/>
        <v>3590655.2227835981</v>
      </c>
      <c r="R386">
        <f t="shared" si="971"/>
        <v>382124897.66235465</v>
      </c>
      <c r="S386">
        <f t="shared" si="972"/>
        <v>3821.2489766235467</v>
      </c>
      <c r="T386">
        <f t="shared" si="973"/>
        <v>3.8212489766235467</v>
      </c>
    </row>
    <row r="387" spans="1:20" x14ac:dyDescent="0.25">
      <c r="A387" s="5">
        <v>44206</v>
      </c>
      <c r="B387">
        <v>0.44485000000000002</v>
      </c>
      <c r="C387">
        <v>0.45928999999999998</v>
      </c>
      <c r="D387">
        <v>0.36753000000000002</v>
      </c>
      <c r="E387">
        <v>0.41194999999999998</v>
      </c>
      <c r="F387">
        <v>43880357.200000003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-3.1822144725370913E-2</v>
      </c>
      <c r="Q387">
        <f t="shared" si="970"/>
        <v>-1396367.0774193716</v>
      </c>
      <c r="R387">
        <f t="shared" si="971"/>
        <v>378534242.43957102</v>
      </c>
      <c r="S387">
        <f t="shared" si="972"/>
        <v>3785.3424243957102</v>
      </c>
      <c r="T387">
        <f t="shared" si="973"/>
        <v>3.7853424243957101</v>
      </c>
    </row>
    <row r="388" spans="1:20" x14ac:dyDescent="0.25">
      <c r="A388" s="5">
        <v>44205</v>
      </c>
      <c r="B388">
        <v>0.38618000000000002</v>
      </c>
      <c r="C388">
        <v>0.47142000000000001</v>
      </c>
      <c r="D388">
        <v>0.36614000000000002</v>
      </c>
      <c r="E388">
        <v>0.44485000000000002</v>
      </c>
      <c r="F388">
        <v>57219577.399999999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0.49525075987841971</v>
      </c>
      <c r="Q388">
        <f t="shared" si="970"/>
        <v>28338039.187272049</v>
      </c>
      <c r="R388">
        <f t="shared" si="971"/>
        <v>379930609.51699042</v>
      </c>
      <c r="S388">
        <f t="shared" si="972"/>
        <v>3799.3060951699044</v>
      </c>
      <c r="T388">
        <f t="shared" si="973"/>
        <v>3.7993060951699045</v>
      </c>
    </row>
    <row r="389" spans="1:20" x14ac:dyDescent="0.25">
      <c r="A389" s="5">
        <v>44204</v>
      </c>
      <c r="B389">
        <v>0.36409000000000002</v>
      </c>
      <c r="C389">
        <v>0.43099999999999999</v>
      </c>
      <c r="D389">
        <v>0.32739000000000001</v>
      </c>
      <c r="E389">
        <v>0.38618000000000002</v>
      </c>
      <c r="F389">
        <v>52376091.200000003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0.13483254512112769</v>
      </c>
      <c r="Q389">
        <f t="shared" si="970"/>
        <v>7062001.6799922995</v>
      </c>
      <c r="R389">
        <f t="shared" si="971"/>
        <v>351592570.32971835</v>
      </c>
      <c r="S389">
        <f t="shared" si="972"/>
        <v>3515.9257032971836</v>
      </c>
      <c r="T389">
        <f t="shared" si="973"/>
        <v>3.5159257032971838</v>
      </c>
    </row>
    <row r="390" spans="1:20" x14ac:dyDescent="0.25">
      <c r="A390" s="5">
        <v>44203</v>
      </c>
      <c r="B390">
        <v>0.371</v>
      </c>
      <c r="C390">
        <v>0.44500000000000001</v>
      </c>
      <c r="D390">
        <v>0.34794999999999998</v>
      </c>
      <c r="E390">
        <v>0.36277999999999999</v>
      </c>
      <c r="F390">
        <v>53660439.5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-0.69438433797011834</v>
      </c>
      <c r="Q390">
        <f t="shared" ref="Q390:Q453" si="975">F390*P390</f>
        <v>-37260968.757393084</v>
      </c>
      <c r="R390">
        <f t="shared" ref="R390:R453" si="976">R391+Q390</f>
        <v>344530568.64972603</v>
      </c>
      <c r="S390">
        <f t="shared" ref="S390:S453" si="977">R390/100000</f>
        <v>3445.3056864972605</v>
      </c>
      <c r="T390">
        <f t="shared" ref="T390:T453" si="978">S390/1000</f>
        <v>3.4453056864972607</v>
      </c>
    </row>
    <row r="391" spans="1:20" x14ac:dyDescent="0.25">
      <c r="A391" s="5">
        <v>44202</v>
      </c>
      <c r="B391">
        <v>0.34312999999999999</v>
      </c>
      <c r="C391">
        <v>0.38077</v>
      </c>
      <c r="D391">
        <v>0.33</v>
      </c>
      <c r="E391">
        <v>0.37067</v>
      </c>
      <c r="F391">
        <v>32469659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0.60212724049635602</v>
      </c>
      <c r="Q391">
        <f t="shared" si="975"/>
        <v>19550866.173527669</v>
      </c>
      <c r="R391">
        <f t="shared" si="976"/>
        <v>381791537.4071191</v>
      </c>
      <c r="S391">
        <f t="shared" si="977"/>
        <v>3817.9153740711909</v>
      </c>
      <c r="T391">
        <f t="shared" si="978"/>
        <v>3.8179153740711906</v>
      </c>
    </row>
    <row r="392" spans="1:20" x14ac:dyDescent="0.25">
      <c r="A392" s="5">
        <v>44201</v>
      </c>
      <c r="B392">
        <v>0.33627000000000001</v>
      </c>
      <c r="C392">
        <v>0.35532999999999998</v>
      </c>
      <c r="D392">
        <v>0.31422</v>
      </c>
      <c r="E392">
        <v>0.34304000000000001</v>
      </c>
      <c r="F392">
        <v>26127975.899999999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0.40209194843103996</v>
      </c>
      <c r="Q392">
        <f t="shared" si="975"/>
        <v>10505848.738190254</v>
      </c>
      <c r="R392">
        <f t="shared" si="976"/>
        <v>362240671.23359144</v>
      </c>
      <c r="S392">
        <f t="shared" si="977"/>
        <v>3622.4067123359146</v>
      </c>
      <c r="T392">
        <f t="shared" si="978"/>
        <v>3.6224067123359145</v>
      </c>
    </row>
    <row r="393" spans="1:20" x14ac:dyDescent="0.25">
      <c r="A393" s="5">
        <v>44200</v>
      </c>
      <c r="B393">
        <v>0.33505000000000001</v>
      </c>
      <c r="C393">
        <v>0.37280000000000002</v>
      </c>
      <c r="D393">
        <v>0.29731000000000002</v>
      </c>
      <c r="E393">
        <v>0.33665</v>
      </c>
      <c r="F393">
        <v>38696645.799999997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4.2257252616240172E-2</v>
      </c>
      <c r="Q393">
        <f t="shared" si="975"/>
        <v>1635213.9369717692</v>
      </c>
      <c r="R393">
        <f t="shared" si="976"/>
        <v>351734822.4954012</v>
      </c>
      <c r="S393">
        <f t="shared" si="977"/>
        <v>3517.348224954012</v>
      </c>
      <c r="T393">
        <f t="shared" si="978"/>
        <v>3.517348224954012</v>
      </c>
    </row>
    <row r="394" spans="1:20" x14ac:dyDescent="0.25">
      <c r="A394" s="5">
        <v>44199</v>
      </c>
      <c r="B394">
        <v>0.31269000000000002</v>
      </c>
      <c r="C394">
        <v>0.33998</v>
      </c>
      <c r="D394">
        <v>0.30493999999999999</v>
      </c>
      <c r="E394">
        <v>0.33484000000000003</v>
      </c>
      <c r="F394">
        <v>40155197.899999999</v>
      </c>
      <c r="G394">
        <v>0</v>
      </c>
      <c r="L394" t="s">
        <v>8</v>
      </c>
      <c r="M394" t="s">
        <v>7</v>
      </c>
      <c r="N394" t="s">
        <v>8</v>
      </c>
      <c r="P394">
        <f t="shared" si="974"/>
        <v>0.70662100456621146</v>
      </c>
      <c r="Q394">
        <f t="shared" si="975"/>
        <v>28374506.278653026</v>
      </c>
      <c r="R394">
        <f t="shared" si="976"/>
        <v>350099608.55842942</v>
      </c>
      <c r="S394">
        <f t="shared" si="977"/>
        <v>3500.9960855842942</v>
      </c>
      <c r="T394">
        <f t="shared" si="978"/>
        <v>3.5009960855842941</v>
      </c>
    </row>
    <row r="395" spans="1:20" x14ac:dyDescent="0.25">
      <c r="A395" s="5">
        <v>44198</v>
      </c>
      <c r="B395">
        <v>0.31691999999999998</v>
      </c>
      <c r="C395">
        <v>0.32224999999999998</v>
      </c>
      <c r="D395">
        <v>0.3</v>
      </c>
      <c r="E395">
        <v>0.31213999999999997</v>
      </c>
      <c r="F395">
        <v>19119235.5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9.1235955056178736E-2</v>
      </c>
      <c r="Q395">
        <f t="shared" si="975"/>
        <v>1744361.710786497</v>
      </c>
      <c r="R395">
        <f t="shared" si="976"/>
        <v>321725102.27977639</v>
      </c>
      <c r="S395">
        <f t="shared" si="977"/>
        <v>3217.2510227977641</v>
      </c>
      <c r="T395">
        <f t="shared" si="978"/>
        <v>3.2172510227977642</v>
      </c>
    </row>
    <row r="396" spans="1:20" x14ac:dyDescent="0.25">
      <c r="A396" s="5">
        <v>44197</v>
      </c>
      <c r="B396">
        <v>0.32199</v>
      </c>
      <c r="C396">
        <v>0.34343000000000001</v>
      </c>
      <c r="D396">
        <v>0.30889</v>
      </c>
      <c r="E396">
        <v>0.31629000000000002</v>
      </c>
      <c r="F396">
        <v>22685046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-0.57151129125651334</v>
      </c>
      <c r="Q396">
        <f t="shared" si="975"/>
        <v>-12964759.931673404</v>
      </c>
      <c r="R396">
        <f t="shared" si="976"/>
        <v>319980740.56898987</v>
      </c>
      <c r="S396">
        <f t="shared" si="977"/>
        <v>3199.8074056898986</v>
      </c>
      <c r="T396">
        <f t="shared" si="978"/>
        <v>3.1998074056898984</v>
      </c>
    </row>
    <row r="397" spans="1:20" x14ac:dyDescent="0.25">
      <c r="A397" s="5">
        <v>44196</v>
      </c>
      <c r="B397">
        <v>0.32443</v>
      </c>
      <c r="C397">
        <v>0.32933000000000001</v>
      </c>
      <c r="D397">
        <v>0.29891000000000001</v>
      </c>
      <c r="E397">
        <v>0.32200000000000001</v>
      </c>
      <c r="F397">
        <v>23118209.399999999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0.51808021038790253</v>
      </c>
      <c r="Q397">
        <f t="shared" si="975"/>
        <v>11977086.789743586</v>
      </c>
      <c r="R397">
        <f t="shared" si="976"/>
        <v>332945500.50066328</v>
      </c>
      <c r="S397">
        <f t="shared" si="977"/>
        <v>3329.4550050066327</v>
      </c>
      <c r="T397">
        <f t="shared" si="978"/>
        <v>3.3294550050066327</v>
      </c>
    </row>
    <row r="398" spans="1:20" x14ac:dyDescent="0.25">
      <c r="A398" s="5">
        <v>44195</v>
      </c>
      <c r="B398">
        <v>0.35315999999999997</v>
      </c>
      <c r="C398">
        <v>0.36</v>
      </c>
      <c r="D398">
        <v>0.31466</v>
      </c>
      <c r="E398">
        <v>0.32432</v>
      </c>
      <c r="F398">
        <v>46633842.399999999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-0.57388619320688117</v>
      </c>
      <c r="Q398">
        <f t="shared" si="975"/>
        <v>-26762518.289545648</v>
      </c>
      <c r="R398">
        <f t="shared" si="976"/>
        <v>320968413.71091968</v>
      </c>
      <c r="S398">
        <f t="shared" si="977"/>
        <v>3209.6841371091969</v>
      </c>
      <c r="T398">
        <f t="shared" si="978"/>
        <v>3.2096841371091966</v>
      </c>
    </row>
    <row r="399" spans="1:20" x14ac:dyDescent="0.25">
      <c r="A399" s="5">
        <v>44194</v>
      </c>
      <c r="B399">
        <v>0.33446999999999999</v>
      </c>
      <c r="C399">
        <v>0.40999000000000002</v>
      </c>
      <c r="D399">
        <v>0.32600000000000001</v>
      </c>
      <c r="E399">
        <v>0.35399999999999998</v>
      </c>
      <c r="F399">
        <v>79771837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-0.33325395880462039</v>
      </c>
      <c r="Q399">
        <f t="shared" si="975"/>
        <v>-26584280.481366891</v>
      </c>
      <c r="R399">
        <f t="shared" si="976"/>
        <v>347730932.00046533</v>
      </c>
      <c r="S399">
        <f t="shared" si="977"/>
        <v>3477.3093200046533</v>
      </c>
      <c r="T399">
        <f t="shared" si="978"/>
        <v>3.4773093200046534</v>
      </c>
    </row>
    <row r="400" spans="1:20" x14ac:dyDescent="0.25">
      <c r="A400" s="5">
        <v>44193</v>
      </c>
      <c r="B400">
        <v>0.28051999999999999</v>
      </c>
      <c r="C400">
        <v>0.38</v>
      </c>
      <c r="D400">
        <v>0.27660000000000001</v>
      </c>
      <c r="E400">
        <v>0.33445999999999998</v>
      </c>
      <c r="F400">
        <v>66370300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0.11914893617021222</v>
      </c>
      <c r="Q400">
        <f t="shared" si="975"/>
        <v>7907950.6382978363</v>
      </c>
      <c r="R400">
        <f t="shared" si="976"/>
        <v>374315212.48183221</v>
      </c>
      <c r="S400">
        <f t="shared" si="977"/>
        <v>3743.1521248183221</v>
      </c>
      <c r="T400">
        <f t="shared" si="978"/>
        <v>3.7431521248183222</v>
      </c>
    </row>
    <row r="401" spans="1:20" x14ac:dyDescent="0.25">
      <c r="A401" s="5">
        <v>44192</v>
      </c>
      <c r="B401">
        <v>0.25803999999999999</v>
      </c>
      <c r="C401">
        <v>0.29659999999999997</v>
      </c>
      <c r="D401">
        <v>0.24879000000000001</v>
      </c>
      <c r="E401">
        <v>0.28061000000000003</v>
      </c>
      <c r="F401">
        <v>20320409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0.33110227985777196</v>
      </c>
      <c r="Q401">
        <f t="shared" si="975"/>
        <v>6728133.7475423878</v>
      </c>
      <c r="R401">
        <f t="shared" si="976"/>
        <v>366407261.84353435</v>
      </c>
      <c r="S401">
        <f t="shared" si="977"/>
        <v>3664.0726184353434</v>
      </c>
      <c r="T401">
        <f t="shared" si="978"/>
        <v>3.6640726184353434</v>
      </c>
    </row>
    <row r="402" spans="1:20" x14ac:dyDescent="0.25">
      <c r="A402" s="5">
        <v>44191</v>
      </c>
      <c r="B402">
        <v>0.26974999999999999</v>
      </c>
      <c r="C402">
        <v>0.27150999999999997</v>
      </c>
      <c r="D402">
        <v>0.25047000000000003</v>
      </c>
      <c r="E402">
        <v>0.25803999999999999</v>
      </c>
      <c r="F402">
        <v>9001845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-0.28041825095057182</v>
      </c>
      <c r="Q402">
        <f t="shared" si="975"/>
        <v>-2524281.6302281502</v>
      </c>
      <c r="R402">
        <f t="shared" si="976"/>
        <v>359679128.09599197</v>
      </c>
      <c r="S402">
        <f t="shared" si="977"/>
        <v>3596.7912809599197</v>
      </c>
      <c r="T402">
        <f t="shared" si="978"/>
        <v>3.5967912809599198</v>
      </c>
    </row>
    <row r="403" spans="1:20" x14ac:dyDescent="0.25">
      <c r="A403" s="5">
        <v>44190</v>
      </c>
      <c r="B403">
        <v>0.27166000000000001</v>
      </c>
      <c r="C403">
        <v>0.2777</v>
      </c>
      <c r="D403">
        <v>0.25853999999999999</v>
      </c>
      <c r="E403">
        <v>0.26973999999999998</v>
      </c>
      <c r="F403">
        <v>7895472.0999999996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0.16910229645093755</v>
      </c>
      <c r="Q403">
        <f t="shared" si="975"/>
        <v>1335142.4636743064</v>
      </c>
      <c r="R403">
        <f t="shared" si="976"/>
        <v>362203409.72622013</v>
      </c>
      <c r="S403">
        <f t="shared" si="977"/>
        <v>3622.0340972622012</v>
      </c>
      <c r="T403">
        <f t="shared" si="978"/>
        <v>3.6220340972622012</v>
      </c>
    </row>
    <row r="404" spans="1:20" x14ac:dyDescent="0.25">
      <c r="A404" s="5">
        <v>44189</v>
      </c>
      <c r="B404">
        <v>0.2505</v>
      </c>
      <c r="C404">
        <v>0.27539000000000002</v>
      </c>
      <c r="D404">
        <v>0.24088000000000001</v>
      </c>
      <c r="E404">
        <v>0.27155000000000001</v>
      </c>
      <c r="F404">
        <v>10331231.5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0.77745580991017049</v>
      </c>
      <c r="Q404">
        <f t="shared" si="975"/>
        <v>8032075.9532019654</v>
      </c>
      <c r="R404">
        <f t="shared" si="976"/>
        <v>360868267.26254582</v>
      </c>
      <c r="S404">
        <f t="shared" si="977"/>
        <v>3608.6826726254581</v>
      </c>
      <c r="T404">
        <f t="shared" si="978"/>
        <v>3.6086826726254579</v>
      </c>
    </row>
    <row r="405" spans="1:20" x14ac:dyDescent="0.25">
      <c r="A405" s="5">
        <v>44188</v>
      </c>
      <c r="B405">
        <v>0.2903</v>
      </c>
      <c r="C405">
        <v>0.29787999999999998</v>
      </c>
      <c r="D405">
        <v>0.23100999999999999</v>
      </c>
      <c r="E405">
        <v>0.25081999999999999</v>
      </c>
      <c r="F405">
        <v>17821595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-0.40750710333482881</v>
      </c>
      <c r="Q405">
        <f t="shared" si="975"/>
        <v>-7262426.5552564682</v>
      </c>
      <c r="R405">
        <f t="shared" si="976"/>
        <v>352836191.30934387</v>
      </c>
      <c r="S405">
        <f t="shared" si="977"/>
        <v>3528.3619130934389</v>
      </c>
      <c r="T405">
        <f t="shared" si="978"/>
        <v>3.5283619130934389</v>
      </c>
    </row>
    <row r="406" spans="1:20" x14ac:dyDescent="0.25">
      <c r="A406" s="5">
        <v>44187</v>
      </c>
      <c r="B406">
        <v>0.26724999999999999</v>
      </c>
      <c r="C406">
        <v>0.2984</v>
      </c>
      <c r="D406">
        <v>0.2621</v>
      </c>
      <c r="E406">
        <v>0.29048000000000002</v>
      </c>
      <c r="F406">
        <v>14969881.5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0.5636363636363646</v>
      </c>
      <c r="Q406">
        <f t="shared" si="975"/>
        <v>8437569.5727272872</v>
      </c>
      <c r="R406">
        <f t="shared" si="976"/>
        <v>360098617.86460036</v>
      </c>
      <c r="S406">
        <f t="shared" si="977"/>
        <v>3600.9861786460037</v>
      </c>
      <c r="T406">
        <f t="shared" si="978"/>
        <v>3.6009861786460036</v>
      </c>
    </row>
    <row r="407" spans="1:20" x14ac:dyDescent="0.25">
      <c r="A407" s="5">
        <v>44186</v>
      </c>
      <c r="B407">
        <v>0.27866999999999997</v>
      </c>
      <c r="C407">
        <v>0.29009000000000001</v>
      </c>
      <c r="D407">
        <v>0.25757000000000002</v>
      </c>
      <c r="E407">
        <v>0.26678000000000002</v>
      </c>
      <c r="F407">
        <v>10852482.800000001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-0.43357933579335806</v>
      </c>
      <c r="Q407">
        <f t="shared" si="975"/>
        <v>-4705412.2841328429</v>
      </c>
      <c r="R407">
        <f t="shared" si="976"/>
        <v>351661048.2918731</v>
      </c>
      <c r="S407">
        <f t="shared" si="977"/>
        <v>3516.6104829187311</v>
      </c>
      <c r="T407">
        <f t="shared" si="978"/>
        <v>3.5166104829187312</v>
      </c>
    </row>
    <row r="408" spans="1:20" x14ac:dyDescent="0.25">
      <c r="A408" s="5">
        <v>44185</v>
      </c>
      <c r="B408">
        <v>0.29165999999999997</v>
      </c>
      <c r="C408">
        <v>0.29457</v>
      </c>
      <c r="D408">
        <v>0.27184000000000003</v>
      </c>
      <c r="E408">
        <v>0.27899000000000002</v>
      </c>
      <c r="F408">
        <v>8848127.3000000007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-0.37087549494060729</v>
      </c>
      <c r="Q408">
        <f t="shared" si="975"/>
        <v>-3281553.5916849994</v>
      </c>
      <c r="R408">
        <f t="shared" si="976"/>
        <v>356366460.57600594</v>
      </c>
      <c r="S408">
        <f t="shared" si="977"/>
        <v>3563.6646057600592</v>
      </c>
      <c r="T408">
        <f t="shared" si="978"/>
        <v>3.5636646057600592</v>
      </c>
    </row>
    <row r="409" spans="1:20" x14ac:dyDescent="0.25">
      <c r="A409" s="5">
        <v>44184</v>
      </c>
      <c r="B409">
        <v>0.29630000000000001</v>
      </c>
      <c r="C409">
        <v>0.308</v>
      </c>
      <c r="D409">
        <v>0.28817999999999999</v>
      </c>
      <c r="E409">
        <v>0.29169</v>
      </c>
      <c r="F409">
        <v>9497564.4000000004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-0.64581231079717327</v>
      </c>
      <c r="Q409">
        <f t="shared" si="975"/>
        <v>-6133644.0121089686</v>
      </c>
      <c r="R409">
        <f t="shared" si="976"/>
        <v>359648014.16769093</v>
      </c>
      <c r="S409">
        <f t="shared" si="977"/>
        <v>3596.4801416769092</v>
      </c>
      <c r="T409">
        <f t="shared" si="978"/>
        <v>3.596480141676909</v>
      </c>
    </row>
    <row r="410" spans="1:20" x14ac:dyDescent="0.25">
      <c r="A410" s="5">
        <v>44183</v>
      </c>
      <c r="B410">
        <v>0.28941</v>
      </c>
      <c r="C410">
        <v>0.29733999999999999</v>
      </c>
      <c r="D410">
        <v>0.28315000000000001</v>
      </c>
      <c r="E410">
        <v>0.29624</v>
      </c>
      <c r="F410">
        <v>8295894.4000000004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0.84496124031007869</v>
      </c>
      <c r="Q410">
        <f t="shared" si="975"/>
        <v>7009709.2217054367</v>
      </c>
      <c r="R410">
        <f t="shared" si="976"/>
        <v>365781658.17979991</v>
      </c>
      <c r="S410">
        <f t="shared" si="977"/>
        <v>3657.8165817979993</v>
      </c>
      <c r="T410">
        <f t="shared" si="978"/>
        <v>3.6578165817979995</v>
      </c>
    </row>
    <row r="411" spans="1:20" x14ac:dyDescent="0.25">
      <c r="A411" s="5">
        <v>44182</v>
      </c>
      <c r="B411">
        <v>0.30454999999999999</v>
      </c>
      <c r="C411">
        <v>0.31114000000000003</v>
      </c>
      <c r="D411">
        <v>0.28199999999999997</v>
      </c>
      <c r="E411">
        <v>0.28967999999999999</v>
      </c>
      <c r="F411">
        <v>17210652.199999999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-0.47288949897048693</v>
      </c>
      <c r="Q411">
        <f t="shared" si="975"/>
        <v>-8138736.6958133085</v>
      </c>
      <c r="R411">
        <f t="shared" si="976"/>
        <v>358771948.95809448</v>
      </c>
      <c r="S411">
        <f t="shared" si="977"/>
        <v>3587.7194895809448</v>
      </c>
      <c r="T411">
        <f t="shared" si="978"/>
        <v>3.587719489580945</v>
      </c>
    </row>
    <row r="412" spans="1:20" x14ac:dyDescent="0.25">
      <c r="A412" s="5">
        <v>44181</v>
      </c>
      <c r="B412">
        <v>0.29117999999999999</v>
      </c>
      <c r="C412">
        <v>0.30492999999999998</v>
      </c>
      <c r="D412">
        <v>0.28125</v>
      </c>
      <c r="E412">
        <v>0.30396000000000001</v>
      </c>
      <c r="F412">
        <v>13056011.300000001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0.91807432432432667</v>
      </c>
      <c r="Q412">
        <f t="shared" si="975"/>
        <v>11986388.752618274</v>
      </c>
      <c r="R412">
        <f t="shared" si="976"/>
        <v>366910685.65390778</v>
      </c>
      <c r="S412">
        <f t="shared" si="977"/>
        <v>3669.1068565390779</v>
      </c>
      <c r="T412">
        <f t="shared" si="978"/>
        <v>3.6691068565390776</v>
      </c>
    </row>
    <row r="413" spans="1:20" x14ac:dyDescent="0.25">
      <c r="A413" s="5">
        <v>44180</v>
      </c>
      <c r="B413">
        <v>0.28732999999999997</v>
      </c>
      <c r="C413">
        <v>0.2928</v>
      </c>
      <c r="D413">
        <v>0.27822999999999998</v>
      </c>
      <c r="E413">
        <v>0.29119</v>
      </c>
      <c r="F413">
        <v>10431583.300000001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0.77899794097460573</v>
      </c>
      <c r="Q413">
        <f t="shared" si="975"/>
        <v>8126181.911805083</v>
      </c>
      <c r="R413">
        <f t="shared" si="976"/>
        <v>354924296.90128952</v>
      </c>
      <c r="S413">
        <f t="shared" si="977"/>
        <v>3549.2429690128952</v>
      </c>
      <c r="T413">
        <f t="shared" si="978"/>
        <v>3.5492429690128953</v>
      </c>
    </row>
    <row r="414" spans="1:20" x14ac:dyDescent="0.25">
      <c r="A414" s="5">
        <v>44179</v>
      </c>
      <c r="B414">
        <v>0.28971999999999998</v>
      </c>
      <c r="C414">
        <v>0.29076999999999997</v>
      </c>
      <c r="D414">
        <v>0.27850999999999998</v>
      </c>
      <c r="E414">
        <v>0.28699999999999998</v>
      </c>
      <c r="F414">
        <v>6214313.7000000002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0.38499184339314885</v>
      </c>
      <c r="Q414">
        <f t="shared" si="975"/>
        <v>2392460.0867862995</v>
      </c>
      <c r="R414">
        <f t="shared" si="976"/>
        <v>346798114.98948443</v>
      </c>
      <c r="S414">
        <f t="shared" si="977"/>
        <v>3467.9811498948443</v>
      </c>
      <c r="T414">
        <f t="shared" si="978"/>
        <v>3.4679811498948441</v>
      </c>
    </row>
    <row r="415" spans="1:20" x14ac:dyDescent="0.25">
      <c r="A415" s="5">
        <v>44178</v>
      </c>
      <c r="B415">
        <v>0.28294999999999998</v>
      </c>
      <c r="C415">
        <v>0.29882999999999998</v>
      </c>
      <c r="D415">
        <v>0.2823</v>
      </c>
      <c r="E415">
        <v>0.29020000000000001</v>
      </c>
      <c r="F415">
        <v>10154297.9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-4.4162129461582177E-2</v>
      </c>
      <c r="Q415">
        <f t="shared" si="975"/>
        <v>-448435.41845127207</v>
      </c>
      <c r="R415">
        <f t="shared" si="976"/>
        <v>344405654.90269816</v>
      </c>
      <c r="S415">
        <f t="shared" si="977"/>
        <v>3444.0565490269814</v>
      </c>
      <c r="T415">
        <f t="shared" si="978"/>
        <v>3.4440565490269814</v>
      </c>
    </row>
    <row r="416" spans="1:20" x14ac:dyDescent="0.25">
      <c r="A416" s="5">
        <v>44177</v>
      </c>
      <c r="B416">
        <v>0.26706999999999997</v>
      </c>
      <c r="C416">
        <v>0.2888</v>
      </c>
      <c r="D416">
        <v>0.26634999999999998</v>
      </c>
      <c r="E416">
        <v>0.28288000000000002</v>
      </c>
      <c r="F416">
        <v>8861581.9000000004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0.47260579064588204</v>
      </c>
      <c r="Q416">
        <f t="shared" si="975"/>
        <v>4188034.9202227378</v>
      </c>
      <c r="R416">
        <f t="shared" si="976"/>
        <v>344854090.32114941</v>
      </c>
      <c r="S416">
        <f t="shared" si="977"/>
        <v>3448.540903211494</v>
      </c>
      <c r="T416">
        <f t="shared" si="978"/>
        <v>3.448540903211494</v>
      </c>
    </row>
    <row r="417" spans="1:20" x14ac:dyDescent="0.25">
      <c r="A417" s="5">
        <v>44176</v>
      </c>
      <c r="B417">
        <v>0.27814</v>
      </c>
      <c r="C417">
        <v>0.27882000000000001</v>
      </c>
      <c r="D417">
        <v>0.25217000000000001</v>
      </c>
      <c r="E417">
        <v>0.26661000000000001</v>
      </c>
      <c r="F417">
        <v>14373513.4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8.3677298311444992E-2</v>
      </c>
      <c r="Q417">
        <f t="shared" si="975"/>
        <v>1202736.768555352</v>
      </c>
      <c r="R417">
        <f t="shared" si="976"/>
        <v>340666055.40092665</v>
      </c>
      <c r="S417">
        <f t="shared" si="977"/>
        <v>3406.6605540092664</v>
      </c>
      <c r="T417">
        <f t="shared" si="978"/>
        <v>3.4066605540092665</v>
      </c>
    </row>
    <row r="418" spans="1:20" x14ac:dyDescent="0.25">
      <c r="A418" s="5">
        <v>44175</v>
      </c>
      <c r="B418">
        <v>0.29293000000000002</v>
      </c>
      <c r="C418">
        <v>0.29582999999999998</v>
      </c>
      <c r="D418">
        <v>0.27132000000000001</v>
      </c>
      <c r="E418">
        <v>0.27766000000000002</v>
      </c>
      <c r="F418">
        <v>8636525.8000000007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-0.48266013871888874</v>
      </c>
      <c r="Q418">
        <f t="shared" si="975"/>
        <v>-4168506.7406772617</v>
      </c>
      <c r="R418">
        <f t="shared" si="976"/>
        <v>339463318.63237131</v>
      </c>
      <c r="S418">
        <f t="shared" si="977"/>
        <v>3394.6331863237133</v>
      </c>
      <c r="T418">
        <f t="shared" si="978"/>
        <v>3.3946331863237131</v>
      </c>
    </row>
    <row r="419" spans="1:20" x14ac:dyDescent="0.25">
      <c r="A419" s="5">
        <v>44174</v>
      </c>
      <c r="B419">
        <v>0.29757</v>
      </c>
      <c r="C419">
        <v>0.29831000000000002</v>
      </c>
      <c r="D419">
        <v>0.27132000000000001</v>
      </c>
      <c r="E419">
        <v>0.29293000000000002</v>
      </c>
      <c r="F419">
        <v>18103906.199999999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0.60133382734346108</v>
      </c>
      <c r="Q419">
        <f t="shared" si="975"/>
        <v>10886491.205113014</v>
      </c>
      <c r="R419">
        <f t="shared" si="976"/>
        <v>343631825.37304854</v>
      </c>
      <c r="S419">
        <f t="shared" si="977"/>
        <v>3436.3182537304856</v>
      </c>
      <c r="T419">
        <f t="shared" si="978"/>
        <v>3.4363182537304855</v>
      </c>
    </row>
    <row r="420" spans="1:20" x14ac:dyDescent="0.25">
      <c r="A420" s="5">
        <v>44173</v>
      </c>
      <c r="B420">
        <v>0.33448</v>
      </c>
      <c r="C420">
        <v>0.33449000000000001</v>
      </c>
      <c r="D420">
        <v>0.29142000000000001</v>
      </c>
      <c r="E420">
        <v>0.29770999999999997</v>
      </c>
      <c r="F420">
        <v>17919258.600000001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-0.7079173438588362</v>
      </c>
      <c r="Q420">
        <f t="shared" si="975"/>
        <v>-12685353.952031609</v>
      </c>
      <c r="R420">
        <f t="shared" si="976"/>
        <v>332745334.16793555</v>
      </c>
      <c r="S420">
        <f t="shared" si="977"/>
        <v>3327.4533416793556</v>
      </c>
      <c r="T420">
        <f t="shared" si="978"/>
        <v>3.3274533416793557</v>
      </c>
    </row>
    <row r="421" spans="1:20" x14ac:dyDescent="0.25">
      <c r="A421" s="5">
        <v>44172</v>
      </c>
      <c r="B421">
        <v>0.34039999999999998</v>
      </c>
      <c r="C421">
        <v>0.34760000000000002</v>
      </c>
      <c r="D421">
        <v>0.33011000000000001</v>
      </c>
      <c r="E421">
        <v>0.33443000000000001</v>
      </c>
      <c r="F421">
        <v>7546030.9000000004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-0.50600343053173369</v>
      </c>
      <c r="Q421">
        <f t="shared" si="975"/>
        <v>-3818317.5222984659</v>
      </c>
      <c r="R421">
        <f t="shared" si="976"/>
        <v>345430688.11996716</v>
      </c>
      <c r="S421">
        <f t="shared" si="977"/>
        <v>3454.3068811996718</v>
      </c>
      <c r="T421">
        <f t="shared" si="978"/>
        <v>3.4543068811996718</v>
      </c>
    </row>
    <row r="422" spans="1:20" x14ac:dyDescent="0.25">
      <c r="A422" s="5">
        <v>44171</v>
      </c>
      <c r="B422">
        <v>0.33328000000000002</v>
      </c>
      <c r="C422">
        <v>0.34150000000000003</v>
      </c>
      <c r="D422">
        <v>0.32051000000000002</v>
      </c>
      <c r="E422">
        <v>0.34048</v>
      </c>
      <c r="F422">
        <v>6818338.2999999998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0.90281086231538632</v>
      </c>
      <c r="Q422">
        <f t="shared" si="975"/>
        <v>6155669.8801810248</v>
      </c>
      <c r="R422">
        <f t="shared" si="976"/>
        <v>349249005.64226562</v>
      </c>
      <c r="S422">
        <f t="shared" si="977"/>
        <v>3492.4900564226564</v>
      </c>
      <c r="T422">
        <f t="shared" si="978"/>
        <v>3.4924900564226564</v>
      </c>
    </row>
    <row r="423" spans="1:20" x14ac:dyDescent="0.25">
      <c r="A423" s="5">
        <v>44170</v>
      </c>
      <c r="B423">
        <v>0.31941000000000003</v>
      </c>
      <c r="C423">
        <v>0.34226000000000001</v>
      </c>
      <c r="D423">
        <v>0.31513000000000002</v>
      </c>
      <c r="E423">
        <v>0.33328000000000002</v>
      </c>
      <c r="F423">
        <v>7653660.5999999996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0.33800221157390403</v>
      </c>
      <c r="Q423">
        <f t="shared" si="975"/>
        <v>2586954.2094360529</v>
      </c>
      <c r="R423">
        <f t="shared" si="976"/>
        <v>343093335.7620846</v>
      </c>
      <c r="S423">
        <f t="shared" si="977"/>
        <v>3430.933357620846</v>
      </c>
      <c r="T423">
        <f t="shared" si="978"/>
        <v>3.4309333576208458</v>
      </c>
    </row>
    <row r="424" spans="1:20" x14ac:dyDescent="0.25">
      <c r="A424" s="5">
        <v>44169</v>
      </c>
      <c r="B424">
        <v>0.35661999999999999</v>
      </c>
      <c r="C424">
        <v>0.37298999999999999</v>
      </c>
      <c r="D424">
        <v>0.318</v>
      </c>
      <c r="E424">
        <v>0.31940000000000002</v>
      </c>
      <c r="F424">
        <v>19663332.800000001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-0.94908165120931032</v>
      </c>
      <c r="Q424">
        <f t="shared" si="975"/>
        <v>-18662108.362102192</v>
      </c>
      <c r="R424">
        <f t="shared" si="976"/>
        <v>340506381.55264854</v>
      </c>
      <c r="S424">
        <f t="shared" si="977"/>
        <v>3405.0638155264855</v>
      </c>
      <c r="T424">
        <f t="shared" si="978"/>
        <v>3.4050638155264856</v>
      </c>
    </row>
    <row r="425" spans="1:20" x14ac:dyDescent="0.25">
      <c r="A425" s="5">
        <v>44168</v>
      </c>
      <c r="B425">
        <v>0.33878999999999998</v>
      </c>
      <c r="C425">
        <v>0.35699999999999998</v>
      </c>
      <c r="D425">
        <v>0.33362000000000003</v>
      </c>
      <c r="E425">
        <v>0.35654000000000002</v>
      </c>
      <c r="F425">
        <v>10726528.699999999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0.96065012831480223</v>
      </c>
      <c r="Q425">
        <f t="shared" si="975"/>
        <v>10304441.172027407</v>
      </c>
      <c r="R425">
        <f t="shared" si="976"/>
        <v>359168489.91475075</v>
      </c>
      <c r="S425">
        <f t="shared" si="977"/>
        <v>3591.6848991475076</v>
      </c>
      <c r="T425">
        <f t="shared" si="978"/>
        <v>3.5916848991475074</v>
      </c>
    </row>
    <row r="426" spans="1:20" x14ac:dyDescent="0.25">
      <c r="A426" s="5">
        <v>44167</v>
      </c>
      <c r="B426">
        <v>0.31141999999999997</v>
      </c>
      <c r="C426">
        <v>0.34211999999999998</v>
      </c>
      <c r="D426">
        <v>0.30535000000000001</v>
      </c>
      <c r="E426">
        <v>0.33865000000000001</v>
      </c>
      <c r="F426">
        <v>10902005.199999999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0.81125917867827169</v>
      </c>
      <c r="Q426">
        <f t="shared" si="975"/>
        <v>8844351.7844982464</v>
      </c>
      <c r="R426">
        <f t="shared" si="976"/>
        <v>348864048.74272335</v>
      </c>
      <c r="S426">
        <f t="shared" si="977"/>
        <v>3488.6404874272334</v>
      </c>
      <c r="T426">
        <f t="shared" si="978"/>
        <v>3.4886404874272334</v>
      </c>
    </row>
    <row r="427" spans="1:20" x14ac:dyDescent="0.25">
      <c r="A427" s="5">
        <v>44166</v>
      </c>
      <c r="B427">
        <v>0.33638000000000001</v>
      </c>
      <c r="C427">
        <v>0.34591</v>
      </c>
      <c r="D427">
        <v>0.29916999999999999</v>
      </c>
      <c r="E427">
        <v>0.31162000000000001</v>
      </c>
      <c r="F427">
        <v>13224426.800000001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-0.46726572528883115</v>
      </c>
      <c r="Q427">
        <f t="shared" si="975"/>
        <v>-6179321.3802310564</v>
      </c>
      <c r="R427">
        <f t="shared" si="976"/>
        <v>340019696.95822507</v>
      </c>
      <c r="S427">
        <f t="shared" si="977"/>
        <v>3400.1969695822509</v>
      </c>
      <c r="T427">
        <f t="shared" si="978"/>
        <v>3.4001969695822507</v>
      </c>
    </row>
    <row r="428" spans="1:20" x14ac:dyDescent="0.25">
      <c r="A428" s="5">
        <v>44165</v>
      </c>
      <c r="B428">
        <v>0.32188</v>
      </c>
      <c r="C428">
        <v>0.33879999999999999</v>
      </c>
      <c r="D428">
        <v>0.31440000000000001</v>
      </c>
      <c r="E428">
        <v>0.33615</v>
      </c>
      <c r="F428">
        <v>11803383.5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0.78278688524590256</v>
      </c>
      <c r="Q428">
        <f t="shared" si="975"/>
        <v>9239533.8053278793</v>
      </c>
      <c r="R428">
        <f t="shared" si="976"/>
        <v>346199018.33845615</v>
      </c>
      <c r="S428">
        <f t="shared" si="977"/>
        <v>3461.9901833845615</v>
      </c>
      <c r="T428">
        <f t="shared" si="978"/>
        <v>3.4619901833845614</v>
      </c>
    </row>
    <row r="429" spans="1:20" x14ac:dyDescent="0.25">
      <c r="A429" s="5">
        <v>44164</v>
      </c>
      <c r="B429">
        <v>0.31492999999999999</v>
      </c>
      <c r="C429">
        <v>0.32399</v>
      </c>
      <c r="D429">
        <v>0.30839</v>
      </c>
      <c r="E429">
        <v>0.32140000000000002</v>
      </c>
      <c r="F429">
        <v>7873119.9000000004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0.66794871794872046</v>
      </c>
      <c r="Q429">
        <f t="shared" si="975"/>
        <v>5258840.3434615582</v>
      </c>
      <c r="R429">
        <f t="shared" si="976"/>
        <v>336959484.53312826</v>
      </c>
      <c r="S429">
        <f t="shared" si="977"/>
        <v>3369.5948453312826</v>
      </c>
      <c r="T429">
        <f t="shared" si="978"/>
        <v>3.3695948453312825</v>
      </c>
    </row>
    <row r="430" spans="1:20" x14ac:dyDescent="0.25">
      <c r="A430" s="5">
        <v>44163</v>
      </c>
      <c r="B430">
        <v>0.31067</v>
      </c>
      <c r="C430">
        <v>0.32500000000000001</v>
      </c>
      <c r="D430">
        <v>0.30007</v>
      </c>
      <c r="E430">
        <v>0.31507000000000002</v>
      </c>
      <c r="F430">
        <v>8927263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0.20336943441636651</v>
      </c>
      <c r="Q430">
        <f t="shared" si="975"/>
        <v>1815532.4271961553</v>
      </c>
      <c r="R430">
        <f t="shared" si="976"/>
        <v>331700644.18966669</v>
      </c>
      <c r="S430">
        <f t="shared" si="977"/>
        <v>3317.0064418966667</v>
      </c>
      <c r="T430">
        <f t="shared" si="978"/>
        <v>3.3170064418966669</v>
      </c>
    </row>
    <row r="431" spans="1:20" x14ac:dyDescent="0.25">
      <c r="A431" s="5">
        <v>44162</v>
      </c>
      <c r="B431">
        <v>0.31678000000000001</v>
      </c>
      <c r="C431">
        <v>0.32882</v>
      </c>
      <c r="D431">
        <v>0.29196</v>
      </c>
      <c r="E431">
        <v>0.31098999999999999</v>
      </c>
      <c r="F431">
        <v>9136081.6999999993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3.2555615843732469E-2</v>
      </c>
      <c r="Q431">
        <f t="shared" si="975"/>
        <v>297430.76614215423</v>
      </c>
      <c r="R431">
        <f t="shared" si="976"/>
        <v>329885111.76247054</v>
      </c>
      <c r="S431">
        <f t="shared" si="977"/>
        <v>3298.8511176247052</v>
      </c>
      <c r="T431">
        <f t="shared" si="978"/>
        <v>3.2988511176247051</v>
      </c>
    </row>
    <row r="432" spans="1:20" x14ac:dyDescent="0.25">
      <c r="A432" s="5">
        <v>44161</v>
      </c>
      <c r="B432">
        <v>0.36780000000000002</v>
      </c>
      <c r="C432">
        <v>0.37339</v>
      </c>
      <c r="D432">
        <v>0.28499999999999998</v>
      </c>
      <c r="E432">
        <v>0.31677</v>
      </c>
      <c r="F432">
        <v>32276870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-0.2811404004977936</v>
      </c>
      <c r="Q432">
        <f t="shared" si="975"/>
        <v>-9074332.1586152185</v>
      </c>
      <c r="R432">
        <f t="shared" si="976"/>
        <v>329587680.99632841</v>
      </c>
      <c r="S432">
        <f t="shared" si="977"/>
        <v>3295.8768099632844</v>
      </c>
      <c r="T432">
        <f t="shared" si="978"/>
        <v>3.2958768099632842</v>
      </c>
    </row>
    <row r="433" spans="1:20" x14ac:dyDescent="0.25">
      <c r="A433" s="5">
        <v>44160</v>
      </c>
      <c r="B433">
        <v>0.37322</v>
      </c>
      <c r="C433">
        <v>0.40656999999999999</v>
      </c>
      <c r="D433">
        <v>0.35</v>
      </c>
      <c r="E433">
        <v>0.36747000000000002</v>
      </c>
      <c r="F433">
        <v>24352184.399999999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-0.38235814035707838</v>
      </c>
      <c r="Q433">
        <f t="shared" si="975"/>
        <v>-9311255.9408166539</v>
      </c>
      <c r="R433">
        <f t="shared" si="976"/>
        <v>338662013.15494365</v>
      </c>
      <c r="S433">
        <f t="shared" si="977"/>
        <v>3386.6201315494363</v>
      </c>
      <c r="T433">
        <f t="shared" si="978"/>
        <v>3.3866201315494364</v>
      </c>
    </row>
    <row r="434" spans="1:20" x14ac:dyDescent="0.25">
      <c r="A434" s="5">
        <v>44159</v>
      </c>
      <c r="B434">
        <v>0.36548999999999998</v>
      </c>
      <c r="C434">
        <v>0.39800000000000002</v>
      </c>
      <c r="D434">
        <v>0.35605999999999999</v>
      </c>
      <c r="E434">
        <v>0.37297999999999998</v>
      </c>
      <c r="F434">
        <v>28525467.600000001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-0.1931330472103015</v>
      </c>
      <c r="Q434">
        <f t="shared" si="975"/>
        <v>-5509210.480686726</v>
      </c>
      <c r="R434">
        <f t="shared" si="976"/>
        <v>347973269.09576029</v>
      </c>
      <c r="S434">
        <f t="shared" si="977"/>
        <v>3479.7326909576027</v>
      </c>
      <c r="T434">
        <f t="shared" si="978"/>
        <v>3.4797326909576025</v>
      </c>
    </row>
    <row r="435" spans="1:20" x14ac:dyDescent="0.25">
      <c r="A435" s="5">
        <v>44158</v>
      </c>
      <c r="B435">
        <v>0.35354000000000002</v>
      </c>
      <c r="C435">
        <v>0.38669999999999999</v>
      </c>
      <c r="D435">
        <v>0.34364</v>
      </c>
      <c r="E435">
        <v>0.36460999999999999</v>
      </c>
      <c r="F435">
        <v>32491270.600000001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-2.6010218300046684E-2</v>
      </c>
      <c r="Q435">
        <f t="shared" si="975"/>
        <v>-845105.04115188878</v>
      </c>
      <c r="R435">
        <f t="shared" si="976"/>
        <v>353482479.57644701</v>
      </c>
      <c r="S435">
        <f t="shared" si="977"/>
        <v>3534.8247957644703</v>
      </c>
      <c r="T435">
        <f t="shared" si="978"/>
        <v>3.5348247957644703</v>
      </c>
    </row>
    <row r="436" spans="1:20" x14ac:dyDescent="0.25">
      <c r="A436" s="5">
        <v>44157</v>
      </c>
      <c r="B436">
        <v>0.35659000000000002</v>
      </c>
      <c r="C436">
        <v>0.37045</v>
      </c>
      <c r="D436">
        <v>0.31962000000000002</v>
      </c>
      <c r="E436">
        <v>0.35249000000000003</v>
      </c>
      <c r="F436">
        <v>27036579.5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0.29333071021050638</v>
      </c>
      <c r="Q436">
        <f t="shared" si="975"/>
        <v>7930659.0663978178</v>
      </c>
      <c r="R436">
        <f t="shared" si="976"/>
        <v>354327584.61759889</v>
      </c>
      <c r="S436">
        <f t="shared" si="977"/>
        <v>3543.275846175989</v>
      </c>
      <c r="T436">
        <f t="shared" si="978"/>
        <v>3.5432758461759892</v>
      </c>
    </row>
    <row r="437" spans="1:20" x14ac:dyDescent="0.25">
      <c r="A437" s="5">
        <v>44156</v>
      </c>
      <c r="B437">
        <v>0.32071</v>
      </c>
      <c r="C437">
        <v>0.36</v>
      </c>
      <c r="D437">
        <v>0.31236000000000003</v>
      </c>
      <c r="E437">
        <v>0.35650999999999999</v>
      </c>
      <c r="F437">
        <v>26732049.199999999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0.85348446683459289</v>
      </c>
      <c r="Q437">
        <f t="shared" si="975"/>
        <v>22815388.758858103</v>
      </c>
      <c r="R437">
        <f t="shared" si="976"/>
        <v>346396925.55120105</v>
      </c>
      <c r="S437">
        <f t="shared" si="977"/>
        <v>3463.9692555120105</v>
      </c>
      <c r="T437">
        <f t="shared" si="978"/>
        <v>3.4639692555120103</v>
      </c>
    </row>
    <row r="438" spans="1:20" x14ac:dyDescent="0.25">
      <c r="A438" s="5">
        <v>44155</v>
      </c>
      <c r="B438">
        <v>0.31595000000000001</v>
      </c>
      <c r="C438">
        <v>0.33612999999999998</v>
      </c>
      <c r="D438">
        <v>0.31173000000000001</v>
      </c>
      <c r="E438">
        <v>0.32121</v>
      </c>
      <c r="F438">
        <v>17441343.600000001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-0.22295081967213137</v>
      </c>
      <c r="Q438">
        <f t="shared" si="975"/>
        <v>-3888561.8518032827</v>
      </c>
      <c r="R438">
        <f t="shared" si="976"/>
        <v>323581536.79234296</v>
      </c>
      <c r="S438">
        <f t="shared" si="977"/>
        <v>3235.8153679234297</v>
      </c>
      <c r="T438">
        <f t="shared" si="978"/>
        <v>3.2358153679234296</v>
      </c>
    </row>
    <row r="439" spans="1:20" x14ac:dyDescent="0.25">
      <c r="A439" s="5">
        <v>44154</v>
      </c>
      <c r="B439">
        <v>0.32213999999999998</v>
      </c>
      <c r="C439">
        <v>0.32901000000000002</v>
      </c>
      <c r="D439">
        <v>0.30643999999999999</v>
      </c>
      <c r="E439">
        <v>0.31570999999999999</v>
      </c>
      <c r="F439">
        <v>13841547.699999999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-0.1785556047851142</v>
      </c>
      <c r="Q439">
        <f t="shared" si="975"/>
        <v>-2471485.9207355063</v>
      </c>
      <c r="R439">
        <f t="shared" si="976"/>
        <v>327470098.64414626</v>
      </c>
      <c r="S439">
        <f t="shared" si="977"/>
        <v>3274.7009864414626</v>
      </c>
      <c r="T439">
        <f t="shared" si="978"/>
        <v>3.2747009864414625</v>
      </c>
    </row>
    <row r="440" spans="1:20" x14ac:dyDescent="0.25">
      <c r="A440" s="5">
        <v>44153</v>
      </c>
      <c r="B440">
        <v>0.3463</v>
      </c>
      <c r="C440">
        <v>0.34898000000000001</v>
      </c>
      <c r="D440">
        <v>0.30268</v>
      </c>
      <c r="E440">
        <v>0.32202999999999998</v>
      </c>
      <c r="F440">
        <v>18784221.5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-0.16414686825054103</v>
      </c>
      <c r="Q440">
        <f t="shared" si="975"/>
        <v>-3083371.1317494805</v>
      </c>
      <c r="R440">
        <f t="shared" si="976"/>
        <v>329941584.56488174</v>
      </c>
      <c r="S440">
        <f t="shared" si="977"/>
        <v>3299.4158456488176</v>
      </c>
      <c r="T440">
        <f t="shared" si="978"/>
        <v>3.2994158456488174</v>
      </c>
    </row>
    <row r="441" spans="1:20" x14ac:dyDescent="0.25">
      <c r="A441" s="5">
        <v>44152</v>
      </c>
      <c r="B441">
        <v>0.32233000000000001</v>
      </c>
      <c r="C441">
        <v>0.35</v>
      </c>
      <c r="D441">
        <v>0.31824999999999998</v>
      </c>
      <c r="E441">
        <v>0.34560999999999997</v>
      </c>
      <c r="F441">
        <v>25908963.600000001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0.72346456692913352</v>
      </c>
      <c r="Q441">
        <f t="shared" si="975"/>
        <v>18744217.130456686</v>
      </c>
      <c r="R441">
        <f t="shared" si="976"/>
        <v>333024955.69663119</v>
      </c>
      <c r="S441">
        <f t="shared" si="977"/>
        <v>3330.249556966312</v>
      </c>
      <c r="T441">
        <f t="shared" si="978"/>
        <v>3.330249556966312</v>
      </c>
    </row>
    <row r="442" spans="1:20" x14ac:dyDescent="0.25">
      <c r="A442" s="5">
        <v>44151</v>
      </c>
      <c r="B442">
        <v>0.30418000000000001</v>
      </c>
      <c r="C442">
        <v>0.33998</v>
      </c>
      <c r="D442">
        <v>0.29621999999999998</v>
      </c>
      <c r="E442">
        <v>0.32250000000000001</v>
      </c>
      <c r="F442">
        <v>22464382.600000001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0.20109689213894025</v>
      </c>
      <c r="Q442">
        <f t="shared" si="975"/>
        <v>4517517.5246800864</v>
      </c>
      <c r="R442">
        <f t="shared" si="976"/>
        <v>314280738.56617451</v>
      </c>
      <c r="S442">
        <f t="shared" si="977"/>
        <v>3142.8073856617452</v>
      </c>
      <c r="T442">
        <f t="shared" si="978"/>
        <v>3.1428073856617451</v>
      </c>
    </row>
    <row r="443" spans="1:20" x14ac:dyDescent="0.25">
      <c r="A443" s="5">
        <v>44150</v>
      </c>
      <c r="B443">
        <v>0.30649999999999999</v>
      </c>
      <c r="C443">
        <v>0.32225999999999999</v>
      </c>
      <c r="D443">
        <v>0.29609999999999997</v>
      </c>
      <c r="E443">
        <v>0.30547999999999997</v>
      </c>
      <c r="F443">
        <v>20279161.699999999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-0.28287461773700356</v>
      </c>
      <c r="Q443">
        <f t="shared" si="975"/>
        <v>-5736460.1139143836</v>
      </c>
      <c r="R443">
        <f t="shared" si="976"/>
        <v>309763221.04149443</v>
      </c>
      <c r="S443">
        <f t="shared" si="977"/>
        <v>3097.6322104149444</v>
      </c>
      <c r="T443">
        <f t="shared" si="978"/>
        <v>3.0976322104149445</v>
      </c>
    </row>
    <row r="444" spans="1:20" x14ac:dyDescent="0.25">
      <c r="A444" s="5">
        <v>44149</v>
      </c>
      <c r="B444">
        <v>0.31852999999999998</v>
      </c>
      <c r="C444">
        <v>0.31994</v>
      </c>
      <c r="D444">
        <v>0.29535</v>
      </c>
      <c r="E444">
        <v>0.30649999999999999</v>
      </c>
      <c r="F444">
        <v>15587423.4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-9.3127287515250678E-2</v>
      </c>
      <c r="Q444">
        <f t="shared" si="975"/>
        <v>-1451614.4605937463</v>
      </c>
      <c r="R444">
        <f t="shared" si="976"/>
        <v>315499681.1554088</v>
      </c>
      <c r="S444">
        <f t="shared" si="977"/>
        <v>3154.9968115540878</v>
      </c>
      <c r="T444">
        <f t="shared" si="978"/>
        <v>3.1549968115540876</v>
      </c>
    </row>
    <row r="445" spans="1:20" x14ac:dyDescent="0.25">
      <c r="A445" s="5">
        <v>44148</v>
      </c>
      <c r="B445">
        <v>0.29818</v>
      </c>
      <c r="C445">
        <v>0.32595000000000002</v>
      </c>
      <c r="D445">
        <v>0.29192000000000001</v>
      </c>
      <c r="E445">
        <v>0.31813999999999998</v>
      </c>
      <c r="F445">
        <v>22700329.699999999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0.54099324125771153</v>
      </c>
      <c r="Q445">
        <f t="shared" si="975"/>
        <v>12280724.942021694</v>
      </c>
      <c r="R445">
        <f t="shared" si="976"/>
        <v>316951295.61600256</v>
      </c>
      <c r="S445">
        <f t="shared" si="977"/>
        <v>3169.5129561600256</v>
      </c>
      <c r="T445">
        <f t="shared" si="978"/>
        <v>3.1695129561600255</v>
      </c>
    </row>
    <row r="446" spans="1:20" x14ac:dyDescent="0.25">
      <c r="A446" s="5">
        <v>44147</v>
      </c>
      <c r="B446">
        <v>0.315</v>
      </c>
      <c r="C446">
        <v>0.32379999999999998</v>
      </c>
      <c r="D446">
        <v>0.29028999999999999</v>
      </c>
      <c r="E446">
        <v>0.29783999999999999</v>
      </c>
      <c r="F446">
        <v>20991301.300000001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-0.54938824231572636</v>
      </c>
      <c r="Q446">
        <f t="shared" si="975"/>
        <v>-11532374.125126822</v>
      </c>
      <c r="R446">
        <f t="shared" si="976"/>
        <v>304670570.67398089</v>
      </c>
      <c r="S446">
        <f t="shared" si="977"/>
        <v>3046.7057067398091</v>
      </c>
      <c r="T446">
        <f t="shared" si="978"/>
        <v>3.0467057067398091</v>
      </c>
    </row>
    <row r="447" spans="1:20" x14ac:dyDescent="0.25">
      <c r="A447" s="5">
        <v>44146</v>
      </c>
      <c r="B447">
        <v>0.34175</v>
      </c>
      <c r="C447">
        <v>0.35414000000000001</v>
      </c>
      <c r="D447">
        <v>0.31</v>
      </c>
      <c r="E447">
        <v>0.315</v>
      </c>
      <c r="F447">
        <v>29007846.300000001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-0.77344811961939275</v>
      </c>
      <c r="Q447">
        <f t="shared" si="975"/>
        <v>-22436064.174943361</v>
      </c>
      <c r="R447">
        <f t="shared" si="976"/>
        <v>316202944.79910773</v>
      </c>
      <c r="S447">
        <f t="shared" si="977"/>
        <v>3162.0294479910772</v>
      </c>
      <c r="T447">
        <f t="shared" si="978"/>
        <v>3.1620294479910771</v>
      </c>
    </row>
    <row r="448" spans="1:20" x14ac:dyDescent="0.25">
      <c r="A448" s="5">
        <v>44145</v>
      </c>
      <c r="B448">
        <v>0.32799</v>
      </c>
      <c r="C448">
        <v>0.35003000000000001</v>
      </c>
      <c r="D448">
        <v>0.31636999999999998</v>
      </c>
      <c r="E448">
        <v>0.34104000000000001</v>
      </c>
      <c r="F448">
        <v>32565923.899999999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0.46583481877599575</v>
      </c>
      <c r="Q448">
        <f t="shared" si="975"/>
        <v>15170341.258229367</v>
      </c>
      <c r="R448">
        <f t="shared" si="976"/>
        <v>338639008.97405112</v>
      </c>
      <c r="S448">
        <f t="shared" si="977"/>
        <v>3386.390089740511</v>
      </c>
      <c r="T448">
        <f t="shared" si="978"/>
        <v>3.386390089740511</v>
      </c>
    </row>
    <row r="449" spans="1:20" x14ac:dyDescent="0.25">
      <c r="A449" s="5">
        <v>44144</v>
      </c>
      <c r="B449">
        <v>0.30669000000000002</v>
      </c>
      <c r="C449">
        <v>0.33500000000000002</v>
      </c>
      <c r="D449">
        <v>0.29199999999999998</v>
      </c>
      <c r="E449">
        <v>0.32800000000000001</v>
      </c>
      <c r="F449">
        <v>31827439.600000001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0.67441860465116277</v>
      </c>
      <c r="Q449">
        <f t="shared" si="975"/>
        <v>21465017.404651161</v>
      </c>
      <c r="R449">
        <f t="shared" si="976"/>
        <v>323468667.71582174</v>
      </c>
      <c r="S449">
        <f t="shared" si="977"/>
        <v>3234.6866771582172</v>
      </c>
      <c r="T449">
        <f t="shared" si="978"/>
        <v>3.234686677158217</v>
      </c>
    </row>
    <row r="450" spans="1:20" x14ac:dyDescent="0.25">
      <c r="A450" s="5">
        <v>44143</v>
      </c>
      <c r="B450">
        <v>0.28256999999999999</v>
      </c>
      <c r="C450">
        <v>0.32181999999999999</v>
      </c>
      <c r="D450">
        <v>0.27714</v>
      </c>
      <c r="E450">
        <v>0.30669000000000002</v>
      </c>
      <c r="F450">
        <v>31091830.600000001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0.32273948075201531</v>
      </c>
      <c r="Q450">
        <f t="shared" si="975"/>
        <v>10034561.263473621</v>
      </c>
      <c r="R450">
        <f t="shared" si="976"/>
        <v>302003650.31117058</v>
      </c>
      <c r="S450">
        <f t="shared" si="977"/>
        <v>3020.0365031117058</v>
      </c>
      <c r="T450">
        <f t="shared" si="978"/>
        <v>3.0200365031117058</v>
      </c>
    </row>
    <row r="451" spans="1:20" x14ac:dyDescent="0.25">
      <c r="A451" s="5">
        <v>44142</v>
      </c>
      <c r="B451">
        <v>0.31306</v>
      </c>
      <c r="C451">
        <v>0.35</v>
      </c>
      <c r="D451">
        <v>0.27304</v>
      </c>
      <c r="E451">
        <v>0.28238000000000002</v>
      </c>
      <c r="F451">
        <v>56686700.899999999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-0.75727650727650675</v>
      </c>
      <c r="Q451">
        <f t="shared" si="975"/>
        <v>-42927506.866580009</v>
      </c>
      <c r="R451">
        <f t="shared" si="976"/>
        <v>291969089.04769695</v>
      </c>
      <c r="S451">
        <f t="shared" si="977"/>
        <v>2919.6908904769693</v>
      </c>
      <c r="T451">
        <f t="shared" si="978"/>
        <v>2.9196908904769692</v>
      </c>
    </row>
    <row r="452" spans="1:20" x14ac:dyDescent="0.25">
      <c r="A452" s="5">
        <v>44141</v>
      </c>
      <c r="B452">
        <v>0.26347999999999999</v>
      </c>
      <c r="C452">
        <v>0.31478</v>
      </c>
      <c r="D452">
        <v>0.26068999999999998</v>
      </c>
      <c r="E452">
        <v>0.31347000000000003</v>
      </c>
      <c r="F452">
        <v>31490736.699999999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0.95156221112959971</v>
      </c>
      <c r="Q452">
        <f t="shared" si="975"/>
        <v>29965395.044352032</v>
      </c>
      <c r="R452">
        <f t="shared" si="976"/>
        <v>334896595.91427696</v>
      </c>
      <c r="S452">
        <f t="shared" si="977"/>
        <v>3348.9659591427694</v>
      </c>
      <c r="T452">
        <f t="shared" si="978"/>
        <v>3.3489659591427694</v>
      </c>
    </row>
    <row r="453" spans="1:20" x14ac:dyDescent="0.25">
      <c r="A453" s="5">
        <v>44140</v>
      </c>
      <c r="B453">
        <v>0.24867</v>
      </c>
      <c r="C453">
        <v>0.27322000000000002</v>
      </c>
      <c r="D453">
        <v>0.24051</v>
      </c>
      <c r="E453">
        <v>0.26301999999999998</v>
      </c>
      <c r="F453">
        <v>17889986.300000001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0.37633751146438171</v>
      </c>
      <c r="Q453">
        <f t="shared" si="975"/>
        <v>6732672.9242738821</v>
      </c>
      <c r="R453">
        <f t="shared" si="976"/>
        <v>304931200.8699249</v>
      </c>
      <c r="S453">
        <f t="shared" si="977"/>
        <v>3049.312008699249</v>
      </c>
      <c r="T453">
        <f t="shared" si="978"/>
        <v>3.0493120086992489</v>
      </c>
    </row>
    <row r="454" spans="1:20" x14ac:dyDescent="0.25">
      <c r="A454" s="5">
        <v>44139</v>
      </c>
      <c r="B454">
        <v>0.25678000000000001</v>
      </c>
      <c r="C454">
        <v>0.26500000000000001</v>
      </c>
      <c r="D454">
        <v>0.23721999999999999</v>
      </c>
      <c r="E454">
        <v>0.24867</v>
      </c>
      <c r="F454">
        <v>13126210.1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-0.17566594672426172</v>
      </c>
      <c r="Q454">
        <f t="shared" ref="Q454:Q517" si="980">F454*P454</f>
        <v>-2305828.1241180659</v>
      </c>
      <c r="R454">
        <f t="shared" ref="R454:R517" si="981">R455+Q454</f>
        <v>298198527.94565099</v>
      </c>
      <c r="S454">
        <f t="shared" ref="S454:S517" si="982">R454/100000</f>
        <v>2981.9852794565099</v>
      </c>
      <c r="T454">
        <f t="shared" ref="T454:T517" si="983">S454/1000</f>
        <v>2.9819852794565098</v>
      </c>
    </row>
    <row r="455" spans="1:20" x14ac:dyDescent="0.25">
      <c r="A455" s="5">
        <v>44138</v>
      </c>
      <c r="B455">
        <v>0.25189</v>
      </c>
      <c r="C455">
        <v>0.26195000000000002</v>
      </c>
      <c r="D455">
        <v>0.23511000000000001</v>
      </c>
      <c r="E455">
        <v>0.25677</v>
      </c>
      <c r="F455">
        <v>15033691.800000001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0.61400894187779309</v>
      </c>
      <c r="Q455">
        <f t="shared" si="980"/>
        <v>9230821.1946348548</v>
      </c>
      <c r="R455">
        <f t="shared" si="981"/>
        <v>300504356.06976908</v>
      </c>
      <c r="S455">
        <f t="shared" si="982"/>
        <v>3005.0435606976907</v>
      </c>
      <c r="T455">
        <f t="shared" si="983"/>
        <v>3.0050435606976906</v>
      </c>
    </row>
    <row r="456" spans="1:20" x14ac:dyDescent="0.25">
      <c r="A456" s="5">
        <v>44137</v>
      </c>
      <c r="B456">
        <v>0.26756000000000002</v>
      </c>
      <c r="C456">
        <v>0.27759</v>
      </c>
      <c r="D456">
        <v>0.24817</v>
      </c>
      <c r="E456">
        <v>0.25247999999999998</v>
      </c>
      <c r="F456">
        <v>14088750.6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-0.70700203942896123</v>
      </c>
      <c r="Q456">
        <f t="shared" si="980"/>
        <v>-9960775.4072060008</v>
      </c>
      <c r="R456">
        <f t="shared" si="981"/>
        <v>291273534.87513423</v>
      </c>
      <c r="S456">
        <f t="shared" si="982"/>
        <v>2912.7353487513424</v>
      </c>
      <c r="T456">
        <f t="shared" si="983"/>
        <v>2.9127353487513425</v>
      </c>
    </row>
    <row r="457" spans="1:20" x14ac:dyDescent="0.25">
      <c r="A457" s="5">
        <v>44136</v>
      </c>
      <c r="B457">
        <v>0.28543000000000002</v>
      </c>
      <c r="C457">
        <v>0.28999999999999998</v>
      </c>
      <c r="D457">
        <v>0.26190999999999998</v>
      </c>
      <c r="E457">
        <v>0.26737</v>
      </c>
      <c r="F457">
        <v>13550384.6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-0.61124955500177858</v>
      </c>
      <c r="Q457">
        <f t="shared" si="980"/>
        <v>-8282666.5568529535</v>
      </c>
      <c r="R457">
        <f t="shared" si="981"/>
        <v>301234310.28234023</v>
      </c>
      <c r="S457">
        <f t="shared" si="982"/>
        <v>3012.3431028234022</v>
      </c>
      <c r="T457">
        <f t="shared" si="983"/>
        <v>3.0123431028234022</v>
      </c>
    </row>
    <row r="458" spans="1:20" x14ac:dyDescent="0.25">
      <c r="A458" s="5">
        <v>44135</v>
      </c>
      <c r="B458">
        <v>0.26679000000000003</v>
      </c>
      <c r="C458">
        <v>0.28902</v>
      </c>
      <c r="D458">
        <v>0.26090999999999998</v>
      </c>
      <c r="E458">
        <v>0.28544000000000003</v>
      </c>
      <c r="F458">
        <v>15952490.4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0.74528637495553407</v>
      </c>
      <c r="Q458">
        <f t="shared" si="980"/>
        <v>11889173.741728958</v>
      </c>
      <c r="R458">
        <f t="shared" si="981"/>
        <v>309516976.83919317</v>
      </c>
      <c r="S458">
        <f t="shared" si="982"/>
        <v>3095.1697683919315</v>
      </c>
      <c r="T458">
        <f t="shared" si="983"/>
        <v>3.0951697683919317</v>
      </c>
    </row>
    <row r="459" spans="1:20" x14ac:dyDescent="0.25">
      <c r="A459" s="5">
        <v>44134</v>
      </c>
      <c r="B459">
        <v>0.25644</v>
      </c>
      <c r="C459">
        <v>0.27134999999999998</v>
      </c>
      <c r="D459">
        <v>0.23036999999999999</v>
      </c>
      <c r="E459">
        <v>0.26695999999999998</v>
      </c>
      <c r="F459">
        <v>21425023.100000001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0.78574914592484113</v>
      </c>
      <c r="Q459">
        <f t="shared" si="980"/>
        <v>16834693.602244992</v>
      </c>
      <c r="R459">
        <f t="shared" si="981"/>
        <v>297627803.0974642</v>
      </c>
      <c r="S459">
        <f t="shared" si="982"/>
        <v>2976.2780309746422</v>
      </c>
      <c r="T459">
        <f t="shared" si="983"/>
        <v>2.9762780309746422</v>
      </c>
    </row>
    <row r="460" spans="1:20" x14ac:dyDescent="0.25">
      <c r="A460" s="5">
        <v>44133</v>
      </c>
      <c r="B460">
        <v>0.27840999999999999</v>
      </c>
      <c r="C460">
        <v>0.28509000000000001</v>
      </c>
      <c r="D460">
        <v>0.25198999999999999</v>
      </c>
      <c r="E460">
        <v>0.25600000000000001</v>
      </c>
      <c r="F460">
        <v>14145449.800000001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-0.75770392749244642</v>
      </c>
      <c r="Q460">
        <f t="shared" si="980"/>
        <v>-10718062.869607242</v>
      </c>
      <c r="R460">
        <f t="shared" si="981"/>
        <v>280793109.49521923</v>
      </c>
      <c r="S460">
        <f t="shared" si="982"/>
        <v>2807.9310949521923</v>
      </c>
      <c r="T460">
        <f t="shared" si="983"/>
        <v>2.8079310949521923</v>
      </c>
    </row>
    <row r="461" spans="1:20" x14ac:dyDescent="0.25">
      <c r="A461" s="5">
        <v>44132</v>
      </c>
      <c r="B461">
        <v>0.30052000000000001</v>
      </c>
      <c r="C461">
        <v>0.3075</v>
      </c>
      <c r="D461">
        <v>0.27100000000000002</v>
      </c>
      <c r="E461">
        <v>0.27871000000000001</v>
      </c>
      <c r="F461">
        <v>15069879.300000001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-0.57753424657534247</v>
      </c>
      <c r="Q461">
        <f t="shared" si="980"/>
        <v>-8703371.3875068501</v>
      </c>
      <c r="R461">
        <f t="shared" si="981"/>
        <v>291511172.3648265</v>
      </c>
      <c r="S461">
        <f t="shared" si="982"/>
        <v>2915.1117236482651</v>
      </c>
      <c r="T461">
        <f t="shared" si="983"/>
        <v>2.9151117236482649</v>
      </c>
    </row>
    <row r="462" spans="1:20" x14ac:dyDescent="0.25">
      <c r="A462" s="5">
        <v>44131</v>
      </c>
      <c r="B462">
        <v>0.29548000000000002</v>
      </c>
      <c r="C462">
        <v>0.31302000000000002</v>
      </c>
      <c r="D462">
        <v>0.28389999999999999</v>
      </c>
      <c r="E462">
        <v>0.30096000000000001</v>
      </c>
      <c r="F462">
        <v>17340526.600000001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0.17170329670329665</v>
      </c>
      <c r="Q462">
        <f t="shared" si="980"/>
        <v>2977425.583791208</v>
      </c>
      <c r="R462">
        <f t="shared" si="981"/>
        <v>300214543.75233334</v>
      </c>
      <c r="S462">
        <f t="shared" si="982"/>
        <v>3002.1454375233334</v>
      </c>
      <c r="T462">
        <f t="shared" si="983"/>
        <v>3.0021454375233332</v>
      </c>
    </row>
    <row r="463" spans="1:20" x14ac:dyDescent="0.25">
      <c r="A463" s="5">
        <v>44130</v>
      </c>
      <c r="B463">
        <v>0.31281999999999999</v>
      </c>
      <c r="C463">
        <v>0.32379999999999998</v>
      </c>
      <c r="D463">
        <v>0.28510000000000002</v>
      </c>
      <c r="E463">
        <v>0.29569000000000001</v>
      </c>
      <c r="F463">
        <v>23973615.300000001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-0.45271317829457364</v>
      </c>
      <c r="Q463">
        <f t="shared" si="980"/>
        <v>-10853171.577674419</v>
      </c>
      <c r="R463">
        <f t="shared" si="981"/>
        <v>297237118.16854215</v>
      </c>
      <c r="S463">
        <f t="shared" si="982"/>
        <v>2972.3711816854216</v>
      </c>
      <c r="T463">
        <f t="shared" si="983"/>
        <v>2.9723711816854217</v>
      </c>
    </row>
    <row r="464" spans="1:20" x14ac:dyDescent="0.25">
      <c r="A464" s="5">
        <v>44129</v>
      </c>
      <c r="B464">
        <v>0.32832</v>
      </c>
      <c r="C464">
        <v>0.32979999999999998</v>
      </c>
      <c r="D464">
        <v>0.30336999999999997</v>
      </c>
      <c r="E464">
        <v>0.31324000000000002</v>
      </c>
      <c r="F464">
        <v>16131792.6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-0.25312145289443494</v>
      </c>
      <c r="Q464">
        <f t="shared" si="980"/>
        <v>-4083302.7807036941</v>
      </c>
      <c r="R464">
        <f t="shared" si="981"/>
        <v>308090289.74621654</v>
      </c>
      <c r="S464">
        <f t="shared" si="982"/>
        <v>3080.9028974621651</v>
      </c>
      <c r="T464">
        <f t="shared" si="983"/>
        <v>3.0809028974621651</v>
      </c>
    </row>
    <row r="465" spans="1:20" x14ac:dyDescent="0.25">
      <c r="A465" s="5">
        <v>44128</v>
      </c>
      <c r="B465">
        <v>0.33925</v>
      </c>
      <c r="C465">
        <v>0.34194999999999998</v>
      </c>
      <c r="D465">
        <v>0.32538</v>
      </c>
      <c r="E465">
        <v>0.32865</v>
      </c>
      <c r="F465">
        <v>10352251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-0.60531080265540127</v>
      </c>
      <c r="Q465">
        <f t="shared" si="980"/>
        <v>-6266329.3621001802</v>
      </c>
      <c r="R465">
        <f t="shared" si="981"/>
        <v>312173592.52692026</v>
      </c>
      <c r="S465">
        <f t="shared" si="982"/>
        <v>3121.7359252692027</v>
      </c>
      <c r="T465">
        <f t="shared" si="983"/>
        <v>3.1217359252692027</v>
      </c>
    </row>
    <row r="466" spans="1:20" x14ac:dyDescent="0.25">
      <c r="A466" s="5">
        <v>44127</v>
      </c>
      <c r="B466">
        <v>0.33767000000000003</v>
      </c>
      <c r="C466">
        <v>0.35</v>
      </c>
      <c r="D466">
        <v>0.31938</v>
      </c>
      <c r="E466">
        <v>0.33932000000000001</v>
      </c>
      <c r="F466">
        <v>22424107.399999999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0.3024167210973237</v>
      </c>
      <c r="Q466">
        <f t="shared" si="980"/>
        <v>6781425.0334422318</v>
      </c>
      <c r="R466">
        <f t="shared" si="981"/>
        <v>318439921.88902044</v>
      </c>
      <c r="S466">
        <f t="shared" si="982"/>
        <v>3184.3992188902043</v>
      </c>
      <c r="T466">
        <f t="shared" si="983"/>
        <v>3.1843992188902042</v>
      </c>
    </row>
    <row r="467" spans="1:20" x14ac:dyDescent="0.25">
      <c r="A467" s="5">
        <v>44126</v>
      </c>
      <c r="B467">
        <v>0.32629999999999998</v>
      </c>
      <c r="C467">
        <v>0.35991000000000001</v>
      </c>
      <c r="D467">
        <v>0.32397999999999999</v>
      </c>
      <c r="E467">
        <v>0.33778999999999998</v>
      </c>
      <c r="F467">
        <v>26450957.300000001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-0.23128305037573157</v>
      </c>
      <c r="Q467">
        <f t="shared" si="980"/>
        <v>-6117658.0897022253</v>
      </c>
      <c r="R467">
        <f t="shared" si="981"/>
        <v>311658496.85557818</v>
      </c>
      <c r="S467">
        <f t="shared" si="982"/>
        <v>3116.5849685557819</v>
      </c>
      <c r="T467">
        <f t="shared" si="983"/>
        <v>3.1165849685557818</v>
      </c>
    </row>
    <row r="468" spans="1:20" x14ac:dyDescent="0.25">
      <c r="A468" s="5">
        <v>44125</v>
      </c>
      <c r="B468">
        <v>0.28371000000000002</v>
      </c>
      <c r="C468">
        <v>0.35493999999999998</v>
      </c>
      <c r="D468">
        <v>0.28220000000000001</v>
      </c>
      <c r="E468">
        <v>0.32612000000000002</v>
      </c>
      <c r="F468">
        <v>41706878.100000001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0.20758867198240397</v>
      </c>
      <c r="Q468">
        <f t="shared" si="980"/>
        <v>8657875.4373110086</v>
      </c>
      <c r="R468">
        <f t="shared" si="981"/>
        <v>317776154.94528043</v>
      </c>
      <c r="S468">
        <f t="shared" si="982"/>
        <v>3177.7615494528045</v>
      </c>
      <c r="T468">
        <f t="shared" si="983"/>
        <v>3.1777615494528044</v>
      </c>
    </row>
    <row r="469" spans="1:20" x14ac:dyDescent="0.25">
      <c r="A469" s="5">
        <v>44124</v>
      </c>
      <c r="B469">
        <v>0.32403999999999999</v>
      </c>
      <c r="C469">
        <v>0.33399000000000001</v>
      </c>
      <c r="D469">
        <v>0.27222000000000002</v>
      </c>
      <c r="E469">
        <v>0.28372000000000003</v>
      </c>
      <c r="F469">
        <v>29472193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-0.62765096325076863</v>
      </c>
      <c r="Q469">
        <f t="shared" si="980"/>
        <v>-18498250.325562559</v>
      </c>
      <c r="R469">
        <f t="shared" si="981"/>
        <v>309118279.50796944</v>
      </c>
      <c r="S469">
        <f t="shared" si="982"/>
        <v>3091.1827950796942</v>
      </c>
      <c r="T469">
        <f t="shared" si="983"/>
        <v>3.0911827950796944</v>
      </c>
    </row>
    <row r="470" spans="1:20" x14ac:dyDescent="0.25">
      <c r="A470" s="5">
        <v>44123</v>
      </c>
      <c r="B470">
        <v>0.34562999999999999</v>
      </c>
      <c r="C470">
        <v>0.34601999999999999</v>
      </c>
      <c r="D470">
        <v>0.31900000000000001</v>
      </c>
      <c r="E470">
        <v>0.32423999999999997</v>
      </c>
      <c r="F470">
        <v>20191188.100000001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-0.61213915618060921</v>
      </c>
      <c r="Q470">
        <f t="shared" si="980"/>
        <v>-12359816.845817959</v>
      </c>
      <c r="R470">
        <f t="shared" si="981"/>
        <v>327616529.83353198</v>
      </c>
      <c r="S470">
        <f t="shared" si="982"/>
        <v>3276.1652983353197</v>
      </c>
      <c r="T470">
        <f t="shared" si="983"/>
        <v>3.2761652983353198</v>
      </c>
    </row>
    <row r="471" spans="1:20" x14ac:dyDescent="0.25">
      <c r="A471" s="5">
        <v>44122</v>
      </c>
      <c r="B471">
        <v>0.34766000000000002</v>
      </c>
      <c r="C471">
        <v>0.35489999999999999</v>
      </c>
      <c r="D471">
        <v>0.33506999999999998</v>
      </c>
      <c r="E471">
        <v>0.34562999999999999</v>
      </c>
      <c r="F471">
        <v>17410323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6.5052950075643587E-2</v>
      </c>
      <c r="Q471">
        <f t="shared" si="980"/>
        <v>1132592.8729198293</v>
      </c>
      <c r="R471">
        <f t="shared" si="981"/>
        <v>339976346.67934996</v>
      </c>
      <c r="S471">
        <f t="shared" si="982"/>
        <v>3399.7634667934994</v>
      </c>
      <c r="T471">
        <f t="shared" si="983"/>
        <v>3.3997634667934995</v>
      </c>
    </row>
    <row r="472" spans="1:20" x14ac:dyDescent="0.25">
      <c r="A472" s="5">
        <v>44121</v>
      </c>
      <c r="B472">
        <v>0.32480999999999999</v>
      </c>
      <c r="C472">
        <v>0.35599999999999998</v>
      </c>
      <c r="D472">
        <v>0.31213000000000002</v>
      </c>
      <c r="E472">
        <v>0.34755999999999998</v>
      </c>
      <c r="F472">
        <v>23136502.899999999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0.61522680647367178</v>
      </c>
      <c r="Q472">
        <f t="shared" si="980"/>
        <v>14234196.792135846</v>
      </c>
      <c r="R472">
        <f t="shared" si="981"/>
        <v>338843753.8064301</v>
      </c>
      <c r="S472">
        <f t="shared" si="982"/>
        <v>3388.437538064301</v>
      </c>
      <c r="T472">
        <f t="shared" si="983"/>
        <v>3.3884375380643008</v>
      </c>
    </row>
    <row r="473" spans="1:20" x14ac:dyDescent="0.25">
      <c r="A473" s="5">
        <v>44120</v>
      </c>
      <c r="B473">
        <v>0.36091000000000001</v>
      </c>
      <c r="C473">
        <v>0.36499999999999999</v>
      </c>
      <c r="D473">
        <v>0.3201</v>
      </c>
      <c r="E473">
        <v>0.32483000000000001</v>
      </c>
      <c r="F473">
        <v>31423514.199999999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-0.78930957683741587</v>
      </c>
      <c r="Q473">
        <f t="shared" si="980"/>
        <v>-24802880.69594653</v>
      </c>
      <c r="R473">
        <f t="shared" si="981"/>
        <v>324609557.01429427</v>
      </c>
      <c r="S473">
        <f t="shared" si="982"/>
        <v>3246.0955701429425</v>
      </c>
      <c r="T473">
        <f t="shared" si="983"/>
        <v>3.2460955701429426</v>
      </c>
    </row>
    <row r="474" spans="1:20" x14ac:dyDescent="0.25">
      <c r="A474" s="5">
        <v>44119</v>
      </c>
      <c r="B474">
        <v>0.38751999999999998</v>
      </c>
      <c r="C474">
        <v>0.38808999999999999</v>
      </c>
      <c r="D474">
        <v>0.35119</v>
      </c>
      <c r="E474">
        <v>0.36080000000000001</v>
      </c>
      <c r="F474">
        <v>28181529.899999999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-0.4791327913279127</v>
      </c>
      <c r="Q474">
        <f t="shared" si="980"/>
        <v>-13502695.084878031</v>
      </c>
      <c r="R474">
        <f t="shared" si="981"/>
        <v>349412437.71024078</v>
      </c>
      <c r="S474">
        <f t="shared" si="982"/>
        <v>3494.1243771024078</v>
      </c>
      <c r="T474">
        <f t="shared" si="983"/>
        <v>3.4941243771024078</v>
      </c>
    </row>
    <row r="475" spans="1:20" x14ac:dyDescent="0.25">
      <c r="A475" s="5">
        <v>44118</v>
      </c>
      <c r="B475">
        <v>0.34043000000000001</v>
      </c>
      <c r="C475">
        <v>0.38900000000000001</v>
      </c>
      <c r="D475">
        <v>0.33740999999999999</v>
      </c>
      <c r="E475">
        <v>0.38722000000000001</v>
      </c>
      <c r="F475">
        <v>43200886.700000003</v>
      </c>
      <c r="G475">
        <v>0</v>
      </c>
      <c r="L475" t="s">
        <v>8</v>
      </c>
      <c r="M475" t="s">
        <v>7</v>
      </c>
      <c r="N475" t="s">
        <v>8</v>
      </c>
      <c r="P475">
        <f t="shared" si="979"/>
        <v>0.93099437875557267</v>
      </c>
      <c r="Q475">
        <f t="shared" si="980"/>
        <v>40219782.674956381</v>
      </c>
      <c r="R475">
        <f t="shared" si="981"/>
        <v>362915132.79511881</v>
      </c>
      <c r="S475">
        <f t="shared" si="982"/>
        <v>3629.1513279511883</v>
      </c>
      <c r="T475">
        <f t="shared" si="983"/>
        <v>3.6291513279511882</v>
      </c>
    </row>
    <row r="476" spans="1:20" x14ac:dyDescent="0.25">
      <c r="A476" s="5">
        <v>44117</v>
      </c>
      <c r="B476">
        <v>0.35787000000000002</v>
      </c>
      <c r="C476">
        <v>0.37561</v>
      </c>
      <c r="D476">
        <v>0.33062000000000002</v>
      </c>
      <c r="E476">
        <v>0.34044000000000002</v>
      </c>
      <c r="F476">
        <v>38624685.799999997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-0.56345854634363191</v>
      </c>
      <c r="Q476">
        <f t="shared" si="980"/>
        <v>-21763409.313847519</v>
      </c>
      <c r="R476">
        <f t="shared" si="981"/>
        <v>322695350.12016243</v>
      </c>
      <c r="S476">
        <f t="shared" si="982"/>
        <v>3226.9535012016245</v>
      </c>
      <c r="T476">
        <f t="shared" si="983"/>
        <v>3.2269535012016246</v>
      </c>
    </row>
    <row r="477" spans="1:20" x14ac:dyDescent="0.25">
      <c r="A477" s="5">
        <v>44116</v>
      </c>
      <c r="B477">
        <v>0.42241000000000001</v>
      </c>
      <c r="C477">
        <v>0.42442999999999997</v>
      </c>
      <c r="D477">
        <v>0.34322999999999998</v>
      </c>
      <c r="E477">
        <v>0.35770000000000002</v>
      </c>
      <c r="F477">
        <v>62206400.5</v>
      </c>
      <c r="G477">
        <v>0</v>
      </c>
      <c r="L477" t="s">
        <v>7</v>
      </c>
      <c r="M477" t="s">
        <v>7</v>
      </c>
      <c r="N477" t="s">
        <v>8</v>
      </c>
      <c r="P477">
        <f t="shared" si="979"/>
        <v>-0.64359605911329953</v>
      </c>
      <c r="Q477">
        <f t="shared" si="980"/>
        <v>-40035794.213423587</v>
      </c>
      <c r="R477">
        <f t="shared" si="981"/>
        <v>344458759.43400997</v>
      </c>
      <c r="S477">
        <f t="shared" si="982"/>
        <v>3444.5875943400997</v>
      </c>
      <c r="T477">
        <f t="shared" si="983"/>
        <v>3.4445875943400996</v>
      </c>
    </row>
    <row r="478" spans="1:20" x14ac:dyDescent="0.25">
      <c r="A478" s="5">
        <v>44115</v>
      </c>
      <c r="B478">
        <v>0.30442999999999998</v>
      </c>
      <c r="C478">
        <v>0.42899999999999999</v>
      </c>
      <c r="D478">
        <v>0.30420000000000003</v>
      </c>
      <c r="E478">
        <v>0.42203000000000002</v>
      </c>
      <c r="F478">
        <v>78993510.200000003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0.88830128205128245</v>
      </c>
      <c r="Q478">
        <f t="shared" si="980"/>
        <v>70170036.384391055</v>
      </c>
      <c r="R478">
        <f t="shared" si="981"/>
        <v>384494553.64743358</v>
      </c>
      <c r="S478">
        <f t="shared" si="982"/>
        <v>3844.9455364743358</v>
      </c>
      <c r="T478">
        <f t="shared" si="983"/>
        <v>3.8449455364743357</v>
      </c>
    </row>
    <row r="479" spans="1:20" x14ac:dyDescent="0.25">
      <c r="A479" s="5">
        <v>44114</v>
      </c>
      <c r="B479">
        <v>0.27871000000000001</v>
      </c>
      <c r="C479">
        <v>0.32600000000000001</v>
      </c>
      <c r="D479">
        <v>0.27526</v>
      </c>
      <c r="E479">
        <v>0.30442999999999998</v>
      </c>
      <c r="F479">
        <v>26055647.399999999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0.14978320851399171</v>
      </c>
      <c r="Q479">
        <f t="shared" si="980"/>
        <v>3902698.4674812458</v>
      </c>
      <c r="R479">
        <f t="shared" si="981"/>
        <v>314324517.26304251</v>
      </c>
      <c r="S479">
        <f t="shared" si="982"/>
        <v>3143.2451726304253</v>
      </c>
      <c r="T479">
        <f t="shared" si="983"/>
        <v>3.1432451726304254</v>
      </c>
    </row>
    <row r="480" spans="1:20" x14ac:dyDescent="0.25">
      <c r="A480" s="5">
        <v>44113</v>
      </c>
      <c r="B480">
        <v>0.27473999999999998</v>
      </c>
      <c r="C480">
        <v>0.28999999999999998</v>
      </c>
      <c r="D480">
        <v>0.26550000000000001</v>
      </c>
      <c r="E480">
        <v>0.27875</v>
      </c>
      <c r="F480">
        <v>21760830</v>
      </c>
      <c r="G480">
        <v>0</v>
      </c>
      <c r="L480" t="s">
        <v>7</v>
      </c>
      <c r="M480" t="s">
        <v>8</v>
      </c>
      <c r="N480" t="s">
        <v>8</v>
      </c>
      <c r="P480">
        <f t="shared" si="979"/>
        <v>8.1632653061224678E-2</v>
      </c>
      <c r="Q480">
        <f t="shared" si="980"/>
        <v>1776394.2857142899</v>
      </c>
      <c r="R480">
        <f t="shared" si="981"/>
        <v>310421818.79556125</v>
      </c>
      <c r="S480">
        <f t="shared" si="982"/>
        <v>3104.2181879556124</v>
      </c>
      <c r="T480">
        <f t="shared" si="983"/>
        <v>3.1042181879556123</v>
      </c>
    </row>
    <row r="481" spans="1:20" x14ac:dyDescent="0.25">
      <c r="A481" s="5">
        <v>44112</v>
      </c>
      <c r="B481">
        <v>0.26113999999999998</v>
      </c>
      <c r="C481">
        <v>0.29110000000000003</v>
      </c>
      <c r="D481">
        <v>0.23873</v>
      </c>
      <c r="E481">
        <v>0.27496999999999999</v>
      </c>
      <c r="F481">
        <v>42554471.700000003</v>
      </c>
      <c r="G481">
        <v>0</v>
      </c>
      <c r="L481" t="s">
        <v>8</v>
      </c>
      <c r="M481" t="s">
        <v>8</v>
      </c>
      <c r="N481" t="s">
        <v>8</v>
      </c>
      <c r="P481">
        <f t="shared" si="979"/>
        <v>0.38399847240786616</v>
      </c>
      <c r="Q481">
        <f t="shared" si="980"/>
        <v>16340852.126923773</v>
      </c>
      <c r="R481">
        <f t="shared" si="981"/>
        <v>308645424.50984699</v>
      </c>
      <c r="S481">
        <f t="shared" si="982"/>
        <v>3086.45424509847</v>
      </c>
      <c r="T481">
        <f t="shared" si="983"/>
        <v>3.0864542450984698</v>
      </c>
    </row>
    <row r="482" spans="1:20" x14ac:dyDescent="0.25">
      <c r="A482" s="5">
        <v>44111</v>
      </c>
      <c r="B482">
        <v>0.23451</v>
      </c>
      <c r="C482">
        <v>0.27400000000000002</v>
      </c>
      <c r="D482">
        <v>0.20754</v>
      </c>
      <c r="E482">
        <v>0.26155</v>
      </c>
      <c r="F482">
        <v>52544150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0.62533854950346035</v>
      </c>
      <c r="Q482">
        <f t="shared" si="980"/>
        <v>32857882.545892246</v>
      </c>
      <c r="R482">
        <f t="shared" si="981"/>
        <v>292304572.38292319</v>
      </c>
      <c r="S482">
        <f t="shared" si="982"/>
        <v>2923.045723829232</v>
      </c>
      <c r="T482">
        <f t="shared" si="983"/>
        <v>2.9230457238292318</v>
      </c>
    </row>
    <row r="483" spans="1:20" x14ac:dyDescent="0.25">
      <c r="A483" s="5">
        <v>44110</v>
      </c>
      <c r="B483">
        <v>0.24820999999999999</v>
      </c>
      <c r="C483">
        <v>0.26084000000000002</v>
      </c>
      <c r="D483">
        <v>0.22564000000000001</v>
      </c>
      <c r="E483">
        <v>0.23447000000000001</v>
      </c>
      <c r="F483">
        <v>35197956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-0.49829545454545443</v>
      </c>
      <c r="Q483">
        <f t="shared" si="980"/>
        <v>-17538981.484090906</v>
      </c>
      <c r="R483">
        <f t="shared" si="981"/>
        <v>259446689.83703092</v>
      </c>
      <c r="S483">
        <f t="shared" si="982"/>
        <v>2594.4668983703091</v>
      </c>
      <c r="T483">
        <f t="shared" si="983"/>
        <v>2.594466898370309</v>
      </c>
    </row>
    <row r="484" spans="1:20" x14ac:dyDescent="0.25">
      <c r="A484" s="5">
        <v>44109</v>
      </c>
      <c r="B484">
        <v>0.27007999999999999</v>
      </c>
      <c r="C484">
        <v>0.27560000000000001</v>
      </c>
      <c r="D484">
        <v>0.24746000000000001</v>
      </c>
      <c r="E484">
        <v>0.24884000000000001</v>
      </c>
      <c r="F484">
        <v>21203380.5</v>
      </c>
      <c r="G484">
        <v>0</v>
      </c>
      <c r="L484" t="s">
        <v>7</v>
      </c>
      <c r="M484" t="s">
        <v>7</v>
      </c>
      <c r="N484" t="s">
        <v>8</v>
      </c>
      <c r="P484">
        <f t="shared" si="979"/>
        <v>-0.90191897654584274</v>
      </c>
      <c r="Q484">
        <f t="shared" si="980"/>
        <v>-19123731.239872079</v>
      </c>
      <c r="R484">
        <f t="shared" si="981"/>
        <v>276985671.32112181</v>
      </c>
      <c r="S484">
        <f t="shared" si="982"/>
        <v>2769.856713211218</v>
      </c>
      <c r="T484">
        <f t="shared" si="983"/>
        <v>2.769856713211218</v>
      </c>
    </row>
    <row r="485" spans="1:20" x14ac:dyDescent="0.25">
      <c r="A485" s="5">
        <v>44108</v>
      </c>
      <c r="B485">
        <v>0.26778000000000002</v>
      </c>
      <c r="C485">
        <v>0.28199999999999997</v>
      </c>
      <c r="D485">
        <v>0.25833</v>
      </c>
      <c r="E485">
        <v>0.27067000000000002</v>
      </c>
      <c r="F485">
        <v>13968829.800000001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4.2670046472330705E-2</v>
      </c>
      <c r="Q485">
        <f t="shared" si="980"/>
        <v>596050.61673007812</v>
      </c>
      <c r="R485">
        <f t="shared" si="981"/>
        <v>296109402.56099391</v>
      </c>
      <c r="S485">
        <f t="shared" si="982"/>
        <v>2961.0940256099393</v>
      </c>
      <c r="T485">
        <f t="shared" si="983"/>
        <v>2.9610940256099392</v>
      </c>
    </row>
    <row r="486" spans="1:20" x14ac:dyDescent="0.25">
      <c r="A486" s="5">
        <v>44107</v>
      </c>
      <c r="B486">
        <v>0.25939000000000001</v>
      </c>
      <c r="C486">
        <v>0.28153</v>
      </c>
      <c r="D486">
        <v>0.24904000000000001</v>
      </c>
      <c r="E486">
        <v>0.26777000000000001</v>
      </c>
      <c r="F486">
        <v>26266276.899999999</v>
      </c>
      <c r="G486">
        <v>0</v>
      </c>
      <c r="L486" t="s">
        <v>7</v>
      </c>
      <c r="M486" t="s">
        <v>7</v>
      </c>
      <c r="N486" t="s">
        <v>8</v>
      </c>
      <c r="P486">
        <f t="shared" si="979"/>
        <v>0.15297014465989547</v>
      </c>
      <c r="Q486">
        <f t="shared" si="980"/>
        <v>4017956.1770698708</v>
      </c>
      <c r="R486">
        <f t="shared" si="981"/>
        <v>295513351.94426382</v>
      </c>
      <c r="S486">
        <f t="shared" si="982"/>
        <v>2955.1335194426383</v>
      </c>
      <c r="T486">
        <f t="shared" si="983"/>
        <v>2.9551335194426382</v>
      </c>
    </row>
    <row r="487" spans="1:20" x14ac:dyDescent="0.25">
      <c r="A487" s="5">
        <v>44106</v>
      </c>
      <c r="B487">
        <v>0.28303</v>
      </c>
      <c r="C487">
        <v>0.29787999999999998</v>
      </c>
      <c r="D487">
        <v>0.21770999999999999</v>
      </c>
      <c r="E487">
        <v>0.25939000000000001</v>
      </c>
      <c r="F487">
        <v>74738599.099999994</v>
      </c>
      <c r="G487">
        <v>0</v>
      </c>
      <c r="L487" t="s">
        <v>8</v>
      </c>
      <c r="M487" t="s">
        <v>8</v>
      </c>
      <c r="N487" t="s">
        <v>8</v>
      </c>
      <c r="P487">
        <f t="shared" si="979"/>
        <v>3.979044530373025E-2</v>
      </c>
      <c r="Q487">
        <f t="shared" si="980"/>
        <v>2973882.1395659726</v>
      </c>
      <c r="R487">
        <f t="shared" si="981"/>
        <v>291495395.76719397</v>
      </c>
      <c r="S487">
        <f t="shared" si="982"/>
        <v>2914.9539576719399</v>
      </c>
      <c r="T487">
        <f t="shared" si="983"/>
        <v>2.9149539576719397</v>
      </c>
    </row>
    <row r="488" spans="1:20" x14ac:dyDescent="0.25">
      <c r="A488" s="5">
        <v>44105</v>
      </c>
      <c r="B488">
        <v>0.23880000000000001</v>
      </c>
      <c r="C488">
        <v>0.28999999999999998</v>
      </c>
      <c r="D488">
        <v>0.23732</v>
      </c>
      <c r="E488">
        <v>0.28392000000000001</v>
      </c>
      <c r="F488">
        <v>67414422.299999997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0.76917236142748757</v>
      </c>
      <c r="Q488">
        <f t="shared" si="980"/>
        <v>51853310.394760877</v>
      </c>
      <c r="R488">
        <f t="shared" si="981"/>
        <v>288521513.62762803</v>
      </c>
      <c r="S488">
        <f t="shared" si="982"/>
        <v>2885.2151362762802</v>
      </c>
      <c r="T488">
        <f t="shared" si="983"/>
        <v>2.8852151362762801</v>
      </c>
    </row>
    <row r="489" spans="1:20" x14ac:dyDescent="0.25">
      <c r="A489" s="5">
        <v>44104</v>
      </c>
      <c r="B489">
        <v>0.23946999999999999</v>
      </c>
      <c r="C489">
        <v>0.24392</v>
      </c>
      <c r="D489">
        <v>0.22006000000000001</v>
      </c>
      <c r="E489">
        <v>0.23826</v>
      </c>
      <c r="F489">
        <v>19979610.600000001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0.52556580050293378</v>
      </c>
      <c r="Q489">
        <f t="shared" si="980"/>
        <v>10500600.038725901</v>
      </c>
      <c r="R489">
        <f t="shared" si="981"/>
        <v>236668203.23286715</v>
      </c>
      <c r="S489">
        <f t="shared" si="982"/>
        <v>2366.6820323286715</v>
      </c>
      <c r="T489">
        <f t="shared" si="983"/>
        <v>2.3666820323286717</v>
      </c>
    </row>
    <row r="490" spans="1:20" x14ac:dyDescent="0.25">
      <c r="A490" s="5">
        <v>44103</v>
      </c>
      <c r="B490">
        <v>0.21732000000000001</v>
      </c>
      <c r="C490">
        <v>0.24099999999999999</v>
      </c>
      <c r="D490">
        <v>0.19764000000000001</v>
      </c>
      <c r="E490">
        <v>0.23946999999999999</v>
      </c>
      <c r="F490">
        <v>21724580.699999999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0.92942804428044257</v>
      </c>
      <c r="Q490">
        <f t="shared" si="980"/>
        <v>20191434.552813645</v>
      </c>
      <c r="R490">
        <f t="shared" si="981"/>
        <v>226167603.19414124</v>
      </c>
      <c r="S490">
        <f t="shared" si="982"/>
        <v>2261.6760319414125</v>
      </c>
      <c r="T490">
        <f t="shared" si="983"/>
        <v>2.2616760319414126</v>
      </c>
    </row>
    <row r="491" spans="1:20" x14ac:dyDescent="0.25">
      <c r="A491" s="5">
        <v>44102</v>
      </c>
      <c r="B491">
        <v>0.24171000000000001</v>
      </c>
      <c r="C491">
        <v>0.24839</v>
      </c>
      <c r="D491">
        <v>0.20849999999999999</v>
      </c>
      <c r="E491">
        <v>0.21679000000000001</v>
      </c>
      <c r="F491">
        <v>12101547.300000001</v>
      </c>
      <c r="G491">
        <v>0</v>
      </c>
      <c r="L491" t="s">
        <v>7</v>
      </c>
      <c r="M491" t="s">
        <v>7</v>
      </c>
      <c r="N491" t="s">
        <v>8</v>
      </c>
      <c r="P491">
        <f t="shared" si="979"/>
        <v>-0.58435698169967321</v>
      </c>
      <c r="Q491">
        <f t="shared" si="980"/>
        <v>-7071623.6541238297</v>
      </c>
      <c r="R491">
        <f t="shared" si="981"/>
        <v>205976168.64132759</v>
      </c>
      <c r="S491">
        <f t="shared" si="982"/>
        <v>2059.761686413276</v>
      </c>
      <c r="T491">
        <f t="shared" si="983"/>
        <v>2.0597616864132759</v>
      </c>
    </row>
    <row r="492" spans="1:20" x14ac:dyDescent="0.25">
      <c r="A492" s="5">
        <v>44101</v>
      </c>
      <c r="B492">
        <v>0.24920999999999999</v>
      </c>
      <c r="C492">
        <v>0.25822000000000001</v>
      </c>
      <c r="D492">
        <v>0.22066</v>
      </c>
      <c r="E492">
        <v>0.24166000000000001</v>
      </c>
      <c r="F492">
        <v>16526956.5</v>
      </c>
      <c r="G492">
        <v>0</v>
      </c>
      <c r="L492" t="s">
        <v>7</v>
      </c>
      <c r="M492" t="s">
        <v>8</v>
      </c>
      <c r="N492" t="s">
        <v>8</v>
      </c>
      <c r="P492">
        <f t="shared" si="979"/>
        <v>0.118210862619809</v>
      </c>
      <c r="Q492">
        <f t="shared" si="980"/>
        <v>1953665.7843450594</v>
      </c>
      <c r="R492">
        <f t="shared" si="981"/>
        <v>213047792.29545143</v>
      </c>
      <c r="S492">
        <f t="shared" si="982"/>
        <v>2130.4779229545143</v>
      </c>
      <c r="T492">
        <f t="shared" si="983"/>
        <v>2.1304779229545141</v>
      </c>
    </row>
    <row r="493" spans="1:20" x14ac:dyDescent="0.25">
      <c r="A493" s="5">
        <v>44100</v>
      </c>
      <c r="B493">
        <v>0.22733</v>
      </c>
      <c r="C493">
        <v>0.25570999999999999</v>
      </c>
      <c r="D493">
        <v>0.22087000000000001</v>
      </c>
      <c r="E493">
        <v>0.24932000000000001</v>
      </c>
      <c r="F493">
        <v>25344857.899999999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0.63318025258323862</v>
      </c>
      <c r="Q493">
        <f t="shared" si="980"/>
        <v>16047863.52680829</v>
      </c>
      <c r="R493">
        <f t="shared" si="981"/>
        <v>211094126.51110637</v>
      </c>
      <c r="S493">
        <f t="shared" si="982"/>
        <v>2110.9412651110638</v>
      </c>
      <c r="T493">
        <f t="shared" si="983"/>
        <v>2.1109412651110637</v>
      </c>
    </row>
    <row r="494" spans="1:20" x14ac:dyDescent="0.25">
      <c r="A494" s="5">
        <v>44099</v>
      </c>
      <c r="B494">
        <v>0.19574</v>
      </c>
      <c r="C494">
        <v>0.24</v>
      </c>
      <c r="D494">
        <v>0.18018999999999999</v>
      </c>
      <c r="E494">
        <v>0.22725000000000001</v>
      </c>
      <c r="F494">
        <v>33514865.199999999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0.57364989132252187</v>
      </c>
      <c r="Q494">
        <f t="shared" si="980"/>
        <v>19225798.779668968</v>
      </c>
      <c r="R494">
        <f t="shared" si="981"/>
        <v>195046262.98429808</v>
      </c>
      <c r="S494">
        <f t="shared" si="982"/>
        <v>1950.4626298429807</v>
      </c>
      <c r="T494">
        <f t="shared" si="983"/>
        <v>1.9504626298429808</v>
      </c>
    </row>
    <row r="495" spans="1:20" x14ac:dyDescent="0.25">
      <c r="A495" s="5">
        <v>44098</v>
      </c>
      <c r="B495">
        <v>0.16897999999999999</v>
      </c>
      <c r="C495">
        <v>0.20200000000000001</v>
      </c>
      <c r="D495">
        <v>0.16</v>
      </c>
      <c r="E495">
        <v>0.19561000000000001</v>
      </c>
      <c r="F495">
        <v>37113089.600000001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0.69571428571428551</v>
      </c>
      <c r="Q495">
        <f t="shared" si="980"/>
        <v>25820106.621714279</v>
      </c>
      <c r="R495">
        <f t="shared" si="981"/>
        <v>175820464.20462912</v>
      </c>
      <c r="S495">
        <f t="shared" si="982"/>
        <v>1758.2046420462912</v>
      </c>
      <c r="T495">
        <f t="shared" si="983"/>
        <v>1.7582046420462911</v>
      </c>
    </row>
    <row r="496" spans="1:20" x14ac:dyDescent="0.25">
      <c r="A496" s="5">
        <v>44097</v>
      </c>
      <c r="B496">
        <v>0.20499999999999999</v>
      </c>
      <c r="C496">
        <v>0.20701</v>
      </c>
      <c r="D496">
        <v>0.16400000000000001</v>
      </c>
      <c r="E496">
        <v>0.16891999999999999</v>
      </c>
      <c r="F496">
        <v>28042508.100000001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-0.77121599627993576</v>
      </c>
      <c r="Q496">
        <f t="shared" si="980"/>
        <v>-21626830.82252967</v>
      </c>
      <c r="R496">
        <f t="shared" si="981"/>
        <v>150000357.58291483</v>
      </c>
      <c r="S496">
        <f t="shared" si="982"/>
        <v>1500.0035758291483</v>
      </c>
      <c r="T496">
        <f t="shared" si="983"/>
        <v>1.5000035758291483</v>
      </c>
    </row>
    <row r="497" spans="1:20" x14ac:dyDescent="0.25">
      <c r="A497" s="5">
        <v>44096</v>
      </c>
      <c r="B497">
        <v>0.21102000000000001</v>
      </c>
      <c r="C497">
        <v>0.2172</v>
      </c>
      <c r="D497">
        <v>0.19045999999999999</v>
      </c>
      <c r="E497">
        <v>0.20502000000000001</v>
      </c>
      <c r="F497">
        <v>20310149.199999999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8.9005235602094973E-2</v>
      </c>
      <c r="Q497">
        <f t="shared" si="980"/>
        <v>1807709.6146597008</v>
      </c>
      <c r="R497">
        <f t="shared" si="981"/>
        <v>171627188.4054445</v>
      </c>
      <c r="S497">
        <f t="shared" si="982"/>
        <v>1716.2718840544451</v>
      </c>
      <c r="T497">
        <f t="shared" si="983"/>
        <v>1.7162718840544451</v>
      </c>
    </row>
    <row r="498" spans="1:20" x14ac:dyDescent="0.25">
      <c r="A498" s="5">
        <v>44095</v>
      </c>
      <c r="B498">
        <v>0.23383999999999999</v>
      </c>
      <c r="C498">
        <v>0.24057999999999999</v>
      </c>
      <c r="D498">
        <v>0.19001000000000001</v>
      </c>
      <c r="E498">
        <v>0.21102000000000001</v>
      </c>
      <c r="F498">
        <v>26486084.5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-0.16907257267154396</v>
      </c>
      <c r="Q498">
        <f t="shared" si="980"/>
        <v>-4478070.4464109037</v>
      </c>
      <c r="R498">
        <f t="shared" si="981"/>
        <v>169819478.79078481</v>
      </c>
      <c r="S498">
        <f t="shared" si="982"/>
        <v>1698.194787907848</v>
      </c>
      <c r="T498">
        <f t="shared" si="983"/>
        <v>1.6981947879078481</v>
      </c>
    </row>
    <row r="499" spans="1:20" x14ac:dyDescent="0.25">
      <c r="A499" s="5">
        <v>44094</v>
      </c>
      <c r="B499">
        <v>0.24190999999999999</v>
      </c>
      <c r="C499">
        <v>0.26993</v>
      </c>
      <c r="D499">
        <v>0.22620999999999999</v>
      </c>
      <c r="E499">
        <v>0.23383999999999999</v>
      </c>
      <c r="F499">
        <v>19510315.5</v>
      </c>
      <c r="G499">
        <v>0</v>
      </c>
      <c r="L499" t="s">
        <v>8</v>
      </c>
      <c r="M499" t="s">
        <v>8</v>
      </c>
      <c r="N499" t="s">
        <v>7</v>
      </c>
      <c r="P499">
        <f t="shared" si="979"/>
        <v>-0.65096065873742015</v>
      </c>
      <c r="Q499">
        <f t="shared" si="980"/>
        <v>-12700447.8300549</v>
      </c>
      <c r="R499">
        <f t="shared" si="981"/>
        <v>174297549.2371957</v>
      </c>
      <c r="S499">
        <f t="shared" si="982"/>
        <v>1742.975492371957</v>
      </c>
      <c r="T499">
        <f t="shared" si="983"/>
        <v>1.7429754923719569</v>
      </c>
    </row>
    <row r="500" spans="1:20" x14ac:dyDescent="0.25">
      <c r="A500" s="5">
        <v>44093</v>
      </c>
      <c r="B500">
        <v>0.24268999999999999</v>
      </c>
      <c r="C500">
        <v>0.24529999999999999</v>
      </c>
      <c r="D500">
        <v>0.22317999999999999</v>
      </c>
      <c r="E500">
        <v>0.24273</v>
      </c>
      <c r="F500">
        <v>17675678.800000001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0.76763110307414206</v>
      </c>
      <c r="Q500">
        <f t="shared" si="980"/>
        <v>13568400.814828228</v>
      </c>
      <c r="R500">
        <f t="shared" si="981"/>
        <v>186997997.06725061</v>
      </c>
      <c r="S500">
        <f t="shared" si="982"/>
        <v>1869.9799706725062</v>
      </c>
      <c r="T500">
        <f t="shared" si="983"/>
        <v>1.8699799706725062</v>
      </c>
    </row>
    <row r="501" spans="1:20" x14ac:dyDescent="0.25">
      <c r="A501" s="5">
        <v>44092</v>
      </c>
      <c r="B501">
        <v>0.25831999999999999</v>
      </c>
      <c r="C501">
        <v>0.26200000000000001</v>
      </c>
      <c r="D501">
        <v>0.23555000000000001</v>
      </c>
      <c r="E501">
        <v>0.24176</v>
      </c>
      <c r="F501">
        <v>13421284.800000001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-0.53043478260869614</v>
      </c>
      <c r="Q501">
        <f t="shared" si="980"/>
        <v>-7119116.2852173978</v>
      </c>
      <c r="R501">
        <f t="shared" si="981"/>
        <v>173429596.25242239</v>
      </c>
      <c r="S501">
        <f t="shared" si="982"/>
        <v>1734.295962524224</v>
      </c>
      <c r="T501">
        <f t="shared" si="983"/>
        <v>1.734295962524224</v>
      </c>
    </row>
    <row r="502" spans="1:20" x14ac:dyDescent="0.25">
      <c r="A502" s="5">
        <v>44091</v>
      </c>
      <c r="B502">
        <v>0.26865</v>
      </c>
      <c r="C502">
        <v>0.28000000000000003</v>
      </c>
      <c r="D502">
        <v>0.24682000000000001</v>
      </c>
      <c r="E502">
        <v>0.25863000000000003</v>
      </c>
      <c r="F502">
        <v>14099572.199999999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-0.28812537673297112</v>
      </c>
      <c r="Q502">
        <f t="shared" si="980"/>
        <v>-4062444.5518987263</v>
      </c>
      <c r="R502">
        <f t="shared" si="981"/>
        <v>180548712.5376398</v>
      </c>
      <c r="S502">
        <f t="shared" si="982"/>
        <v>1805.4871253763979</v>
      </c>
      <c r="T502">
        <f t="shared" si="983"/>
        <v>1.805487125376398</v>
      </c>
    </row>
    <row r="503" spans="1:20" x14ac:dyDescent="0.25">
      <c r="A503" s="5">
        <v>44090</v>
      </c>
      <c r="B503">
        <v>0.27410000000000001</v>
      </c>
      <c r="C503">
        <v>0.27900000000000003</v>
      </c>
      <c r="D503">
        <v>0.25217000000000001</v>
      </c>
      <c r="E503">
        <v>0.26937</v>
      </c>
      <c r="F503">
        <v>17151044.699999999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0.28214685054043831</v>
      </c>
      <c r="Q503">
        <f t="shared" si="980"/>
        <v>4839113.2455832763</v>
      </c>
      <c r="R503">
        <f t="shared" si="981"/>
        <v>184611157.08953851</v>
      </c>
      <c r="S503">
        <f t="shared" si="982"/>
        <v>1846.1115708953851</v>
      </c>
      <c r="T503">
        <f t="shared" si="983"/>
        <v>1.846111570895385</v>
      </c>
    </row>
    <row r="504" spans="1:20" x14ac:dyDescent="0.25">
      <c r="A504" s="5">
        <v>44089</v>
      </c>
      <c r="B504">
        <v>0.31387999999999999</v>
      </c>
      <c r="C504">
        <v>0.31722</v>
      </c>
      <c r="D504">
        <v>0.26708999999999999</v>
      </c>
      <c r="E504">
        <v>0.27550000000000002</v>
      </c>
      <c r="F504">
        <v>19558750.100000001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-0.66447237183323249</v>
      </c>
      <c r="Q504">
        <f t="shared" si="980"/>
        <v>-12996249.069040474</v>
      </c>
      <c r="R504">
        <f t="shared" si="981"/>
        <v>179772043.84395525</v>
      </c>
      <c r="S504">
        <f t="shared" si="982"/>
        <v>1797.7204384395525</v>
      </c>
      <c r="T504">
        <f t="shared" si="983"/>
        <v>1.7977204384395524</v>
      </c>
    </row>
    <row r="505" spans="1:20" x14ac:dyDescent="0.25">
      <c r="A505" s="5">
        <v>44088</v>
      </c>
      <c r="B505">
        <v>0.31862000000000001</v>
      </c>
      <c r="C505">
        <v>0.34</v>
      </c>
      <c r="D505">
        <v>0.30368000000000001</v>
      </c>
      <c r="E505">
        <v>0.31452000000000002</v>
      </c>
      <c r="F505">
        <v>11088244.800000001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-0.40308370044052805</v>
      </c>
      <c r="Q505">
        <f t="shared" si="980"/>
        <v>-4469490.745374443</v>
      </c>
      <c r="R505">
        <f t="shared" si="981"/>
        <v>192768292.91299573</v>
      </c>
      <c r="S505">
        <f t="shared" si="982"/>
        <v>1927.6829291299573</v>
      </c>
      <c r="T505">
        <f t="shared" si="983"/>
        <v>1.9276829291299573</v>
      </c>
    </row>
    <row r="506" spans="1:20" x14ac:dyDescent="0.25">
      <c r="A506" s="5">
        <v>44087</v>
      </c>
      <c r="B506">
        <v>0.33045999999999998</v>
      </c>
      <c r="C506">
        <v>0.35199000000000003</v>
      </c>
      <c r="D506">
        <v>0.30223</v>
      </c>
      <c r="E506">
        <v>0.31899</v>
      </c>
      <c r="F506">
        <v>19471524.5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-0.326366559485531</v>
      </c>
      <c r="Q506">
        <f t="shared" si="980"/>
        <v>-6354854.459003224</v>
      </c>
      <c r="R506">
        <f t="shared" si="981"/>
        <v>197237783.65837017</v>
      </c>
      <c r="S506">
        <f t="shared" si="982"/>
        <v>1972.3778365837018</v>
      </c>
      <c r="T506">
        <f t="shared" si="983"/>
        <v>1.9723778365837017</v>
      </c>
    </row>
    <row r="507" spans="1:20" x14ac:dyDescent="0.25">
      <c r="A507" s="5">
        <v>44086</v>
      </c>
      <c r="B507">
        <v>0.31907000000000002</v>
      </c>
      <c r="C507">
        <v>0.34203</v>
      </c>
      <c r="D507">
        <v>0.29876999999999998</v>
      </c>
      <c r="E507">
        <v>0.33049000000000001</v>
      </c>
      <c r="F507">
        <v>13695818.800000001</v>
      </c>
      <c r="G507">
        <v>0</v>
      </c>
      <c r="L507" t="s">
        <v>7</v>
      </c>
      <c r="M507" t="s">
        <v>8</v>
      </c>
      <c r="N507" t="s">
        <v>8</v>
      </c>
      <c r="P507">
        <f t="shared" si="979"/>
        <v>0.466481738326399</v>
      </c>
      <c r="Q507">
        <f t="shared" si="980"/>
        <v>6388849.3616273766</v>
      </c>
      <c r="R507">
        <f t="shared" si="981"/>
        <v>203592638.11737338</v>
      </c>
      <c r="S507">
        <f t="shared" si="982"/>
        <v>2035.9263811737337</v>
      </c>
      <c r="T507">
        <f t="shared" si="983"/>
        <v>2.0359263811737338</v>
      </c>
    </row>
    <row r="508" spans="1:20" x14ac:dyDescent="0.25">
      <c r="A508" s="5">
        <v>44085</v>
      </c>
      <c r="B508">
        <v>0.32499</v>
      </c>
      <c r="C508">
        <v>0.32856999999999997</v>
      </c>
      <c r="D508">
        <v>0.30064000000000002</v>
      </c>
      <c r="E508">
        <v>0.31901000000000002</v>
      </c>
      <c r="F508">
        <v>12222447.699999999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0.31543143573218957</v>
      </c>
      <c r="Q508">
        <f t="shared" si="980"/>
        <v>3855344.2261725981</v>
      </c>
      <c r="R508">
        <f t="shared" si="981"/>
        <v>197203788.75574601</v>
      </c>
      <c r="S508">
        <f t="shared" si="982"/>
        <v>1972.0378875574602</v>
      </c>
      <c r="T508">
        <f t="shared" si="983"/>
        <v>1.9720378875574602</v>
      </c>
    </row>
    <row r="509" spans="1:20" x14ac:dyDescent="0.25">
      <c r="A509" s="5">
        <v>44084</v>
      </c>
      <c r="B509">
        <v>0.32007999999999998</v>
      </c>
      <c r="C509">
        <v>0.35553000000000001</v>
      </c>
      <c r="D509">
        <v>0.31530000000000002</v>
      </c>
      <c r="E509">
        <v>0.32506000000000002</v>
      </c>
      <c r="F509">
        <v>15646165.800000001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-0.5147899577429782</v>
      </c>
      <c r="Q509">
        <f t="shared" si="980"/>
        <v>-8054489.0310216313</v>
      </c>
      <c r="R509">
        <f t="shared" si="981"/>
        <v>193348444.52957341</v>
      </c>
      <c r="S509">
        <f t="shared" si="982"/>
        <v>1933.4844452957341</v>
      </c>
      <c r="T509">
        <f t="shared" si="983"/>
        <v>1.933484445295734</v>
      </c>
    </row>
    <row r="510" spans="1:20" x14ac:dyDescent="0.25">
      <c r="A510" s="5">
        <v>44083</v>
      </c>
      <c r="B510">
        <v>0.27557999999999999</v>
      </c>
      <c r="C510">
        <v>0.33778000000000002</v>
      </c>
      <c r="D510">
        <v>0.26569999999999999</v>
      </c>
      <c r="E510">
        <v>0.32080999999999998</v>
      </c>
      <c r="F510">
        <v>19607989.600000001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0.52913429522752409</v>
      </c>
      <c r="Q510">
        <f t="shared" si="980"/>
        <v>10375259.757824622</v>
      </c>
      <c r="R510">
        <f t="shared" si="981"/>
        <v>201402933.56059504</v>
      </c>
      <c r="S510">
        <f t="shared" si="982"/>
        <v>2014.0293356059503</v>
      </c>
      <c r="T510">
        <f t="shared" si="983"/>
        <v>2.0140293356059504</v>
      </c>
    </row>
    <row r="511" spans="1:20" x14ac:dyDescent="0.25">
      <c r="A511" s="5">
        <v>44082</v>
      </c>
      <c r="B511">
        <v>0.29500999999999999</v>
      </c>
      <c r="C511">
        <v>0.3</v>
      </c>
      <c r="D511">
        <v>0.26351999999999998</v>
      </c>
      <c r="E511">
        <v>0.27638000000000001</v>
      </c>
      <c r="F511">
        <v>12302992.6</v>
      </c>
      <c r="G511">
        <v>0</v>
      </c>
      <c r="L511" t="s">
        <v>7</v>
      </c>
      <c r="M511" t="s">
        <v>7</v>
      </c>
      <c r="N511" t="s">
        <v>8</v>
      </c>
      <c r="P511">
        <f t="shared" si="979"/>
        <v>-0.29495614035087536</v>
      </c>
      <c r="Q511">
        <f t="shared" si="980"/>
        <v>-3628843.212061381</v>
      </c>
      <c r="R511">
        <f t="shared" si="981"/>
        <v>191027673.80277041</v>
      </c>
      <c r="S511">
        <f t="shared" si="982"/>
        <v>1910.2767380277041</v>
      </c>
      <c r="T511">
        <f t="shared" si="983"/>
        <v>1.9102767380277041</v>
      </c>
    </row>
    <row r="512" spans="1:20" x14ac:dyDescent="0.25">
      <c r="A512" s="5">
        <v>44081</v>
      </c>
      <c r="B512">
        <v>0.30464000000000002</v>
      </c>
      <c r="C512">
        <v>0.35</v>
      </c>
      <c r="D512">
        <v>0.25</v>
      </c>
      <c r="E512">
        <v>0.29485</v>
      </c>
      <c r="F512">
        <v>23149218.300000001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-0.10299999999999979</v>
      </c>
      <c r="Q512">
        <f t="shared" si="980"/>
        <v>-2384369.4848999949</v>
      </c>
      <c r="R512">
        <f t="shared" si="981"/>
        <v>194656517.01483178</v>
      </c>
      <c r="S512">
        <f t="shared" si="982"/>
        <v>1946.5651701483177</v>
      </c>
      <c r="T512">
        <f t="shared" si="983"/>
        <v>1.9465651701483178</v>
      </c>
    </row>
    <row r="513" spans="1:20" x14ac:dyDescent="0.25">
      <c r="A513" s="5">
        <v>44080</v>
      </c>
      <c r="B513">
        <v>0.28460000000000002</v>
      </c>
      <c r="C513">
        <v>0.31944</v>
      </c>
      <c r="D513">
        <v>0.22222</v>
      </c>
      <c r="E513">
        <v>0.30391000000000001</v>
      </c>
      <c r="F513">
        <v>41495669.399999999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0.68051841184941397</v>
      </c>
      <c r="Q513">
        <f t="shared" si="980"/>
        <v>28238567.038716324</v>
      </c>
      <c r="R513">
        <f t="shared" si="981"/>
        <v>197040886.49973178</v>
      </c>
      <c r="S513">
        <f t="shared" si="982"/>
        <v>1970.4088649973178</v>
      </c>
      <c r="T513">
        <f t="shared" si="983"/>
        <v>1.9704088649973177</v>
      </c>
    </row>
    <row r="514" spans="1:20" x14ac:dyDescent="0.25">
      <c r="A514" s="5">
        <v>44079</v>
      </c>
      <c r="B514">
        <v>0.37572</v>
      </c>
      <c r="C514">
        <v>0.39168999999999998</v>
      </c>
      <c r="D514">
        <v>0.25781999999999999</v>
      </c>
      <c r="E514">
        <v>0.28610999999999998</v>
      </c>
      <c r="F514">
        <v>41982574.899999999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-0.57735116157466226</v>
      </c>
      <c r="Q514">
        <f t="shared" si="980"/>
        <v>-24238688.384410258</v>
      </c>
      <c r="R514">
        <f t="shared" si="981"/>
        <v>168802319.46101546</v>
      </c>
      <c r="S514">
        <f t="shared" si="982"/>
        <v>1688.0231946101546</v>
      </c>
      <c r="T514">
        <f t="shared" si="983"/>
        <v>1.6880231946101547</v>
      </c>
    </row>
    <row r="515" spans="1:20" x14ac:dyDescent="0.25">
      <c r="A515" s="5">
        <v>44078</v>
      </c>
      <c r="B515">
        <v>0.36895</v>
      </c>
      <c r="C515">
        <v>0.38797999999999999</v>
      </c>
      <c r="D515">
        <v>0.32937</v>
      </c>
      <c r="E515">
        <v>0.37794</v>
      </c>
      <c r="F515">
        <v>29502029.699999999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0.65739634874594799</v>
      </c>
      <c r="Q515">
        <f t="shared" si="980"/>
        <v>19394526.605374515</v>
      </c>
      <c r="R515">
        <f t="shared" si="981"/>
        <v>193041007.84542572</v>
      </c>
      <c r="S515">
        <f t="shared" si="982"/>
        <v>1930.4100784542572</v>
      </c>
      <c r="T515">
        <f t="shared" si="983"/>
        <v>1.9304100784542573</v>
      </c>
    </row>
    <row r="516" spans="1:20" x14ac:dyDescent="0.25">
      <c r="A516" s="5">
        <v>44077</v>
      </c>
      <c r="B516">
        <v>0.50353999999999999</v>
      </c>
      <c r="C516">
        <v>0.54085000000000005</v>
      </c>
      <c r="D516">
        <v>0.35</v>
      </c>
      <c r="E516">
        <v>0.36791000000000001</v>
      </c>
      <c r="F516">
        <v>29311326.600000001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-0.81231333507990533</v>
      </c>
      <c r="Q516">
        <f t="shared" si="980"/>
        <v>-23809981.466062345</v>
      </c>
      <c r="R516">
        <f t="shared" si="981"/>
        <v>173646481.24005121</v>
      </c>
      <c r="S516">
        <f t="shared" si="982"/>
        <v>1736.4648124005121</v>
      </c>
      <c r="T516">
        <f t="shared" si="983"/>
        <v>1.736464812400512</v>
      </c>
    </row>
    <row r="517" spans="1:20" x14ac:dyDescent="0.25">
      <c r="A517" s="5">
        <v>44076</v>
      </c>
      <c r="B517">
        <v>0.57560999999999996</v>
      </c>
      <c r="C517">
        <v>0.58301000000000003</v>
      </c>
      <c r="D517">
        <v>0.45</v>
      </c>
      <c r="E517">
        <v>0.504</v>
      </c>
      <c r="F517">
        <v>25120726.199999999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-0.18803097511465325</v>
      </c>
      <c r="Q517">
        <f t="shared" si="980"/>
        <v>-4723474.6429742174</v>
      </c>
      <c r="R517">
        <f t="shared" si="981"/>
        <v>197456462.70611355</v>
      </c>
      <c r="S517">
        <f t="shared" si="982"/>
        <v>1974.5646270611355</v>
      </c>
      <c r="T517">
        <f t="shared" si="983"/>
        <v>1.9745646270611354</v>
      </c>
    </row>
    <row r="518" spans="1:20" x14ac:dyDescent="0.25">
      <c r="A518" s="5">
        <v>44075</v>
      </c>
      <c r="B518">
        <v>0.52771999999999997</v>
      </c>
      <c r="C518">
        <v>0.59799999999999998</v>
      </c>
      <c r="D518">
        <v>0.49301</v>
      </c>
      <c r="E518">
        <v>0.57550999999999997</v>
      </c>
      <c r="F518">
        <v>47272648.799999997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0.57157824554719472</v>
      </c>
      <c r="Q518">
        <f t="shared" ref="Q518:Q581" si="985">F518*P518</f>
        <v>27020017.663472697</v>
      </c>
      <c r="R518">
        <f t="shared" ref="R518:R581" si="986">R519+Q518</f>
        <v>202179937.34908777</v>
      </c>
      <c r="S518">
        <f t="shared" ref="S518:S581" si="987">R518/100000</f>
        <v>2021.7993734908778</v>
      </c>
      <c r="T518">
        <f t="shared" ref="T518:T581" si="988">S518/1000</f>
        <v>2.0217993734908779</v>
      </c>
    </row>
    <row r="519" spans="1:20" x14ac:dyDescent="0.25">
      <c r="A519" s="5">
        <v>44074</v>
      </c>
      <c r="B519">
        <v>0.44363999999999998</v>
      </c>
      <c r="C519">
        <v>0.55000000000000004</v>
      </c>
      <c r="D519">
        <v>0.43874999999999997</v>
      </c>
      <c r="E519">
        <v>0.52798999999999996</v>
      </c>
      <c r="F519">
        <v>34325076.100000001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0.60431460674157178</v>
      </c>
      <c r="Q519">
        <f t="shared" si="985"/>
        <v>20743144.864746027</v>
      </c>
      <c r="R519">
        <f t="shared" si="986"/>
        <v>175159919.68561506</v>
      </c>
      <c r="S519">
        <f t="shared" si="987"/>
        <v>1751.5991968561507</v>
      </c>
      <c r="T519">
        <f t="shared" si="988"/>
        <v>1.7515991968561506</v>
      </c>
    </row>
    <row r="520" spans="1:20" x14ac:dyDescent="0.25">
      <c r="A520" s="5">
        <v>44073</v>
      </c>
      <c r="B520">
        <v>0.42479</v>
      </c>
      <c r="C520">
        <v>0.46</v>
      </c>
      <c r="D520">
        <v>0.42199999999999999</v>
      </c>
      <c r="E520">
        <v>0.44314999999999999</v>
      </c>
      <c r="F520">
        <v>13223953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0.11315789473684122</v>
      </c>
      <c r="Q520">
        <f t="shared" si="985"/>
        <v>1496394.6815789356</v>
      </c>
      <c r="R520">
        <f t="shared" si="986"/>
        <v>154416774.82086903</v>
      </c>
      <c r="S520">
        <f t="shared" si="987"/>
        <v>1544.1677482086902</v>
      </c>
      <c r="T520">
        <f t="shared" si="988"/>
        <v>1.5441677482086902</v>
      </c>
    </row>
    <row r="521" spans="1:20" x14ac:dyDescent="0.25">
      <c r="A521" s="5">
        <v>44072</v>
      </c>
      <c r="B521">
        <v>0.44157999999999997</v>
      </c>
      <c r="C521">
        <v>0.44175999999999999</v>
      </c>
      <c r="D521">
        <v>0.42</v>
      </c>
      <c r="E521">
        <v>0.42451</v>
      </c>
      <c r="F521">
        <v>11422569</v>
      </c>
      <c r="G521">
        <v>0</v>
      </c>
      <c r="L521" t="s">
        <v>7</v>
      </c>
      <c r="M521" t="s">
        <v>8</v>
      </c>
      <c r="N521" t="s">
        <v>7</v>
      </c>
      <c r="P521">
        <f t="shared" si="984"/>
        <v>-0.58547794117646934</v>
      </c>
      <c r="Q521">
        <f t="shared" si="985"/>
        <v>-6687662.181066162</v>
      </c>
      <c r="R521">
        <f t="shared" si="986"/>
        <v>152920380.13929009</v>
      </c>
      <c r="S521">
        <f t="shared" si="987"/>
        <v>1529.2038013929009</v>
      </c>
      <c r="T521">
        <f t="shared" si="988"/>
        <v>1.529203801392901</v>
      </c>
    </row>
    <row r="522" spans="1:20" x14ac:dyDescent="0.25">
      <c r="A522" s="5">
        <v>44071</v>
      </c>
      <c r="B522">
        <v>0.41998000000000002</v>
      </c>
      <c r="C522">
        <v>0.46</v>
      </c>
      <c r="D522">
        <v>0.41205000000000003</v>
      </c>
      <c r="E522">
        <v>0.44172</v>
      </c>
      <c r="F522">
        <v>25896016.100000001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0.23753910323253299</v>
      </c>
      <c r="Q522">
        <f t="shared" si="985"/>
        <v>6151316.441689237</v>
      </c>
      <c r="R522">
        <f t="shared" si="986"/>
        <v>159608042.32035625</v>
      </c>
      <c r="S522">
        <f t="shared" si="987"/>
        <v>1596.0804232035625</v>
      </c>
      <c r="T522">
        <f t="shared" si="988"/>
        <v>1.5960804232035626</v>
      </c>
    </row>
    <row r="523" spans="1:20" x14ac:dyDescent="0.25">
      <c r="A523" s="5">
        <v>44070</v>
      </c>
      <c r="B523">
        <v>0.45607999999999999</v>
      </c>
      <c r="C523">
        <v>0.47799999999999998</v>
      </c>
      <c r="D523">
        <v>0.39140000000000003</v>
      </c>
      <c r="E523">
        <v>0.41898999999999997</v>
      </c>
      <c r="F523">
        <v>14929408.9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-0.36281755196304938</v>
      </c>
      <c r="Q523">
        <f t="shared" si="985"/>
        <v>-5416651.5893533621</v>
      </c>
      <c r="R523">
        <f t="shared" si="986"/>
        <v>153456725.87866703</v>
      </c>
      <c r="S523">
        <f t="shared" si="987"/>
        <v>1534.5672587866702</v>
      </c>
      <c r="T523">
        <f t="shared" si="988"/>
        <v>1.5345672587866701</v>
      </c>
    </row>
    <row r="524" spans="1:20" x14ac:dyDescent="0.25">
      <c r="A524" s="5">
        <v>44069</v>
      </c>
      <c r="B524">
        <v>0.40589999999999998</v>
      </c>
      <c r="C524">
        <v>0.48087999999999997</v>
      </c>
      <c r="D524">
        <v>0.39644000000000001</v>
      </c>
      <c r="E524">
        <v>0.45607999999999999</v>
      </c>
      <c r="F524">
        <v>14682189.199999999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0.41260066319279959</v>
      </c>
      <c r="Q524">
        <f t="shared" si="985"/>
        <v>6057881.0010421593</v>
      </c>
      <c r="R524">
        <f t="shared" si="986"/>
        <v>158873377.46802038</v>
      </c>
      <c r="S524">
        <f t="shared" si="987"/>
        <v>1588.7337746802039</v>
      </c>
      <c r="T524">
        <f t="shared" si="988"/>
        <v>1.5887337746802039</v>
      </c>
    </row>
    <row r="525" spans="1:20" x14ac:dyDescent="0.25">
      <c r="A525" s="5">
        <v>44068</v>
      </c>
      <c r="B525">
        <v>0.44245000000000001</v>
      </c>
      <c r="C525">
        <v>0.44529000000000002</v>
      </c>
      <c r="D525">
        <v>0.35120000000000001</v>
      </c>
      <c r="E525">
        <v>0.40695999999999999</v>
      </c>
      <c r="F525">
        <v>13017266.699999999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0.18524816664895255</v>
      </c>
      <c r="Q525">
        <f t="shared" si="985"/>
        <v>2411424.7909554606</v>
      </c>
      <c r="R525">
        <f t="shared" si="986"/>
        <v>152815496.46697822</v>
      </c>
      <c r="S525">
        <f t="shared" si="987"/>
        <v>1528.1549646697822</v>
      </c>
      <c r="T525">
        <f t="shared" si="988"/>
        <v>1.5281549646697823</v>
      </c>
    </row>
    <row r="526" spans="1:20" x14ac:dyDescent="0.25">
      <c r="A526" s="5">
        <v>44067</v>
      </c>
      <c r="B526">
        <v>0.438</v>
      </c>
      <c r="C526">
        <v>0.45238</v>
      </c>
      <c r="D526">
        <v>0.42118</v>
      </c>
      <c r="E526">
        <v>0.44245000000000001</v>
      </c>
      <c r="F526">
        <v>10914586.1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0.36346153846153895</v>
      </c>
      <c r="Q526">
        <f t="shared" si="985"/>
        <v>3967032.2555769281</v>
      </c>
      <c r="R526">
        <f t="shared" si="986"/>
        <v>150404071.67602277</v>
      </c>
      <c r="S526">
        <f t="shared" si="987"/>
        <v>1504.0407167602277</v>
      </c>
      <c r="T526">
        <f t="shared" si="988"/>
        <v>1.5040407167602277</v>
      </c>
    </row>
    <row r="527" spans="1:20" x14ac:dyDescent="0.25">
      <c r="A527" s="5">
        <v>44066</v>
      </c>
      <c r="B527">
        <v>0.45800000000000002</v>
      </c>
      <c r="C527">
        <v>0.48665999999999998</v>
      </c>
      <c r="D527">
        <v>0.43224000000000001</v>
      </c>
      <c r="E527">
        <v>0.438</v>
      </c>
      <c r="F527">
        <v>11761541.5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-0.78831312017640609</v>
      </c>
      <c r="Q527">
        <f t="shared" si="985"/>
        <v>-9271777.4779492877</v>
      </c>
      <c r="R527">
        <f t="shared" si="986"/>
        <v>146437039.42044583</v>
      </c>
      <c r="S527">
        <f t="shared" si="987"/>
        <v>1464.3703942044583</v>
      </c>
      <c r="T527">
        <f t="shared" si="988"/>
        <v>1.4643703942044584</v>
      </c>
    </row>
    <row r="528" spans="1:20" x14ac:dyDescent="0.25">
      <c r="A528" s="5">
        <v>44065</v>
      </c>
      <c r="B528">
        <v>0.42131999999999997</v>
      </c>
      <c r="C528">
        <v>0.47234999999999999</v>
      </c>
      <c r="D528">
        <v>0.39</v>
      </c>
      <c r="E528">
        <v>0.45956000000000002</v>
      </c>
      <c r="F528">
        <v>15438941.5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0.68937462052216225</v>
      </c>
      <c r="Q528">
        <f t="shared" si="985"/>
        <v>10643214.437826363</v>
      </c>
      <c r="R528">
        <f t="shared" si="986"/>
        <v>155708816.89839512</v>
      </c>
      <c r="S528">
        <f t="shared" si="987"/>
        <v>1557.0881689839512</v>
      </c>
      <c r="T528">
        <f t="shared" si="988"/>
        <v>1.5570881689839511</v>
      </c>
    </row>
    <row r="529" spans="1:20" x14ac:dyDescent="0.25">
      <c r="A529" s="5">
        <v>44064</v>
      </c>
      <c r="B529">
        <v>0.44566</v>
      </c>
      <c r="C529">
        <v>0.47987000000000002</v>
      </c>
      <c r="D529">
        <v>0.40455000000000002</v>
      </c>
      <c r="E529">
        <v>0.42083999999999999</v>
      </c>
      <c r="F529">
        <v>34670361.700000003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-0.56744556558683024</v>
      </c>
      <c r="Q529">
        <f t="shared" si="985"/>
        <v>-19673543.003956478</v>
      </c>
      <c r="R529">
        <f t="shared" si="986"/>
        <v>145065602.46056876</v>
      </c>
      <c r="S529">
        <f t="shared" si="987"/>
        <v>1450.6560246056877</v>
      </c>
      <c r="T529">
        <f t="shared" si="988"/>
        <v>1.4506560246056877</v>
      </c>
    </row>
    <row r="530" spans="1:20" x14ac:dyDescent="0.25">
      <c r="A530" s="5">
        <v>44063</v>
      </c>
      <c r="B530">
        <v>0.49114999999999998</v>
      </c>
      <c r="C530">
        <v>0.505</v>
      </c>
      <c r="D530">
        <v>0.43</v>
      </c>
      <c r="E530">
        <v>0.44589000000000001</v>
      </c>
      <c r="F530">
        <v>30245954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-0.57626666666666637</v>
      </c>
      <c r="Q530">
        <f t="shared" si="985"/>
        <v>-17429735.091733325</v>
      </c>
      <c r="R530">
        <f t="shared" si="986"/>
        <v>164739145.46452522</v>
      </c>
      <c r="S530">
        <f t="shared" si="987"/>
        <v>1647.3914546452522</v>
      </c>
      <c r="T530">
        <f t="shared" si="988"/>
        <v>1.6473914546452522</v>
      </c>
    </row>
    <row r="531" spans="1:20" x14ac:dyDescent="0.25">
      <c r="A531" s="5">
        <v>44062</v>
      </c>
      <c r="B531">
        <v>0.52971000000000001</v>
      </c>
      <c r="C531">
        <v>0.55000000000000004</v>
      </c>
      <c r="D531">
        <v>0.42580000000000001</v>
      </c>
      <c r="E531">
        <v>0.49271999999999999</v>
      </c>
      <c r="F531">
        <v>44776814.399999999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7.7616747181963958E-2</v>
      </c>
      <c r="Q531">
        <f t="shared" si="985"/>
        <v>3475430.6828985228</v>
      </c>
      <c r="R531">
        <f t="shared" si="986"/>
        <v>182168880.55625856</v>
      </c>
      <c r="S531">
        <f t="shared" si="987"/>
        <v>1821.6888055625857</v>
      </c>
      <c r="T531">
        <f t="shared" si="988"/>
        <v>1.8216888055625857</v>
      </c>
    </row>
    <row r="532" spans="1:20" x14ac:dyDescent="0.25">
      <c r="A532" s="5">
        <v>44061</v>
      </c>
      <c r="B532">
        <v>0.46866000000000002</v>
      </c>
      <c r="C532">
        <v>0.57133999999999996</v>
      </c>
      <c r="D532">
        <v>0.45639000000000002</v>
      </c>
      <c r="E532">
        <v>0.52973000000000003</v>
      </c>
      <c r="F532">
        <v>44039261.700000003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0.2760330578512406</v>
      </c>
      <c r="Q532">
        <f t="shared" si="985"/>
        <v>12156292.072562026</v>
      </c>
      <c r="R532">
        <f t="shared" si="986"/>
        <v>178693449.87336004</v>
      </c>
      <c r="S532">
        <f t="shared" si="987"/>
        <v>1786.9344987336003</v>
      </c>
      <c r="T532">
        <f t="shared" si="988"/>
        <v>1.7869344987336002</v>
      </c>
    </row>
    <row r="533" spans="1:20" x14ac:dyDescent="0.25">
      <c r="A533" s="5">
        <v>44060</v>
      </c>
      <c r="B533">
        <v>0.3997</v>
      </c>
      <c r="C533">
        <v>0.5</v>
      </c>
      <c r="D533">
        <v>0.39284999999999998</v>
      </c>
      <c r="E533">
        <v>0.46850000000000003</v>
      </c>
      <c r="F533">
        <v>44061803.600000001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0.41203919738684153</v>
      </c>
      <c r="Q533">
        <f t="shared" si="985"/>
        <v>18155190.190760646</v>
      </c>
      <c r="R533">
        <f t="shared" si="986"/>
        <v>166537157.800798</v>
      </c>
      <c r="S533">
        <f t="shared" si="987"/>
        <v>1665.3715780079799</v>
      </c>
      <c r="T533">
        <f t="shared" si="988"/>
        <v>1.6653715780079799</v>
      </c>
    </row>
    <row r="534" spans="1:20" x14ac:dyDescent="0.25">
      <c r="A534" s="5">
        <v>44059</v>
      </c>
      <c r="B534">
        <v>0.33143</v>
      </c>
      <c r="C534">
        <v>0.40983999999999998</v>
      </c>
      <c r="D534">
        <v>0.32451000000000002</v>
      </c>
      <c r="E534">
        <v>0.3997</v>
      </c>
      <c r="F534">
        <v>29034444.899999999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0.76233446619008582</v>
      </c>
      <c r="Q534">
        <f t="shared" si="985"/>
        <v>22133958.053966958</v>
      </c>
      <c r="R534">
        <f t="shared" si="986"/>
        <v>148381967.61003736</v>
      </c>
      <c r="S534">
        <f t="shared" si="987"/>
        <v>1483.8196761003735</v>
      </c>
      <c r="T534">
        <f t="shared" si="988"/>
        <v>1.4838196761003735</v>
      </c>
    </row>
    <row r="535" spans="1:20" x14ac:dyDescent="0.25">
      <c r="A535" s="5">
        <v>44058</v>
      </c>
      <c r="B535">
        <v>0.29915000000000003</v>
      </c>
      <c r="C535">
        <v>0.34806999999999999</v>
      </c>
      <c r="D535">
        <v>0.29324</v>
      </c>
      <c r="E535">
        <v>0.33245999999999998</v>
      </c>
      <c r="F535">
        <v>15673674.4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0.43060368411453526</v>
      </c>
      <c r="Q535">
        <f t="shared" si="985"/>
        <v>6749141.9402516782</v>
      </c>
      <c r="R535">
        <f t="shared" si="986"/>
        <v>126248009.55607039</v>
      </c>
      <c r="S535">
        <f t="shared" si="987"/>
        <v>1262.4800955607038</v>
      </c>
      <c r="T535">
        <f t="shared" si="988"/>
        <v>1.2624800955607038</v>
      </c>
    </row>
    <row r="536" spans="1:20" x14ac:dyDescent="0.25">
      <c r="A536" s="5">
        <v>44057</v>
      </c>
      <c r="B536">
        <v>0.27349000000000001</v>
      </c>
      <c r="C536">
        <v>0.30230000000000001</v>
      </c>
      <c r="D536">
        <v>0.26662000000000002</v>
      </c>
      <c r="E536">
        <v>0.29915000000000003</v>
      </c>
      <c r="F536">
        <v>13851512.9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0.82343049327354334</v>
      </c>
      <c r="Q536">
        <f t="shared" si="985"/>
        <v>11405758.099831849</v>
      </c>
      <c r="R536">
        <f t="shared" si="986"/>
        <v>119498867.61581871</v>
      </c>
      <c r="S536">
        <f t="shared" si="987"/>
        <v>1194.988676158187</v>
      </c>
      <c r="T536">
        <f t="shared" si="988"/>
        <v>1.1949886761581869</v>
      </c>
    </row>
    <row r="537" spans="1:20" x14ac:dyDescent="0.25">
      <c r="A537" s="5">
        <v>44056</v>
      </c>
      <c r="B537">
        <v>0.31452000000000002</v>
      </c>
      <c r="C537">
        <v>0.31483</v>
      </c>
      <c r="D537">
        <v>0.25879999999999997</v>
      </c>
      <c r="E537">
        <v>0.27350000000000002</v>
      </c>
      <c r="F537">
        <v>17226735</v>
      </c>
      <c r="G537">
        <v>0</v>
      </c>
      <c r="L537" t="s">
        <v>7</v>
      </c>
      <c r="M537" t="s">
        <v>7</v>
      </c>
      <c r="N537" t="s">
        <v>8</v>
      </c>
      <c r="P537">
        <f t="shared" si="984"/>
        <v>-0.47528109941102836</v>
      </c>
      <c r="Q537">
        <f t="shared" si="985"/>
        <v>-8187541.5500624413</v>
      </c>
      <c r="R537">
        <f t="shared" si="986"/>
        <v>108093109.51598686</v>
      </c>
      <c r="S537">
        <f t="shared" si="987"/>
        <v>1080.9310951598686</v>
      </c>
      <c r="T537">
        <f t="shared" si="988"/>
        <v>1.0809310951598685</v>
      </c>
    </row>
    <row r="538" spans="1:20" x14ac:dyDescent="0.25">
      <c r="A538" s="5">
        <v>44055</v>
      </c>
      <c r="B538">
        <v>0.25255</v>
      </c>
      <c r="C538">
        <v>0.31796000000000002</v>
      </c>
      <c r="D538">
        <v>0.25079000000000001</v>
      </c>
      <c r="E538">
        <v>0.31452000000000002</v>
      </c>
      <c r="F538">
        <v>19508057.5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0.89757332142325452</v>
      </c>
      <c r="Q538">
        <f t="shared" si="985"/>
        <v>17509911.964790832</v>
      </c>
      <c r="R538">
        <f t="shared" si="986"/>
        <v>116280651.06604931</v>
      </c>
      <c r="S538">
        <f t="shared" si="987"/>
        <v>1162.8065106604931</v>
      </c>
      <c r="T538">
        <f t="shared" si="988"/>
        <v>1.1628065106604932</v>
      </c>
    </row>
    <row r="539" spans="1:20" x14ac:dyDescent="0.25">
      <c r="A539" s="5">
        <v>44054</v>
      </c>
      <c r="B539">
        <v>0.27221000000000001</v>
      </c>
      <c r="C539">
        <v>0.27472000000000002</v>
      </c>
      <c r="D539">
        <v>0.23649999999999999</v>
      </c>
      <c r="E539">
        <v>0.253</v>
      </c>
      <c r="F539">
        <v>11651087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-0.13657770800627939</v>
      </c>
      <c r="Q539">
        <f t="shared" si="985"/>
        <v>-1591278.7582417578</v>
      </c>
      <c r="R539">
        <f t="shared" si="986"/>
        <v>98770739.101258472</v>
      </c>
      <c r="S539">
        <f t="shared" si="987"/>
        <v>987.70739101258471</v>
      </c>
      <c r="T539">
        <f t="shared" si="988"/>
        <v>0.98770739101258476</v>
      </c>
    </row>
    <row r="540" spans="1:20" x14ac:dyDescent="0.25">
      <c r="A540" s="5">
        <v>44053</v>
      </c>
      <c r="B540">
        <v>0.22394</v>
      </c>
      <c r="C540">
        <v>0.29799999999999999</v>
      </c>
      <c r="D540">
        <v>0.22289</v>
      </c>
      <c r="E540">
        <v>0.27216000000000001</v>
      </c>
      <c r="F540">
        <v>27330672.199999999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0.31194248435627797</v>
      </c>
      <c r="Q540">
        <f t="shared" si="985"/>
        <v>8525597.7851950619</v>
      </c>
      <c r="R540">
        <f t="shared" si="986"/>
        <v>100362017.85950023</v>
      </c>
      <c r="S540">
        <f t="shared" si="987"/>
        <v>1003.6201785950022</v>
      </c>
      <c r="T540">
        <f t="shared" si="988"/>
        <v>1.0036201785950023</v>
      </c>
    </row>
    <row r="541" spans="1:20" x14ac:dyDescent="0.25">
      <c r="A541" s="5">
        <v>44052</v>
      </c>
      <c r="B541">
        <v>0.21903</v>
      </c>
      <c r="C541">
        <v>0.23488999999999999</v>
      </c>
      <c r="D541">
        <v>0.21518000000000001</v>
      </c>
      <c r="E541">
        <v>0.22394</v>
      </c>
      <c r="F541">
        <v>9948016.5999999996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-0.1111111111111111</v>
      </c>
      <c r="Q541">
        <f t="shared" si="985"/>
        <v>-1105335.1777777777</v>
      </c>
      <c r="R541">
        <f t="shared" si="986"/>
        <v>91836420.074305162</v>
      </c>
      <c r="S541">
        <f t="shared" si="987"/>
        <v>918.36420074305158</v>
      </c>
      <c r="T541">
        <f t="shared" si="988"/>
        <v>0.91836420074305158</v>
      </c>
    </row>
    <row r="542" spans="1:20" x14ac:dyDescent="0.25">
      <c r="A542" s="5">
        <v>44051</v>
      </c>
      <c r="B542">
        <v>0.22769</v>
      </c>
      <c r="C542">
        <v>0.22867999999999999</v>
      </c>
      <c r="D542">
        <v>0.21515999999999999</v>
      </c>
      <c r="E542">
        <v>0.21984999999999999</v>
      </c>
      <c r="F542">
        <v>9066390.4000000004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-0.30621301775147952</v>
      </c>
      <c r="Q542">
        <f t="shared" si="985"/>
        <v>-2776246.7644970436</v>
      </c>
      <c r="R542">
        <f t="shared" si="986"/>
        <v>92941755.252082944</v>
      </c>
      <c r="S542">
        <f t="shared" si="987"/>
        <v>929.41755252082942</v>
      </c>
      <c r="T542">
        <f t="shared" si="988"/>
        <v>0.92941755252082947</v>
      </c>
    </row>
    <row r="543" spans="1:20" x14ac:dyDescent="0.25">
      <c r="A543" s="5">
        <v>44050</v>
      </c>
      <c r="B543">
        <v>0.22974</v>
      </c>
      <c r="C543">
        <v>0.23499999999999999</v>
      </c>
      <c r="D543">
        <v>0.21709999999999999</v>
      </c>
      <c r="E543">
        <v>0.22800000000000001</v>
      </c>
      <c r="F543">
        <v>7055063.2000000002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0.21787709497206942</v>
      </c>
      <c r="Q543">
        <f t="shared" si="985"/>
        <v>1537136.674860352</v>
      </c>
      <c r="R543">
        <f t="shared" si="986"/>
        <v>95718002.016579986</v>
      </c>
      <c r="S543">
        <f t="shared" si="987"/>
        <v>957.18002016579987</v>
      </c>
      <c r="T543">
        <f t="shared" si="988"/>
        <v>0.95718002016579984</v>
      </c>
    </row>
    <row r="544" spans="1:20" x14ac:dyDescent="0.25">
      <c r="A544" s="5">
        <v>44049</v>
      </c>
      <c r="B544">
        <v>0.22528999999999999</v>
      </c>
      <c r="C544">
        <v>0.2392</v>
      </c>
      <c r="D544">
        <v>0.216</v>
      </c>
      <c r="E544">
        <v>0.22974</v>
      </c>
      <c r="F544">
        <v>14528000.1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0.18448275862068994</v>
      </c>
      <c r="Q544">
        <f t="shared" si="985"/>
        <v>2680165.5356896594</v>
      </c>
      <c r="R544">
        <f t="shared" si="986"/>
        <v>94180865.341719627</v>
      </c>
      <c r="S544">
        <f t="shared" si="987"/>
        <v>941.8086534171963</v>
      </c>
      <c r="T544">
        <f t="shared" si="988"/>
        <v>0.94180865341719633</v>
      </c>
    </row>
    <row r="545" spans="1:20" x14ac:dyDescent="0.25">
      <c r="A545" s="5">
        <v>44048</v>
      </c>
      <c r="B545">
        <v>0.20665</v>
      </c>
      <c r="C545">
        <v>0.22711999999999999</v>
      </c>
      <c r="D545">
        <v>0.20116999999999999</v>
      </c>
      <c r="E545">
        <v>0.2253</v>
      </c>
      <c r="F545">
        <v>13639010.199999999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0.85973025048169649</v>
      </c>
      <c r="Q545">
        <f t="shared" si="985"/>
        <v>11725869.655568413</v>
      </c>
      <c r="R545">
        <f t="shared" si="986"/>
        <v>91500699.806029975</v>
      </c>
      <c r="S545">
        <f t="shared" si="987"/>
        <v>915.00699806029979</v>
      </c>
      <c r="T545">
        <f t="shared" si="988"/>
        <v>0.91500699806029984</v>
      </c>
    </row>
    <row r="546" spans="1:20" x14ac:dyDescent="0.25">
      <c r="A546" s="5">
        <v>44047</v>
      </c>
      <c r="B546">
        <v>0.21808</v>
      </c>
      <c r="C546">
        <v>0.23619999999999999</v>
      </c>
      <c r="D546">
        <v>0.20247000000000001</v>
      </c>
      <c r="E546">
        <v>0.20663999999999999</v>
      </c>
      <c r="F546">
        <v>22364489.5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-0.75274236584642862</v>
      </c>
      <c r="Q546">
        <f t="shared" si="985"/>
        <v>-16834698.73717761</v>
      </c>
      <c r="R546">
        <f t="shared" si="986"/>
        <v>79774830.150461569</v>
      </c>
      <c r="S546">
        <f t="shared" si="987"/>
        <v>797.74830150461571</v>
      </c>
      <c r="T546">
        <f t="shared" si="988"/>
        <v>0.79774830150461573</v>
      </c>
    </row>
    <row r="547" spans="1:20" x14ac:dyDescent="0.25">
      <c r="A547" s="5">
        <v>44046</v>
      </c>
      <c r="B547">
        <v>0.19015000000000001</v>
      </c>
      <c r="C547">
        <v>0.222</v>
      </c>
      <c r="D547">
        <v>0.18490000000000001</v>
      </c>
      <c r="E547">
        <v>0.21784999999999999</v>
      </c>
      <c r="F547">
        <v>36050757.299999997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0.77628032345013398</v>
      </c>
      <c r="Q547">
        <f t="shared" si="985"/>
        <v>27985493.537466276</v>
      </c>
      <c r="R547">
        <f t="shared" si="986"/>
        <v>96609528.88763918</v>
      </c>
      <c r="S547">
        <f t="shared" si="987"/>
        <v>966.09528887639181</v>
      </c>
      <c r="T547">
        <f t="shared" si="988"/>
        <v>0.96609528887639184</v>
      </c>
    </row>
    <row r="548" spans="1:20" x14ac:dyDescent="0.25">
      <c r="A548" s="5">
        <v>44045</v>
      </c>
      <c r="B548">
        <v>0.16217999999999999</v>
      </c>
      <c r="C548">
        <v>0.19005</v>
      </c>
      <c r="D548">
        <v>0.15143000000000001</v>
      </c>
      <c r="E548">
        <v>0.19005</v>
      </c>
      <c r="F548">
        <v>12830858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1</v>
      </c>
      <c r="Q548">
        <f t="shared" si="985"/>
        <v>12830858</v>
      </c>
      <c r="R548">
        <f t="shared" si="986"/>
        <v>68624035.350172907</v>
      </c>
      <c r="S548">
        <f t="shared" si="987"/>
        <v>686.24035350172903</v>
      </c>
      <c r="T548">
        <f t="shared" si="988"/>
        <v>0.68624035350172907</v>
      </c>
    </row>
    <row r="549" spans="1:20" x14ac:dyDescent="0.25">
      <c r="A549" s="5">
        <v>44044</v>
      </c>
      <c r="B549">
        <v>0.15798000000000001</v>
      </c>
      <c r="C549">
        <v>0.16883000000000001</v>
      </c>
      <c r="D549">
        <v>0.156</v>
      </c>
      <c r="E549">
        <v>0.16220000000000001</v>
      </c>
      <c r="F549">
        <v>6873355.9000000004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-3.3515198752921721E-2</v>
      </c>
      <c r="Q549">
        <f t="shared" si="985"/>
        <v>-230361.88908806717</v>
      </c>
      <c r="R549">
        <f t="shared" si="986"/>
        <v>55793177.350172915</v>
      </c>
      <c r="S549">
        <f t="shared" si="987"/>
        <v>557.93177350172914</v>
      </c>
      <c r="T549">
        <f t="shared" si="988"/>
        <v>0.55793177350172918</v>
      </c>
    </row>
    <row r="550" spans="1:20" x14ac:dyDescent="0.25">
      <c r="A550" s="5">
        <v>44043</v>
      </c>
      <c r="B550">
        <v>0.16147</v>
      </c>
      <c r="C550">
        <v>0.16489999999999999</v>
      </c>
      <c r="D550">
        <v>0.15744</v>
      </c>
      <c r="E550">
        <v>0.15798000000000001</v>
      </c>
      <c r="F550">
        <v>2642967.1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-0.85522788203752997</v>
      </c>
      <c r="Q550">
        <f t="shared" si="985"/>
        <v>-2260339.1552278725</v>
      </c>
      <c r="R550">
        <f t="shared" si="986"/>
        <v>56023539.239260979</v>
      </c>
      <c r="S550">
        <f t="shared" si="987"/>
        <v>560.23539239260981</v>
      </c>
      <c r="T550">
        <f t="shared" si="988"/>
        <v>0.56023539239260978</v>
      </c>
    </row>
    <row r="551" spans="1:20" x14ac:dyDescent="0.25">
      <c r="A551" s="5">
        <v>44042</v>
      </c>
      <c r="B551">
        <v>0.16274</v>
      </c>
      <c r="C551">
        <v>0.16761999999999999</v>
      </c>
      <c r="D551">
        <v>0.15825</v>
      </c>
      <c r="E551">
        <v>0.16188</v>
      </c>
      <c r="F551">
        <v>4287351.0999999996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-0.2251867662753472</v>
      </c>
      <c r="Q551">
        <f t="shared" si="985"/>
        <v>-965454.73009605263</v>
      </c>
      <c r="R551">
        <f t="shared" si="986"/>
        <v>58283878.394488849</v>
      </c>
      <c r="S551">
        <f t="shared" si="987"/>
        <v>582.83878394488852</v>
      </c>
      <c r="T551">
        <f t="shared" si="988"/>
        <v>0.58283878394488853</v>
      </c>
    </row>
    <row r="552" spans="1:20" x14ac:dyDescent="0.25">
      <c r="A552" s="5">
        <v>44041</v>
      </c>
      <c r="B552">
        <v>0.17349000000000001</v>
      </c>
      <c r="C552">
        <v>0.17394000000000001</v>
      </c>
      <c r="D552">
        <v>0.16066</v>
      </c>
      <c r="E552">
        <v>0.16264999999999999</v>
      </c>
      <c r="F552">
        <v>5675607.4000000004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-0.70030120481927871</v>
      </c>
      <c r="Q552">
        <f t="shared" si="985"/>
        <v>-3974634.7003012141</v>
      </c>
      <c r="R552">
        <f t="shared" si="986"/>
        <v>59249333.124584898</v>
      </c>
      <c r="S552">
        <f t="shared" si="987"/>
        <v>592.49333124584894</v>
      </c>
      <c r="T552">
        <f t="shared" si="988"/>
        <v>0.59249333124584891</v>
      </c>
    </row>
    <row r="553" spans="1:20" x14ac:dyDescent="0.25">
      <c r="A553" s="5">
        <v>44040</v>
      </c>
      <c r="B553">
        <v>0.15281</v>
      </c>
      <c r="C553">
        <v>0.17399999999999999</v>
      </c>
      <c r="D553">
        <v>0.15281</v>
      </c>
      <c r="E553">
        <v>0.17349999999999999</v>
      </c>
      <c r="F553">
        <v>10628464.5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0.95280792826805094</v>
      </c>
      <c r="Q553">
        <f t="shared" si="985"/>
        <v>10126885.240915526</v>
      </c>
      <c r="R553">
        <f t="shared" si="986"/>
        <v>63223967.824886113</v>
      </c>
      <c r="S553">
        <f t="shared" si="987"/>
        <v>632.23967824886108</v>
      </c>
      <c r="T553">
        <f t="shared" si="988"/>
        <v>0.63223967824886107</v>
      </c>
    </row>
    <row r="554" spans="1:20" x14ac:dyDescent="0.25">
      <c r="A554" s="5">
        <v>44039</v>
      </c>
      <c r="B554">
        <v>0.15545</v>
      </c>
      <c r="C554">
        <v>0.1573</v>
      </c>
      <c r="D554">
        <v>0.13363</v>
      </c>
      <c r="E554">
        <v>0.153</v>
      </c>
      <c r="F554">
        <v>16807100.5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0.63667089142374322</v>
      </c>
      <c r="Q554">
        <f t="shared" si="985"/>
        <v>10700591.65758344</v>
      </c>
      <c r="R554">
        <f t="shared" si="986"/>
        <v>53097082.583970591</v>
      </c>
      <c r="S554">
        <f t="shared" si="987"/>
        <v>530.97082583970587</v>
      </c>
      <c r="T554">
        <f t="shared" si="988"/>
        <v>0.5309708258397059</v>
      </c>
    </row>
    <row r="555" spans="1:20" x14ac:dyDescent="0.25">
      <c r="A555" s="5">
        <v>44038</v>
      </c>
      <c r="B555">
        <v>0.15665000000000001</v>
      </c>
      <c r="C555">
        <v>0.16202</v>
      </c>
      <c r="D555">
        <v>0.14387</v>
      </c>
      <c r="E555">
        <v>0.15543999999999999</v>
      </c>
      <c r="F555">
        <v>11300609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0.27493112947658371</v>
      </c>
      <c r="Q555">
        <f t="shared" si="985"/>
        <v>3106889.1961432472</v>
      </c>
      <c r="R555">
        <f t="shared" si="986"/>
        <v>42396490.926387154</v>
      </c>
      <c r="S555">
        <f t="shared" si="987"/>
        <v>423.96490926387156</v>
      </c>
      <c r="T555">
        <f t="shared" si="988"/>
        <v>0.42396490926387154</v>
      </c>
    </row>
    <row r="556" spans="1:20" x14ac:dyDescent="0.25">
      <c r="A556" s="5">
        <v>44037</v>
      </c>
      <c r="B556">
        <v>0.15281</v>
      </c>
      <c r="C556">
        <v>0.16094</v>
      </c>
      <c r="D556">
        <v>0.15201999999999999</v>
      </c>
      <c r="E556">
        <v>0.15708</v>
      </c>
      <c r="F556">
        <v>7568301.9000000004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0.13452914798206336</v>
      </c>
      <c r="Q556">
        <f t="shared" si="985"/>
        <v>1018157.2062780313</v>
      </c>
      <c r="R556">
        <f t="shared" si="986"/>
        <v>39289601.730243906</v>
      </c>
      <c r="S556">
        <f t="shared" si="987"/>
        <v>392.89601730243908</v>
      </c>
      <c r="T556">
        <f t="shared" si="988"/>
        <v>0.39289601730243906</v>
      </c>
    </row>
    <row r="557" spans="1:20" x14ac:dyDescent="0.25">
      <c r="A557" s="5">
        <v>44036</v>
      </c>
      <c r="B557">
        <v>0.16114000000000001</v>
      </c>
      <c r="C557">
        <v>0.16400000000000001</v>
      </c>
      <c r="D557">
        <v>0.15053</v>
      </c>
      <c r="E557">
        <v>0.15318000000000001</v>
      </c>
      <c r="F557">
        <v>8375920.7999999998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-0.60653303637713263</v>
      </c>
      <c r="Q557">
        <f t="shared" si="985"/>
        <v>-5080272.6752783814</v>
      </c>
      <c r="R557">
        <f t="shared" si="986"/>
        <v>38271444.523965873</v>
      </c>
      <c r="S557">
        <f t="shared" si="987"/>
        <v>382.71444523965874</v>
      </c>
      <c r="T557">
        <f t="shared" si="988"/>
        <v>0.38271444523965875</v>
      </c>
    </row>
    <row r="558" spans="1:20" x14ac:dyDescent="0.25">
      <c r="A558" s="5">
        <v>44035</v>
      </c>
      <c r="B558">
        <v>0.16891</v>
      </c>
      <c r="C558">
        <v>0.16891</v>
      </c>
      <c r="D558">
        <v>0.15770999999999999</v>
      </c>
      <c r="E558">
        <v>0.16081000000000001</v>
      </c>
      <c r="F558">
        <v>8437134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-0.44642857142856873</v>
      </c>
      <c r="Q558">
        <f t="shared" si="985"/>
        <v>-3766577.6785714058</v>
      </c>
      <c r="R558">
        <f t="shared" si="986"/>
        <v>43351717.199244253</v>
      </c>
      <c r="S558">
        <f t="shared" si="987"/>
        <v>433.51717199244251</v>
      </c>
      <c r="T558">
        <f t="shared" si="988"/>
        <v>0.4335171719924425</v>
      </c>
    </row>
    <row r="559" spans="1:20" x14ac:dyDescent="0.25">
      <c r="A559" s="5">
        <v>44034</v>
      </c>
      <c r="B559">
        <v>0.16278999999999999</v>
      </c>
      <c r="C559">
        <v>0.17422000000000001</v>
      </c>
      <c r="D559">
        <v>0.15964</v>
      </c>
      <c r="E559">
        <v>0.16943</v>
      </c>
      <c r="F559">
        <v>9518706.0999999996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0.34293552812071149</v>
      </c>
      <c r="Q559">
        <f t="shared" si="985"/>
        <v>3264302.5034293379</v>
      </c>
      <c r="R559">
        <f t="shared" si="986"/>
        <v>47118294.877815656</v>
      </c>
      <c r="S559">
        <f t="shared" si="987"/>
        <v>471.18294877815657</v>
      </c>
      <c r="T559">
        <f t="shared" si="988"/>
        <v>0.47118294877815659</v>
      </c>
    </row>
    <row r="560" spans="1:20" x14ac:dyDescent="0.25">
      <c r="A560" s="5">
        <v>44033</v>
      </c>
      <c r="B560">
        <v>0.16550999999999999</v>
      </c>
      <c r="C560">
        <v>0.16943</v>
      </c>
      <c r="D560">
        <v>0.15548000000000001</v>
      </c>
      <c r="E560">
        <v>0.16278999999999999</v>
      </c>
      <c r="F560">
        <v>9314013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4.8028673835123777E-2</v>
      </c>
      <c r="Q560">
        <f t="shared" si="985"/>
        <v>447339.69247310271</v>
      </c>
      <c r="R560">
        <f t="shared" si="986"/>
        <v>43853992.374386318</v>
      </c>
      <c r="S560">
        <f t="shared" si="987"/>
        <v>438.5399237438632</v>
      </c>
      <c r="T560">
        <f t="shared" si="988"/>
        <v>0.43853992374386319</v>
      </c>
    </row>
    <row r="561" spans="1:104" x14ac:dyDescent="0.25">
      <c r="A561" s="5">
        <v>44032</v>
      </c>
      <c r="B561">
        <v>0.18831000000000001</v>
      </c>
      <c r="C561">
        <v>0.1925</v>
      </c>
      <c r="D561">
        <v>0.16314000000000001</v>
      </c>
      <c r="E561">
        <v>0.16566</v>
      </c>
      <c r="F561">
        <v>13135205.9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-0.8283378746594009</v>
      </c>
      <c r="Q561">
        <f t="shared" si="985"/>
        <v>-10880388.538419623</v>
      </c>
      <c r="R561">
        <f t="shared" si="986"/>
        <v>43406652.681913212</v>
      </c>
      <c r="S561">
        <f t="shared" si="987"/>
        <v>434.06652681913209</v>
      </c>
      <c r="T561">
        <f t="shared" si="988"/>
        <v>0.4340665268191321</v>
      </c>
      <c r="CZ561" t="s">
        <v>7</v>
      </c>
    </row>
    <row r="562" spans="1:104" x14ac:dyDescent="0.25">
      <c r="A562" s="5">
        <v>44031</v>
      </c>
      <c r="B562">
        <v>0.17510999999999999</v>
      </c>
      <c r="C562">
        <v>0.19494</v>
      </c>
      <c r="D562">
        <v>0.16653000000000001</v>
      </c>
      <c r="E562">
        <v>0.18806999999999999</v>
      </c>
      <c r="F562">
        <v>13027815.1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0.51636747624075907</v>
      </c>
      <c r="Q562">
        <f t="shared" si="985"/>
        <v>6727140.0041182516</v>
      </c>
      <c r="R562">
        <f t="shared" si="986"/>
        <v>54287041.220332831</v>
      </c>
      <c r="S562">
        <f t="shared" si="987"/>
        <v>542.87041220332833</v>
      </c>
      <c r="T562">
        <f t="shared" si="988"/>
        <v>0.54287041220332832</v>
      </c>
      <c r="CZ562" t="s">
        <v>7</v>
      </c>
    </row>
    <row r="563" spans="1:104" x14ac:dyDescent="0.25">
      <c r="A563" s="5">
        <v>44030</v>
      </c>
      <c r="B563">
        <v>0.17696000000000001</v>
      </c>
      <c r="C563">
        <v>0.17818000000000001</v>
      </c>
      <c r="D563">
        <v>0.16894999999999999</v>
      </c>
      <c r="E563">
        <v>0.17499999999999999</v>
      </c>
      <c r="F563">
        <v>7396486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0.31094257854821006</v>
      </c>
      <c r="Q563">
        <f t="shared" si="985"/>
        <v>2299882.4290357362</v>
      </c>
      <c r="R563">
        <f t="shared" si="986"/>
        <v>47559901.216214582</v>
      </c>
      <c r="S563">
        <f t="shared" si="987"/>
        <v>475.59901216214581</v>
      </c>
      <c r="T563">
        <f t="shared" si="988"/>
        <v>0.47559901216214578</v>
      </c>
      <c r="CZ563" t="s">
        <v>7</v>
      </c>
    </row>
    <row r="564" spans="1:104" x14ac:dyDescent="0.25">
      <c r="A564" s="5">
        <v>44029</v>
      </c>
      <c r="B564">
        <v>0.16264000000000001</v>
      </c>
      <c r="C564">
        <v>0.185</v>
      </c>
      <c r="D564">
        <v>0.16094</v>
      </c>
      <c r="E564">
        <v>0.17680999999999999</v>
      </c>
      <c r="F564">
        <v>16077509.300000001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0.31920199501246854</v>
      </c>
      <c r="Q564">
        <f t="shared" si="985"/>
        <v>5131973.0433915164</v>
      </c>
      <c r="R564">
        <f t="shared" si="986"/>
        <v>45260018.787178844</v>
      </c>
      <c r="S564">
        <f t="shared" si="987"/>
        <v>452.60018787178842</v>
      </c>
      <c r="T564">
        <f t="shared" si="988"/>
        <v>0.45260018787178841</v>
      </c>
    </row>
    <row r="565" spans="1:104" x14ac:dyDescent="0.25">
      <c r="A565" s="5">
        <v>44028</v>
      </c>
      <c r="B565">
        <v>0.17238000000000001</v>
      </c>
      <c r="C565">
        <v>0.17523</v>
      </c>
      <c r="D565">
        <v>0.15110999999999999</v>
      </c>
      <c r="E565">
        <v>0.16309000000000001</v>
      </c>
      <c r="F565">
        <v>16269423.300000001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-6.6334991708111822E-3</v>
      </c>
      <c r="Q565">
        <f t="shared" si="985"/>
        <v>-107923.20597012613</v>
      </c>
      <c r="R565">
        <f t="shared" si="986"/>
        <v>40128045.743787326</v>
      </c>
      <c r="S565">
        <f t="shared" si="987"/>
        <v>401.28045743787328</v>
      </c>
      <c r="T565">
        <f t="shared" si="988"/>
        <v>0.40128045743787327</v>
      </c>
    </row>
    <row r="566" spans="1:104" x14ac:dyDescent="0.25">
      <c r="A566" s="5">
        <v>44027</v>
      </c>
      <c r="B566">
        <v>0.18057000000000001</v>
      </c>
      <c r="C566">
        <v>0.18115999999999999</v>
      </c>
      <c r="D566">
        <v>0.16594</v>
      </c>
      <c r="E566">
        <v>0.17191999999999999</v>
      </c>
      <c r="F566">
        <v>8806863.8000000007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-0.21419185282523104</v>
      </c>
      <c r="Q566">
        <f t="shared" si="985"/>
        <v>-1886358.4749014552</v>
      </c>
      <c r="R566">
        <f t="shared" si="986"/>
        <v>40235968.949757449</v>
      </c>
      <c r="S566">
        <f t="shared" si="987"/>
        <v>402.35968949757449</v>
      </c>
      <c r="T566">
        <f t="shared" si="988"/>
        <v>0.4023596894975745</v>
      </c>
    </row>
    <row r="567" spans="1:104" x14ac:dyDescent="0.25">
      <c r="A567" s="5">
        <v>44026</v>
      </c>
      <c r="B567">
        <v>0.17680999999999999</v>
      </c>
      <c r="C567">
        <v>0.19</v>
      </c>
      <c r="D567">
        <v>0.16600000000000001</v>
      </c>
      <c r="E567">
        <v>0.18057000000000001</v>
      </c>
      <c r="F567">
        <v>13053369.699999999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0.21416666666666695</v>
      </c>
      <c r="Q567">
        <f t="shared" si="985"/>
        <v>2795596.6774166701</v>
      </c>
      <c r="R567">
        <f t="shared" si="986"/>
        <v>42122327.424658902</v>
      </c>
      <c r="S567">
        <f t="shared" si="987"/>
        <v>421.22327424658903</v>
      </c>
      <c r="T567">
        <f t="shared" si="988"/>
        <v>0.42122327424658901</v>
      </c>
    </row>
    <row r="568" spans="1:104" x14ac:dyDescent="0.25">
      <c r="A568" s="5">
        <v>44025</v>
      </c>
      <c r="B568">
        <v>0.19333</v>
      </c>
      <c r="C568">
        <v>0.19600000000000001</v>
      </c>
      <c r="D568">
        <v>0.17211000000000001</v>
      </c>
      <c r="E568">
        <v>0.17649999999999999</v>
      </c>
      <c r="F568">
        <v>10457751.800000001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-0.63248221012976324</v>
      </c>
      <c r="Q568">
        <f t="shared" si="985"/>
        <v>-6614341.97145251</v>
      </c>
      <c r="R568">
        <f t="shared" si="986"/>
        <v>39326730.747242235</v>
      </c>
      <c r="S568">
        <f t="shared" si="987"/>
        <v>393.26730747242237</v>
      </c>
      <c r="T568">
        <f t="shared" si="988"/>
        <v>0.39326730747242239</v>
      </c>
    </row>
    <row r="569" spans="1:104" x14ac:dyDescent="0.25">
      <c r="A569" s="5">
        <v>44024</v>
      </c>
      <c r="B569">
        <v>0.18214</v>
      </c>
      <c r="C569">
        <v>0.19620000000000001</v>
      </c>
      <c r="D569">
        <v>0.17680000000000001</v>
      </c>
      <c r="E569">
        <v>0.19325999999999999</v>
      </c>
      <c r="F569">
        <v>11684192.199999999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0.69690721649484266</v>
      </c>
      <c r="Q569">
        <f t="shared" si="985"/>
        <v>8142797.8630927512</v>
      </c>
      <c r="R569">
        <f t="shared" si="986"/>
        <v>45941072.718694746</v>
      </c>
      <c r="S569">
        <f t="shared" si="987"/>
        <v>459.41072718694744</v>
      </c>
      <c r="T569">
        <f t="shared" si="988"/>
        <v>0.45941072718694742</v>
      </c>
    </row>
    <row r="570" spans="1:104" x14ac:dyDescent="0.25">
      <c r="A570" s="5">
        <v>44023</v>
      </c>
      <c r="B570">
        <v>0.17732000000000001</v>
      </c>
      <c r="C570">
        <v>0.18761</v>
      </c>
      <c r="D570">
        <v>0.17385999999999999</v>
      </c>
      <c r="E570">
        <v>0.18214</v>
      </c>
      <c r="F570">
        <v>9159062.6999999993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0.20436363636363669</v>
      </c>
      <c r="Q570">
        <f t="shared" si="985"/>
        <v>1871779.3590545482</v>
      </c>
      <c r="R570">
        <f t="shared" si="986"/>
        <v>37798274.855601996</v>
      </c>
      <c r="S570">
        <f t="shared" si="987"/>
        <v>377.98274855601994</v>
      </c>
      <c r="T570">
        <f t="shared" si="988"/>
        <v>0.37798274855601993</v>
      </c>
    </row>
    <row r="571" spans="1:104" x14ac:dyDescent="0.25">
      <c r="A571" s="5">
        <v>44022</v>
      </c>
      <c r="B571">
        <v>0.17710000000000001</v>
      </c>
      <c r="C571">
        <v>0.18</v>
      </c>
      <c r="D571">
        <v>0.1678</v>
      </c>
      <c r="E571">
        <v>0.17693</v>
      </c>
      <c r="F571">
        <v>9949848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0.4967213114754111</v>
      </c>
      <c r="Q571">
        <f t="shared" si="985"/>
        <v>4942301.5475409962</v>
      </c>
      <c r="R571">
        <f t="shared" si="986"/>
        <v>35926495.496547446</v>
      </c>
      <c r="S571">
        <f t="shared" si="987"/>
        <v>359.26495496547443</v>
      </c>
      <c r="T571">
        <f t="shared" si="988"/>
        <v>0.35926495496547445</v>
      </c>
    </row>
    <row r="572" spans="1:104" x14ac:dyDescent="0.25">
      <c r="A572" s="5">
        <v>44021</v>
      </c>
      <c r="B572">
        <v>0.19087999999999999</v>
      </c>
      <c r="C572">
        <v>0.1925</v>
      </c>
      <c r="D572">
        <v>0.17399999999999999</v>
      </c>
      <c r="E572">
        <v>0.17774999999999999</v>
      </c>
      <c r="F572">
        <v>8301504.7000000002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-0.59459459459459463</v>
      </c>
      <c r="Q572">
        <f t="shared" si="985"/>
        <v>-4936029.821621622</v>
      </c>
      <c r="R572">
        <f t="shared" si="986"/>
        <v>30984193.949006449</v>
      </c>
      <c r="S572">
        <f t="shared" si="987"/>
        <v>309.84193949006448</v>
      </c>
      <c r="T572">
        <f t="shared" si="988"/>
        <v>0.3098419394900645</v>
      </c>
    </row>
    <row r="573" spans="1:104" x14ac:dyDescent="0.25">
      <c r="A573" s="5">
        <v>44020</v>
      </c>
      <c r="B573">
        <v>0.18337999999999999</v>
      </c>
      <c r="C573">
        <v>0.19980000000000001</v>
      </c>
      <c r="D573">
        <v>0.18193999999999999</v>
      </c>
      <c r="E573">
        <v>0.19087999999999999</v>
      </c>
      <c r="F573">
        <v>14007466.800000001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1.1198208286669782E-3</v>
      </c>
      <c r="Q573">
        <f t="shared" si="985"/>
        <v>15685.853079501187</v>
      </c>
      <c r="R573">
        <f t="shared" si="986"/>
        <v>35920223.770628072</v>
      </c>
      <c r="S573">
        <f t="shared" si="987"/>
        <v>359.2022377062807</v>
      </c>
      <c r="T573">
        <f t="shared" si="988"/>
        <v>0.35920223770628068</v>
      </c>
    </row>
    <row r="574" spans="1:104" x14ac:dyDescent="0.25">
      <c r="A574" s="5">
        <v>44019</v>
      </c>
      <c r="B574">
        <v>0.17548</v>
      </c>
      <c r="C574">
        <v>0.188</v>
      </c>
      <c r="D574">
        <v>0.17029</v>
      </c>
      <c r="E574">
        <v>0.18321999999999999</v>
      </c>
      <c r="F574">
        <v>11311677.300000001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0.46019198193111172</v>
      </c>
      <c r="Q574">
        <f t="shared" si="985"/>
        <v>5205543.1956521673</v>
      </c>
      <c r="R574">
        <f t="shared" si="986"/>
        <v>35904537.917548575</v>
      </c>
      <c r="S574">
        <f t="shared" si="987"/>
        <v>359.04537917548572</v>
      </c>
      <c r="T574">
        <f t="shared" si="988"/>
        <v>0.35904537917548573</v>
      </c>
    </row>
    <row r="575" spans="1:104" x14ac:dyDescent="0.25">
      <c r="A575" s="5">
        <v>44018</v>
      </c>
      <c r="B575">
        <v>0.15837000000000001</v>
      </c>
      <c r="C575">
        <v>0.17588000000000001</v>
      </c>
      <c r="D575">
        <v>0.15</v>
      </c>
      <c r="E575">
        <v>0.17588000000000001</v>
      </c>
      <c r="F575">
        <v>10863630.1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1</v>
      </c>
      <c r="Q575">
        <f t="shared" si="985"/>
        <v>10863630.1</v>
      </c>
      <c r="R575">
        <f t="shared" si="986"/>
        <v>30698994.72189641</v>
      </c>
      <c r="S575">
        <f t="shared" si="987"/>
        <v>306.98994721896412</v>
      </c>
      <c r="T575">
        <f t="shared" si="988"/>
        <v>0.30698994721896411</v>
      </c>
    </row>
    <row r="576" spans="1:104" x14ac:dyDescent="0.25">
      <c r="A576" s="5">
        <v>44017</v>
      </c>
      <c r="B576">
        <v>0.16735</v>
      </c>
      <c r="C576">
        <v>0.16753999999999999</v>
      </c>
      <c r="D576">
        <v>0.14935000000000001</v>
      </c>
      <c r="E576">
        <v>0.15837000000000001</v>
      </c>
      <c r="F576">
        <v>12510675.6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-8.2462891698726563E-3</v>
      </c>
      <c r="Q576">
        <f t="shared" si="985"/>
        <v>-103166.64870807009</v>
      </c>
      <c r="R576">
        <f t="shared" si="986"/>
        <v>19835364.621896412</v>
      </c>
      <c r="S576">
        <f t="shared" si="987"/>
        <v>198.35364621896412</v>
      </c>
      <c r="T576">
        <f t="shared" si="988"/>
        <v>0.19835364621896412</v>
      </c>
    </row>
    <row r="577" spans="1:20" x14ac:dyDescent="0.25">
      <c r="A577" s="5">
        <v>44016</v>
      </c>
      <c r="B577">
        <v>0.1673</v>
      </c>
      <c r="C577">
        <v>0.185</v>
      </c>
      <c r="D577">
        <v>0.16463</v>
      </c>
      <c r="E577">
        <v>0.16735</v>
      </c>
      <c r="F577">
        <v>16761694.300000001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-0.73294059891998031</v>
      </c>
      <c r="Q577">
        <f t="shared" si="985"/>
        <v>-12285326.25915562</v>
      </c>
      <c r="R577">
        <f t="shared" si="986"/>
        <v>19938531.270604484</v>
      </c>
      <c r="S577">
        <f t="shared" si="987"/>
        <v>199.38531270604483</v>
      </c>
      <c r="T577">
        <f t="shared" si="988"/>
        <v>0.19938531270604481</v>
      </c>
    </row>
    <row r="578" spans="1:20" x14ac:dyDescent="0.25">
      <c r="A578" s="5">
        <v>44015</v>
      </c>
      <c r="B578">
        <v>0.15339</v>
      </c>
      <c r="C578">
        <v>0.17221</v>
      </c>
      <c r="D578">
        <v>0.14584</v>
      </c>
      <c r="E578">
        <v>0.16728000000000001</v>
      </c>
      <c r="F578">
        <v>20824733.600000001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0.62609025407660301</v>
      </c>
      <c r="Q578">
        <f t="shared" si="985"/>
        <v>13038162.750701573</v>
      </c>
      <c r="R578">
        <f t="shared" si="986"/>
        <v>32223857.529760104</v>
      </c>
      <c r="S578">
        <f t="shared" si="987"/>
        <v>322.23857529760102</v>
      </c>
      <c r="T578">
        <f t="shared" si="988"/>
        <v>0.32223857529760103</v>
      </c>
    </row>
    <row r="579" spans="1:20" x14ac:dyDescent="0.25">
      <c r="A579" s="5">
        <v>44014</v>
      </c>
      <c r="B579">
        <v>0.14493</v>
      </c>
      <c r="C579">
        <v>0.15869</v>
      </c>
      <c r="D579">
        <v>0.14426</v>
      </c>
      <c r="E579">
        <v>0.15339</v>
      </c>
      <c r="F579">
        <v>12821631.4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0.26541926541926547</v>
      </c>
      <c r="Q579">
        <f t="shared" si="985"/>
        <v>3403107.9876645883</v>
      </c>
      <c r="R579">
        <f t="shared" si="986"/>
        <v>19185694.779058531</v>
      </c>
      <c r="S579">
        <f t="shared" si="987"/>
        <v>191.85694779058531</v>
      </c>
      <c r="T579">
        <f t="shared" si="988"/>
        <v>0.19185694779058532</v>
      </c>
    </row>
    <row r="580" spans="1:20" x14ac:dyDescent="0.25">
      <c r="A580" s="5">
        <v>44013</v>
      </c>
      <c r="B580">
        <v>0.14671000000000001</v>
      </c>
      <c r="C580">
        <v>0.15453</v>
      </c>
      <c r="D580">
        <v>0.14349999999999999</v>
      </c>
      <c r="E580">
        <v>0.14463999999999999</v>
      </c>
      <c r="F580">
        <v>7790468.2000000002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-0.79329102447869426</v>
      </c>
      <c r="Q580">
        <f t="shared" si="985"/>
        <v>-6180108.499546689</v>
      </c>
      <c r="R580">
        <f t="shared" si="986"/>
        <v>15782586.791393943</v>
      </c>
      <c r="S580">
        <f t="shared" si="987"/>
        <v>157.82586791393942</v>
      </c>
      <c r="T580">
        <f t="shared" si="988"/>
        <v>0.15782586791393943</v>
      </c>
    </row>
    <row r="581" spans="1:20" x14ac:dyDescent="0.25">
      <c r="A581" s="5">
        <v>44012</v>
      </c>
      <c r="B581">
        <v>0.15436</v>
      </c>
      <c r="C581">
        <v>0.15545</v>
      </c>
      <c r="D581">
        <v>0.14266000000000001</v>
      </c>
      <c r="E581">
        <v>0.14654</v>
      </c>
      <c r="F581">
        <v>10338027</v>
      </c>
      <c r="G581">
        <v>0</v>
      </c>
      <c r="L581" t="s">
        <v>7</v>
      </c>
      <c r="M581" t="s">
        <v>8</v>
      </c>
      <c r="N581" t="s">
        <v>8</v>
      </c>
      <c r="P581">
        <f t="shared" si="984"/>
        <v>-0.39327599687255732</v>
      </c>
      <c r="Q581">
        <f t="shared" si="985"/>
        <v>-4065697.8741204133</v>
      </c>
      <c r="R581">
        <f t="shared" si="986"/>
        <v>21962695.290940631</v>
      </c>
      <c r="S581">
        <f t="shared" si="987"/>
        <v>219.6269529094063</v>
      </c>
      <c r="T581">
        <f t="shared" si="988"/>
        <v>0.21962695290940629</v>
      </c>
    </row>
    <row r="582" spans="1:20" x14ac:dyDescent="0.25">
      <c r="A582" s="5">
        <v>44011</v>
      </c>
      <c r="B582">
        <v>0.15004000000000001</v>
      </c>
      <c r="C582">
        <v>0.16500000000000001</v>
      </c>
      <c r="D582">
        <v>0.14971999999999999</v>
      </c>
      <c r="E582">
        <v>0.15429000000000001</v>
      </c>
      <c r="F582">
        <v>9977662.5999999996</v>
      </c>
      <c r="G582">
        <v>0</v>
      </c>
      <c r="L582" t="s">
        <v>8</v>
      </c>
      <c r="M582" t="s">
        <v>8</v>
      </c>
      <c r="N582" t="s">
        <v>8</v>
      </c>
      <c r="P582">
        <f t="shared" ref="P582:P645" si="989">IF(C582=D582,0,((E582-D582)-(C582-E582))/(C582-D582))</f>
        <v>-0.40183246073298251</v>
      </c>
      <c r="Q582">
        <f t="shared" ref="Q582:Q645" si="990">F582*P582</f>
        <v>-4009348.7149214479</v>
      </c>
      <c r="R582">
        <f t="shared" ref="R582:R645" si="991">R583+Q582</f>
        <v>26028393.165061045</v>
      </c>
      <c r="S582">
        <f t="shared" ref="S582:S645" si="992">R582/100000</f>
        <v>260.28393165061044</v>
      </c>
      <c r="T582">
        <f t="shared" ref="T582:T645" si="993">S582/1000</f>
        <v>0.26028393165061042</v>
      </c>
    </row>
    <row r="583" spans="1:20" x14ac:dyDescent="0.25">
      <c r="A583" s="5">
        <v>44010</v>
      </c>
      <c r="B583">
        <v>0.14099</v>
      </c>
      <c r="C583">
        <v>0.15522</v>
      </c>
      <c r="D583">
        <v>0.13435</v>
      </c>
      <c r="E583">
        <v>0.15004000000000001</v>
      </c>
      <c r="F583">
        <v>7849741.7000000002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0.503593675131769</v>
      </c>
      <c r="Q583">
        <f t="shared" si="990"/>
        <v>3953080.2715381002</v>
      </c>
      <c r="R583">
        <f t="shared" si="991"/>
        <v>30037741.879982494</v>
      </c>
      <c r="S583">
        <f t="shared" si="992"/>
        <v>300.37741879982497</v>
      </c>
      <c r="T583">
        <f t="shared" si="993"/>
        <v>0.30037741879982499</v>
      </c>
    </row>
    <row r="584" spans="1:20" x14ac:dyDescent="0.25">
      <c r="A584" s="5">
        <v>44009</v>
      </c>
      <c r="B584">
        <v>0.15245</v>
      </c>
      <c r="C584">
        <v>0.161</v>
      </c>
      <c r="D584">
        <v>0.13139999999999999</v>
      </c>
      <c r="E584">
        <v>0.14113000000000001</v>
      </c>
      <c r="F584">
        <v>10648955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-0.34256756756756679</v>
      </c>
      <c r="Q584">
        <f t="shared" si="990"/>
        <v>-3647986.6114864782</v>
      </c>
      <c r="R584">
        <f t="shared" si="991"/>
        <v>26084661.608444393</v>
      </c>
      <c r="S584">
        <f t="shared" si="992"/>
        <v>260.84661608444395</v>
      </c>
      <c r="T584">
        <f t="shared" si="993"/>
        <v>0.26084661608444393</v>
      </c>
    </row>
    <row r="585" spans="1:20" x14ac:dyDescent="0.25">
      <c r="A585" s="5">
        <v>44008</v>
      </c>
      <c r="B585">
        <v>0.16034999999999999</v>
      </c>
      <c r="C585">
        <v>0.16855999999999999</v>
      </c>
      <c r="D585">
        <v>0.14854000000000001</v>
      </c>
      <c r="E585">
        <v>0.15245</v>
      </c>
      <c r="F585">
        <v>11367903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-0.60939060939060941</v>
      </c>
      <c r="Q585">
        <f t="shared" si="990"/>
        <v>-6927493.3366633365</v>
      </c>
      <c r="R585">
        <f t="shared" si="991"/>
        <v>29732648.219930872</v>
      </c>
      <c r="S585">
        <f t="shared" si="992"/>
        <v>297.32648219930871</v>
      </c>
      <c r="T585">
        <f t="shared" si="993"/>
        <v>0.29732648219930874</v>
      </c>
    </row>
    <row r="586" spans="1:20" x14ac:dyDescent="0.25">
      <c r="A586" s="5">
        <v>44007</v>
      </c>
      <c r="B586">
        <v>0.17005000000000001</v>
      </c>
      <c r="C586">
        <v>0.17130000000000001</v>
      </c>
      <c r="D586">
        <v>0.14335999999999999</v>
      </c>
      <c r="E586">
        <v>0.16034999999999999</v>
      </c>
      <c r="F586">
        <v>23570229.199999999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0.21617752326413692</v>
      </c>
      <c r="Q586">
        <f t="shared" si="990"/>
        <v>5095353.7712240387</v>
      </c>
      <c r="R586">
        <f t="shared" si="991"/>
        <v>36660141.556594208</v>
      </c>
      <c r="S586">
        <f t="shared" si="992"/>
        <v>366.60141556594209</v>
      </c>
      <c r="T586">
        <f t="shared" si="993"/>
        <v>0.36660141556594211</v>
      </c>
    </row>
    <row r="587" spans="1:20" x14ac:dyDescent="0.25">
      <c r="A587" s="5">
        <v>44006</v>
      </c>
      <c r="B587">
        <v>0.15414</v>
      </c>
      <c r="C587">
        <v>0.17856</v>
      </c>
      <c r="D587">
        <v>0.15361</v>
      </c>
      <c r="E587">
        <v>0.17</v>
      </c>
      <c r="F587">
        <v>29302918.100000001</v>
      </c>
      <c r="G587">
        <v>0</v>
      </c>
      <c r="L587" t="s">
        <v>8</v>
      </c>
      <c r="M587" t="s">
        <v>8</v>
      </c>
      <c r="N587" t="s">
        <v>8</v>
      </c>
      <c r="P587">
        <f t="shared" si="989"/>
        <v>0.31382765531062251</v>
      </c>
      <c r="Q587">
        <f t="shared" si="990"/>
        <v>9196066.0810822025</v>
      </c>
      <c r="R587">
        <f t="shared" si="991"/>
        <v>31564787.785370171</v>
      </c>
      <c r="S587">
        <f t="shared" si="992"/>
        <v>315.64787785370169</v>
      </c>
      <c r="T587">
        <f t="shared" si="993"/>
        <v>0.31564787785370169</v>
      </c>
    </row>
    <row r="588" spans="1:20" x14ac:dyDescent="0.25">
      <c r="A588" s="5">
        <v>44005</v>
      </c>
      <c r="B588">
        <v>0.14385000000000001</v>
      </c>
      <c r="C588">
        <v>0.15998000000000001</v>
      </c>
      <c r="D588">
        <v>0.14016999999999999</v>
      </c>
      <c r="E588">
        <v>0.15415999999999999</v>
      </c>
      <c r="F588">
        <v>20199841.5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0.41241797072185632</v>
      </c>
      <c r="Q588">
        <f t="shared" si="990"/>
        <v>8330777.6403331384</v>
      </c>
      <c r="R588">
        <f t="shared" si="991"/>
        <v>22368721.704287969</v>
      </c>
      <c r="S588">
        <f t="shared" si="992"/>
        <v>223.68721704287969</v>
      </c>
      <c r="T588">
        <f t="shared" si="993"/>
        <v>0.22368721704287969</v>
      </c>
    </row>
    <row r="589" spans="1:20" x14ac:dyDescent="0.25">
      <c r="A589" s="5">
        <v>44004</v>
      </c>
      <c r="B589">
        <v>0.11402</v>
      </c>
      <c r="C589">
        <v>0.14499999999999999</v>
      </c>
      <c r="D589">
        <v>0.11402</v>
      </c>
      <c r="E589">
        <v>0.14369999999999999</v>
      </c>
      <c r="F589">
        <v>29672447.899999999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0.91607488702388662</v>
      </c>
      <c r="Q589">
        <f t="shared" si="990"/>
        <v>27182184.35771466</v>
      </c>
      <c r="R589">
        <f t="shared" si="991"/>
        <v>14037944.06395483</v>
      </c>
      <c r="S589">
        <f t="shared" si="992"/>
        <v>140.37944063954831</v>
      </c>
      <c r="T589">
        <f t="shared" si="993"/>
        <v>0.1403794406395483</v>
      </c>
    </row>
    <row r="590" spans="1:20" x14ac:dyDescent="0.25">
      <c r="A590" s="5">
        <v>44003</v>
      </c>
      <c r="B590">
        <v>0.11827</v>
      </c>
      <c r="C590">
        <v>0.12333</v>
      </c>
      <c r="D590">
        <v>0.114</v>
      </c>
      <c r="E590">
        <v>0.11412</v>
      </c>
      <c r="F590">
        <v>10031767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-0.97427652733119074</v>
      </c>
      <c r="Q590">
        <f t="shared" si="990"/>
        <v>-9773715.1157556381</v>
      </c>
      <c r="R590">
        <f t="shared" si="991"/>
        <v>-13144240.29375983</v>
      </c>
      <c r="S590">
        <f t="shared" si="992"/>
        <v>-131.4424029375983</v>
      </c>
      <c r="T590">
        <f t="shared" si="993"/>
        <v>-0.13144240293759829</v>
      </c>
    </row>
    <row r="591" spans="1:20" x14ac:dyDescent="0.25">
      <c r="A591" s="5">
        <v>44002</v>
      </c>
      <c r="B591">
        <v>0.12318</v>
      </c>
      <c r="C591">
        <v>0.12565999999999999</v>
      </c>
      <c r="D591">
        <v>0.11589000000000001</v>
      </c>
      <c r="E591">
        <v>0.11827</v>
      </c>
      <c r="F591">
        <v>11066104.199999999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-0.51279426816786156</v>
      </c>
      <c r="Q591">
        <f t="shared" si="990"/>
        <v>-5674634.8047082983</v>
      </c>
      <c r="R591">
        <f t="shared" si="991"/>
        <v>-3370525.1780041913</v>
      </c>
      <c r="S591">
        <f t="shared" si="992"/>
        <v>-33.705251780041912</v>
      </c>
      <c r="T591">
        <f t="shared" si="993"/>
        <v>-3.3705251780041912E-2</v>
      </c>
    </row>
    <row r="592" spans="1:20" x14ac:dyDescent="0.25">
      <c r="A592" s="5">
        <v>44001</v>
      </c>
      <c r="B592">
        <v>0.12118</v>
      </c>
      <c r="C592">
        <v>0.12790000000000001</v>
      </c>
      <c r="D592">
        <v>0.113</v>
      </c>
      <c r="E592">
        <v>0.12327</v>
      </c>
      <c r="F592">
        <v>18006000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0.37852348993288509</v>
      </c>
      <c r="Q592">
        <f t="shared" si="990"/>
        <v>6815693.9597315285</v>
      </c>
      <c r="R592">
        <f t="shared" si="991"/>
        <v>2304109.626704107</v>
      </c>
      <c r="S592">
        <f t="shared" si="992"/>
        <v>23.04109626704107</v>
      </c>
      <c r="T592">
        <f t="shared" si="993"/>
        <v>2.304109626704107E-2</v>
      </c>
    </row>
    <row r="593" spans="1:20" x14ac:dyDescent="0.25">
      <c r="A593" s="5">
        <v>44000</v>
      </c>
      <c r="B593">
        <v>0.11758</v>
      </c>
      <c r="C593">
        <v>0.12368</v>
      </c>
      <c r="D593">
        <v>0.11339</v>
      </c>
      <c r="E593">
        <v>0.1212</v>
      </c>
      <c r="F593">
        <v>9236157.3000000007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0.51797862001943684</v>
      </c>
      <c r="Q593">
        <f t="shared" si="990"/>
        <v>4784132.0125364484</v>
      </c>
      <c r="R593">
        <f t="shared" si="991"/>
        <v>-4511584.3330274215</v>
      </c>
      <c r="S593">
        <f t="shared" si="992"/>
        <v>-45.115843330274217</v>
      </c>
      <c r="T593">
        <f t="shared" si="993"/>
        <v>-4.5115843330274213E-2</v>
      </c>
    </row>
    <row r="594" spans="1:20" x14ac:dyDescent="0.25">
      <c r="A594" s="5">
        <v>43999</v>
      </c>
      <c r="B594">
        <v>0.11717</v>
      </c>
      <c r="C594">
        <v>0.12049</v>
      </c>
      <c r="D594">
        <v>0.11173</v>
      </c>
      <c r="E594">
        <v>0.11724999999999999</v>
      </c>
      <c r="F594">
        <v>7244354.2999999998</v>
      </c>
      <c r="G594">
        <v>0</v>
      </c>
      <c r="L594" t="s">
        <v>7</v>
      </c>
      <c r="M594" t="s">
        <v>8</v>
      </c>
      <c r="N594" t="s">
        <v>8</v>
      </c>
      <c r="P594">
        <f t="shared" si="989"/>
        <v>0.26027397260273849</v>
      </c>
      <c r="Q594">
        <f t="shared" si="990"/>
        <v>1885516.8726027308</v>
      </c>
      <c r="R594">
        <f t="shared" si="991"/>
        <v>-9295716.3455638699</v>
      </c>
      <c r="S594">
        <f t="shared" si="992"/>
        <v>-92.957163455638693</v>
      </c>
      <c r="T594">
        <f t="shared" si="993"/>
        <v>-9.2957163455638689E-2</v>
      </c>
    </row>
    <row r="595" spans="1:20" x14ac:dyDescent="0.25">
      <c r="A595" s="5">
        <v>43998</v>
      </c>
      <c r="B595">
        <v>0.11577</v>
      </c>
      <c r="C595">
        <v>0.12345</v>
      </c>
      <c r="D595">
        <v>0.11298</v>
      </c>
      <c r="E595">
        <v>0.1166</v>
      </c>
      <c r="F595">
        <v>13114051.4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-0.30850047755491961</v>
      </c>
      <c r="Q595">
        <f t="shared" si="990"/>
        <v>-4045691.1195797622</v>
      </c>
      <c r="R595">
        <f t="shared" si="991"/>
        <v>-11181233.218166601</v>
      </c>
      <c r="S595">
        <f t="shared" si="992"/>
        <v>-111.81233218166601</v>
      </c>
      <c r="T595">
        <f t="shared" si="993"/>
        <v>-0.111812332181666</v>
      </c>
    </row>
    <row r="596" spans="1:20" x14ac:dyDescent="0.25">
      <c r="A596" s="5">
        <v>43997</v>
      </c>
      <c r="B596">
        <v>0.10075000000000001</v>
      </c>
      <c r="C596">
        <v>0.11829000000000001</v>
      </c>
      <c r="D596">
        <v>9.3810000000000004E-2</v>
      </c>
      <c r="E596">
        <v>0.11584999999999999</v>
      </c>
      <c r="F596">
        <v>19139756.699999999</v>
      </c>
      <c r="G596">
        <v>0</v>
      </c>
      <c r="L596" t="s">
        <v>8</v>
      </c>
      <c r="M596" t="s">
        <v>8</v>
      </c>
      <c r="N596" t="s">
        <v>8</v>
      </c>
      <c r="P596">
        <f t="shared" si="989"/>
        <v>0.80065359477124087</v>
      </c>
      <c r="Q596">
        <f t="shared" si="990"/>
        <v>15324315.004901942</v>
      </c>
      <c r="R596">
        <f t="shared" si="991"/>
        <v>-7135542.0985868387</v>
      </c>
      <c r="S596">
        <f t="shared" si="992"/>
        <v>-71.355420985868392</v>
      </c>
      <c r="T596">
        <f t="shared" si="993"/>
        <v>-7.135542098586839E-2</v>
      </c>
    </row>
    <row r="597" spans="1:20" x14ac:dyDescent="0.25">
      <c r="A597" s="5">
        <v>43996</v>
      </c>
      <c r="B597">
        <v>0.10185</v>
      </c>
      <c r="C597">
        <v>0.10874</v>
      </c>
      <c r="D597">
        <v>9.8449999999999996E-2</v>
      </c>
      <c r="E597">
        <v>0.10076</v>
      </c>
      <c r="F597">
        <v>8404349.6999999993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-0.55102040816326436</v>
      </c>
      <c r="Q597">
        <f t="shared" si="990"/>
        <v>-4630968.2020408083</v>
      </c>
      <c r="R597">
        <f t="shared" si="991"/>
        <v>-22459857.103488781</v>
      </c>
      <c r="S597">
        <f t="shared" si="992"/>
        <v>-224.59857103488781</v>
      </c>
      <c r="T597">
        <f t="shared" si="993"/>
        <v>-0.22459857103488781</v>
      </c>
    </row>
    <row r="598" spans="1:20" x14ac:dyDescent="0.25">
      <c r="A598" s="5">
        <v>43995</v>
      </c>
      <c r="B598">
        <v>9.7619999999999998E-2</v>
      </c>
      <c r="C598">
        <v>0.10440000000000001</v>
      </c>
      <c r="D598">
        <v>9.4270000000000007E-2</v>
      </c>
      <c r="E598">
        <v>0.10185</v>
      </c>
      <c r="F598">
        <v>8122374.4000000004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0.49654491609081725</v>
      </c>
      <c r="Q598">
        <f t="shared" si="990"/>
        <v>4033123.7149062022</v>
      </c>
      <c r="R598">
        <f t="shared" si="991"/>
        <v>-17828888.901447974</v>
      </c>
      <c r="S598">
        <f t="shared" si="992"/>
        <v>-178.28888901447974</v>
      </c>
      <c r="T598">
        <f t="shared" si="993"/>
        <v>-0.17828888901447973</v>
      </c>
    </row>
    <row r="599" spans="1:20" x14ac:dyDescent="0.25">
      <c r="A599" s="5">
        <v>43994</v>
      </c>
      <c r="B599">
        <v>8.8050000000000003E-2</v>
      </c>
      <c r="C599">
        <v>9.8100000000000007E-2</v>
      </c>
      <c r="D599">
        <v>8.6330000000000004E-2</v>
      </c>
      <c r="E599">
        <v>9.7640000000000005E-2</v>
      </c>
      <c r="F599">
        <v>7578603.4000000004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0.92183517417162242</v>
      </c>
      <c r="Q599">
        <f t="shared" si="990"/>
        <v>6986223.1852166504</v>
      </c>
      <c r="R599">
        <f t="shared" si="991"/>
        <v>-21862012.616354175</v>
      </c>
      <c r="S599">
        <f t="shared" si="992"/>
        <v>-218.62012616354176</v>
      </c>
      <c r="T599">
        <f t="shared" si="993"/>
        <v>-0.21862012616354176</v>
      </c>
    </row>
    <row r="600" spans="1:20" x14ac:dyDescent="0.25">
      <c r="A600" s="5">
        <v>43993</v>
      </c>
      <c r="B600">
        <v>9.6570000000000003E-2</v>
      </c>
      <c r="C600">
        <v>0.108</v>
      </c>
      <c r="D600">
        <v>8.5110000000000005E-2</v>
      </c>
      <c r="E600">
        <v>8.8050000000000003E-2</v>
      </c>
      <c r="F600">
        <v>20329014.5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-0.74311926605504597</v>
      </c>
      <c r="Q600">
        <f t="shared" si="990"/>
        <v>-15106882.334862387</v>
      </c>
      <c r="R600">
        <f t="shared" si="991"/>
        <v>-28848235.801570825</v>
      </c>
      <c r="S600">
        <f t="shared" si="992"/>
        <v>-288.48235801570826</v>
      </c>
      <c r="T600">
        <f t="shared" si="993"/>
        <v>-0.28848235801570826</v>
      </c>
    </row>
    <row r="601" spans="1:20" x14ac:dyDescent="0.25">
      <c r="A601" s="5">
        <v>43992</v>
      </c>
      <c r="B601">
        <v>8.6269999999999999E-2</v>
      </c>
      <c r="C601">
        <v>9.8659999999999998E-2</v>
      </c>
      <c r="D601">
        <v>8.3640000000000006E-2</v>
      </c>
      <c r="E601">
        <v>9.6570000000000003E-2</v>
      </c>
      <c r="F601">
        <v>13753439.199999999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0.72170439414114573</v>
      </c>
      <c r="Q601">
        <f t="shared" si="990"/>
        <v>9925917.5051930826</v>
      </c>
      <c r="R601">
        <f t="shared" si="991"/>
        <v>-13741353.466708438</v>
      </c>
      <c r="S601">
        <f t="shared" si="992"/>
        <v>-137.41353466708438</v>
      </c>
      <c r="T601">
        <f t="shared" si="993"/>
        <v>-0.13741353466708436</v>
      </c>
    </row>
    <row r="602" spans="1:20" x14ac:dyDescent="0.25">
      <c r="A602" s="5">
        <v>43991</v>
      </c>
      <c r="B602">
        <v>8.6489999999999997E-2</v>
      </c>
      <c r="C602">
        <v>8.6779999999999996E-2</v>
      </c>
      <c r="D602">
        <v>8.4440000000000001E-2</v>
      </c>
      <c r="E602">
        <v>8.6360000000000006E-2</v>
      </c>
      <c r="F602">
        <v>2831559.8</v>
      </c>
      <c r="G602">
        <v>0</v>
      </c>
      <c r="L602" t="s">
        <v>7</v>
      </c>
      <c r="M602" t="s">
        <v>7</v>
      </c>
      <c r="N602" t="s">
        <v>8</v>
      </c>
      <c r="P602">
        <f t="shared" si="989"/>
        <v>0.64102564102564896</v>
      </c>
      <c r="Q602">
        <f t="shared" si="990"/>
        <v>1815102.4358974583</v>
      </c>
      <c r="R602">
        <f t="shared" si="991"/>
        <v>-23667270.971901521</v>
      </c>
      <c r="S602">
        <f t="shared" si="992"/>
        <v>-236.67270971901522</v>
      </c>
      <c r="T602">
        <f t="shared" si="993"/>
        <v>-0.23667270971901522</v>
      </c>
    </row>
    <row r="603" spans="1:20" x14ac:dyDescent="0.25">
      <c r="A603" s="5">
        <v>43990</v>
      </c>
      <c r="B603">
        <v>8.9219999999999994E-2</v>
      </c>
      <c r="C603">
        <v>8.9779999999999999E-2</v>
      </c>
      <c r="D603">
        <v>8.2479999999999998E-2</v>
      </c>
      <c r="E603">
        <v>8.6440000000000003E-2</v>
      </c>
      <c r="F603">
        <v>5364126.8</v>
      </c>
      <c r="G603">
        <v>0</v>
      </c>
      <c r="L603" t="s">
        <v>7</v>
      </c>
      <c r="M603" t="s">
        <v>7</v>
      </c>
      <c r="N603" t="s">
        <v>8</v>
      </c>
      <c r="P603">
        <f t="shared" si="989"/>
        <v>8.4931506849316343E-2</v>
      </c>
      <c r="Q603">
        <f t="shared" si="990"/>
        <v>455583.37205480132</v>
      </c>
      <c r="R603">
        <f t="shared" si="991"/>
        <v>-25482373.407798979</v>
      </c>
      <c r="S603">
        <f t="shared" si="992"/>
        <v>-254.8237340779898</v>
      </c>
      <c r="T603">
        <f t="shared" si="993"/>
        <v>-0.25482373407798981</v>
      </c>
    </row>
    <row r="604" spans="1:20" x14ac:dyDescent="0.25">
      <c r="A604" s="5">
        <v>43989</v>
      </c>
      <c r="B604">
        <v>8.77E-2</v>
      </c>
      <c r="C604">
        <v>8.9419999999999999E-2</v>
      </c>
      <c r="D604">
        <v>8.3760000000000001E-2</v>
      </c>
      <c r="E604">
        <v>8.9219999999999994E-2</v>
      </c>
      <c r="F604">
        <v>3758856.8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0.92932862190812515</v>
      </c>
      <c r="Q604">
        <f t="shared" si="990"/>
        <v>3493213.2098939852</v>
      </c>
      <c r="R604">
        <f t="shared" si="991"/>
        <v>-25937956.77985378</v>
      </c>
      <c r="S604">
        <f t="shared" si="992"/>
        <v>-259.37956779853778</v>
      </c>
      <c r="T604">
        <f t="shared" si="993"/>
        <v>-0.25937956779853777</v>
      </c>
    </row>
    <row r="605" spans="1:20" x14ac:dyDescent="0.25">
      <c r="A605" s="5">
        <v>43988</v>
      </c>
      <c r="B605">
        <v>9.0319999999999998E-2</v>
      </c>
      <c r="C605">
        <v>9.0590000000000004E-2</v>
      </c>
      <c r="D605">
        <v>8.6529999999999996E-2</v>
      </c>
      <c r="E605">
        <v>8.7840000000000001E-2</v>
      </c>
      <c r="F605">
        <v>3977687.9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-0.35467980295566354</v>
      </c>
      <c r="Q605">
        <f t="shared" si="990"/>
        <v>-1410805.560591127</v>
      </c>
      <c r="R605">
        <f t="shared" si="991"/>
        <v>-29431169.989747766</v>
      </c>
      <c r="S605">
        <f t="shared" si="992"/>
        <v>-294.31169989747764</v>
      </c>
      <c r="T605">
        <f t="shared" si="993"/>
        <v>-0.29431169989747763</v>
      </c>
    </row>
    <row r="606" spans="1:20" x14ac:dyDescent="0.25">
      <c r="A606" s="5">
        <v>43987</v>
      </c>
      <c r="B606">
        <v>9.0800000000000006E-2</v>
      </c>
      <c r="C606">
        <v>9.8500000000000004E-2</v>
      </c>
      <c r="D606">
        <v>8.9499999999999996E-2</v>
      </c>
      <c r="E606">
        <v>9.0590000000000004E-2</v>
      </c>
      <c r="F606">
        <v>9654450.6999999993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-0.75777777777777633</v>
      </c>
      <c r="Q606">
        <f t="shared" si="990"/>
        <v>-7315928.1971110962</v>
      </c>
      <c r="R606">
        <f t="shared" si="991"/>
        <v>-28020364.429156639</v>
      </c>
      <c r="S606">
        <f t="shared" si="992"/>
        <v>-280.20364429156638</v>
      </c>
      <c r="T606">
        <f t="shared" si="993"/>
        <v>-0.28020364429156636</v>
      </c>
    </row>
    <row r="607" spans="1:20" x14ac:dyDescent="0.25">
      <c r="A607" s="5">
        <v>43986</v>
      </c>
      <c r="B607">
        <v>8.8999999999999996E-2</v>
      </c>
      <c r="C607">
        <v>9.0999999999999998E-2</v>
      </c>
      <c r="D607">
        <v>8.4879999999999997E-2</v>
      </c>
      <c r="E607">
        <v>9.0800000000000006E-2</v>
      </c>
      <c r="F607">
        <v>4623954</v>
      </c>
      <c r="G607">
        <v>0</v>
      </c>
      <c r="L607" t="s">
        <v>8</v>
      </c>
      <c r="M607" t="s">
        <v>7</v>
      </c>
      <c r="N607" t="s">
        <v>8</v>
      </c>
      <c r="P607">
        <f t="shared" si="989"/>
        <v>0.93464052287581967</v>
      </c>
      <c r="Q607">
        <f t="shared" si="990"/>
        <v>4321734.7843137374</v>
      </c>
      <c r="R607">
        <f t="shared" si="991"/>
        <v>-20704436.232045542</v>
      </c>
      <c r="S607">
        <f t="shared" si="992"/>
        <v>-207.04436232045543</v>
      </c>
      <c r="T607">
        <f t="shared" si="993"/>
        <v>-0.20704436232045542</v>
      </c>
    </row>
    <row r="608" spans="1:20" x14ac:dyDescent="0.25">
      <c r="A608" s="5">
        <v>43985</v>
      </c>
      <c r="B608">
        <v>8.7999999999999995E-2</v>
      </c>
      <c r="C608">
        <v>8.9399999999999993E-2</v>
      </c>
      <c r="D608">
        <v>8.3430000000000004E-2</v>
      </c>
      <c r="E608">
        <v>8.8749999999999996E-2</v>
      </c>
      <c r="F608">
        <v>3966064.4</v>
      </c>
      <c r="G608">
        <v>0</v>
      </c>
      <c r="L608" t="s">
        <v>8</v>
      </c>
      <c r="M608" t="s">
        <v>7</v>
      </c>
      <c r="N608" t="s">
        <v>8</v>
      </c>
      <c r="P608">
        <f t="shared" si="989"/>
        <v>0.7822445561139032</v>
      </c>
      <c r="Q608">
        <f t="shared" si="990"/>
        <v>3102432.2860971536</v>
      </c>
      <c r="R608">
        <f t="shared" si="991"/>
        <v>-25026171.016359281</v>
      </c>
      <c r="S608">
        <f t="shared" si="992"/>
        <v>-250.2617101635928</v>
      </c>
      <c r="T608">
        <f t="shared" si="993"/>
        <v>-0.25026171016359278</v>
      </c>
    </row>
    <row r="609" spans="1:20" x14ac:dyDescent="0.25">
      <c r="A609" s="5">
        <v>43984</v>
      </c>
      <c r="B609">
        <v>9.1389999999999999E-2</v>
      </c>
      <c r="C609">
        <v>9.171E-2</v>
      </c>
      <c r="D609">
        <v>8.072E-2</v>
      </c>
      <c r="E609">
        <v>8.8410000000000002E-2</v>
      </c>
      <c r="F609">
        <v>11231316.4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0.39945404913557825</v>
      </c>
      <c r="Q609">
        <f t="shared" si="990"/>
        <v>4486394.8131028255</v>
      </c>
      <c r="R609">
        <f t="shared" si="991"/>
        <v>-28128603.302456435</v>
      </c>
      <c r="S609">
        <f t="shared" si="992"/>
        <v>-281.28603302456435</v>
      </c>
      <c r="T609">
        <f t="shared" si="993"/>
        <v>-0.28128603302456434</v>
      </c>
    </row>
    <row r="610" spans="1:20" x14ac:dyDescent="0.25">
      <c r="A610" s="5">
        <v>43983</v>
      </c>
      <c r="B610">
        <v>9.0880000000000002E-2</v>
      </c>
      <c r="C610">
        <v>9.3109999999999998E-2</v>
      </c>
      <c r="D610">
        <v>8.5099999999999995E-2</v>
      </c>
      <c r="E610">
        <v>9.1389999999999999E-2</v>
      </c>
      <c r="F610">
        <v>7299181</v>
      </c>
      <c r="G610">
        <v>0</v>
      </c>
      <c r="L610" t="s">
        <v>7</v>
      </c>
      <c r="M610" t="s">
        <v>7</v>
      </c>
      <c r="N610" t="s">
        <v>8</v>
      </c>
      <c r="P610">
        <f t="shared" si="989"/>
        <v>0.57053682896379565</v>
      </c>
      <c r="Q610">
        <f t="shared" si="990"/>
        <v>4164451.581772787</v>
      </c>
      <c r="R610">
        <f t="shared" si="991"/>
        <v>-32614998.115559261</v>
      </c>
      <c r="S610">
        <f t="shared" si="992"/>
        <v>-326.14998115559263</v>
      </c>
      <c r="T610">
        <f t="shared" si="993"/>
        <v>-0.32614998115559263</v>
      </c>
    </row>
    <row r="611" spans="1:20" x14ac:dyDescent="0.25">
      <c r="A611" s="5">
        <v>43982</v>
      </c>
      <c r="B611">
        <v>9.5449999999999993E-2</v>
      </c>
      <c r="C611">
        <v>0.1</v>
      </c>
      <c r="D611">
        <v>8.9010000000000006E-2</v>
      </c>
      <c r="E611">
        <v>9.0990000000000001E-2</v>
      </c>
      <c r="F611">
        <v>5492682.2000000002</v>
      </c>
      <c r="G611">
        <v>0</v>
      </c>
      <c r="L611" t="s">
        <v>8</v>
      </c>
      <c r="M611" t="s">
        <v>7</v>
      </c>
      <c r="N611" t="s">
        <v>8</v>
      </c>
      <c r="P611">
        <f t="shared" si="989"/>
        <v>-0.6396724294813475</v>
      </c>
      <c r="Q611">
        <f t="shared" si="990"/>
        <v>-3513517.3672429528</v>
      </c>
      <c r="R611">
        <f t="shared" si="991"/>
        <v>-36779449.697332047</v>
      </c>
      <c r="S611">
        <f t="shared" si="992"/>
        <v>-367.79449697332046</v>
      </c>
      <c r="T611">
        <f t="shared" si="993"/>
        <v>-0.36779449697332045</v>
      </c>
    </row>
    <row r="612" spans="1:20" x14ac:dyDescent="0.25">
      <c r="A612" s="5">
        <v>43981</v>
      </c>
      <c r="B612">
        <v>9.0590000000000004E-2</v>
      </c>
      <c r="C612">
        <v>9.7159999999999996E-2</v>
      </c>
      <c r="D612">
        <v>8.9050000000000004E-2</v>
      </c>
      <c r="E612">
        <v>9.5600000000000004E-2</v>
      </c>
      <c r="F612">
        <v>7247431.7999999998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0.61528976572133331</v>
      </c>
      <c r="Q612">
        <f t="shared" si="990"/>
        <v>4459270.6143033411</v>
      </c>
      <c r="R612">
        <f t="shared" si="991"/>
        <v>-33265932.330089092</v>
      </c>
      <c r="S612">
        <f t="shared" si="992"/>
        <v>-332.65932330089095</v>
      </c>
      <c r="T612">
        <f t="shared" si="993"/>
        <v>-0.33265932330089093</v>
      </c>
    </row>
    <row r="613" spans="1:20" x14ac:dyDescent="0.25">
      <c r="A613" s="5">
        <v>43980</v>
      </c>
      <c r="B613">
        <v>9.2429999999999998E-2</v>
      </c>
      <c r="C613">
        <v>9.3560000000000004E-2</v>
      </c>
      <c r="D613">
        <v>8.6999999999999994E-2</v>
      </c>
      <c r="E613">
        <v>9.0939999999999993E-2</v>
      </c>
      <c r="F613">
        <v>6027252.0999999996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0.20121951219511977</v>
      </c>
      <c r="Q613">
        <f t="shared" si="990"/>
        <v>1212800.7274390112</v>
      </c>
      <c r="R613">
        <f t="shared" si="991"/>
        <v>-37725202.944392435</v>
      </c>
      <c r="S613">
        <f t="shared" si="992"/>
        <v>-377.25202944392436</v>
      </c>
      <c r="T613">
        <f t="shared" si="993"/>
        <v>-0.37725202944392433</v>
      </c>
    </row>
    <row r="614" spans="1:20" x14ac:dyDescent="0.25">
      <c r="A614" s="5">
        <v>43979</v>
      </c>
      <c r="B614">
        <v>9.0319999999999998E-2</v>
      </c>
      <c r="C614">
        <v>9.8470000000000002E-2</v>
      </c>
      <c r="D614">
        <v>9.0010000000000007E-2</v>
      </c>
      <c r="E614">
        <v>9.2369999999999994E-2</v>
      </c>
      <c r="F614">
        <v>10534086.199999999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-0.44208037825059376</v>
      </c>
      <c r="Q614">
        <f t="shared" si="990"/>
        <v>-4656912.8118203599</v>
      </c>
      <c r="R614">
        <f t="shared" si="991"/>
        <v>-38938003.671831444</v>
      </c>
      <c r="S614">
        <f t="shared" si="992"/>
        <v>-389.38003671831444</v>
      </c>
      <c r="T614">
        <f t="shared" si="993"/>
        <v>-0.38938003671831445</v>
      </c>
    </row>
    <row r="615" spans="1:20" x14ac:dyDescent="0.25">
      <c r="A615" s="5">
        <v>43978</v>
      </c>
      <c r="B615">
        <v>9.0870000000000006E-2</v>
      </c>
      <c r="C615">
        <v>0.108</v>
      </c>
      <c r="D615">
        <v>8.6029999999999995E-2</v>
      </c>
      <c r="E615">
        <v>9.0010000000000007E-2</v>
      </c>
      <c r="F615">
        <v>31355074.699999999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-0.63768775603095029</v>
      </c>
      <c r="Q615">
        <f t="shared" si="990"/>
        <v>-19994747.22562582</v>
      </c>
      <c r="R615">
        <f t="shared" si="991"/>
        <v>-34281090.860011086</v>
      </c>
      <c r="S615">
        <f t="shared" si="992"/>
        <v>-342.81090860011085</v>
      </c>
      <c r="T615">
        <f t="shared" si="993"/>
        <v>-0.34281090860011088</v>
      </c>
    </row>
    <row r="616" spans="1:20" x14ac:dyDescent="0.25">
      <c r="A616" s="5">
        <v>43977</v>
      </c>
      <c r="B616">
        <v>9.7839999999999996E-2</v>
      </c>
      <c r="C616">
        <v>9.8500000000000004E-2</v>
      </c>
      <c r="D616">
        <v>8.8830000000000006E-2</v>
      </c>
      <c r="E616">
        <v>9.1300000000000006E-2</v>
      </c>
      <c r="F616">
        <v>6969900.9000000004</v>
      </c>
      <c r="G616">
        <v>0</v>
      </c>
      <c r="L616" t="s">
        <v>7</v>
      </c>
      <c r="M616" t="s">
        <v>7</v>
      </c>
      <c r="N616" t="s">
        <v>8</v>
      </c>
      <c r="P616">
        <f t="shared" si="989"/>
        <v>-0.48914167528438457</v>
      </c>
      <c r="Q616">
        <f t="shared" si="990"/>
        <v>-3409269.00279214</v>
      </c>
      <c r="R616">
        <f t="shared" si="991"/>
        <v>-14286343.634385269</v>
      </c>
      <c r="S616">
        <f t="shared" si="992"/>
        <v>-142.8634363438527</v>
      </c>
      <c r="T616">
        <f t="shared" si="993"/>
        <v>-0.14286343634385271</v>
      </c>
    </row>
    <row r="617" spans="1:20" x14ac:dyDescent="0.25">
      <c r="A617" s="5">
        <v>43976</v>
      </c>
      <c r="B617">
        <v>9.7739999999999994E-2</v>
      </c>
      <c r="C617">
        <v>9.9460000000000007E-2</v>
      </c>
      <c r="D617">
        <v>9.3259999999999996E-2</v>
      </c>
      <c r="E617">
        <v>9.7839999999999996E-2</v>
      </c>
      <c r="F617">
        <v>5320750.5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0.47741935483870729</v>
      </c>
      <c r="Q617">
        <f t="shared" si="990"/>
        <v>2540229.2709677294</v>
      </c>
      <c r="R617">
        <f t="shared" si="991"/>
        <v>-10877074.631593129</v>
      </c>
      <c r="S617">
        <f t="shared" si="992"/>
        <v>-108.77074631593129</v>
      </c>
      <c r="T617">
        <f t="shared" si="993"/>
        <v>-0.1087707463159313</v>
      </c>
    </row>
    <row r="618" spans="1:20" x14ac:dyDescent="0.25">
      <c r="A618" s="5">
        <v>43975</v>
      </c>
      <c r="B618">
        <v>0.10001</v>
      </c>
      <c r="C618">
        <v>0.109</v>
      </c>
      <c r="D618">
        <v>9.4700000000000006E-2</v>
      </c>
      <c r="E618">
        <v>9.7930000000000003E-2</v>
      </c>
      <c r="F618">
        <v>6182020.4000000004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-0.54825174825174849</v>
      </c>
      <c r="Q618">
        <f t="shared" si="990"/>
        <v>-3389303.4920279738</v>
      </c>
      <c r="R618">
        <f t="shared" si="991"/>
        <v>-13417303.902560858</v>
      </c>
      <c r="S618">
        <f t="shared" si="992"/>
        <v>-134.17303902560857</v>
      </c>
      <c r="T618">
        <f t="shared" si="993"/>
        <v>-0.13417303902560856</v>
      </c>
    </row>
    <row r="619" spans="1:20" x14ac:dyDescent="0.25">
      <c r="A619" s="5">
        <v>43974</v>
      </c>
      <c r="B619">
        <v>0.10059</v>
      </c>
      <c r="C619">
        <v>0.1051</v>
      </c>
      <c r="D619">
        <v>9.6680000000000002E-2</v>
      </c>
      <c r="E619">
        <v>0.1</v>
      </c>
      <c r="F619">
        <v>5172039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-0.21140142517814614</v>
      </c>
      <c r="Q619">
        <f t="shared" si="990"/>
        <v>-1093376.4156769537</v>
      </c>
      <c r="R619">
        <f t="shared" si="991"/>
        <v>-10028000.410532884</v>
      </c>
      <c r="S619">
        <f t="shared" si="992"/>
        <v>-100.28000410532884</v>
      </c>
      <c r="T619">
        <f t="shared" si="993"/>
        <v>-0.10028000410532885</v>
      </c>
    </row>
    <row r="620" spans="1:20" x14ac:dyDescent="0.25">
      <c r="A620" s="5">
        <v>43973</v>
      </c>
      <c r="B620">
        <v>8.9770000000000003E-2</v>
      </c>
      <c r="C620">
        <v>0.11</v>
      </c>
      <c r="D620">
        <v>8.7499999999999994E-2</v>
      </c>
      <c r="E620">
        <v>0.10057000000000001</v>
      </c>
      <c r="F620">
        <v>13486535.1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0.16177777777777855</v>
      </c>
      <c r="Q620">
        <f t="shared" si="990"/>
        <v>2181821.6784000103</v>
      </c>
      <c r="R620">
        <f t="shared" si="991"/>
        <v>-8934623.994855931</v>
      </c>
      <c r="S620">
        <f t="shared" si="992"/>
        <v>-89.346239948559315</v>
      </c>
      <c r="T620">
        <f t="shared" si="993"/>
        <v>-8.9346239948559308E-2</v>
      </c>
    </row>
    <row r="621" spans="1:20" x14ac:dyDescent="0.25">
      <c r="A621" s="5">
        <v>43972</v>
      </c>
      <c r="B621">
        <v>9.1810000000000003E-2</v>
      </c>
      <c r="C621">
        <v>9.5000000000000001E-2</v>
      </c>
      <c r="D621">
        <v>8.3479999999999999E-2</v>
      </c>
      <c r="E621">
        <v>8.9690000000000006E-2</v>
      </c>
      <c r="F621">
        <v>6314000.2000000002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7.8125000000001013E-2</v>
      </c>
      <c r="Q621">
        <f t="shared" si="990"/>
        <v>493281.2656250064</v>
      </c>
      <c r="R621">
        <f t="shared" si="991"/>
        <v>-11116445.673255941</v>
      </c>
      <c r="S621">
        <f t="shared" si="992"/>
        <v>-111.16445673255942</v>
      </c>
      <c r="T621">
        <f t="shared" si="993"/>
        <v>-0.11116445673255941</v>
      </c>
    </row>
    <row r="622" spans="1:20" x14ac:dyDescent="0.25">
      <c r="A622" s="5">
        <v>43971</v>
      </c>
      <c r="B622">
        <v>8.9450000000000002E-2</v>
      </c>
      <c r="C622">
        <v>9.5000000000000001E-2</v>
      </c>
      <c r="D622">
        <v>7.0099999999999996E-2</v>
      </c>
      <c r="E622">
        <v>9.1810000000000003E-2</v>
      </c>
      <c r="F622">
        <v>7090146.9000000004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0.74377510040160666</v>
      </c>
      <c r="Q622">
        <f t="shared" si="990"/>
        <v>5273474.7224096404</v>
      </c>
      <c r="R622">
        <f t="shared" si="991"/>
        <v>-11609726.938880946</v>
      </c>
      <c r="S622">
        <f t="shared" si="992"/>
        <v>-116.09726938880947</v>
      </c>
      <c r="T622">
        <f t="shared" si="993"/>
        <v>-0.11609726938880946</v>
      </c>
    </row>
    <row r="623" spans="1:20" x14ac:dyDescent="0.25">
      <c r="A623" s="5">
        <v>43970</v>
      </c>
      <c r="B623">
        <v>8.5470000000000004E-2</v>
      </c>
      <c r="C623">
        <v>0.09</v>
      </c>
      <c r="D623">
        <v>8.3900000000000002E-2</v>
      </c>
      <c r="E623">
        <v>8.9450000000000002E-2</v>
      </c>
      <c r="F623">
        <v>6612984.2999999998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0.81967213114754245</v>
      </c>
      <c r="Q623">
        <f t="shared" si="990"/>
        <v>5420478.9344262388</v>
      </c>
      <c r="R623">
        <f t="shared" si="991"/>
        <v>-16883201.661290586</v>
      </c>
      <c r="S623">
        <f t="shared" si="992"/>
        <v>-168.83201661290585</v>
      </c>
      <c r="T623">
        <f t="shared" si="993"/>
        <v>-0.16883201661290584</v>
      </c>
    </row>
    <row r="624" spans="1:20" x14ac:dyDescent="0.25">
      <c r="A624" s="5">
        <v>43969</v>
      </c>
      <c r="B624">
        <v>8.7080000000000005E-2</v>
      </c>
      <c r="C624">
        <v>0.09</v>
      </c>
      <c r="D624">
        <v>8.2000000000000003E-2</v>
      </c>
      <c r="E624">
        <v>8.5300000000000001E-2</v>
      </c>
      <c r="F624">
        <v>6192599.2000000002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-0.17499999999999996</v>
      </c>
      <c r="Q624">
        <f t="shared" si="990"/>
        <v>-1083704.8599999999</v>
      </c>
      <c r="R624">
        <f t="shared" si="991"/>
        <v>-22303680.595716827</v>
      </c>
      <c r="S624">
        <f t="shared" si="992"/>
        <v>-223.03680595716827</v>
      </c>
      <c r="T624">
        <f t="shared" si="993"/>
        <v>-0.22303680595716827</v>
      </c>
    </row>
    <row r="625" spans="1:20" x14ac:dyDescent="0.25">
      <c r="A625" s="5">
        <v>43968</v>
      </c>
      <c r="B625">
        <v>8.1210000000000004E-2</v>
      </c>
      <c r="C625">
        <v>8.9980000000000004E-2</v>
      </c>
      <c r="D625">
        <v>7.9490000000000005E-2</v>
      </c>
      <c r="E625">
        <v>8.7010000000000004E-2</v>
      </c>
      <c r="F625">
        <v>5111721.5999999996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0.43374642516682543</v>
      </c>
      <c r="Q625">
        <f t="shared" si="990"/>
        <v>2217190.9704480451</v>
      </c>
      <c r="R625">
        <f t="shared" si="991"/>
        <v>-21219975.735716827</v>
      </c>
      <c r="S625">
        <f t="shared" si="992"/>
        <v>-212.19975735716827</v>
      </c>
      <c r="T625">
        <f t="shared" si="993"/>
        <v>-0.21219975735716826</v>
      </c>
    </row>
    <row r="626" spans="1:20" x14ac:dyDescent="0.25">
      <c r="A626" s="5">
        <v>43967</v>
      </c>
      <c r="B626">
        <v>7.7109999999999998E-2</v>
      </c>
      <c r="C626">
        <v>8.5400000000000004E-2</v>
      </c>
      <c r="D626">
        <v>7.5850000000000001E-2</v>
      </c>
      <c r="E626">
        <v>8.1369999999999998E-2</v>
      </c>
      <c r="F626">
        <v>4516028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0.156020942408376</v>
      </c>
      <c r="Q626">
        <f t="shared" si="990"/>
        <v>704594.94450261339</v>
      </c>
      <c r="R626">
        <f t="shared" si="991"/>
        <v>-23437166.706164874</v>
      </c>
      <c r="S626">
        <f t="shared" si="992"/>
        <v>-234.37166706164874</v>
      </c>
      <c r="T626">
        <f t="shared" si="993"/>
        <v>-0.23437166706164875</v>
      </c>
    </row>
    <row r="627" spans="1:20" x14ac:dyDescent="0.25">
      <c r="A627" s="5">
        <v>43966</v>
      </c>
      <c r="B627">
        <v>7.7590000000000006E-2</v>
      </c>
      <c r="C627">
        <v>7.8030000000000002E-2</v>
      </c>
      <c r="D627">
        <v>7.2139999999999996E-2</v>
      </c>
      <c r="E627">
        <v>7.6880000000000004E-2</v>
      </c>
      <c r="F627">
        <v>3470660.6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0.60950764006791269</v>
      </c>
      <c r="Q627">
        <f t="shared" si="990"/>
        <v>2115394.1517826859</v>
      </c>
      <c r="R627">
        <f t="shared" si="991"/>
        <v>-24141761.650667489</v>
      </c>
      <c r="S627">
        <f t="shared" si="992"/>
        <v>-241.41761650667488</v>
      </c>
      <c r="T627">
        <f t="shared" si="993"/>
        <v>-0.24141761650667487</v>
      </c>
    </row>
    <row r="628" spans="1:20" x14ac:dyDescent="0.25">
      <c r="A628" s="5">
        <v>43965</v>
      </c>
      <c r="B628">
        <v>7.9490000000000005E-2</v>
      </c>
      <c r="C628">
        <v>7.9530000000000003E-2</v>
      </c>
      <c r="D628">
        <v>7.4789999999999995E-2</v>
      </c>
      <c r="E628">
        <v>7.7600000000000002E-2</v>
      </c>
      <c r="F628">
        <v>5343613.7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0.18565400843881946</v>
      </c>
      <c r="Q628">
        <f t="shared" si="990"/>
        <v>992063.30295359134</v>
      </c>
      <c r="R628">
        <f t="shared" si="991"/>
        <v>-26257155.802450176</v>
      </c>
      <c r="S628">
        <f t="shared" si="992"/>
        <v>-262.57155802450177</v>
      </c>
      <c r="T628">
        <f t="shared" si="993"/>
        <v>-0.26257155802450177</v>
      </c>
    </row>
    <row r="629" spans="1:20" x14ac:dyDescent="0.25">
      <c r="A629" s="5">
        <v>43964</v>
      </c>
      <c r="B629">
        <v>7.7770000000000006E-2</v>
      </c>
      <c r="C629">
        <v>7.9530000000000003E-2</v>
      </c>
      <c r="D629">
        <v>7.3099999999999998E-2</v>
      </c>
      <c r="E629">
        <v>7.9490000000000005E-2</v>
      </c>
      <c r="F629">
        <v>5435943.5999999996</v>
      </c>
      <c r="G629">
        <v>0</v>
      </c>
      <c r="L629" t="s">
        <v>7</v>
      </c>
      <c r="M629" t="s">
        <v>8</v>
      </c>
      <c r="N629" t="s">
        <v>8</v>
      </c>
      <c r="P629">
        <f t="shared" si="989"/>
        <v>0.98755832037325086</v>
      </c>
      <c r="Q629">
        <f t="shared" si="990"/>
        <v>5368311.3312597219</v>
      </c>
      <c r="R629">
        <f t="shared" si="991"/>
        <v>-27249219.105403766</v>
      </c>
      <c r="S629">
        <f t="shared" si="992"/>
        <v>-272.49219105403768</v>
      </c>
      <c r="T629">
        <f t="shared" si="993"/>
        <v>-0.27249219105403766</v>
      </c>
    </row>
    <row r="630" spans="1:20" x14ac:dyDescent="0.25">
      <c r="A630" s="5">
        <v>43963</v>
      </c>
      <c r="B630">
        <v>6.8489999999999995E-2</v>
      </c>
      <c r="C630">
        <v>8.1299999999999997E-2</v>
      </c>
      <c r="D630">
        <v>6.8190000000000001E-2</v>
      </c>
      <c r="E630">
        <v>7.7770000000000006E-2</v>
      </c>
      <c r="F630">
        <v>6218331.9000000004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0.46147978642257936</v>
      </c>
      <c r="Q630">
        <f t="shared" si="990"/>
        <v>2869634.4771167124</v>
      </c>
      <c r="R630">
        <f t="shared" si="991"/>
        <v>-32617530.436663486</v>
      </c>
      <c r="S630">
        <f t="shared" si="992"/>
        <v>-326.17530436663486</v>
      </c>
      <c r="T630">
        <f t="shared" si="993"/>
        <v>-0.32617530436663489</v>
      </c>
    </row>
    <row r="631" spans="1:20" x14ac:dyDescent="0.25">
      <c r="A631" s="5">
        <v>43962</v>
      </c>
      <c r="B631">
        <v>7.2999999999999995E-2</v>
      </c>
      <c r="C631">
        <v>7.3580000000000007E-2</v>
      </c>
      <c r="D631">
        <v>6.3909999999999995E-2</v>
      </c>
      <c r="E631">
        <v>6.8489999999999995E-2</v>
      </c>
      <c r="F631">
        <v>5040533.0999999996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-5.2740434332989639E-2</v>
      </c>
      <c r="Q631">
        <f t="shared" si="990"/>
        <v>-265839.9049638107</v>
      </c>
      <c r="R631">
        <f t="shared" si="991"/>
        <v>-35487164.913780198</v>
      </c>
      <c r="S631">
        <f t="shared" si="992"/>
        <v>-354.87164913780197</v>
      </c>
      <c r="T631">
        <f t="shared" si="993"/>
        <v>-0.35487164913780195</v>
      </c>
    </row>
    <row r="632" spans="1:20" x14ac:dyDescent="0.25">
      <c r="A632" s="5">
        <v>43961</v>
      </c>
      <c r="B632">
        <v>7.4090000000000003E-2</v>
      </c>
      <c r="C632">
        <v>7.5999999999999998E-2</v>
      </c>
      <c r="D632">
        <v>6.2579999999999997E-2</v>
      </c>
      <c r="E632">
        <v>7.2779999999999997E-2</v>
      </c>
      <c r="F632">
        <v>8206749.5999999996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0.52011922503725783</v>
      </c>
      <c r="Q632">
        <f t="shared" si="990"/>
        <v>4268488.2420268254</v>
      </c>
      <c r="R632">
        <f t="shared" si="991"/>
        <v>-35221325.008816384</v>
      </c>
      <c r="S632">
        <f t="shared" si="992"/>
        <v>-352.21325008816382</v>
      </c>
      <c r="T632">
        <f t="shared" si="993"/>
        <v>-0.35221325008816384</v>
      </c>
    </row>
    <row r="633" spans="1:20" x14ac:dyDescent="0.25">
      <c r="A633" s="5">
        <v>43960</v>
      </c>
      <c r="B633">
        <v>6.9559999999999997E-2</v>
      </c>
      <c r="C633">
        <v>8.2390000000000005E-2</v>
      </c>
      <c r="D633">
        <v>6.9269999999999998E-2</v>
      </c>
      <c r="E633">
        <v>7.4090000000000003E-2</v>
      </c>
      <c r="F633">
        <v>7216841.2000000002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-0.26524390243902402</v>
      </c>
      <c r="Q633">
        <f t="shared" si="990"/>
        <v>-1914223.123170729</v>
      </c>
      <c r="R633">
        <f t="shared" si="991"/>
        <v>-39489813.250843212</v>
      </c>
      <c r="S633">
        <f t="shared" si="992"/>
        <v>-394.89813250843213</v>
      </c>
      <c r="T633">
        <f t="shared" si="993"/>
        <v>-0.39489813250843214</v>
      </c>
    </row>
    <row r="634" spans="1:20" x14ac:dyDescent="0.25">
      <c r="A634" s="5">
        <v>43959</v>
      </c>
      <c r="B634">
        <v>6.7460000000000006E-2</v>
      </c>
      <c r="C634">
        <v>7.0970000000000005E-2</v>
      </c>
      <c r="D634">
        <v>6.5000000000000002E-2</v>
      </c>
      <c r="E634">
        <v>6.9559999999999997E-2</v>
      </c>
      <c r="F634">
        <v>2406449.2000000002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0.52763819095477127</v>
      </c>
      <c r="Q634">
        <f t="shared" si="990"/>
        <v>1269734.5025125567</v>
      </c>
      <c r="R634">
        <f t="shared" si="991"/>
        <v>-37575590.127672486</v>
      </c>
      <c r="S634">
        <f t="shared" si="992"/>
        <v>-375.75590127672484</v>
      </c>
      <c r="T634">
        <f t="shared" si="993"/>
        <v>-0.37575590127672487</v>
      </c>
    </row>
    <row r="635" spans="1:20" x14ac:dyDescent="0.25">
      <c r="A635" s="5">
        <v>43958</v>
      </c>
      <c r="B635">
        <v>6.7930000000000004E-2</v>
      </c>
      <c r="C635">
        <v>6.9489999999999996E-2</v>
      </c>
      <c r="D635">
        <v>6.2210000000000001E-2</v>
      </c>
      <c r="E635">
        <v>6.7049999999999998E-2</v>
      </c>
      <c r="F635">
        <v>4803391.5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0.32967032967032983</v>
      </c>
      <c r="Q635">
        <f t="shared" si="990"/>
        <v>1583535.6593406601</v>
      </c>
      <c r="R635">
        <f t="shared" si="991"/>
        <v>-38845324.630185045</v>
      </c>
      <c r="S635">
        <f t="shared" si="992"/>
        <v>-388.45324630185047</v>
      </c>
      <c r="T635">
        <f t="shared" si="993"/>
        <v>-0.38845324630185046</v>
      </c>
    </row>
    <row r="636" spans="1:20" x14ac:dyDescent="0.25">
      <c r="A636" s="5">
        <v>43957</v>
      </c>
      <c r="B636">
        <v>6.923E-2</v>
      </c>
      <c r="C636">
        <v>7.0970000000000005E-2</v>
      </c>
      <c r="D636">
        <v>6.7140000000000005E-2</v>
      </c>
      <c r="E636">
        <v>6.7930000000000004E-2</v>
      </c>
      <c r="F636">
        <v>2684021.7999999998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-0.58746736292428248</v>
      </c>
      <c r="Q636">
        <f t="shared" si="990"/>
        <v>-1576775.2088772857</v>
      </c>
      <c r="R636">
        <f t="shared" si="991"/>
        <v>-40428860.289525703</v>
      </c>
      <c r="S636">
        <f t="shared" si="992"/>
        <v>-404.28860289525704</v>
      </c>
      <c r="T636">
        <f t="shared" si="993"/>
        <v>-0.40428860289525703</v>
      </c>
    </row>
    <row r="637" spans="1:20" x14ac:dyDescent="0.25">
      <c r="A637" s="5">
        <v>43956</v>
      </c>
      <c r="B637">
        <v>6.3670000000000004E-2</v>
      </c>
      <c r="C637">
        <v>7.0730000000000001E-2</v>
      </c>
      <c r="D637">
        <v>6.3240000000000005E-2</v>
      </c>
      <c r="E637">
        <v>6.9379999999999997E-2</v>
      </c>
      <c r="F637">
        <v>2316989.7000000002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0.63951935914552616</v>
      </c>
      <c r="Q637">
        <f t="shared" si="990"/>
        <v>1481759.768090785</v>
      </c>
      <c r="R637">
        <f t="shared" si="991"/>
        <v>-38852085.080648415</v>
      </c>
      <c r="S637">
        <f t="shared" si="992"/>
        <v>-388.52085080648413</v>
      </c>
      <c r="T637">
        <f t="shared" si="993"/>
        <v>-0.38852085080648413</v>
      </c>
    </row>
    <row r="638" spans="1:20" x14ac:dyDescent="0.25">
      <c r="A638" s="5">
        <v>43955</v>
      </c>
      <c r="B638">
        <v>6.454E-2</v>
      </c>
      <c r="C638">
        <v>6.5479999999999997E-2</v>
      </c>
      <c r="D638">
        <v>5.9200000000000003E-2</v>
      </c>
      <c r="E638">
        <v>6.3670000000000004E-2</v>
      </c>
      <c r="F638">
        <v>1822762.8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0.42356687898089368</v>
      </c>
      <c r="Q638">
        <f t="shared" si="990"/>
        <v>772061.9503184749</v>
      </c>
      <c r="R638">
        <f t="shared" si="991"/>
        <v>-40333844.848739199</v>
      </c>
      <c r="S638">
        <f t="shared" si="992"/>
        <v>-403.33844848739199</v>
      </c>
      <c r="T638">
        <f t="shared" si="993"/>
        <v>-0.40333844848739198</v>
      </c>
    </row>
    <row r="639" spans="1:20" x14ac:dyDescent="0.25">
      <c r="A639" s="5">
        <v>43954</v>
      </c>
      <c r="B639">
        <v>6.7199999999999996E-2</v>
      </c>
      <c r="C639">
        <v>6.8029999999999993E-2</v>
      </c>
      <c r="D639">
        <v>6.2520000000000006E-2</v>
      </c>
      <c r="E639">
        <v>6.454E-2</v>
      </c>
      <c r="F639">
        <v>2169700.9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-0.26678765880217831</v>
      </c>
      <c r="Q639">
        <f t="shared" si="990"/>
        <v>-578849.42341197922</v>
      </c>
      <c r="R639">
        <f t="shared" si="991"/>
        <v>-41105906.799057677</v>
      </c>
      <c r="S639">
        <f t="shared" si="992"/>
        <v>-411.05906799057675</v>
      </c>
      <c r="T639">
        <f t="shared" si="993"/>
        <v>-0.41105906799057673</v>
      </c>
    </row>
    <row r="640" spans="1:20" x14ac:dyDescent="0.25">
      <c r="A640" s="5">
        <v>43953</v>
      </c>
      <c r="B640">
        <v>6.7320000000000005E-2</v>
      </c>
      <c r="C640">
        <v>6.8320000000000006E-2</v>
      </c>
      <c r="D640">
        <v>6.5879999999999994E-2</v>
      </c>
      <c r="E640">
        <v>6.7059999999999995E-2</v>
      </c>
      <c r="F640">
        <v>1378926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-3.2786885245905832E-2</v>
      </c>
      <c r="Q640">
        <f t="shared" si="990"/>
        <v>-45210.688524595942</v>
      </c>
      <c r="R640">
        <f t="shared" si="991"/>
        <v>-40527057.375645697</v>
      </c>
      <c r="S640">
        <f t="shared" si="992"/>
        <v>-405.270573756457</v>
      </c>
      <c r="T640">
        <f t="shared" si="993"/>
        <v>-0.40527057375645698</v>
      </c>
    </row>
    <row r="641" spans="1:20" x14ac:dyDescent="0.25">
      <c r="A641" s="5">
        <v>43952</v>
      </c>
      <c r="B641">
        <v>6.8049999999999999E-2</v>
      </c>
      <c r="C641">
        <v>6.9989999999999997E-2</v>
      </c>
      <c r="D641">
        <v>6.6659999999999997E-2</v>
      </c>
      <c r="E641">
        <v>6.7510000000000001E-2</v>
      </c>
      <c r="F641">
        <v>1409917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-0.48948948948948734</v>
      </c>
      <c r="Q641">
        <f t="shared" si="990"/>
        <v>-690139.55255254952</v>
      </c>
      <c r="R641">
        <f t="shared" si="991"/>
        <v>-40481846.687121101</v>
      </c>
      <c r="S641">
        <f t="shared" si="992"/>
        <v>-404.818466871211</v>
      </c>
      <c r="T641">
        <f t="shared" si="993"/>
        <v>-0.40481846687121098</v>
      </c>
    </row>
    <row r="642" spans="1:20" x14ac:dyDescent="0.25">
      <c r="A642" s="5">
        <v>43951</v>
      </c>
      <c r="B642">
        <v>7.0599999999999996E-2</v>
      </c>
      <c r="C642">
        <v>7.2389999999999996E-2</v>
      </c>
      <c r="D642">
        <v>6.4009999999999997E-2</v>
      </c>
      <c r="E642">
        <v>6.7280000000000006E-2</v>
      </c>
      <c r="F642">
        <v>3504471.7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-0.21957040572792133</v>
      </c>
      <c r="Q642">
        <f t="shared" si="990"/>
        <v>-769478.27303101821</v>
      </c>
      <c r="R642">
        <f t="shared" si="991"/>
        <v>-39791707.13456855</v>
      </c>
      <c r="S642">
        <f t="shared" si="992"/>
        <v>-397.91707134568549</v>
      </c>
      <c r="T642">
        <f t="shared" si="993"/>
        <v>-0.39791707134568549</v>
      </c>
    </row>
    <row r="643" spans="1:20" x14ac:dyDescent="0.25">
      <c r="A643" s="5">
        <v>43950</v>
      </c>
      <c r="B643">
        <v>6.5909999999999996E-2</v>
      </c>
      <c r="C643">
        <v>7.4560000000000001E-2</v>
      </c>
      <c r="D643">
        <v>6.5490000000000007E-2</v>
      </c>
      <c r="E643">
        <v>7.0730000000000001E-2</v>
      </c>
      <c r="F643">
        <v>3186299.8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0.15545755237045153</v>
      </c>
      <c r="Q643">
        <f t="shared" si="990"/>
        <v>495334.36802645918</v>
      </c>
      <c r="R643">
        <f t="shared" si="991"/>
        <v>-39022228.861537531</v>
      </c>
      <c r="S643">
        <f t="shared" si="992"/>
        <v>-390.22228861537531</v>
      </c>
      <c r="T643">
        <f t="shared" si="993"/>
        <v>-0.39022228861537528</v>
      </c>
    </row>
    <row r="644" spans="1:20" x14ac:dyDescent="0.25">
      <c r="A644" s="5">
        <v>43949</v>
      </c>
      <c r="B644">
        <v>6.5949999999999995E-2</v>
      </c>
      <c r="C644">
        <v>6.8599999999999994E-2</v>
      </c>
      <c r="D644">
        <v>6.3950000000000007E-2</v>
      </c>
      <c r="E644">
        <v>6.5890000000000004E-2</v>
      </c>
      <c r="F644">
        <v>1840892.4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-0.16559139784946128</v>
      </c>
      <c r="Q644">
        <f t="shared" si="990"/>
        <v>-304835.94580644963</v>
      </c>
      <c r="R644">
        <f t="shared" si="991"/>
        <v>-39517563.229563989</v>
      </c>
      <c r="S644">
        <f t="shared" si="992"/>
        <v>-395.1756322956399</v>
      </c>
      <c r="T644">
        <f t="shared" si="993"/>
        <v>-0.3951756322956399</v>
      </c>
    </row>
    <row r="645" spans="1:20" x14ac:dyDescent="0.25">
      <c r="A645" s="5">
        <v>43948</v>
      </c>
      <c r="B645">
        <v>6.4210000000000003E-2</v>
      </c>
      <c r="C645">
        <v>6.6360000000000002E-2</v>
      </c>
      <c r="D645">
        <v>6.225E-2</v>
      </c>
      <c r="E645">
        <v>6.6290000000000002E-2</v>
      </c>
      <c r="F645">
        <v>1793135.3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0.96593673965936711</v>
      </c>
      <c r="Q645">
        <f t="shared" si="990"/>
        <v>1732055.2654501211</v>
      </c>
      <c r="R645">
        <f t="shared" si="991"/>
        <v>-39212727.283757538</v>
      </c>
      <c r="S645">
        <f t="shared" si="992"/>
        <v>-392.12727283757539</v>
      </c>
      <c r="T645">
        <f t="shared" si="993"/>
        <v>-0.39212727283757537</v>
      </c>
    </row>
    <row r="646" spans="1:20" x14ac:dyDescent="0.25">
      <c r="A646" s="5">
        <v>43947</v>
      </c>
      <c r="B646">
        <v>6.3969999999999999E-2</v>
      </c>
      <c r="C646">
        <v>6.4689999999999998E-2</v>
      </c>
      <c r="D646">
        <v>6.2E-2</v>
      </c>
      <c r="E646">
        <v>6.4030000000000004E-2</v>
      </c>
      <c r="F646">
        <v>1870840.2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0.50929368029740196</v>
      </c>
      <c r="Q646">
        <f t="shared" ref="Q646:Q709" si="995">F646*P646</f>
        <v>952807.09070632758</v>
      </c>
      <c r="R646">
        <f t="shared" ref="R646:R709" si="996">R647+Q646</f>
        <v>-40944782.549207658</v>
      </c>
      <c r="S646">
        <f t="shared" ref="S646:S709" si="997">R646/100000</f>
        <v>-409.44782549207656</v>
      </c>
      <c r="T646">
        <f t="shared" ref="T646:T709" si="998">S646/1000</f>
        <v>-0.40944782549207653</v>
      </c>
    </row>
    <row r="647" spans="1:20" x14ac:dyDescent="0.25">
      <c r="A647" s="5">
        <v>43946</v>
      </c>
      <c r="B647">
        <v>6.4589999999999995E-2</v>
      </c>
      <c r="C647">
        <v>6.5989999999999993E-2</v>
      </c>
      <c r="D647">
        <v>6.3149999999999998E-2</v>
      </c>
      <c r="E647">
        <v>6.3969999999999999E-2</v>
      </c>
      <c r="F647">
        <v>1930267.9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-0.42253521126760379</v>
      </c>
      <c r="Q647">
        <f t="shared" si="995"/>
        <v>-815606.15492957388</v>
      </c>
      <c r="R647">
        <f t="shared" si="996"/>
        <v>-41897589.639913984</v>
      </c>
      <c r="S647">
        <f t="shared" si="997"/>
        <v>-418.97589639913986</v>
      </c>
      <c r="T647">
        <f t="shared" si="998"/>
        <v>-0.41897589639913985</v>
      </c>
    </row>
    <row r="648" spans="1:20" x14ac:dyDescent="0.25">
      <c r="A648" s="5">
        <v>43945</v>
      </c>
      <c r="B648">
        <v>6.1539999999999997E-2</v>
      </c>
      <c r="C648">
        <v>6.4920000000000005E-2</v>
      </c>
      <c r="D648">
        <v>6.0400000000000002E-2</v>
      </c>
      <c r="E648">
        <v>6.4589999999999995E-2</v>
      </c>
      <c r="F648">
        <v>2542054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0.85398230088495108</v>
      </c>
      <c r="Q648">
        <f t="shared" si="995"/>
        <v>2170869.1238937937</v>
      </c>
      <c r="R648">
        <f t="shared" si="996"/>
        <v>-41081983.484984413</v>
      </c>
      <c r="S648">
        <f t="shared" si="997"/>
        <v>-410.81983484984414</v>
      </c>
      <c r="T648">
        <f t="shared" si="998"/>
        <v>-0.41081983484984413</v>
      </c>
    </row>
    <row r="649" spans="1:20" x14ac:dyDescent="0.25">
      <c r="A649" s="5">
        <v>43944</v>
      </c>
      <c r="B649">
        <v>6.0299999999999999E-2</v>
      </c>
      <c r="C649">
        <v>6.3589999999999994E-2</v>
      </c>
      <c r="D649">
        <v>5.7599999999999998E-2</v>
      </c>
      <c r="E649">
        <v>6.1400000000000003E-2</v>
      </c>
      <c r="F649">
        <v>2346431.9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0.2687813021702864</v>
      </c>
      <c r="Q649">
        <f t="shared" si="995"/>
        <v>630677.02153589926</v>
      </c>
      <c r="R649">
        <f t="shared" si="996"/>
        <v>-43252852.608878203</v>
      </c>
      <c r="S649">
        <f t="shared" si="997"/>
        <v>-432.52852608878203</v>
      </c>
      <c r="T649">
        <f t="shared" si="998"/>
        <v>-0.43252852608878201</v>
      </c>
    </row>
    <row r="650" spans="1:20" x14ac:dyDescent="0.25">
      <c r="A650" s="5">
        <v>43943</v>
      </c>
      <c r="B650">
        <v>5.5140000000000002E-2</v>
      </c>
      <c r="C650">
        <v>6.1969999999999997E-2</v>
      </c>
      <c r="D650">
        <v>5.4789999999999998E-2</v>
      </c>
      <c r="E650">
        <v>5.9979999999999999E-2</v>
      </c>
      <c r="F650">
        <v>1938843.1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0.44568245125348216</v>
      </c>
      <c r="Q650">
        <f t="shared" si="995"/>
        <v>864108.34540390025</v>
      </c>
      <c r="R650">
        <f t="shared" si="996"/>
        <v>-43883529.630414099</v>
      </c>
      <c r="S650">
        <f t="shared" si="997"/>
        <v>-438.83529630414097</v>
      </c>
      <c r="T650">
        <f t="shared" si="998"/>
        <v>-0.43883529630414098</v>
      </c>
    </row>
    <row r="651" spans="1:20" x14ac:dyDescent="0.25">
      <c r="A651" s="5">
        <v>43942</v>
      </c>
      <c r="B651">
        <v>5.5980000000000002E-2</v>
      </c>
      <c r="C651">
        <v>5.6829999999999999E-2</v>
      </c>
      <c r="D651">
        <v>5.3999999999999999E-2</v>
      </c>
      <c r="E651">
        <v>5.4890000000000001E-2</v>
      </c>
      <c r="F651">
        <v>1986747.5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-0.37102473498233063</v>
      </c>
      <c r="Q651">
        <f t="shared" si="995"/>
        <v>-737132.46466430789</v>
      </c>
      <c r="R651">
        <f t="shared" si="996"/>
        <v>-44747637.975818001</v>
      </c>
      <c r="S651">
        <f t="shared" si="997"/>
        <v>-447.47637975818003</v>
      </c>
      <c r="T651">
        <f t="shared" si="998"/>
        <v>-0.44747637975818005</v>
      </c>
    </row>
    <row r="652" spans="1:20" x14ac:dyDescent="0.25">
      <c r="A652" s="5">
        <v>43941</v>
      </c>
      <c r="B652">
        <v>6.0339999999999998E-2</v>
      </c>
      <c r="C652">
        <v>6.2480000000000001E-2</v>
      </c>
      <c r="D652">
        <v>5.4629999999999998E-2</v>
      </c>
      <c r="E652">
        <v>5.6070000000000002E-2</v>
      </c>
      <c r="F652">
        <v>3160687.3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-0.63312101910827945</v>
      </c>
      <c r="Q652">
        <f t="shared" si="995"/>
        <v>-2001097.5644585961</v>
      </c>
      <c r="R652">
        <f t="shared" si="996"/>
        <v>-44010505.511153691</v>
      </c>
      <c r="S652">
        <f t="shared" si="997"/>
        <v>-440.1050551115369</v>
      </c>
      <c r="T652">
        <f t="shared" si="998"/>
        <v>-0.44010505511153691</v>
      </c>
    </row>
    <row r="653" spans="1:20" x14ac:dyDescent="0.25">
      <c r="A653" s="5">
        <v>43940</v>
      </c>
      <c r="B653">
        <v>6.2140000000000001E-2</v>
      </c>
      <c r="C653">
        <v>6.3990000000000005E-2</v>
      </c>
      <c r="D653">
        <v>5.7279999999999998E-2</v>
      </c>
      <c r="E653">
        <v>6.0499999999999998E-2</v>
      </c>
      <c r="F653">
        <v>2911114.4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-4.0238450074516548E-2</v>
      </c>
      <c r="Q653">
        <f t="shared" si="995"/>
        <v>-117138.73144560619</v>
      </c>
      <c r="R653">
        <f t="shared" si="996"/>
        <v>-42009407.946695097</v>
      </c>
      <c r="S653">
        <f t="shared" si="997"/>
        <v>-420.09407946695097</v>
      </c>
      <c r="T653">
        <f t="shared" si="998"/>
        <v>-0.42009407946695099</v>
      </c>
    </row>
    <row r="654" spans="1:20" x14ac:dyDescent="0.25">
      <c r="A654" s="5">
        <v>43939</v>
      </c>
      <c r="B654">
        <v>5.8779999999999999E-2</v>
      </c>
      <c r="C654">
        <v>6.4350000000000004E-2</v>
      </c>
      <c r="D654">
        <v>5.8700000000000002E-2</v>
      </c>
      <c r="E654">
        <v>6.2010000000000003E-2</v>
      </c>
      <c r="F654">
        <v>3278898.7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0.17168141592920322</v>
      </c>
      <c r="Q654">
        <f t="shared" si="995"/>
        <v>562925.97150442377</v>
      </c>
      <c r="R654">
        <f t="shared" si="996"/>
        <v>-41892269.215249494</v>
      </c>
      <c r="S654">
        <f t="shared" si="997"/>
        <v>-418.92269215249496</v>
      </c>
      <c r="T654">
        <f t="shared" si="998"/>
        <v>-0.41892269215249495</v>
      </c>
    </row>
    <row r="655" spans="1:20" x14ac:dyDescent="0.25">
      <c r="A655" s="5">
        <v>43938</v>
      </c>
      <c r="B655">
        <v>5.5E-2</v>
      </c>
      <c r="C655">
        <v>6.0490000000000002E-2</v>
      </c>
      <c r="D655">
        <v>5.4190000000000002E-2</v>
      </c>
      <c r="E655">
        <v>5.8970000000000002E-2</v>
      </c>
      <c r="F655">
        <v>3547667.2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0.51746031746031729</v>
      </c>
      <c r="Q655">
        <f t="shared" si="995"/>
        <v>1835776.995555555</v>
      </c>
      <c r="R655">
        <f t="shared" si="996"/>
        <v>-42455195.186753921</v>
      </c>
      <c r="S655">
        <f t="shared" si="997"/>
        <v>-424.55195186753923</v>
      </c>
      <c r="T655">
        <f t="shared" si="998"/>
        <v>-0.42455195186753925</v>
      </c>
    </row>
    <row r="656" spans="1:20" x14ac:dyDescent="0.25">
      <c r="A656" s="5">
        <v>43937</v>
      </c>
      <c r="B656">
        <v>4.9239999999999999E-2</v>
      </c>
      <c r="C656">
        <v>5.6030000000000003E-2</v>
      </c>
      <c r="D656">
        <v>4.8460000000000003E-2</v>
      </c>
      <c r="E656">
        <v>5.5E-2</v>
      </c>
      <c r="F656">
        <v>4368424.8</v>
      </c>
      <c r="G656">
        <v>0</v>
      </c>
      <c r="L656" t="s">
        <v>8</v>
      </c>
      <c r="M656" t="s">
        <v>7</v>
      </c>
      <c r="N656" t="s">
        <v>8</v>
      </c>
      <c r="P656">
        <f t="shared" si="994"/>
        <v>0.72787318361955</v>
      </c>
      <c r="Q656">
        <f t="shared" si="995"/>
        <v>3179659.2665785961</v>
      </c>
      <c r="R656">
        <f t="shared" si="996"/>
        <v>-44290972.182309479</v>
      </c>
      <c r="S656">
        <f t="shared" si="997"/>
        <v>-442.9097218230948</v>
      </c>
      <c r="T656">
        <f t="shared" si="998"/>
        <v>-0.44290972182309479</v>
      </c>
    </row>
    <row r="657" spans="1:20" x14ac:dyDescent="0.25">
      <c r="A657" s="5">
        <v>43936</v>
      </c>
      <c r="B657">
        <v>5.2109999999999997E-2</v>
      </c>
      <c r="C657">
        <v>5.2220000000000003E-2</v>
      </c>
      <c r="D657">
        <v>4.913E-2</v>
      </c>
      <c r="E657">
        <v>4.9239999999999999E-2</v>
      </c>
      <c r="F657">
        <v>2119400.6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-0.92880258899676449</v>
      </c>
      <c r="Q657">
        <f t="shared" si="995"/>
        <v>-1968504.7644012962</v>
      </c>
      <c r="R657">
        <f t="shared" si="996"/>
        <v>-47470631.448888078</v>
      </c>
      <c r="S657">
        <f t="shared" si="997"/>
        <v>-474.70631448888076</v>
      </c>
      <c r="T657">
        <f t="shared" si="998"/>
        <v>-0.47470631448888079</v>
      </c>
    </row>
    <row r="658" spans="1:20" x14ac:dyDescent="0.25">
      <c r="A658" s="5">
        <v>43935</v>
      </c>
      <c r="B658">
        <v>5.1270000000000003E-2</v>
      </c>
      <c r="C658">
        <v>5.3999999999999999E-2</v>
      </c>
      <c r="D658">
        <v>5.0650000000000001E-2</v>
      </c>
      <c r="E658">
        <v>5.2109999999999997E-2</v>
      </c>
      <c r="F658">
        <v>1674205.4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-0.12835820895522596</v>
      </c>
      <c r="Q658">
        <f t="shared" si="995"/>
        <v>-214898.00656716764</v>
      </c>
      <c r="R658">
        <f t="shared" si="996"/>
        <v>-45502126.684486784</v>
      </c>
      <c r="S658">
        <f t="shared" si="997"/>
        <v>-455.02126684486785</v>
      </c>
      <c r="T658">
        <f t="shared" si="998"/>
        <v>-0.45502126684486788</v>
      </c>
    </row>
    <row r="659" spans="1:20" x14ac:dyDescent="0.25">
      <c r="A659" s="5">
        <v>43934</v>
      </c>
      <c r="B659">
        <v>5.2139999999999999E-2</v>
      </c>
      <c r="C659">
        <v>5.2139999999999999E-2</v>
      </c>
      <c r="D659">
        <v>4.8910000000000002E-2</v>
      </c>
      <c r="E659">
        <v>5.11E-2</v>
      </c>
      <c r="F659">
        <v>1785196.3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0.35603715170278621</v>
      </c>
      <c r="Q659">
        <f t="shared" si="995"/>
        <v>635596.20588235266</v>
      </c>
      <c r="R659">
        <f t="shared" si="996"/>
        <v>-45287228.677919619</v>
      </c>
      <c r="S659">
        <f t="shared" si="997"/>
        <v>-452.8722867791962</v>
      </c>
      <c r="T659">
        <f t="shared" si="998"/>
        <v>-0.45287228677919622</v>
      </c>
    </row>
    <row r="660" spans="1:20" x14ac:dyDescent="0.25">
      <c r="A660" s="5">
        <v>43933</v>
      </c>
      <c r="B660">
        <v>4.9860000000000002E-2</v>
      </c>
      <c r="C660">
        <v>5.5129999999999998E-2</v>
      </c>
      <c r="D660">
        <v>4.9079999999999999E-2</v>
      </c>
      <c r="E660">
        <v>5.2780000000000001E-2</v>
      </c>
      <c r="F660">
        <v>1450279.5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0.22314049586776927</v>
      </c>
      <c r="Q660">
        <f t="shared" si="995"/>
        <v>323616.08677686047</v>
      </c>
      <c r="R660">
        <f t="shared" si="996"/>
        <v>-45922824.883801974</v>
      </c>
      <c r="S660">
        <f t="shared" si="997"/>
        <v>-459.22824883801974</v>
      </c>
      <c r="T660">
        <f t="shared" si="998"/>
        <v>-0.45922824883801971</v>
      </c>
    </row>
    <row r="661" spans="1:20" x14ac:dyDescent="0.25">
      <c r="A661" s="5">
        <v>43932</v>
      </c>
      <c r="B661">
        <v>5.0119999999999998E-2</v>
      </c>
      <c r="C661">
        <v>5.1299999999999998E-2</v>
      </c>
      <c r="D661">
        <v>4.7989999999999998E-2</v>
      </c>
      <c r="E661">
        <v>4.9860000000000002E-2</v>
      </c>
      <c r="F661">
        <v>1538386.5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0.12990936555891441</v>
      </c>
      <c r="Q661">
        <f t="shared" si="995"/>
        <v>199850.81419939888</v>
      </c>
      <c r="R661">
        <f t="shared" si="996"/>
        <v>-46246440.970578834</v>
      </c>
      <c r="S661">
        <f t="shared" si="997"/>
        <v>-462.46440970578834</v>
      </c>
      <c r="T661">
        <f t="shared" si="998"/>
        <v>-0.46246440970578834</v>
      </c>
    </row>
    <row r="662" spans="1:20" x14ac:dyDescent="0.25">
      <c r="A662" s="5">
        <v>43931</v>
      </c>
      <c r="B662">
        <v>5.4769999999999999E-2</v>
      </c>
      <c r="C662">
        <v>5.5019999999999999E-2</v>
      </c>
      <c r="D662">
        <v>4.7809999999999998E-2</v>
      </c>
      <c r="E662">
        <v>4.9959999999999997E-2</v>
      </c>
      <c r="F662">
        <v>2479668.6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-0.40360610263522917</v>
      </c>
      <c r="Q662">
        <f t="shared" si="995"/>
        <v>-1000809.379472955</v>
      </c>
      <c r="R662">
        <f t="shared" si="996"/>
        <v>-46446291.78477823</v>
      </c>
      <c r="S662">
        <f t="shared" si="997"/>
        <v>-464.46291784778231</v>
      </c>
      <c r="T662">
        <f t="shared" si="998"/>
        <v>-0.46446291784778232</v>
      </c>
    </row>
    <row r="663" spans="1:20" x14ac:dyDescent="0.25">
      <c r="A663" s="5">
        <v>43930</v>
      </c>
      <c r="B663">
        <v>5.3260000000000002E-2</v>
      </c>
      <c r="C663">
        <v>5.6399999999999999E-2</v>
      </c>
      <c r="D663">
        <v>5.0560000000000001E-2</v>
      </c>
      <c r="E663">
        <v>5.4850000000000003E-2</v>
      </c>
      <c r="F663">
        <v>3591081.4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0.46917808219178209</v>
      </c>
      <c r="Q663">
        <f t="shared" si="995"/>
        <v>1684856.6842465799</v>
      </c>
      <c r="R663">
        <f t="shared" si="996"/>
        <v>-45445482.405305274</v>
      </c>
      <c r="S663">
        <f t="shared" si="997"/>
        <v>-454.45482405305273</v>
      </c>
      <c r="T663">
        <f t="shared" si="998"/>
        <v>-0.45445482405305271</v>
      </c>
    </row>
    <row r="664" spans="1:20" x14ac:dyDescent="0.25">
      <c r="A664" s="5">
        <v>43929</v>
      </c>
      <c r="B664">
        <v>5.0200000000000002E-2</v>
      </c>
      <c r="C664">
        <v>5.3769999999999998E-2</v>
      </c>
      <c r="D664">
        <v>4.9970000000000001E-2</v>
      </c>
      <c r="E664">
        <v>5.3019999999999998E-2</v>
      </c>
      <c r="F664">
        <v>2798680.5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0.60526315789473628</v>
      </c>
      <c r="Q664">
        <f t="shared" si="995"/>
        <v>1693938.1973684195</v>
      </c>
      <c r="R664">
        <f t="shared" si="996"/>
        <v>-47130339.089551851</v>
      </c>
      <c r="S664">
        <f t="shared" si="997"/>
        <v>-471.30339089551853</v>
      </c>
      <c r="T664">
        <f t="shared" si="998"/>
        <v>-0.47130339089551854</v>
      </c>
    </row>
    <row r="665" spans="1:20" x14ac:dyDescent="0.25">
      <c r="A665" s="5">
        <v>43928</v>
      </c>
      <c r="B665">
        <v>5.1619999999999999E-2</v>
      </c>
      <c r="C665">
        <v>5.2979999999999999E-2</v>
      </c>
      <c r="D665">
        <v>4.904E-2</v>
      </c>
      <c r="E665">
        <v>5.0680000000000003E-2</v>
      </c>
      <c r="F665">
        <v>3907259.3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-0.16751269035532845</v>
      </c>
      <c r="Q665">
        <f t="shared" si="995"/>
        <v>-654515.5172588774</v>
      </c>
      <c r="R665">
        <f t="shared" si="996"/>
        <v>-48824277.286920272</v>
      </c>
      <c r="S665">
        <f t="shared" si="997"/>
        <v>-488.24277286920272</v>
      </c>
      <c r="T665">
        <f t="shared" si="998"/>
        <v>-0.4882427728692027</v>
      </c>
    </row>
    <row r="666" spans="1:20" x14ac:dyDescent="0.25">
      <c r="A666" s="5">
        <v>43927</v>
      </c>
      <c r="B666">
        <v>4.9500000000000002E-2</v>
      </c>
      <c r="C666">
        <v>5.2150000000000002E-2</v>
      </c>
      <c r="D666">
        <v>4.8820000000000002E-2</v>
      </c>
      <c r="E666">
        <v>5.1499999999999997E-2</v>
      </c>
      <c r="F666">
        <v>3111451.1</v>
      </c>
      <c r="G666">
        <v>0</v>
      </c>
      <c r="L666" t="s">
        <v>7</v>
      </c>
      <c r="M666" t="s">
        <v>8</v>
      </c>
      <c r="N666" t="s">
        <v>8</v>
      </c>
      <c r="P666">
        <f t="shared" si="994"/>
        <v>0.60960960960960675</v>
      </c>
      <c r="Q666">
        <f t="shared" si="995"/>
        <v>1896770.4903903815</v>
      </c>
      <c r="R666">
        <f t="shared" si="996"/>
        <v>-48169761.769661397</v>
      </c>
      <c r="S666">
        <f t="shared" si="997"/>
        <v>-481.69761769661397</v>
      </c>
      <c r="T666">
        <f t="shared" si="998"/>
        <v>-0.48169761769661396</v>
      </c>
    </row>
    <row r="667" spans="1:20" x14ac:dyDescent="0.25">
      <c r="A667" s="5">
        <v>43926</v>
      </c>
      <c r="B667">
        <v>5.1650000000000001E-2</v>
      </c>
      <c r="C667">
        <v>5.1720000000000002E-2</v>
      </c>
      <c r="D667">
        <v>4.9099999999999998E-2</v>
      </c>
      <c r="E667">
        <v>4.9189999999999998E-2</v>
      </c>
      <c r="F667">
        <v>1530644.2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-0.93129770992366434</v>
      </c>
      <c r="Q667">
        <f t="shared" si="995"/>
        <v>-1425485.4381679392</v>
      </c>
      <c r="R667">
        <f t="shared" si="996"/>
        <v>-50066532.260051779</v>
      </c>
      <c r="S667">
        <f t="shared" si="997"/>
        <v>-500.66532260051781</v>
      </c>
      <c r="T667">
        <f t="shared" si="998"/>
        <v>-0.50066532260051777</v>
      </c>
    </row>
    <row r="668" spans="1:20" x14ac:dyDescent="0.25">
      <c r="A668" s="5">
        <v>43925</v>
      </c>
      <c r="B668">
        <v>5.015E-2</v>
      </c>
      <c r="C668">
        <v>5.2979999999999999E-2</v>
      </c>
      <c r="D668">
        <v>5.0090000000000003E-2</v>
      </c>
      <c r="E668">
        <v>5.1709999999999999E-2</v>
      </c>
      <c r="F668">
        <v>2752742.4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0.12110726643598496</v>
      </c>
      <c r="Q668">
        <f t="shared" si="995"/>
        <v>333377.10726643266</v>
      </c>
      <c r="R668">
        <f t="shared" si="996"/>
        <v>-48641046.821883842</v>
      </c>
      <c r="S668">
        <f t="shared" si="997"/>
        <v>-486.41046821883845</v>
      </c>
      <c r="T668">
        <f t="shared" si="998"/>
        <v>-0.48641046821883843</v>
      </c>
    </row>
    <row r="669" spans="1:20" x14ac:dyDescent="0.25">
      <c r="A669" s="5">
        <v>43924</v>
      </c>
      <c r="B669">
        <v>4.8550000000000003E-2</v>
      </c>
      <c r="C669">
        <v>5.3949999999999998E-2</v>
      </c>
      <c r="D669">
        <v>4.8050000000000002E-2</v>
      </c>
      <c r="E669">
        <v>5.015E-2</v>
      </c>
      <c r="F669">
        <v>3983654.7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-0.28813559322033921</v>
      </c>
      <c r="Q669">
        <f t="shared" si="995"/>
        <v>-1147832.7101694925</v>
      </c>
      <c r="R669">
        <f t="shared" si="996"/>
        <v>-48974423.929150276</v>
      </c>
      <c r="S669">
        <f t="shared" si="997"/>
        <v>-489.74423929150277</v>
      </c>
      <c r="T669">
        <f t="shared" si="998"/>
        <v>-0.48974423929150279</v>
      </c>
    </row>
    <row r="670" spans="1:20" x14ac:dyDescent="0.25">
      <c r="A670" s="5">
        <v>43923</v>
      </c>
      <c r="B670">
        <v>4.6690000000000002E-2</v>
      </c>
      <c r="C670">
        <v>5.0999999999999997E-2</v>
      </c>
      <c r="D670">
        <v>4.607E-2</v>
      </c>
      <c r="E670">
        <v>4.8619999999999997E-2</v>
      </c>
      <c r="F670">
        <v>2149980.2999999998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3.4482758620688975E-2</v>
      </c>
      <c r="Q670">
        <f t="shared" si="995"/>
        <v>74137.251724136455</v>
      </c>
      <c r="R670">
        <f t="shared" si="996"/>
        <v>-47826591.218980782</v>
      </c>
      <c r="S670">
        <f t="shared" si="997"/>
        <v>-478.26591218980781</v>
      </c>
      <c r="T670">
        <f t="shared" si="998"/>
        <v>-0.4782659121898078</v>
      </c>
    </row>
    <row r="671" spans="1:20" x14ac:dyDescent="0.25">
      <c r="A671" s="5">
        <v>43922</v>
      </c>
      <c r="B671">
        <v>4.6550000000000001E-2</v>
      </c>
      <c r="C671">
        <v>4.743E-2</v>
      </c>
      <c r="D671">
        <v>4.3400000000000001E-2</v>
      </c>
      <c r="E671">
        <v>4.6780000000000002E-2</v>
      </c>
      <c r="F671">
        <v>2659057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0.67741935483871063</v>
      </c>
      <c r="Q671">
        <f t="shared" si="995"/>
        <v>1801296.6774193575</v>
      </c>
      <c r="R671">
        <f t="shared" si="996"/>
        <v>-47900728.470704921</v>
      </c>
      <c r="S671">
        <f t="shared" si="997"/>
        <v>-479.00728470704922</v>
      </c>
      <c r="T671">
        <f t="shared" si="998"/>
        <v>-0.47900728470704923</v>
      </c>
    </row>
    <row r="672" spans="1:20" x14ac:dyDescent="0.25">
      <c r="A672" s="5">
        <v>43921</v>
      </c>
      <c r="B672">
        <v>4.3659999999999997E-2</v>
      </c>
      <c r="C672">
        <v>4.7480000000000001E-2</v>
      </c>
      <c r="D672">
        <v>4.3499999999999997E-2</v>
      </c>
      <c r="E672">
        <v>4.6800000000000001E-2</v>
      </c>
      <c r="F672">
        <v>3213830.2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0.65829145728643246</v>
      </c>
      <c r="Q672">
        <f t="shared" si="995"/>
        <v>2115636.965829147</v>
      </c>
      <c r="R672">
        <f t="shared" si="996"/>
        <v>-49702025.148124278</v>
      </c>
      <c r="S672">
        <f t="shared" si="997"/>
        <v>-497.02025148124278</v>
      </c>
      <c r="T672">
        <f t="shared" si="998"/>
        <v>-0.49702025148124279</v>
      </c>
    </row>
    <row r="673" spans="1:20" x14ac:dyDescent="0.25">
      <c r="A673" s="5">
        <v>43920</v>
      </c>
      <c r="B673">
        <v>3.8629999999999998E-2</v>
      </c>
      <c r="C673">
        <v>4.4650000000000002E-2</v>
      </c>
      <c r="D673">
        <v>3.8219999999999997E-2</v>
      </c>
      <c r="E673">
        <v>4.3659999999999997E-2</v>
      </c>
      <c r="F673">
        <v>2804263.1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0.69206842923794587</v>
      </c>
      <c r="Q673">
        <f t="shared" si="995"/>
        <v>1940741.9587869328</v>
      </c>
      <c r="R673">
        <f t="shared" si="996"/>
        <v>-51817662.113953426</v>
      </c>
      <c r="S673">
        <f t="shared" si="997"/>
        <v>-518.17662113953429</v>
      </c>
      <c r="T673">
        <f t="shared" si="998"/>
        <v>-0.51817662113953433</v>
      </c>
    </row>
    <row r="674" spans="1:20" x14ac:dyDescent="0.25">
      <c r="A674" s="5">
        <v>43919</v>
      </c>
      <c r="B674">
        <v>4.2000000000000003E-2</v>
      </c>
      <c r="C674">
        <v>4.2470000000000001E-2</v>
      </c>
      <c r="D674">
        <v>3.8440000000000002E-2</v>
      </c>
      <c r="E674">
        <v>3.8670000000000003E-2</v>
      </c>
      <c r="F674">
        <v>1677233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-0.88585607940446598</v>
      </c>
      <c r="Q674">
        <f t="shared" si="995"/>
        <v>-1485787.0496277907</v>
      </c>
      <c r="R674">
        <f t="shared" si="996"/>
        <v>-53758404.072740361</v>
      </c>
      <c r="S674">
        <f t="shared" si="997"/>
        <v>-537.58404072740359</v>
      </c>
      <c r="T674">
        <f t="shared" si="998"/>
        <v>-0.53758404072740362</v>
      </c>
    </row>
    <row r="675" spans="1:20" x14ac:dyDescent="0.25">
      <c r="A675" s="5">
        <v>43918</v>
      </c>
      <c r="B675">
        <v>4.1919999999999999E-2</v>
      </c>
      <c r="C675">
        <v>4.3589999999999997E-2</v>
      </c>
      <c r="D675">
        <v>3.9469999999999998E-2</v>
      </c>
      <c r="E675">
        <v>4.2000000000000003E-2</v>
      </c>
      <c r="F675">
        <v>4175938.2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0.22815533980582781</v>
      </c>
      <c r="Q675">
        <f t="shared" si="995"/>
        <v>952762.59902913694</v>
      </c>
      <c r="R675">
        <f t="shared" si="996"/>
        <v>-52272617.023112573</v>
      </c>
      <c r="S675">
        <f t="shared" si="997"/>
        <v>-522.72617023112571</v>
      </c>
      <c r="T675">
        <f t="shared" si="998"/>
        <v>-0.52272617023112566</v>
      </c>
    </row>
    <row r="676" spans="1:20" x14ac:dyDescent="0.25">
      <c r="A676" s="5">
        <v>43917</v>
      </c>
      <c r="B676">
        <v>4.5679999999999998E-2</v>
      </c>
      <c r="C676">
        <v>5.1209999999999999E-2</v>
      </c>
      <c r="D676">
        <v>4.1099999999999998E-2</v>
      </c>
      <c r="E676">
        <v>4.1829999999999999E-2</v>
      </c>
      <c r="F676">
        <v>9445074.0999999996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-0.85558852621167136</v>
      </c>
      <c r="Q676">
        <f t="shared" si="995"/>
        <v>-8081097.0291790282</v>
      </c>
      <c r="R676">
        <f t="shared" si="996"/>
        <v>-53225379.622141711</v>
      </c>
      <c r="S676">
        <f t="shared" si="997"/>
        <v>-532.25379622141713</v>
      </c>
      <c r="T676">
        <f t="shared" si="998"/>
        <v>-0.53225379622141711</v>
      </c>
    </row>
    <row r="677" spans="1:20" x14ac:dyDescent="0.25">
      <c r="A677" s="5">
        <v>43916</v>
      </c>
      <c r="B677">
        <v>4.3049999999999998E-2</v>
      </c>
      <c r="C677">
        <v>4.5580000000000002E-2</v>
      </c>
      <c r="D677">
        <v>3.993E-2</v>
      </c>
      <c r="E677">
        <v>4.5490000000000003E-2</v>
      </c>
      <c r="F677">
        <v>3782100.8</v>
      </c>
      <c r="G677">
        <v>0</v>
      </c>
      <c r="L677" t="s">
        <v>8</v>
      </c>
      <c r="M677" t="s">
        <v>8</v>
      </c>
      <c r="N677" t="s">
        <v>7</v>
      </c>
      <c r="P677">
        <f t="shared" si="994"/>
        <v>0.96814159292035407</v>
      </c>
      <c r="Q677">
        <f t="shared" si="995"/>
        <v>3661609.0930973454</v>
      </c>
      <c r="R677">
        <f t="shared" si="996"/>
        <v>-45144282.592962682</v>
      </c>
      <c r="S677">
        <f t="shared" si="997"/>
        <v>-451.44282592962685</v>
      </c>
      <c r="T677">
        <f t="shared" si="998"/>
        <v>-0.45144282592962687</v>
      </c>
    </row>
    <row r="678" spans="1:20" x14ac:dyDescent="0.25">
      <c r="A678" s="5">
        <v>43915</v>
      </c>
      <c r="B678">
        <v>4.1099999999999998E-2</v>
      </c>
      <c r="C678">
        <v>4.3049999999999998E-2</v>
      </c>
      <c r="D678">
        <v>3.9129999999999998E-2</v>
      </c>
      <c r="E678">
        <v>4.3049999999999998E-2</v>
      </c>
      <c r="F678">
        <v>2880444.9</v>
      </c>
      <c r="G678">
        <v>0</v>
      </c>
      <c r="L678" t="s">
        <v>8</v>
      </c>
      <c r="M678" t="s">
        <v>8</v>
      </c>
      <c r="N678" t="s">
        <v>7</v>
      </c>
      <c r="P678">
        <f t="shared" si="994"/>
        <v>1</v>
      </c>
      <c r="Q678">
        <f t="shared" si="995"/>
        <v>2880444.9</v>
      </c>
      <c r="R678">
        <f t="shared" si="996"/>
        <v>-48805891.686060026</v>
      </c>
      <c r="S678">
        <f t="shared" si="997"/>
        <v>-488.05891686060028</v>
      </c>
      <c r="T678">
        <f t="shared" si="998"/>
        <v>-0.48805891686060027</v>
      </c>
    </row>
    <row r="679" spans="1:20" x14ac:dyDescent="0.25">
      <c r="A679" s="5">
        <v>43914</v>
      </c>
      <c r="B679">
        <v>4.1079999999999998E-2</v>
      </c>
      <c r="C679">
        <v>4.2479999999999997E-2</v>
      </c>
      <c r="D679">
        <v>3.9399999999999998E-2</v>
      </c>
      <c r="E679">
        <v>4.1480000000000003E-2</v>
      </c>
      <c r="F679">
        <v>2006791.7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0.35064935064935443</v>
      </c>
      <c r="Q679">
        <f t="shared" si="995"/>
        <v>703680.20649351401</v>
      </c>
      <c r="R679">
        <f t="shared" si="996"/>
        <v>-51686336.586060025</v>
      </c>
      <c r="S679">
        <f t="shared" si="997"/>
        <v>-516.8633658606002</v>
      </c>
      <c r="T679">
        <f t="shared" si="998"/>
        <v>-0.51686336586060022</v>
      </c>
    </row>
    <row r="680" spans="1:20" x14ac:dyDescent="0.25">
      <c r="A680" s="5">
        <v>43913</v>
      </c>
      <c r="B680">
        <v>3.551E-2</v>
      </c>
      <c r="C680">
        <v>4.1099999999999998E-2</v>
      </c>
      <c r="D680">
        <v>3.4669999999999999E-2</v>
      </c>
      <c r="E680">
        <v>4.1090000000000002E-2</v>
      </c>
      <c r="F680">
        <v>4491249.8</v>
      </c>
      <c r="G680">
        <v>0</v>
      </c>
      <c r="L680" t="s">
        <v>8</v>
      </c>
      <c r="M680" t="s">
        <v>8</v>
      </c>
      <c r="N680" t="s">
        <v>7</v>
      </c>
      <c r="P680">
        <f t="shared" si="994"/>
        <v>0.99688958009331385</v>
      </c>
      <c r="Q680">
        <f t="shared" si="995"/>
        <v>4477280.1272161799</v>
      </c>
      <c r="R680">
        <f t="shared" si="996"/>
        <v>-52390016.792553537</v>
      </c>
      <c r="S680">
        <f t="shared" si="997"/>
        <v>-523.90016792553536</v>
      </c>
      <c r="T680">
        <f t="shared" si="998"/>
        <v>-0.5239001679255354</v>
      </c>
    </row>
    <row r="681" spans="1:20" x14ac:dyDescent="0.25">
      <c r="A681" s="5">
        <v>43912</v>
      </c>
      <c r="B681">
        <v>4.02E-2</v>
      </c>
      <c r="C681">
        <v>4.1599999999999998E-2</v>
      </c>
      <c r="D681">
        <v>3.4439999999999998E-2</v>
      </c>
      <c r="E681">
        <v>3.5610000000000003E-2</v>
      </c>
      <c r="F681">
        <v>5296499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-0.6731843575418982</v>
      </c>
      <c r="Q681">
        <f t="shared" si="995"/>
        <v>-3565520.2765363064</v>
      </c>
      <c r="R681">
        <f t="shared" si="996"/>
        <v>-56867296.919769719</v>
      </c>
      <c r="S681">
        <f t="shared" si="997"/>
        <v>-568.67296919769717</v>
      </c>
      <c r="T681">
        <f t="shared" si="998"/>
        <v>-0.56867296919769716</v>
      </c>
    </row>
    <row r="682" spans="1:20" x14ac:dyDescent="0.25">
      <c r="A682" s="5">
        <v>43911</v>
      </c>
      <c r="B682">
        <v>3.9190000000000003E-2</v>
      </c>
      <c r="C682">
        <v>4.3630000000000002E-2</v>
      </c>
      <c r="D682">
        <v>3.6330000000000001E-2</v>
      </c>
      <c r="E682">
        <v>4.0500000000000001E-2</v>
      </c>
      <c r="F682">
        <v>3827375.5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0.14246575342465742</v>
      </c>
      <c r="Q682">
        <f t="shared" si="995"/>
        <v>545269.93424657488</v>
      </c>
      <c r="R682">
        <f t="shared" si="996"/>
        <v>-53301776.643233411</v>
      </c>
      <c r="S682">
        <f t="shared" si="997"/>
        <v>-533.01776643233416</v>
      </c>
      <c r="T682">
        <f t="shared" si="998"/>
        <v>-0.53301776643233412</v>
      </c>
    </row>
    <row r="683" spans="1:20" x14ac:dyDescent="0.25">
      <c r="A683" s="5">
        <v>43910</v>
      </c>
      <c r="B683">
        <v>3.9600000000000003E-2</v>
      </c>
      <c r="C683">
        <v>4.7989999999999998E-2</v>
      </c>
      <c r="D683">
        <v>3.5549999999999998E-2</v>
      </c>
      <c r="E683">
        <v>3.9210000000000002E-2</v>
      </c>
      <c r="F683">
        <v>15138358.300000001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-0.41157556270096407</v>
      </c>
      <c r="Q683">
        <f t="shared" si="995"/>
        <v>-6230578.3356913105</v>
      </c>
      <c r="R683">
        <f t="shared" si="996"/>
        <v>-53847046.577479988</v>
      </c>
      <c r="S683">
        <f t="shared" si="997"/>
        <v>-538.47046577479989</v>
      </c>
      <c r="T683">
        <f t="shared" si="998"/>
        <v>-0.53847046577479984</v>
      </c>
    </row>
    <row r="684" spans="1:20" x14ac:dyDescent="0.25">
      <c r="A684" s="5">
        <v>43909</v>
      </c>
      <c r="B684">
        <v>3.322E-2</v>
      </c>
      <c r="C684">
        <v>4.2009999999999999E-2</v>
      </c>
      <c r="D684">
        <v>3.2620000000000003E-2</v>
      </c>
      <c r="E684">
        <v>3.9579999999999997E-2</v>
      </c>
      <c r="F684">
        <v>9844221.4000000004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0.48242811501597388</v>
      </c>
      <c r="Q684">
        <f t="shared" si="995"/>
        <v>4749129.173801912</v>
      </c>
      <c r="R684">
        <f t="shared" si="996"/>
        <v>-47616468.241788678</v>
      </c>
      <c r="S684">
        <f t="shared" si="997"/>
        <v>-476.16468241788675</v>
      </c>
      <c r="T684">
        <f t="shared" si="998"/>
        <v>-0.47616468241788673</v>
      </c>
    </row>
    <row r="685" spans="1:20" x14ac:dyDescent="0.25">
      <c r="A685" s="5">
        <v>43908</v>
      </c>
      <c r="B685">
        <v>3.3329999999999999E-2</v>
      </c>
      <c r="C685">
        <v>3.4700000000000002E-2</v>
      </c>
      <c r="D685">
        <v>2.911E-2</v>
      </c>
      <c r="E685">
        <v>3.3070000000000002E-2</v>
      </c>
      <c r="F685">
        <v>6338914</v>
      </c>
      <c r="G685">
        <v>0</v>
      </c>
      <c r="L685" t="s">
        <v>7</v>
      </c>
      <c r="M685" t="s">
        <v>7</v>
      </c>
      <c r="N685" t="s">
        <v>7</v>
      </c>
      <c r="P685">
        <f t="shared" si="994"/>
        <v>0.41681574239713803</v>
      </c>
      <c r="Q685">
        <f t="shared" si="995"/>
        <v>2642159.1449016118</v>
      </c>
      <c r="R685">
        <f t="shared" si="996"/>
        <v>-52365597.415590592</v>
      </c>
      <c r="S685">
        <f t="shared" si="997"/>
        <v>-523.65597415590594</v>
      </c>
      <c r="T685">
        <f t="shared" si="998"/>
        <v>-0.52365597415590592</v>
      </c>
    </row>
    <row r="686" spans="1:20" x14ac:dyDescent="0.25">
      <c r="A686" s="5">
        <v>43907</v>
      </c>
      <c r="B686">
        <v>2.9510000000000002E-2</v>
      </c>
      <c r="C686">
        <v>3.5009999999999999E-2</v>
      </c>
      <c r="D686">
        <v>2.921E-2</v>
      </c>
      <c r="E686">
        <v>3.3500000000000002E-2</v>
      </c>
      <c r="F686">
        <v>6830816.5999999996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0.47931034482758705</v>
      </c>
      <c r="Q686">
        <f t="shared" si="995"/>
        <v>3274081.0600000056</v>
      </c>
      <c r="R686">
        <f t="shared" si="996"/>
        <v>-55007756.560492203</v>
      </c>
      <c r="S686">
        <f t="shared" si="997"/>
        <v>-550.07756560492203</v>
      </c>
      <c r="T686">
        <f t="shared" si="998"/>
        <v>-0.55007756560492205</v>
      </c>
    </row>
    <row r="687" spans="1:20" x14ac:dyDescent="0.25">
      <c r="A687" s="5">
        <v>43906</v>
      </c>
      <c r="B687">
        <v>3.8330000000000003E-2</v>
      </c>
      <c r="C687">
        <v>3.8330000000000003E-2</v>
      </c>
      <c r="D687">
        <v>2.6540000000000001E-2</v>
      </c>
      <c r="E687">
        <v>2.9510000000000002E-2</v>
      </c>
      <c r="F687">
        <v>15209581.4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-0.49618320610687022</v>
      </c>
      <c r="Q687">
        <f t="shared" si="995"/>
        <v>-7546738.8625954203</v>
      </c>
      <c r="R687">
        <f t="shared" si="996"/>
        <v>-58281837.620492205</v>
      </c>
      <c r="S687">
        <f t="shared" si="997"/>
        <v>-582.81837620492206</v>
      </c>
      <c r="T687">
        <f t="shared" si="998"/>
        <v>-0.58281837620492205</v>
      </c>
    </row>
    <row r="688" spans="1:20" x14ac:dyDescent="0.25">
      <c r="A688" s="5">
        <v>43905</v>
      </c>
      <c r="B688">
        <v>4.0070000000000001E-2</v>
      </c>
      <c r="C688">
        <v>4.3069999999999997E-2</v>
      </c>
      <c r="D688">
        <v>3.6290000000000003E-2</v>
      </c>
      <c r="E688">
        <v>3.8330000000000003E-2</v>
      </c>
      <c r="F688">
        <v>7790633.5999999996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-0.39823008849557467</v>
      </c>
      <c r="Q688">
        <f t="shared" si="995"/>
        <v>-3102464.7079645973</v>
      </c>
      <c r="R688">
        <f t="shared" si="996"/>
        <v>-50735098.757896788</v>
      </c>
      <c r="S688">
        <f t="shared" si="997"/>
        <v>-507.35098757896787</v>
      </c>
      <c r="T688">
        <f t="shared" si="998"/>
        <v>-0.5073509875789679</v>
      </c>
    </row>
    <row r="689" spans="1:20" x14ac:dyDescent="0.25">
      <c r="A689" s="5">
        <v>43904</v>
      </c>
      <c r="B689">
        <v>4.2160000000000003E-2</v>
      </c>
      <c r="C689">
        <v>4.4830000000000002E-2</v>
      </c>
      <c r="D689">
        <v>3.8019999999999998E-2</v>
      </c>
      <c r="E689">
        <v>3.9960000000000002E-2</v>
      </c>
      <c r="F689">
        <v>5974704.7000000002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-0.43024963289280377</v>
      </c>
      <c r="Q689">
        <f t="shared" si="995"/>
        <v>-2570614.5038179094</v>
      </c>
      <c r="R689">
        <f t="shared" si="996"/>
        <v>-47632634.049932189</v>
      </c>
      <c r="S689">
        <f t="shared" si="997"/>
        <v>-476.32634049932187</v>
      </c>
      <c r="T689">
        <f t="shared" si="998"/>
        <v>-0.47632634049932188</v>
      </c>
    </row>
    <row r="690" spans="1:20" x14ac:dyDescent="0.25">
      <c r="A690" s="5">
        <v>43903</v>
      </c>
      <c r="B690">
        <v>3.6990000000000002E-2</v>
      </c>
      <c r="C690">
        <v>4.743E-2</v>
      </c>
      <c r="D690">
        <v>2.7810000000000001E-2</v>
      </c>
      <c r="E690">
        <v>4.2479999999999997E-2</v>
      </c>
      <c r="F690">
        <v>20047146.800000001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0.49541284403669689</v>
      </c>
      <c r="Q690">
        <f t="shared" si="995"/>
        <v>9931614.0110091679</v>
      </c>
      <c r="R690">
        <f t="shared" si="996"/>
        <v>-45062019.546114281</v>
      </c>
      <c r="S690">
        <f t="shared" si="997"/>
        <v>-450.62019546114283</v>
      </c>
      <c r="T690">
        <f t="shared" si="998"/>
        <v>-0.45062019546114285</v>
      </c>
    </row>
    <row r="691" spans="1:20" x14ac:dyDescent="0.25">
      <c r="A691" s="5">
        <v>43902</v>
      </c>
      <c r="B691">
        <v>7.5639999999999999E-2</v>
      </c>
      <c r="C691">
        <v>7.9250000000000001E-2</v>
      </c>
      <c r="D691">
        <v>3.4320000000000003E-2</v>
      </c>
      <c r="E691">
        <v>3.619E-2</v>
      </c>
      <c r="F691">
        <v>25389025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-0.91675940351658147</v>
      </c>
      <c r="Q691">
        <f t="shared" si="995"/>
        <v>-23275627.414867576</v>
      </c>
      <c r="R691">
        <f t="shared" si="996"/>
        <v>-54993633.557123452</v>
      </c>
      <c r="S691">
        <f t="shared" si="997"/>
        <v>-549.93633557123451</v>
      </c>
      <c r="T691">
        <f t="shared" si="998"/>
        <v>-0.54993633557123456</v>
      </c>
    </row>
    <row r="692" spans="1:20" x14ac:dyDescent="0.25">
      <c r="A692" s="5">
        <v>43901</v>
      </c>
      <c r="B692">
        <v>7.2090000000000001E-2</v>
      </c>
      <c r="C692">
        <v>8.6900000000000005E-2</v>
      </c>
      <c r="D692">
        <v>6.7739999999999995E-2</v>
      </c>
      <c r="E692">
        <v>7.5609999999999997E-2</v>
      </c>
      <c r="F692">
        <v>16345294.300000001</v>
      </c>
      <c r="G692">
        <v>0</v>
      </c>
      <c r="L692" t="s">
        <v>8</v>
      </c>
      <c r="M692" t="s">
        <v>8</v>
      </c>
      <c r="N692" t="s">
        <v>8</v>
      </c>
      <c r="P692">
        <f t="shared" si="994"/>
        <v>-0.17849686847599189</v>
      </c>
      <c r="Q692">
        <f t="shared" si="995"/>
        <v>-2917583.8468684801</v>
      </c>
      <c r="R692">
        <f t="shared" si="996"/>
        <v>-31718006.142255876</v>
      </c>
      <c r="S692">
        <f t="shared" si="997"/>
        <v>-317.18006142255877</v>
      </c>
      <c r="T692">
        <f t="shared" si="998"/>
        <v>-0.31718006142255878</v>
      </c>
    </row>
    <row r="693" spans="1:20" x14ac:dyDescent="0.25">
      <c r="A693" s="5">
        <v>43900</v>
      </c>
      <c r="B693">
        <v>6.6970000000000002E-2</v>
      </c>
      <c r="C693">
        <v>7.4999999999999997E-2</v>
      </c>
      <c r="D693">
        <v>6.5229999999999996E-2</v>
      </c>
      <c r="E693">
        <v>7.2010000000000005E-2</v>
      </c>
      <c r="F693">
        <v>7830683</v>
      </c>
      <c r="G693">
        <v>0</v>
      </c>
      <c r="L693" t="s">
        <v>8</v>
      </c>
      <c r="M693" t="s">
        <v>7</v>
      </c>
      <c r="N693" t="s">
        <v>8</v>
      </c>
      <c r="P693">
        <f t="shared" si="994"/>
        <v>0.38792221084954098</v>
      </c>
      <c r="Q693">
        <f t="shared" si="995"/>
        <v>3037695.861821916</v>
      </c>
      <c r="R693">
        <f t="shared" si="996"/>
        <v>-28800422.295387395</v>
      </c>
      <c r="S693">
        <f t="shared" si="997"/>
        <v>-288.00422295387392</v>
      </c>
      <c r="T693">
        <f t="shared" si="998"/>
        <v>-0.2880042229538739</v>
      </c>
    </row>
    <row r="694" spans="1:20" x14ac:dyDescent="0.25">
      <c r="A694" s="5">
        <v>43899</v>
      </c>
      <c r="B694">
        <v>7.2819999999999996E-2</v>
      </c>
      <c r="C694">
        <v>7.8270000000000006E-2</v>
      </c>
      <c r="D694">
        <v>6.5000000000000002E-2</v>
      </c>
      <c r="E694">
        <v>6.6640000000000005E-2</v>
      </c>
      <c r="F694">
        <v>17467078.199999999</v>
      </c>
      <c r="G694">
        <v>0</v>
      </c>
      <c r="L694" t="s">
        <v>7</v>
      </c>
      <c r="M694" t="s">
        <v>7</v>
      </c>
      <c r="N694" t="s">
        <v>8</v>
      </c>
      <c r="P694">
        <f t="shared" si="994"/>
        <v>-0.75282592313489038</v>
      </c>
      <c r="Q694">
        <f t="shared" si="995"/>
        <v>-13149669.270384319</v>
      </c>
      <c r="R694">
        <f t="shared" si="996"/>
        <v>-31838118.157209311</v>
      </c>
      <c r="S694">
        <f t="shared" si="997"/>
        <v>-318.38118157209311</v>
      </c>
      <c r="T694">
        <f t="shared" si="998"/>
        <v>-0.31838118157209311</v>
      </c>
    </row>
    <row r="695" spans="1:20" x14ac:dyDescent="0.25">
      <c r="A695" s="5">
        <v>43898</v>
      </c>
      <c r="B695">
        <v>8.2900000000000001E-2</v>
      </c>
      <c r="C695">
        <v>8.5999999999999993E-2</v>
      </c>
      <c r="D695">
        <v>7.1319999999999995E-2</v>
      </c>
      <c r="E695">
        <v>7.2819999999999996E-2</v>
      </c>
      <c r="F695">
        <v>20842819</v>
      </c>
      <c r="G695">
        <v>0</v>
      </c>
      <c r="L695" t="s">
        <v>8</v>
      </c>
      <c r="M695" t="s">
        <v>8</v>
      </c>
      <c r="N695" t="s">
        <v>8</v>
      </c>
      <c r="P695">
        <f t="shared" si="994"/>
        <v>-0.7956403269754766</v>
      </c>
      <c r="Q695">
        <f t="shared" si="995"/>
        <v>-16583387.324250676</v>
      </c>
      <c r="R695">
        <f t="shared" si="996"/>
        <v>-18688448.886824992</v>
      </c>
      <c r="S695">
        <f t="shared" si="997"/>
        <v>-186.88448886824992</v>
      </c>
      <c r="T695">
        <f t="shared" si="998"/>
        <v>-0.1868844888682499</v>
      </c>
    </row>
    <row r="696" spans="1:20" x14ac:dyDescent="0.25">
      <c r="A696" s="5">
        <v>43897</v>
      </c>
      <c r="B696">
        <v>6.7790000000000003E-2</v>
      </c>
      <c r="C696">
        <v>8.2949999999999996E-2</v>
      </c>
      <c r="D696">
        <v>6.7479999999999998E-2</v>
      </c>
      <c r="E696">
        <v>8.2900000000000001E-2</v>
      </c>
      <c r="F696">
        <v>11333057.4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0.99353587588881775</v>
      </c>
      <c r="Q696">
        <f t="shared" si="995"/>
        <v>11259799.110407248</v>
      </c>
      <c r="R696">
        <f t="shared" si="996"/>
        <v>-2105061.5625743158</v>
      </c>
      <c r="S696">
        <f t="shared" si="997"/>
        <v>-21.050615625743159</v>
      </c>
      <c r="T696">
        <f t="shared" si="998"/>
        <v>-2.105061562574316E-2</v>
      </c>
    </row>
    <row r="697" spans="1:20" x14ac:dyDescent="0.25">
      <c r="A697" s="5">
        <v>43896</v>
      </c>
      <c r="B697">
        <v>7.2029999999999997E-2</v>
      </c>
      <c r="C697">
        <v>7.4730000000000005E-2</v>
      </c>
      <c r="D697">
        <v>6.7119999999999999E-2</v>
      </c>
      <c r="E697">
        <v>6.7650000000000002E-2</v>
      </c>
      <c r="F697">
        <v>6052913.5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-0.8607095926412609</v>
      </c>
      <c r="Q697">
        <f t="shared" si="995"/>
        <v>-5209800.7128777886</v>
      </c>
      <c r="R697">
        <f t="shared" si="996"/>
        <v>-13364860.672981564</v>
      </c>
      <c r="S697">
        <f t="shared" si="997"/>
        <v>-133.64860672981564</v>
      </c>
      <c r="T697">
        <f t="shared" si="998"/>
        <v>-0.13364860672981563</v>
      </c>
    </row>
    <row r="698" spans="1:20" x14ac:dyDescent="0.25">
      <c r="A698" s="5">
        <v>43895</v>
      </c>
      <c r="B698">
        <v>6.6119999999999998E-2</v>
      </c>
      <c r="C698">
        <v>7.3800000000000004E-2</v>
      </c>
      <c r="D698">
        <v>6.5659999999999996E-2</v>
      </c>
      <c r="E698">
        <v>7.1859999999999993E-2</v>
      </c>
      <c r="F698">
        <v>4642219.0999999996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0.52334152334152106</v>
      </c>
      <c r="Q698">
        <f t="shared" si="995"/>
        <v>2429466.0154791046</v>
      </c>
      <c r="R698">
        <f t="shared" si="996"/>
        <v>-8155059.9601037744</v>
      </c>
      <c r="S698">
        <f t="shared" si="997"/>
        <v>-81.550599601037746</v>
      </c>
      <c r="T698">
        <f t="shared" si="998"/>
        <v>-8.1550599601037749E-2</v>
      </c>
    </row>
    <row r="699" spans="1:20" x14ac:dyDescent="0.25">
      <c r="A699" s="5">
        <v>43894</v>
      </c>
      <c r="B699">
        <v>6.1940000000000002E-2</v>
      </c>
      <c r="C699">
        <v>6.6839999999999997E-2</v>
      </c>
      <c r="D699">
        <v>6.1019999999999998E-2</v>
      </c>
      <c r="E699">
        <v>6.5799999999999997E-2</v>
      </c>
      <c r="F699">
        <v>3515859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0.64261168384879741</v>
      </c>
      <c r="Q699">
        <f t="shared" si="995"/>
        <v>2259332.072164949</v>
      </c>
      <c r="R699">
        <f t="shared" si="996"/>
        <v>-10584525.975582879</v>
      </c>
      <c r="S699">
        <f t="shared" si="997"/>
        <v>-105.84525975582879</v>
      </c>
      <c r="T699">
        <f t="shared" si="998"/>
        <v>-0.10584525975582879</v>
      </c>
    </row>
    <row r="700" spans="1:20" x14ac:dyDescent="0.25">
      <c r="A700" s="5">
        <v>43893</v>
      </c>
      <c r="B700">
        <v>6.5110000000000001E-2</v>
      </c>
      <c r="C700">
        <v>6.6830000000000001E-2</v>
      </c>
      <c r="D700">
        <v>6.0519999999999997E-2</v>
      </c>
      <c r="E700">
        <v>6.1929999999999999E-2</v>
      </c>
      <c r="F700">
        <v>5865411.2999999998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-0.55309033280507103</v>
      </c>
      <c r="Q700">
        <f t="shared" si="995"/>
        <v>-3244102.2879556241</v>
      </c>
      <c r="R700">
        <f t="shared" si="996"/>
        <v>-12843858.047747828</v>
      </c>
      <c r="S700">
        <f t="shared" si="997"/>
        <v>-128.43858047747827</v>
      </c>
      <c r="T700">
        <f t="shared" si="998"/>
        <v>-0.12843858047747828</v>
      </c>
    </row>
    <row r="701" spans="1:20" x14ac:dyDescent="0.25">
      <c r="A701" s="5">
        <v>43892</v>
      </c>
      <c r="B701">
        <v>5.5289999999999999E-2</v>
      </c>
      <c r="C701">
        <v>6.6189999999999999E-2</v>
      </c>
      <c r="D701">
        <v>5.4890000000000001E-2</v>
      </c>
      <c r="E701">
        <v>6.5119999999999997E-2</v>
      </c>
      <c r="F701">
        <v>5767760.4000000004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0.81061946902654836</v>
      </c>
      <c r="Q701">
        <f t="shared" si="995"/>
        <v>4675458.872920352</v>
      </c>
      <c r="R701">
        <f t="shared" si="996"/>
        <v>-9599755.7597922049</v>
      </c>
      <c r="S701">
        <f t="shared" si="997"/>
        <v>-95.997557597922054</v>
      </c>
      <c r="T701">
        <f t="shared" si="998"/>
        <v>-9.5997557597922056E-2</v>
      </c>
    </row>
    <row r="702" spans="1:20" x14ac:dyDescent="0.25">
      <c r="A702" s="5">
        <v>43891</v>
      </c>
      <c r="B702">
        <v>5.178E-2</v>
      </c>
      <c r="C702">
        <v>5.5989999999999998E-2</v>
      </c>
      <c r="D702">
        <v>5.1400000000000001E-2</v>
      </c>
      <c r="E702">
        <v>5.5399999999999998E-2</v>
      </c>
      <c r="F702">
        <v>1782783.9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0.74291938997821327</v>
      </c>
      <c r="Q702">
        <f t="shared" si="995"/>
        <v>1324464.7274509799</v>
      </c>
      <c r="R702">
        <f t="shared" si="996"/>
        <v>-14275214.632712556</v>
      </c>
      <c r="S702">
        <f t="shared" si="997"/>
        <v>-142.75214632712556</v>
      </c>
      <c r="T702">
        <f t="shared" si="998"/>
        <v>-0.14275214632712555</v>
      </c>
    </row>
    <row r="703" spans="1:20" x14ac:dyDescent="0.25">
      <c r="A703" s="5">
        <v>43890</v>
      </c>
      <c r="B703">
        <v>5.425E-2</v>
      </c>
      <c r="C703">
        <v>5.4789999999999998E-2</v>
      </c>
      <c r="D703">
        <v>5.1529999999999999E-2</v>
      </c>
      <c r="E703">
        <v>5.1529999999999999E-2</v>
      </c>
      <c r="F703">
        <v>769860.4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-1</v>
      </c>
      <c r="Q703">
        <f t="shared" si="995"/>
        <v>-769860.4</v>
      </c>
      <c r="R703">
        <f t="shared" si="996"/>
        <v>-15599679.360163536</v>
      </c>
      <c r="S703">
        <f t="shared" si="997"/>
        <v>-155.99679360163535</v>
      </c>
      <c r="T703">
        <f t="shared" si="998"/>
        <v>-0.15599679360163535</v>
      </c>
    </row>
    <row r="704" spans="1:20" x14ac:dyDescent="0.25">
      <c r="A704" s="5">
        <v>43889</v>
      </c>
      <c r="B704">
        <v>5.3440000000000001E-2</v>
      </c>
      <c r="C704">
        <v>5.5509999999999997E-2</v>
      </c>
      <c r="D704">
        <v>5.1220000000000002E-2</v>
      </c>
      <c r="E704">
        <v>5.3760000000000002E-2</v>
      </c>
      <c r="F704">
        <v>842769.1</v>
      </c>
      <c r="G704">
        <v>0</v>
      </c>
      <c r="L704" t="s">
        <v>7</v>
      </c>
      <c r="M704" t="s">
        <v>8</v>
      </c>
      <c r="N704" t="s">
        <v>7</v>
      </c>
      <c r="P704">
        <f t="shared" si="994"/>
        <v>0.18414918414918574</v>
      </c>
      <c r="Q704">
        <f t="shared" si="995"/>
        <v>155195.24219114354</v>
      </c>
      <c r="R704">
        <f t="shared" si="996"/>
        <v>-14829818.960163536</v>
      </c>
      <c r="S704">
        <f t="shared" si="997"/>
        <v>-148.29818960163536</v>
      </c>
      <c r="T704">
        <f t="shared" si="998"/>
        <v>-0.14829818960163535</v>
      </c>
    </row>
    <row r="705" spans="1:20" x14ac:dyDescent="0.25">
      <c r="A705" s="5">
        <v>43888</v>
      </c>
      <c r="B705">
        <v>5.2249999999999998E-2</v>
      </c>
      <c r="C705">
        <v>5.7799999999999997E-2</v>
      </c>
      <c r="D705">
        <v>4.9610000000000001E-2</v>
      </c>
      <c r="E705">
        <v>5.3879999999999997E-2</v>
      </c>
      <c r="F705">
        <v>2656212.5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4.2735042735042285E-2</v>
      </c>
      <c r="Q705">
        <f t="shared" si="995"/>
        <v>113513.35470085351</v>
      </c>
      <c r="R705">
        <f t="shared" si="996"/>
        <v>-14985014.202354679</v>
      </c>
      <c r="S705">
        <f t="shared" si="997"/>
        <v>-149.85014202354679</v>
      </c>
      <c r="T705">
        <f t="shared" si="998"/>
        <v>-0.1498501420235468</v>
      </c>
    </row>
    <row r="706" spans="1:20" x14ac:dyDescent="0.25">
      <c r="A706" s="5">
        <v>43887</v>
      </c>
      <c r="B706">
        <v>5.6590000000000001E-2</v>
      </c>
      <c r="C706">
        <v>5.672E-2</v>
      </c>
      <c r="D706">
        <v>4.7759999999999997E-2</v>
      </c>
      <c r="E706">
        <v>5.2249999999999998E-2</v>
      </c>
      <c r="F706">
        <v>4582583.7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2.2321428571427655E-3</v>
      </c>
      <c r="Q706">
        <f t="shared" si="995"/>
        <v>10228.981473213866</v>
      </c>
      <c r="R706">
        <f t="shared" si="996"/>
        <v>-15098527.557055533</v>
      </c>
      <c r="S706">
        <f t="shared" si="997"/>
        <v>-150.98527557055533</v>
      </c>
      <c r="T706">
        <f t="shared" si="998"/>
        <v>-0.15098527557055533</v>
      </c>
    </row>
    <row r="707" spans="1:20" x14ac:dyDescent="0.25">
      <c r="A707" s="5">
        <v>43886</v>
      </c>
      <c r="B707">
        <v>5.8810000000000001E-2</v>
      </c>
      <c r="C707">
        <v>5.9490000000000001E-2</v>
      </c>
      <c r="D707">
        <v>5.3949999999999998E-2</v>
      </c>
      <c r="E707">
        <v>5.6730000000000003E-2</v>
      </c>
      <c r="F707">
        <v>3289385.4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3.6101083032502009E-3</v>
      </c>
      <c r="Q707">
        <f t="shared" si="995"/>
        <v>11875.037545129982</v>
      </c>
      <c r="R707">
        <f t="shared" si="996"/>
        <v>-15108756.538528746</v>
      </c>
      <c r="S707">
        <f t="shared" si="997"/>
        <v>-151.08756538528746</v>
      </c>
      <c r="T707">
        <f t="shared" si="998"/>
        <v>-0.15108756538528748</v>
      </c>
    </row>
    <row r="708" spans="1:20" x14ac:dyDescent="0.25">
      <c r="A708" s="5">
        <v>43885</v>
      </c>
      <c r="B708">
        <v>6.4079999999999998E-2</v>
      </c>
      <c r="C708">
        <v>6.4380000000000007E-2</v>
      </c>
      <c r="D708">
        <v>5.62E-2</v>
      </c>
      <c r="E708">
        <v>5.8869999999999999E-2</v>
      </c>
      <c r="F708">
        <v>3074879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-0.34718826405868053</v>
      </c>
      <c r="Q708">
        <f t="shared" si="995"/>
        <v>-1067561.9022004916</v>
      </c>
      <c r="R708">
        <f t="shared" si="996"/>
        <v>-15120631.576073876</v>
      </c>
      <c r="S708">
        <f t="shared" si="997"/>
        <v>-151.20631576073876</v>
      </c>
      <c r="T708">
        <f t="shared" si="998"/>
        <v>-0.15120631576073876</v>
      </c>
    </row>
    <row r="709" spans="1:20" x14ac:dyDescent="0.25">
      <c r="A709" s="5">
        <v>43884</v>
      </c>
      <c r="B709">
        <v>6.2420000000000003E-2</v>
      </c>
      <c r="C709">
        <v>6.5750000000000003E-2</v>
      </c>
      <c r="D709">
        <v>6.2420000000000003E-2</v>
      </c>
      <c r="E709">
        <v>6.4380000000000007E-2</v>
      </c>
      <c r="F709">
        <v>1901102.9</v>
      </c>
      <c r="G709">
        <v>0</v>
      </c>
      <c r="L709" t="s">
        <v>8</v>
      </c>
      <c r="M709" t="s">
        <v>8</v>
      </c>
      <c r="N709" t="s">
        <v>8</v>
      </c>
      <c r="P709">
        <f t="shared" si="994"/>
        <v>0.17717717717717935</v>
      </c>
      <c r="Q709">
        <f t="shared" si="995"/>
        <v>336832.04534534947</v>
      </c>
      <c r="R709">
        <f t="shared" si="996"/>
        <v>-14053069.673873384</v>
      </c>
      <c r="S709">
        <f t="shared" si="997"/>
        <v>-140.53069673873384</v>
      </c>
      <c r="T709">
        <f t="shared" si="998"/>
        <v>-0.14053069673873383</v>
      </c>
    </row>
    <row r="710" spans="1:20" x14ac:dyDescent="0.25">
      <c r="A710" s="5">
        <v>43883</v>
      </c>
      <c r="B710">
        <v>6.3460000000000003E-2</v>
      </c>
      <c r="C710">
        <v>6.3570000000000002E-2</v>
      </c>
      <c r="D710">
        <v>0.06</v>
      </c>
      <c r="E710">
        <v>6.2549999999999994E-2</v>
      </c>
      <c r="F710">
        <v>1437679.1</v>
      </c>
      <c r="G710">
        <v>0</v>
      </c>
      <c r="L710" t="s">
        <v>7</v>
      </c>
      <c r="M710" t="s">
        <v>8</v>
      </c>
      <c r="N710" t="s">
        <v>8</v>
      </c>
      <c r="P710">
        <f t="shared" ref="P710:P766" si="999">IF(C710=D710,0,((E710-D710)-(C710-E710))/(C710-D710))</f>
        <v>0.42857142857142522</v>
      </c>
      <c r="Q710">
        <f t="shared" ref="Q710:Q766" si="1000">F710*P710</f>
        <v>616148.18571428093</v>
      </c>
      <c r="R710">
        <f t="shared" ref="R710:R766" si="1001">R711+Q710</f>
        <v>-14389901.719218733</v>
      </c>
      <c r="S710">
        <f t="shared" ref="S710:S766" si="1002">R710/100000</f>
        <v>-143.89901719218733</v>
      </c>
      <c r="T710">
        <f t="shared" ref="T710:T766" si="1003">S710/1000</f>
        <v>-0.14389901719218734</v>
      </c>
    </row>
    <row r="711" spans="1:20" x14ac:dyDescent="0.25">
      <c r="A711" s="5">
        <v>43882</v>
      </c>
      <c r="B711">
        <v>6.1350000000000002E-2</v>
      </c>
      <c r="C711">
        <v>6.7000000000000004E-2</v>
      </c>
      <c r="D711">
        <v>6.1339999999999999E-2</v>
      </c>
      <c r="E711">
        <v>6.3460000000000003E-2</v>
      </c>
      <c r="F711">
        <v>2719432.4</v>
      </c>
      <c r="G711">
        <v>0</v>
      </c>
      <c r="L711" t="s">
        <v>8</v>
      </c>
      <c r="M711" t="s">
        <v>8</v>
      </c>
      <c r="N711" t="s">
        <v>8</v>
      </c>
      <c r="P711">
        <f t="shared" si="999"/>
        <v>-0.25088339222614775</v>
      </c>
      <c r="Q711">
        <f t="shared" si="1000"/>
        <v>-682260.42544169433</v>
      </c>
      <c r="R711">
        <f t="shared" si="1001"/>
        <v>-15006049.904933013</v>
      </c>
      <c r="S711">
        <f t="shared" si="1002"/>
        <v>-150.06049904933013</v>
      </c>
      <c r="T711">
        <f t="shared" si="1003"/>
        <v>-0.15006049904933014</v>
      </c>
    </row>
    <row r="712" spans="1:20" x14ac:dyDescent="0.25">
      <c r="A712" s="5">
        <v>43881</v>
      </c>
      <c r="B712">
        <v>5.5509999999999997E-2</v>
      </c>
      <c r="C712">
        <v>6.2990000000000004E-2</v>
      </c>
      <c r="D712">
        <v>5.5259999999999997E-2</v>
      </c>
      <c r="E712">
        <v>6.1870000000000001E-2</v>
      </c>
      <c r="F712">
        <v>3652293.8</v>
      </c>
      <c r="G712">
        <v>0</v>
      </c>
      <c r="L712" t="s">
        <v>8</v>
      </c>
      <c r="M712" t="s">
        <v>7</v>
      </c>
      <c r="N712" t="s">
        <v>8</v>
      </c>
      <c r="P712">
        <f t="shared" si="999"/>
        <v>0.71021992238033593</v>
      </c>
      <c r="Q712">
        <f t="shared" si="1000"/>
        <v>2593931.8191461819</v>
      </c>
      <c r="R712">
        <f t="shared" si="1001"/>
        <v>-14323789.47949132</v>
      </c>
      <c r="S712">
        <f t="shared" si="1002"/>
        <v>-143.23789479491319</v>
      </c>
      <c r="T712">
        <f t="shared" si="1003"/>
        <v>-0.1432378947949132</v>
      </c>
    </row>
    <row r="713" spans="1:20" x14ac:dyDescent="0.25">
      <c r="A713" s="5">
        <v>43880</v>
      </c>
      <c r="B713">
        <v>6.1929999999999999E-2</v>
      </c>
      <c r="C713">
        <v>6.2909999999999994E-2</v>
      </c>
      <c r="D713">
        <v>5.4289999999999998E-2</v>
      </c>
      <c r="E713">
        <v>5.5809999999999998E-2</v>
      </c>
      <c r="F713">
        <v>3203776.6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-0.64733178654292312</v>
      </c>
      <c r="Q713">
        <f t="shared" si="1000"/>
        <v>-2073906.4301624121</v>
      </c>
      <c r="R713">
        <f t="shared" si="1001"/>
        <v>-16917721.298637502</v>
      </c>
      <c r="S713">
        <f t="shared" si="1002"/>
        <v>-169.17721298637503</v>
      </c>
      <c r="T713">
        <f t="shared" si="1003"/>
        <v>-0.16917721298637503</v>
      </c>
    </row>
    <row r="714" spans="1:20" x14ac:dyDescent="0.25">
      <c r="A714" s="5">
        <v>43879</v>
      </c>
      <c r="B714">
        <v>6.1600000000000002E-2</v>
      </c>
      <c r="C714">
        <v>6.343E-2</v>
      </c>
      <c r="D714">
        <v>5.6750000000000002E-2</v>
      </c>
      <c r="E714">
        <v>6.1929999999999999E-2</v>
      </c>
      <c r="F714">
        <v>4609689.7</v>
      </c>
      <c r="G714">
        <v>0</v>
      </c>
      <c r="L714" t="s">
        <v>7</v>
      </c>
      <c r="M714" t="s">
        <v>7</v>
      </c>
      <c r="N714" t="s">
        <v>8</v>
      </c>
      <c r="P714">
        <f t="shared" si="999"/>
        <v>0.55089820359281383</v>
      </c>
      <c r="Q714">
        <f t="shared" si="1000"/>
        <v>2539469.7748502968</v>
      </c>
      <c r="R714">
        <f t="shared" si="1001"/>
        <v>-14843814.868475091</v>
      </c>
      <c r="S714">
        <f t="shared" si="1002"/>
        <v>-148.4381486847509</v>
      </c>
      <c r="T714">
        <f t="shared" si="1003"/>
        <v>-0.14843814868475089</v>
      </c>
    </row>
    <row r="715" spans="1:20" x14ac:dyDescent="0.25">
      <c r="A715" s="5">
        <v>43878</v>
      </c>
      <c r="B715">
        <v>6.5110000000000001E-2</v>
      </c>
      <c r="C715">
        <v>6.9769999999999999E-2</v>
      </c>
      <c r="D715">
        <v>5.62E-2</v>
      </c>
      <c r="E715">
        <v>6.1030000000000001E-2</v>
      </c>
      <c r="F715">
        <v>12084148.9</v>
      </c>
      <c r="G715">
        <v>0</v>
      </c>
      <c r="L715" t="s">
        <v>8</v>
      </c>
      <c r="M715" t="s">
        <v>8</v>
      </c>
      <c r="N715" t="s">
        <v>8</v>
      </c>
      <c r="P715">
        <f t="shared" si="999"/>
        <v>-0.28813559322033877</v>
      </c>
      <c r="Q715">
        <f t="shared" si="1000"/>
        <v>-3481873.4118644041</v>
      </c>
      <c r="R715">
        <f t="shared" si="1001"/>
        <v>-17383284.643325388</v>
      </c>
      <c r="S715">
        <f t="shared" si="1002"/>
        <v>-173.83284643325388</v>
      </c>
      <c r="T715">
        <f t="shared" si="1003"/>
        <v>-0.17383284643325389</v>
      </c>
    </row>
    <row r="716" spans="1:20" x14ac:dyDescent="0.25">
      <c r="A716" s="5">
        <v>43877</v>
      </c>
      <c r="B716">
        <v>6.0100000000000001E-2</v>
      </c>
      <c r="C716">
        <v>6.5659999999999996E-2</v>
      </c>
      <c r="D716">
        <v>5.459E-2</v>
      </c>
      <c r="E716">
        <v>6.5110000000000001E-2</v>
      </c>
      <c r="F716">
        <v>3121738.4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0.90063233965673073</v>
      </c>
      <c r="Q716">
        <f t="shared" si="1000"/>
        <v>2811538.5589882592</v>
      </c>
      <c r="R716">
        <f t="shared" si="1001"/>
        <v>-13901411.231460985</v>
      </c>
      <c r="S716">
        <f t="shared" si="1002"/>
        <v>-139.01411231460986</v>
      </c>
      <c r="T716">
        <f t="shared" si="1003"/>
        <v>-0.13901411231460986</v>
      </c>
    </row>
    <row r="717" spans="1:20" x14ac:dyDescent="0.25">
      <c r="A717" s="5">
        <v>43876</v>
      </c>
      <c r="B717">
        <v>6.7040000000000002E-2</v>
      </c>
      <c r="C717">
        <v>6.9129999999999997E-2</v>
      </c>
      <c r="D717">
        <v>5.9450000000000003E-2</v>
      </c>
      <c r="E717">
        <v>6.0159999999999998E-2</v>
      </c>
      <c r="F717">
        <v>3572355.2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-0.85330578512396782</v>
      </c>
      <c r="Q717">
        <f t="shared" si="1000"/>
        <v>-3048311.3586776895</v>
      </c>
      <c r="R717">
        <f t="shared" si="1001"/>
        <v>-16712949.790449245</v>
      </c>
      <c r="S717">
        <f t="shared" si="1002"/>
        <v>-167.12949790449244</v>
      </c>
      <c r="T717">
        <f t="shared" si="1003"/>
        <v>-0.16712949790449244</v>
      </c>
    </row>
    <row r="718" spans="1:20" x14ac:dyDescent="0.25">
      <c r="A718" s="5">
        <v>43875</v>
      </c>
      <c r="B718">
        <v>6.4060000000000006E-2</v>
      </c>
      <c r="C718">
        <v>6.8849999999999995E-2</v>
      </c>
      <c r="D718">
        <v>6.1109999999999998E-2</v>
      </c>
      <c r="E718">
        <v>6.7360000000000003E-2</v>
      </c>
      <c r="F718">
        <v>6778401.0999999996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0.61498708010336123</v>
      </c>
      <c r="Q718">
        <f t="shared" si="1000"/>
        <v>4168629.1002584118</v>
      </c>
      <c r="R718">
        <f t="shared" si="1001"/>
        <v>-13664638.431771556</v>
      </c>
      <c r="S718">
        <f t="shared" si="1002"/>
        <v>-136.64638431771556</v>
      </c>
      <c r="T718">
        <f t="shared" si="1003"/>
        <v>-0.13664638431771556</v>
      </c>
    </row>
    <row r="719" spans="1:20" x14ac:dyDescent="0.25">
      <c r="A719" s="5">
        <v>43874</v>
      </c>
      <c r="B719">
        <v>6.0940000000000001E-2</v>
      </c>
      <c r="C719">
        <v>6.6000000000000003E-2</v>
      </c>
      <c r="D719">
        <v>5.9180000000000003E-2</v>
      </c>
      <c r="E719">
        <v>6.3969999999999999E-2</v>
      </c>
      <c r="F719">
        <v>5362508.7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0.40469208211143576</v>
      </c>
      <c r="Q719">
        <f t="shared" si="1000"/>
        <v>2170164.8111436889</v>
      </c>
      <c r="R719">
        <f t="shared" si="1001"/>
        <v>-17833267.532029968</v>
      </c>
      <c r="S719">
        <f t="shared" si="1002"/>
        <v>-178.33267532029967</v>
      </c>
      <c r="T719">
        <f t="shared" si="1003"/>
        <v>-0.17833267532029967</v>
      </c>
    </row>
    <row r="720" spans="1:20" x14ac:dyDescent="0.25">
      <c r="A720" s="5">
        <v>43873</v>
      </c>
      <c r="B720">
        <v>6.0400000000000002E-2</v>
      </c>
      <c r="C720">
        <v>6.2899999999999998E-2</v>
      </c>
      <c r="D720">
        <v>5.926E-2</v>
      </c>
      <c r="E720">
        <v>6.071E-2</v>
      </c>
      <c r="F720">
        <v>4892024.3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-0.2032967032967028</v>
      </c>
      <c r="Q720">
        <f t="shared" si="1000"/>
        <v>-994532.41263736016</v>
      </c>
      <c r="R720">
        <f t="shared" si="1001"/>
        <v>-20003432.343173657</v>
      </c>
      <c r="S720">
        <f t="shared" si="1002"/>
        <v>-200.03432343173657</v>
      </c>
      <c r="T720">
        <f t="shared" si="1003"/>
        <v>-0.20003432343173658</v>
      </c>
    </row>
    <row r="721" spans="1:20" x14ac:dyDescent="0.25">
      <c r="A721" s="5">
        <v>43872</v>
      </c>
      <c r="B721">
        <v>5.6419999999999998E-2</v>
      </c>
      <c r="C721">
        <v>6.2869999999999995E-2</v>
      </c>
      <c r="D721">
        <v>5.5019999999999999E-2</v>
      </c>
      <c r="E721">
        <v>6.0100000000000001E-2</v>
      </c>
      <c r="F721">
        <v>3422493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0.29426751592356787</v>
      </c>
      <c r="Q721">
        <f t="shared" si="1000"/>
        <v>1007128.5133757995</v>
      </c>
      <c r="R721">
        <f t="shared" si="1001"/>
        <v>-19008899.930536296</v>
      </c>
      <c r="S721">
        <f t="shared" si="1002"/>
        <v>-190.08899930536296</v>
      </c>
      <c r="T721">
        <f t="shared" si="1003"/>
        <v>-0.19008899930536297</v>
      </c>
    </row>
    <row r="722" spans="1:20" x14ac:dyDescent="0.25">
      <c r="A722" s="5">
        <v>43871</v>
      </c>
      <c r="B722">
        <v>5.8869999999999999E-2</v>
      </c>
      <c r="C722">
        <v>5.9479999999999998E-2</v>
      </c>
      <c r="D722">
        <v>5.3580000000000003E-2</v>
      </c>
      <c r="E722">
        <v>5.6489999999999999E-2</v>
      </c>
      <c r="F722">
        <v>2296040.2000000002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-1.355932203389894E-2</v>
      </c>
      <c r="Q722">
        <f t="shared" si="1000"/>
        <v>-31132.748474577729</v>
      </c>
      <c r="R722">
        <f t="shared" si="1001"/>
        <v>-20016028.443912096</v>
      </c>
      <c r="S722">
        <f t="shared" si="1002"/>
        <v>-200.16028443912097</v>
      </c>
      <c r="T722">
        <f t="shared" si="1003"/>
        <v>-0.20016028443912098</v>
      </c>
    </row>
    <row r="723" spans="1:20" x14ac:dyDescent="0.25">
      <c r="A723" s="5">
        <v>43870</v>
      </c>
      <c r="B723">
        <v>5.6090000000000001E-2</v>
      </c>
      <c r="C723">
        <v>0.06</v>
      </c>
      <c r="D723">
        <v>5.4140000000000001E-2</v>
      </c>
      <c r="E723">
        <v>5.9180000000000003E-2</v>
      </c>
      <c r="F723">
        <v>3470647.5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0.72013651877133289</v>
      </c>
      <c r="Q723">
        <f t="shared" si="1000"/>
        <v>2499340.0085324296</v>
      </c>
      <c r="R723">
        <f t="shared" si="1001"/>
        <v>-19984895.695437517</v>
      </c>
      <c r="S723">
        <f t="shared" si="1002"/>
        <v>-199.84895695437518</v>
      </c>
      <c r="T723">
        <f t="shared" si="1003"/>
        <v>-0.19984895695437518</v>
      </c>
    </row>
    <row r="724" spans="1:20" x14ac:dyDescent="0.25">
      <c r="A724" s="5">
        <v>43869</v>
      </c>
      <c r="B724">
        <v>5.7700000000000001E-2</v>
      </c>
      <c r="C724">
        <v>6.4000000000000001E-2</v>
      </c>
      <c r="D724">
        <v>5.4579999999999997E-2</v>
      </c>
      <c r="E724">
        <v>5.6120000000000003E-2</v>
      </c>
      <c r="F724">
        <v>6589783.2000000002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-0.67303609341825776</v>
      </c>
      <c r="Q724">
        <f t="shared" si="1000"/>
        <v>-4435161.9414012656</v>
      </c>
      <c r="R724">
        <f t="shared" si="1001"/>
        <v>-22484235.703969948</v>
      </c>
      <c r="S724">
        <f t="shared" si="1002"/>
        <v>-224.84235703969949</v>
      </c>
      <c r="T724">
        <f t="shared" si="1003"/>
        <v>-0.22484235703969949</v>
      </c>
    </row>
    <row r="725" spans="1:20" x14ac:dyDescent="0.25">
      <c r="A725" s="5">
        <v>43868</v>
      </c>
      <c r="B725">
        <v>5.9589999999999997E-2</v>
      </c>
      <c r="C725">
        <v>5.9900000000000002E-2</v>
      </c>
      <c r="D725">
        <v>5.6759999999999998E-2</v>
      </c>
      <c r="E725">
        <v>5.7700000000000001E-2</v>
      </c>
      <c r="F725">
        <v>2736505.4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-0.40127388535031711</v>
      </c>
      <c r="Q725">
        <f t="shared" si="1000"/>
        <v>-1098088.1541401236</v>
      </c>
      <c r="R725">
        <f t="shared" si="1001"/>
        <v>-18049073.762568682</v>
      </c>
      <c r="S725">
        <f t="shared" si="1002"/>
        <v>-180.49073762568682</v>
      </c>
      <c r="T725">
        <f t="shared" si="1003"/>
        <v>-0.18049073762568682</v>
      </c>
    </row>
    <row r="726" spans="1:20" x14ac:dyDescent="0.25">
      <c r="A726" s="5">
        <v>43867</v>
      </c>
      <c r="B726">
        <v>5.382E-2</v>
      </c>
      <c r="C726">
        <v>6.0130000000000003E-2</v>
      </c>
      <c r="D726">
        <v>5.3330000000000002E-2</v>
      </c>
      <c r="E726">
        <v>5.9569999999999998E-2</v>
      </c>
      <c r="F726">
        <v>4630482.5999999996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0.83529411764705741</v>
      </c>
      <c r="Q726">
        <f t="shared" si="1000"/>
        <v>3867814.8776470521</v>
      </c>
      <c r="R726">
        <f t="shared" si="1001"/>
        <v>-16950985.60842856</v>
      </c>
      <c r="S726">
        <f t="shared" si="1002"/>
        <v>-169.50985608428562</v>
      </c>
      <c r="T726">
        <f t="shared" si="1003"/>
        <v>-0.16950985608428562</v>
      </c>
    </row>
    <row r="727" spans="1:20" x14ac:dyDescent="0.25">
      <c r="A727" s="5">
        <v>43866</v>
      </c>
      <c r="B727">
        <v>5.4399999999999997E-2</v>
      </c>
      <c r="C727">
        <v>5.5E-2</v>
      </c>
      <c r="D727">
        <v>5.04E-2</v>
      </c>
      <c r="E727">
        <v>5.3859999999999998E-2</v>
      </c>
      <c r="F727">
        <v>5492392.9000000004</v>
      </c>
      <c r="G727">
        <v>0</v>
      </c>
      <c r="L727" t="s">
        <v>7</v>
      </c>
      <c r="M727" t="s">
        <v>7</v>
      </c>
      <c r="N727" t="s">
        <v>8</v>
      </c>
      <c r="P727">
        <f t="shared" si="999"/>
        <v>0.50434782608695561</v>
      </c>
      <c r="Q727">
        <f t="shared" si="1000"/>
        <v>2770076.4191304301</v>
      </c>
      <c r="R727">
        <f t="shared" si="1001"/>
        <v>-20818800.486075614</v>
      </c>
      <c r="S727">
        <f t="shared" si="1002"/>
        <v>-208.18800486075614</v>
      </c>
      <c r="T727">
        <f t="shared" si="1003"/>
        <v>-0.20818800486075614</v>
      </c>
    </row>
    <row r="728" spans="1:20" x14ac:dyDescent="0.25">
      <c r="A728" s="5">
        <v>43865</v>
      </c>
      <c r="B728">
        <v>4.793E-2</v>
      </c>
      <c r="C728">
        <v>6.1499999999999999E-2</v>
      </c>
      <c r="D728">
        <v>4.7879999999999999E-2</v>
      </c>
      <c r="E728">
        <v>5.4429999999999999E-2</v>
      </c>
      <c r="F728">
        <v>14959550.5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-3.8179148311306872E-2</v>
      </c>
      <c r="Q728">
        <f t="shared" si="1000"/>
        <v>-571142.89720998483</v>
      </c>
      <c r="R728">
        <f t="shared" si="1001"/>
        <v>-23588876.905206043</v>
      </c>
      <c r="S728">
        <f t="shared" si="1002"/>
        <v>-235.88876905206044</v>
      </c>
      <c r="T728">
        <f t="shared" si="1003"/>
        <v>-0.23588876905206044</v>
      </c>
    </row>
    <row r="729" spans="1:20" x14ac:dyDescent="0.25">
      <c r="A729" s="5">
        <v>43864</v>
      </c>
      <c r="B729">
        <v>4.6559999999999997E-2</v>
      </c>
      <c r="C729">
        <v>4.9750000000000003E-2</v>
      </c>
      <c r="D729">
        <v>4.5269999999999998E-2</v>
      </c>
      <c r="E729">
        <v>4.793E-2</v>
      </c>
      <c r="F729">
        <v>3785823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0.18749999999999992</v>
      </c>
      <c r="Q729">
        <f t="shared" si="1000"/>
        <v>709841.81249999965</v>
      </c>
      <c r="R729">
        <f t="shared" si="1001"/>
        <v>-23017734.00799606</v>
      </c>
      <c r="S729">
        <f t="shared" si="1002"/>
        <v>-230.1773400799606</v>
      </c>
      <c r="T729">
        <f t="shared" si="1003"/>
        <v>-0.2301773400799606</v>
      </c>
    </row>
    <row r="730" spans="1:20" x14ac:dyDescent="0.25">
      <c r="A730" s="5">
        <v>43863</v>
      </c>
      <c r="B730">
        <v>4.4290000000000003E-2</v>
      </c>
      <c r="C730">
        <v>4.7149999999999997E-2</v>
      </c>
      <c r="D730">
        <v>4.3400000000000001E-2</v>
      </c>
      <c r="E730">
        <v>4.6559999999999997E-2</v>
      </c>
      <c r="F730">
        <v>1982454.4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0.68533333333333291</v>
      </c>
      <c r="Q730">
        <f t="shared" si="1000"/>
        <v>1358642.0821333325</v>
      </c>
      <c r="R730">
        <f t="shared" si="1001"/>
        <v>-23727575.82049606</v>
      </c>
      <c r="S730">
        <f t="shared" si="1002"/>
        <v>-237.2757582049606</v>
      </c>
      <c r="T730">
        <f t="shared" si="1003"/>
        <v>-0.23727575820496061</v>
      </c>
    </row>
    <row r="731" spans="1:20" x14ac:dyDescent="0.25">
      <c r="A731" s="5">
        <v>43862</v>
      </c>
      <c r="B731">
        <v>4.4679999999999997E-2</v>
      </c>
      <c r="C731">
        <v>4.5199999999999997E-2</v>
      </c>
      <c r="D731">
        <v>4.3990000000000001E-2</v>
      </c>
      <c r="E731">
        <v>4.4589999999999998E-2</v>
      </c>
      <c r="F731">
        <v>887741.3</v>
      </c>
      <c r="G731">
        <v>0</v>
      </c>
      <c r="L731" t="s">
        <v>8</v>
      </c>
      <c r="M731" t="s">
        <v>7</v>
      </c>
      <c r="N731" t="s">
        <v>8</v>
      </c>
      <c r="P731">
        <f t="shared" si="999"/>
        <v>-8.2644628099199143E-3</v>
      </c>
      <c r="Q731">
        <f t="shared" si="1000"/>
        <v>-7336.7049586799576</v>
      </c>
      <c r="R731">
        <f t="shared" si="1001"/>
        <v>-25086217.902629394</v>
      </c>
      <c r="S731">
        <f t="shared" si="1002"/>
        <v>-250.86217902629394</v>
      </c>
      <c r="T731">
        <f t="shared" si="1003"/>
        <v>-0.25086217902629393</v>
      </c>
    </row>
    <row r="732" spans="1:20" x14ac:dyDescent="0.25">
      <c r="A732" s="5">
        <v>43861</v>
      </c>
      <c r="B732">
        <v>4.3450000000000003E-2</v>
      </c>
      <c r="C732">
        <v>4.4850000000000001E-2</v>
      </c>
      <c r="D732">
        <v>4.292E-2</v>
      </c>
      <c r="E732">
        <v>4.4769999999999997E-2</v>
      </c>
      <c r="F732">
        <v>1759973.9</v>
      </c>
      <c r="G732">
        <v>0</v>
      </c>
      <c r="L732" t="s">
        <v>8</v>
      </c>
      <c r="M732" t="s">
        <v>7</v>
      </c>
      <c r="N732" t="s">
        <v>8</v>
      </c>
      <c r="P732">
        <f t="shared" si="999"/>
        <v>0.91709844559585119</v>
      </c>
      <c r="Q732">
        <f t="shared" si="1000"/>
        <v>1614069.327979268</v>
      </c>
      <c r="R732">
        <f t="shared" si="1001"/>
        <v>-25078881.197670713</v>
      </c>
      <c r="S732">
        <f t="shared" si="1002"/>
        <v>-250.78881197670714</v>
      </c>
      <c r="T732">
        <f t="shared" si="1003"/>
        <v>-0.25078881197670716</v>
      </c>
    </row>
    <row r="733" spans="1:20" x14ac:dyDescent="0.25">
      <c r="A733" s="5">
        <v>43860</v>
      </c>
      <c r="B733">
        <v>4.3029999999999999E-2</v>
      </c>
      <c r="C733">
        <v>4.3529999999999999E-2</v>
      </c>
      <c r="D733">
        <v>4.2410000000000003E-2</v>
      </c>
      <c r="E733">
        <v>4.3450000000000003E-2</v>
      </c>
      <c r="F733">
        <v>1012159.8</v>
      </c>
      <c r="G733">
        <v>0</v>
      </c>
      <c r="L733" t="s">
        <v>8</v>
      </c>
      <c r="M733" t="s">
        <v>7</v>
      </c>
      <c r="N733" t="s">
        <v>8</v>
      </c>
      <c r="P733">
        <f t="shared" si="999"/>
        <v>0.85714285714286242</v>
      </c>
      <c r="Q733">
        <f t="shared" si="1000"/>
        <v>867565.54285714822</v>
      </c>
      <c r="R733">
        <f t="shared" si="1001"/>
        <v>-26692950.52564998</v>
      </c>
      <c r="S733">
        <f t="shared" si="1002"/>
        <v>-266.92950525649979</v>
      </c>
      <c r="T733">
        <f t="shared" si="1003"/>
        <v>-0.26692950525649978</v>
      </c>
    </row>
    <row r="734" spans="1:20" x14ac:dyDescent="0.25">
      <c r="A734" s="5">
        <v>43859</v>
      </c>
      <c r="B734">
        <v>4.3679999999999997E-2</v>
      </c>
      <c r="C734">
        <v>4.4549999999999999E-2</v>
      </c>
      <c r="D734">
        <v>4.267E-2</v>
      </c>
      <c r="E734">
        <v>4.3110000000000002E-2</v>
      </c>
      <c r="F734">
        <v>1103354.2</v>
      </c>
      <c r="G734">
        <v>0</v>
      </c>
      <c r="L734" t="s">
        <v>8</v>
      </c>
      <c r="M734" t="s">
        <v>7</v>
      </c>
      <c r="N734" t="s">
        <v>8</v>
      </c>
      <c r="P734">
        <f t="shared" si="999"/>
        <v>-0.53191489361701816</v>
      </c>
      <c r="Q734">
        <f t="shared" si="1000"/>
        <v>-586890.53191489016</v>
      </c>
      <c r="R734">
        <f t="shared" si="1001"/>
        <v>-27560516.068507127</v>
      </c>
      <c r="S734">
        <f t="shared" si="1002"/>
        <v>-275.60516068507127</v>
      </c>
      <c r="T734">
        <f t="shared" si="1003"/>
        <v>-0.27560516068507129</v>
      </c>
    </row>
    <row r="735" spans="1:20" x14ac:dyDescent="0.25">
      <c r="A735" s="5">
        <v>43858</v>
      </c>
      <c r="B735">
        <v>4.1779999999999998E-2</v>
      </c>
      <c r="C735">
        <v>4.4060000000000002E-2</v>
      </c>
      <c r="D735">
        <v>4.1000000000000002E-2</v>
      </c>
      <c r="E735">
        <v>4.3679999999999997E-2</v>
      </c>
      <c r="F735">
        <v>3803329.2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0.75163398692810113</v>
      </c>
      <c r="Q735">
        <f t="shared" si="1000"/>
        <v>2858711.4901960655</v>
      </c>
      <c r="R735">
        <f t="shared" si="1001"/>
        <v>-26973625.536592238</v>
      </c>
      <c r="S735">
        <f t="shared" si="1002"/>
        <v>-269.73625536592237</v>
      </c>
      <c r="T735">
        <f t="shared" si="1003"/>
        <v>-0.26973625536592238</v>
      </c>
    </row>
    <row r="736" spans="1:20" x14ac:dyDescent="0.25">
      <c r="A736" s="5">
        <v>43857</v>
      </c>
      <c r="B736">
        <v>4.1509999999999998E-2</v>
      </c>
      <c r="C736">
        <v>4.2900000000000001E-2</v>
      </c>
      <c r="D736">
        <v>4.1090000000000002E-2</v>
      </c>
      <c r="E736">
        <v>4.1509999999999998E-2</v>
      </c>
      <c r="F736">
        <v>2634694.9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-0.53591160220994805</v>
      </c>
      <c r="Q736">
        <f t="shared" si="1000"/>
        <v>-1411963.5651933788</v>
      </c>
      <c r="R736">
        <f t="shared" si="1001"/>
        <v>-29832337.026788302</v>
      </c>
      <c r="S736">
        <f t="shared" si="1002"/>
        <v>-298.32337026788304</v>
      </c>
      <c r="T736">
        <f t="shared" si="1003"/>
        <v>-0.29832337026788303</v>
      </c>
    </row>
    <row r="737" spans="1:20" x14ac:dyDescent="0.25">
      <c r="A737" s="5">
        <v>43856</v>
      </c>
      <c r="B737">
        <v>4.0320000000000002E-2</v>
      </c>
      <c r="C737">
        <v>4.1910000000000003E-2</v>
      </c>
      <c r="D737">
        <v>4.0309999999999999E-2</v>
      </c>
      <c r="E737">
        <v>4.1500000000000002E-2</v>
      </c>
      <c r="F737">
        <v>1567792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0.48750000000000054</v>
      </c>
      <c r="Q737">
        <f t="shared" si="1000"/>
        <v>764298.60000000091</v>
      </c>
      <c r="R737">
        <f t="shared" si="1001"/>
        <v>-28420373.461594924</v>
      </c>
      <c r="S737">
        <f t="shared" si="1002"/>
        <v>-284.20373461594926</v>
      </c>
      <c r="T737">
        <f t="shared" si="1003"/>
        <v>-0.28420373461594928</v>
      </c>
    </row>
    <row r="738" spans="1:20" x14ac:dyDescent="0.25">
      <c r="A738" s="5">
        <v>43855</v>
      </c>
      <c r="B738">
        <v>4.002E-2</v>
      </c>
      <c r="C738">
        <v>4.1000000000000002E-2</v>
      </c>
      <c r="D738">
        <v>3.857E-2</v>
      </c>
      <c r="E738">
        <v>4.0460000000000003E-2</v>
      </c>
      <c r="F738">
        <v>2211689.7000000002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0.5555555555555568</v>
      </c>
      <c r="Q738">
        <f t="shared" si="1000"/>
        <v>1228716.5000000028</v>
      </c>
      <c r="R738">
        <f t="shared" si="1001"/>
        <v>-29184672.061594926</v>
      </c>
      <c r="S738">
        <f t="shared" si="1002"/>
        <v>-291.84672061594927</v>
      </c>
      <c r="T738">
        <f t="shared" si="1003"/>
        <v>-0.29184672061594924</v>
      </c>
    </row>
    <row r="739" spans="1:20" x14ac:dyDescent="0.25">
      <c r="A739" s="5">
        <v>43854</v>
      </c>
      <c r="B739">
        <v>4.0399999999999998E-2</v>
      </c>
      <c r="C739">
        <v>4.0939999999999997E-2</v>
      </c>
      <c r="D739">
        <v>3.8949999999999999E-2</v>
      </c>
      <c r="E739">
        <v>4.002E-2</v>
      </c>
      <c r="F739">
        <v>975755.8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7.5376884422112767E-2</v>
      </c>
      <c r="Q739">
        <f t="shared" si="1000"/>
        <v>73549.432160806187</v>
      </c>
      <c r="R739">
        <f t="shared" si="1001"/>
        <v>-30413388.56159493</v>
      </c>
      <c r="S739">
        <f t="shared" si="1002"/>
        <v>-304.13388561594928</v>
      </c>
      <c r="T739">
        <f t="shared" si="1003"/>
        <v>-0.30413388561594928</v>
      </c>
    </row>
    <row r="740" spans="1:20" x14ac:dyDescent="0.25">
      <c r="A740" s="5">
        <v>43853</v>
      </c>
      <c r="B740">
        <v>4.163E-2</v>
      </c>
      <c r="C740">
        <v>4.163E-2</v>
      </c>
      <c r="D740">
        <v>3.909E-2</v>
      </c>
      <c r="E740">
        <v>4.0410000000000001E-2</v>
      </c>
      <c r="F740">
        <v>2440116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3.9370078740158597E-2</v>
      </c>
      <c r="Q740">
        <f t="shared" si="1000"/>
        <v>96067.55905512083</v>
      </c>
      <c r="R740">
        <f t="shared" si="1001"/>
        <v>-30486937.993755735</v>
      </c>
      <c r="S740">
        <f t="shared" si="1002"/>
        <v>-304.86937993755737</v>
      </c>
      <c r="T740">
        <f t="shared" si="1003"/>
        <v>-0.30486937993755736</v>
      </c>
    </row>
    <row r="741" spans="1:20" x14ac:dyDescent="0.25">
      <c r="A741" s="5">
        <v>43852</v>
      </c>
      <c r="B741">
        <v>4.2110000000000002E-2</v>
      </c>
      <c r="C741">
        <v>4.2680000000000003E-2</v>
      </c>
      <c r="D741">
        <v>4.1369999999999997E-2</v>
      </c>
      <c r="E741">
        <v>4.2020000000000002E-2</v>
      </c>
      <c r="F741">
        <v>779569.7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-7.6335877862565502E-3</v>
      </c>
      <c r="Q741">
        <f t="shared" si="1000"/>
        <v>-5950.9137404556823</v>
      </c>
      <c r="R741">
        <f t="shared" si="1001"/>
        <v>-30583005.552810855</v>
      </c>
      <c r="S741">
        <f t="shared" si="1002"/>
        <v>-305.83005552810857</v>
      </c>
      <c r="T741">
        <f t="shared" si="1003"/>
        <v>-0.30583005552810855</v>
      </c>
    </row>
    <row r="742" spans="1:20" x14ac:dyDescent="0.25">
      <c r="A742" s="5">
        <v>43851</v>
      </c>
      <c r="B742">
        <v>4.1480000000000003E-2</v>
      </c>
      <c r="C742">
        <v>4.3150000000000001E-2</v>
      </c>
      <c r="D742">
        <v>4.1349999999999998E-2</v>
      </c>
      <c r="E742">
        <v>4.2259999999999999E-2</v>
      </c>
      <c r="F742">
        <v>1348296.7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1.111111111111064E-2</v>
      </c>
      <c r="Q742">
        <f t="shared" si="1000"/>
        <v>14981.074444443808</v>
      </c>
      <c r="R742">
        <f t="shared" si="1001"/>
        <v>-30577054.639070399</v>
      </c>
      <c r="S742">
        <f t="shared" si="1002"/>
        <v>-305.770546390704</v>
      </c>
      <c r="T742">
        <f t="shared" si="1003"/>
        <v>-0.305770546390704</v>
      </c>
    </row>
    <row r="743" spans="1:20" x14ac:dyDescent="0.25">
      <c r="A743" s="5">
        <v>43850</v>
      </c>
      <c r="B743">
        <v>4.2459999999999998E-2</v>
      </c>
      <c r="C743">
        <v>4.2970000000000001E-2</v>
      </c>
      <c r="D743">
        <v>0.04</v>
      </c>
      <c r="E743">
        <v>4.1480000000000003E-2</v>
      </c>
      <c r="F743">
        <v>2639964.6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-3.367003367002061E-3</v>
      </c>
      <c r="Q743">
        <f t="shared" si="1000"/>
        <v>-8888.7696969662502</v>
      </c>
      <c r="R743">
        <f t="shared" si="1001"/>
        <v>-30592035.713514842</v>
      </c>
      <c r="S743">
        <f t="shared" si="1002"/>
        <v>-305.92035713514844</v>
      </c>
      <c r="T743">
        <f t="shared" si="1003"/>
        <v>-0.30592035713514842</v>
      </c>
    </row>
    <row r="744" spans="1:20" x14ac:dyDescent="0.25">
      <c r="A744" s="5">
        <v>43849</v>
      </c>
      <c r="B744">
        <v>4.4200000000000003E-2</v>
      </c>
      <c r="C744">
        <v>4.5339999999999998E-2</v>
      </c>
      <c r="D744">
        <v>4.0570000000000002E-2</v>
      </c>
      <c r="E744">
        <v>4.2590000000000003E-2</v>
      </c>
      <c r="F744">
        <v>2615770.6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-0.15303983228511428</v>
      </c>
      <c r="Q744">
        <f t="shared" si="1000"/>
        <v>-400317.09392033279</v>
      </c>
      <c r="R744">
        <f t="shared" si="1001"/>
        <v>-30583146.943817876</v>
      </c>
      <c r="S744">
        <f t="shared" si="1002"/>
        <v>-305.83146943817877</v>
      </c>
      <c r="T744">
        <f t="shared" si="1003"/>
        <v>-0.30583146943817879</v>
      </c>
    </row>
    <row r="745" spans="1:20" x14ac:dyDescent="0.25">
      <c r="A745" s="5">
        <v>43848</v>
      </c>
      <c r="B745">
        <v>4.4999999999999998E-2</v>
      </c>
      <c r="C745">
        <v>4.5809999999999997E-2</v>
      </c>
      <c r="D745">
        <v>4.3709999999999999E-2</v>
      </c>
      <c r="E745">
        <v>4.462E-2</v>
      </c>
      <c r="F745">
        <v>1403789.2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-0.13333333333333136</v>
      </c>
      <c r="Q745">
        <f t="shared" si="1000"/>
        <v>-187171.89333333055</v>
      </c>
      <c r="R745">
        <f t="shared" si="1001"/>
        <v>-30182829.849897545</v>
      </c>
      <c r="S745">
        <f t="shared" si="1002"/>
        <v>-301.82829849897547</v>
      </c>
      <c r="T745">
        <f t="shared" si="1003"/>
        <v>-0.30182829849897547</v>
      </c>
    </row>
    <row r="746" spans="1:20" x14ac:dyDescent="0.25">
      <c r="A746" s="5">
        <v>43847</v>
      </c>
      <c r="B746">
        <v>4.3529999999999999E-2</v>
      </c>
      <c r="C746">
        <v>4.7320000000000001E-2</v>
      </c>
      <c r="D746">
        <v>4.2999999999999997E-2</v>
      </c>
      <c r="E746">
        <v>4.521E-2</v>
      </c>
      <c r="F746">
        <v>4626992.7</v>
      </c>
      <c r="G746">
        <v>0</v>
      </c>
      <c r="L746" t="s">
        <v>7</v>
      </c>
      <c r="M746" t="s">
        <v>8</v>
      </c>
      <c r="N746" t="s">
        <v>8</v>
      </c>
      <c r="P746">
        <f t="shared" si="999"/>
        <v>2.3148148148148789E-2</v>
      </c>
      <c r="Q746">
        <f t="shared" si="1000"/>
        <v>107106.31250000297</v>
      </c>
      <c r="R746">
        <f t="shared" si="1001"/>
        <v>-29995657.956564214</v>
      </c>
      <c r="S746">
        <f t="shared" si="1002"/>
        <v>-299.95657956564213</v>
      </c>
      <c r="T746">
        <f t="shared" si="1003"/>
        <v>-0.29995657956564215</v>
      </c>
    </row>
    <row r="747" spans="1:20" x14ac:dyDescent="0.25">
      <c r="A747" s="5">
        <v>43846</v>
      </c>
      <c r="B747">
        <v>4.6249999999999999E-2</v>
      </c>
      <c r="C747">
        <v>4.666E-2</v>
      </c>
      <c r="D747">
        <v>4.2979999999999997E-2</v>
      </c>
      <c r="E747">
        <v>4.3740000000000001E-2</v>
      </c>
      <c r="F747">
        <v>2828175.2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-0.58695652173912871</v>
      </c>
      <c r="Q747">
        <f t="shared" si="1000"/>
        <v>-1660015.8782608649</v>
      </c>
      <c r="R747">
        <f t="shared" si="1001"/>
        <v>-30102764.269064218</v>
      </c>
      <c r="S747">
        <f t="shared" si="1002"/>
        <v>-301.02764269064215</v>
      </c>
      <c r="T747">
        <f t="shared" si="1003"/>
        <v>-0.30102764269064214</v>
      </c>
    </row>
    <row r="748" spans="1:20" x14ac:dyDescent="0.25">
      <c r="A748" s="5">
        <v>43845</v>
      </c>
      <c r="B748">
        <v>4.3839999999999997E-2</v>
      </c>
      <c r="C748">
        <v>4.6960000000000002E-2</v>
      </c>
      <c r="D748">
        <v>4.2079999999999999E-2</v>
      </c>
      <c r="E748">
        <v>4.65E-2</v>
      </c>
      <c r="F748">
        <v>6347832.5</v>
      </c>
      <c r="G748">
        <v>0</v>
      </c>
      <c r="L748" t="s">
        <v>7</v>
      </c>
      <c r="M748" t="s">
        <v>8</v>
      </c>
      <c r="N748" t="s">
        <v>8</v>
      </c>
      <c r="P748">
        <f t="shared" si="999"/>
        <v>0.81147540983606481</v>
      </c>
      <c r="Q748">
        <f t="shared" si="1000"/>
        <v>5151109.9795081923</v>
      </c>
      <c r="R748">
        <f t="shared" si="1001"/>
        <v>-28442748.390803352</v>
      </c>
      <c r="S748">
        <f t="shared" si="1002"/>
        <v>-284.42748390803354</v>
      </c>
      <c r="T748">
        <f t="shared" si="1003"/>
        <v>-0.28442748390803352</v>
      </c>
    </row>
    <row r="749" spans="1:20" x14ac:dyDescent="0.25">
      <c r="A749" s="5">
        <v>43844</v>
      </c>
      <c r="B749">
        <v>4.5769999999999998E-2</v>
      </c>
      <c r="C749">
        <v>4.793E-2</v>
      </c>
      <c r="D749">
        <v>4.2560000000000001E-2</v>
      </c>
      <c r="E749">
        <v>4.3839999999999997E-2</v>
      </c>
      <c r="F749">
        <v>8551872.6999999993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-0.5232774674115469</v>
      </c>
      <c r="Q749">
        <f t="shared" si="1000"/>
        <v>-4475002.2880819468</v>
      </c>
      <c r="R749">
        <f t="shared" si="1001"/>
        <v>-33593858.370311543</v>
      </c>
      <c r="S749">
        <f t="shared" si="1002"/>
        <v>-335.93858370311546</v>
      </c>
      <c r="T749">
        <f t="shared" si="1003"/>
        <v>-0.33593858370311547</v>
      </c>
    </row>
    <row r="750" spans="1:20" x14ac:dyDescent="0.25">
      <c r="A750" s="5">
        <v>43843</v>
      </c>
      <c r="B750">
        <v>4.453E-2</v>
      </c>
      <c r="C750">
        <v>4.6109999999999998E-2</v>
      </c>
      <c r="D750">
        <v>4.1709999999999997E-2</v>
      </c>
      <c r="E750">
        <v>4.6089999999999999E-2</v>
      </c>
      <c r="F750">
        <v>7268842.0999999996</v>
      </c>
      <c r="G750">
        <v>0</v>
      </c>
      <c r="L750" t="s">
        <v>7</v>
      </c>
      <c r="M750" t="s">
        <v>8</v>
      </c>
      <c r="N750" t="s">
        <v>8</v>
      </c>
      <c r="P750">
        <f t="shared" si="999"/>
        <v>0.99090909090909129</v>
      </c>
      <c r="Q750">
        <f t="shared" si="1000"/>
        <v>7202761.7172727296</v>
      </c>
      <c r="R750">
        <f t="shared" si="1001"/>
        <v>-29118856.082229599</v>
      </c>
      <c r="S750">
        <f t="shared" si="1002"/>
        <v>-291.18856082229598</v>
      </c>
      <c r="T750">
        <f t="shared" si="1003"/>
        <v>-0.29118856082229599</v>
      </c>
    </row>
    <row r="751" spans="1:20" x14ac:dyDescent="0.25">
      <c r="A751" s="5">
        <v>43842</v>
      </c>
      <c r="B751">
        <v>4.5809999999999997E-2</v>
      </c>
      <c r="C751">
        <v>4.7600000000000003E-2</v>
      </c>
      <c r="D751">
        <v>4.4089999999999997E-2</v>
      </c>
      <c r="E751">
        <v>4.4519999999999997E-2</v>
      </c>
      <c r="F751">
        <v>5922587.5</v>
      </c>
      <c r="G751">
        <v>0</v>
      </c>
      <c r="L751" t="s">
        <v>7</v>
      </c>
      <c r="M751" t="s">
        <v>8</v>
      </c>
      <c r="N751" t="s">
        <v>8</v>
      </c>
      <c r="P751">
        <f t="shared" si="999"/>
        <v>-0.75498575498575549</v>
      </c>
      <c r="Q751">
        <f t="shared" si="1000"/>
        <v>-4471469.1951566981</v>
      </c>
      <c r="R751">
        <f t="shared" si="1001"/>
        <v>-36321617.799502328</v>
      </c>
      <c r="S751">
        <f t="shared" si="1002"/>
        <v>-363.21617799502326</v>
      </c>
      <c r="T751">
        <f t="shared" si="1003"/>
        <v>-0.36321617799502326</v>
      </c>
    </row>
    <row r="752" spans="1:20" x14ac:dyDescent="0.25">
      <c r="A752" s="5">
        <v>43841</v>
      </c>
      <c r="B752">
        <v>4.5949999999999998E-2</v>
      </c>
      <c r="C752">
        <v>4.8300000000000003E-2</v>
      </c>
      <c r="D752">
        <v>4.317E-2</v>
      </c>
      <c r="E752">
        <v>4.58E-2</v>
      </c>
      <c r="F752">
        <v>11032787.4</v>
      </c>
      <c r="G752">
        <v>0</v>
      </c>
      <c r="L752" t="s">
        <v>8</v>
      </c>
      <c r="M752" t="s">
        <v>8</v>
      </c>
      <c r="N752" t="s">
        <v>8</v>
      </c>
      <c r="P752">
        <f t="shared" si="999"/>
        <v>2.534113060428813E-2</v>
      </c>
      <c r="Q752">
        <f t="shared" si="1000"/>
        <v>279583.30643274449</v>
      </c>
      <c r="R752">
        <f t="shared" si="1001"/>
        <v>-31850148.604345627</v>
      </c>
      <c r="S752">
        <f t="shared" si="1002"/>
        <v>-318.50148604345628</v>
      </c>
      <c r="T752">
        <f t="shared" si="1003"/>
        <v>-0.31850148604345629</v>
      </c>
    </row>
    <row r="753" spans="1:20" x14ac:dyDescent="0.25">
      <c r="A753" s="5">
        <v>43840</v>
      </c>
      <c r="B753">
        <v>4.0829999999999998E-2</v>
      </c>
      <c r="C753">
        <v>4.5990000000000003E-2</v>
      </c>
      <c r="D753">
        <v>4.0829999999999998E-2</v>
      </c>
      <c r="E753">
        <v>4.5960000000000001E-2</v>
      </c>
      <c r="F753">
        <v>9822573.3000000007</v>
      </c>
      <c r="G753">
        <v>0</v>
      </c>
      <c r="L753" t="s">
        <v>8</v>
      </c>
      <c r="M753" t="s">
        <v>8</v>
      </c>
      <c r="N753" t="s">
        <v>8</v>
      </c>
      <c r="P753">
        <f t="shared" si="999"/>
        <v>0.98837209302325491</v>
      </c>
      <c r="Q753">
        <f t="shared" si="1000"/>
        <v>9708357.3313953411</v>
      </c>
      <c r="R753">
        <f t="shared" si="1001"/>
        <v>-32129731.910778373</v>
      </c>
      <c r="S753">
        <f t="shared" si="1002"/>
        <v>-321.29731910778372</v>
      </c>
      <c r="T753">
        <f t="shared" si="1003"/>
        <v>-0.3212973191077837</v>
      </c>
    </row>
    <row r="754" spans="1:20" x14ac:dyDescent="0.25">
      <c r="A754" s="5">
        <v>43839</v>
      </c>
      <c r="B754">
        <v>3.9949999999999999E-2</v>
      </c>
      <c r="C754">
        <v>4.3459999999999999E-2</v>
      </c>
      <c r="D754">
        <v>3.9710000000000002E-2</v>
      </c>
      <c r="E754">
        <v>4.0939999999999997E-2</v>
      </c>
      <c r="F754">
        <v>9207616.6999999993</v>
      </c>
      <c r="G754">
        <v>0</v>
      </c>
      <c r="L754" t="s">
        <v>8</v>
      </c>
      <c r="M754" t="s">
        <v>8</v>
      </c>
      <c r="N754" t="s">
        <v>8</v>
      </c>
      <c r="P754">
        <f t="shared" si="999"/>
        <v>-0.34400000000000203</v>
      </c>
      <c r="Q754">
        <f t="shared" si="1000"/>
        <v>-3167420.1448000185</v>
      </c>
      <c r="R754">
        <f t="shared" si="1001"/>
        <v>-41838089.242173716</v>
      </c>
      <c r="S754">
        <f t="shared" si="1002"/>
        <v>-418.38089242173714</v>
      </c>
      <c r="T754">
        <f t="shared" si="1003"/>
        <v>-0.41838089242173715</v>
      </c>
    </row>
    <row r="755" spans="1:20" x14ac:dyDescent="0.25">
      <c r="A755" s="5">
        <v>43838</v>
      </c>
      <c r="B755">
        <v>3.85E-2</v>
      </c>
      <c r="C755">
        <v>4.3540000000000002E-2</v>
      </c>
      <c r="D755">
        <v>3.6909999999999998E-2</v>
      </c>
      <c r="E755">
        <v>4.0120000000000003E-2</v>
      </c>
      <c r="F755">
        <v>12060050.5</v>
      </c>
      <c r="G755">
        <v>0</v>
      </c>
      <c r="L755" t="s">
        <v>7</v>
      </c>
      <c r="M755" t="s">
        <v>8</v>
      </c>
      <c r="N755" t="s">
        <v>8</v>
      </c>
      <c r="P755">
        <f t="shared" si="999"/>
        <v>-3.1674208144795594E-2</v>
      </c>
      <c r="Q755">
        <f t="shared" si="1000"/>
        <v>-381992.54977374617</v>
      </c>
      <c r="R755">
        <f t="shared" si="1001"/>
        <v>-38670669.097373694</v>
      </c>
      <c r="S755">
        <f t="shared" si="1002"/>
        <v>-386.70669097373695</v>
      </c>
      <c r="T755">
        <f t="shared" si="1003"/>
        <v>-0.38670669097373694</v>
      </c>
    </row>
    <row r="756" spans="1:20" x14ac:dyDescent="0.25">
      <c r="A756" s="5">
        <v>43837</v>
      </c>
      <c r="B756">
        <v>4.0030000000000003E-2</v>
      </c>
      <c r="C756">
        <v>4.3369999999999999E-2</v>
      </c>
      <c r="D756">
        <v>3.8219999999999997E-2</v>
      </c>
      <c r="E756">
        <v>3.8739999999999997E-2</v>
      </c>
      <c r="F756">
        <v>14949322.6</v>
      </c>
      <c r="G756">
        <v>0</v>
      </c>
      <c r="L756" t="s">
        <v>8</v>
      </c>
      <c r="M756" t="s">
        <v>8</v>
      </c>
      <c r="N756" t="s">
        <v>8</v>
      </c>
      <c r="P756">
        <f t="shared" si="999"/>
        <v>-0.79805825242718464</v>
      </c>
      <c r="Q756">
        <f t="shared" si="1000"/>
        <v>-11930430.269126216</v>
      </c>
      <c r="R756">
        <f t="shared" si="1001"/>
        <v>-38288676.547599949</v>
      </c>
      <c r="S756">
        <f t="shared" si="1002"/>
        <v>-382.88676547599948</v>
      </c>
      <c r="T756">
        <f t="shared" si="1003"/>
        <v>-0.38288676547599948</v>
      </c>
    </row>
    <row r="757" spans="1:20" x14ac:dyDescent="0.25">
      <c r="A757" s="5">
        <v>43836</v>
      </c>
      <c r="B757">
        <v>3.5349999999999999E-2</v>
      </c>
      <c r="C757">
        <v>4.1090000000000002E-2</v>
      </c>
      <c r="D757">
        <v>3.5209999999999998E-2</v>
      </c>
      <c r="E757">
        <v>4.0219999999999999E-2</v>
      </c>
      <c r="F757">
        <v>5440012.7999999998</v>
      </c>
      <c r="G757">
        <v>0</v>
      </c>
      <c r="L757" t="s">
        <v>8</v>
      </c>
      <c r="M757" t="s">
        <v>8</v>
      </c>
      <c r="N757" t="s">
        <v>8</v>
      </c>
      <c r="P757">
        <f t="shared" si="999"/>
        <v>0.70408163265306045</v>
      </c>
      <c r="Q757">
        <f t="shared" si="1000"/>
        <v>3830213.0938775465</v>
      </c>
      <c r="R757">
        <f t="shared" si="1001"/>
        <v>-26358246.278473731</v>
      </c>
      <c r="S757">
        <f t="shared" si="1002"/>
        <v>-263.58246278473729</v>
      </c>
      <c r="T757">
        <f t="shared" si="1003"/>
        <v>-0.26358246278473729</v>
      </c>
    </row>
    <row r="758" spans="1:20" x14ac:dyDescent="0.25">
      <c r="A758" s="5">
        <v>43835</v>
      </c>
      <c r="B758">
        <v>3.5299999999999998E-2</v>
      </c>
      <c r="C758">
        <v>3.6999999999999998E-2</v>
      </c>
      <c r="D758">
        <v>3.3790000000000001E-2</v>
      </c>
      <c r="E758">
        <v>3.5270000000000003E-2</v>
      </c>
      <c r="F758">
        <v>5121017.7</v>
      </c>
      <c r="G758">
        <v>0</v>
      </c>
      <c r="L758" t="s">
        <v>7</v>
      </c>
      <c r="M758" t="s">
        <v>8</v>
      </c>
      <c r="N758" t="s">
        <v>7</v>
      </c>
      <c r="P758">
        <f t="shared" si="999"/>
        <v>-7.7881619937692673E-2</v>
      </c>
      <c r="Q758">
        <f t="shared" si="1000"/>
        <v>-398833.15420559706</v>
      </c>
      <c r="R758">
        <f t="shared" si="1001"/>
        <v>-30188459.372351278</v>
      </c>
      <c r="S758">
        <f t="shared" si="1002"/>
        <v>-301.88459372351275</v>
      </c>
      <c r="T758">
        <f t="shared" si="1003"/>
        <v>-0.30188459372351273</v>
      </c>
    </row>
    <row r="759" spans="1:20" x14ac:dyDescent="0.25">
      <c r="A759" s="5">
        <v>43834</v>
      </c>
      <c r="B759">
        <v>3.5560000000000001E-2</v>
      </c>
      <c r="C759">
        <v>3.7789999999999997E-2</v>
      </c>
      <c r="D759">
        <v>3.5060000000000001E-2</v>
      </c>
      <c r="E759">
        <v>3.5279999999999999E-2</v>
      </c>
      <c r="F759">
        <v>5262442.4000000004</v>
      </c>
      <c r="G759">
        <v>0</v>
      </c>
      <c r="L759" t="s">
        <v>7</v>
      </c>
      <c r="M759" t="s">
        <v>8</v>
      </c>
      <c r="N759" t="s">
        <v>7</v>
      </c>
      <c r="P759">
        <f t="shared" si="999"/>
        <v>-0.83882783882784007</v>
      </c>
      <c r="Q759">
        <f t="shared" si="1000"/>
        <v>-4414283.185347992</v>
      </c>
      <c r="R759">
        <f t="shared" si="1001"/>
        <v>-29789626.21814568</v>
      </c>
      <c r="S759">
        <f t="shared" si="1002"/>
        <v>-297.89626218145679</v>
      </c>
      <c r="T759">
        <f t="shared" si="1003"/>
        <v>-0.29789626218145682</v>
      </c>
    </row>
    <row r="760" spans="1:20" x14ac:dyDescent="0.25">
      <c r="A760" s="5">
        <v>43833</v>
      </c>
      <c r="B760">
        <v>3.5009999999999999E-2</v>
      </c>
      <c r="C760">
        <v>3.8550000000000001E-2</v>
      </c>
      <c r="D760">
        <v>3.3160000000000002E-2</v>
      </c>
      <c r="E760">
        <v>3.5560000000000001E-2</v>
      </c>
      <c r="F760">
        <v>13771596.1</v>
      </c>
      <c r="G760">
        <v>0</v>
      </c>
      <c r="L760" t="s">
        <v>8</v>
      </c>
      <c r="M760" t="s">
        <v>8</v>
      </c>
      <c r="N760" t="s">
        <v>7</v>
      </c>
      <c r="P760">
        <f t="shared" si="999"/>
        <v>-0.10946196660482381</v>
      </c>
      <c r="Q760">
        <f t="shared" si="1000"/>
        <v>-1507465.9923933218</v>
      </c>
      <c r="R760">
        <f t="shared" si="1001"/>
        <v>-25375343.032797687</v>
      </c>
      <c r="S760">
        <f t="shared" si="1002"/>
        <v>-253.75343032797687</v>
      </c>
      <c r="T760">
        <f t="shared" si="1003"/>
        <v>-0.25375343032797687</v>
      </c>
    </row>
    <row r="761" spans="1:20" x14ac:dyDescent="0.25">
      <c r="A761" s="5">
        <v>43832</v>
      </c>
      <c r="B761">
        <v>3.209E-2</v>
      </c>
      <c r="C761">
        <v>3.6990000000000002E-2</v>
      </c>
      <c r="D761">
        <v>3.1809999999999998E-2</v>
      </c>
      <c r="E761">
        <v>3.4759999999999999E-2</v>
      </c>
      <c r="F761">
        <v>12335878.9</v>
      </c>
      <c r="G761">
        <v>0</v>
      </c>
      <c r="L761" t="s">
        <v>8</v>
      </c>
      <c r="M761" t="s">
        <v>8</v>
      </c>
      <c r="N761" t="s">
        <v>7</v>
      </c>
      <c r="P761">
        <f t="shared" si="999"/>
        <v>0.13899613899613858</v>
      </c>
      <c r="Q761">
        <f t="shared" si="1000"/>
        <v>1714639.5382239332</v>
      </c>
      <c r="R761">
        <f t="shared" si="1001"/>
        <v>-23867877.040404364</v>
      </c>
      <c r="S761">
        <f t="shared" si="1002"/>
        <v>-238.67877040404363</v>
      </c>
      <c r="T761">
        <f t="shared" si="1003"/>
        <v>-0.23867877040404364</v>
      </c>
    </row>
    <row r="762" spans="1:20" x14ac:dyDescent="0.25">
      <c r="A762" s="5">
        <v>43831</v>
      </c>
      <c r="B762">
        <v>3.0970000000000001E-2</v>
      </c>
      <c r="C762">
        <v>3.2599999999999997E-2</v>
      </c>
      <c r="D762">
        <v>3.056E-2</v>
      </c>
      <c r="E762">
        <v>3.2000000000000001E-2</v>
      </c>
      <c r="F762">
        <v>1361696.4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0.41176470588235553</v>
      </c>
      <c r="Q762">
        <f t="shared" si="1000"/>
        <v>560698.51764706231</v>
      </c>
      <c r="R762">
        <f t="shared" si="1001"/>
        <v>-25582516.578628298</v>
      </c>
      <c r="S762">
        <f t="shared" si="1002"/>
        <v>-255.82516578628298</v>
      </c>
      <c r="T762">
        <f t="shared" si="1003"/>
        <v>-0.255825165786283</v>
      </c>
    </row>
    <row r="763" spans="1:20" x14ac:dyDescent="0.25">
      <c r="A763" s="5">
        <v>43830</v>
      </c>
      <c r="B763">
        <v>3.1530000000000002E-2</v>
      </c>
      <c r="C763">
        <v>3.3419999999999998E-2</v>
      </c>
      <c r="D763">
        <v>3.0609999999999998E-2</v>
      </c>
      <c r="E763">
        <v>3.099E-2</v>
      </c>
      <c r="F763">
        <v>4726418.8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-0.72953736654804135</v>
      </c>
      <c r="Q763">
        <f t="shared" si="1000"/>
        <v>-3448099.1245551538</v>
      </c>
      <c r="R763">
        <f t="shared" si="1001"/>
        <v>-26143215.096275359</v>
      </c>
      <c r="S763">
        <f t="shared" si="1002"/>
        <v>-261.43215096275361</v>
      </c>
      <c r="T763">
        <f t="shared" si="1003"/>
        <v>-0.26143215096275363</v>
      </c>
    </row>
    <row r="764" spans="1:20" x14ac:dyDescent="0.25">
      <c r="A764" s="5">
        <v>43829</v>
      </c>
      <c r="B764">
        <v>3.092E-2</v>
      </c>
      <c r="C764">
        <v>3.2050000000000002E-2</v>
      </c>
      <c r="D764">
        <v>3.074E-2</v>
      </c>
      <c r="E764">
        <v>3.1530000000000002E-2</v>
      </c>
      <c r="F764">
        <v>1192884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0.2061068702290095</v>
      </c>
      <c r="Q764">
        <f t="shared" si="1000"/>
        <v>245861.58778626178</v>
      </c>
      <c r="R764">
        <f t="shared" si="1001"/>
        <v>-22695115.971720207</v>
      </c>
      <c r="S764">
        <f t="shared" si="1002"/>
        <v>-226.95115971720207</v>
      </c>
      <c r="T764">
        <f t="shared" si="1003"/>
        <v>-0.22695115971720206</v>
      </c>
    </row>
    <row r="765" spans="1:20" x14ac:dyDescent="0.25">
      <c r="A765" s="5">
        <v>43828</v>
      </c>
      <c r="B765">
        <v>3.124E-2</v>
      </c>
      <c r="C765">
        <v>3.1510000000000003E-2</v>
      </c>
      <c r="D765">
        <v>3.04E-2</v>
      </c>
      <c r="E765">
        <v>3.1029999999999999E-2</v>
      </c>
      <c r="F765">
        <v>1849489.3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0.13513513513512923</v>
      </c>
      <c r="Q765">
        <f t="shared" si="1000"/>
        <v>249930.98648647557</v>
      </c>
      <c r="R765">
        <f t="shared" si="1001"/>
        <v>-22940977.559506468</v>
      </c>
      <c r="S765">
        <f t="shared" si="1002"/>
        <v>-229.40977559506467</v>
      </c>
      <c r="T765">
        <f t="shared" si="1003"/>
        <v>-0.22940977559506467</v>
      </c>
    </row>
    <row r="766" spans="1:20" x14ac:dyDescent="0.25">
      <c r="A766" s="5">
        <v>43827</v>
      </c>
      <c r="B766">
        <v>3.27E-2</v>
      </c>
      <c r="C766">
        <v>3.2939999999999997E-2</v>
      </c>
      <c r="D766">
        <v>3.092E-2</v>
      </c>
      <c r="E766">
        <v>3.1449999999999999E-2</v>
      </c>
      <c r="F766">
        <v>3257809.6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-0.47524752475247539</v>
      </c>
      <c r="Q766">
        <f t="shared" si="1000"/>
        <v>-1548265.948514852</v>
      </c>
      <c r="R766">
        <f t="shared" si="1001"/>
        <v>-23190908.545992944</v>
      </c>
      <c r="S766">
        <f t="shared" si="1002"/>
        <v>-231.90908545992946</v>
      </c>
      <c r="T766">
        <f t="shared" si="1003"/>
        <v>-0.23190908545992947</v>
      </c>
    </row>
    <row r="767" spans="1:20" x14ac:dyDescent="0.25">
      <c r="A767" s="5">
        <v>43826</v>
      </c>
      <c r="B767">
        <v>3.236E-2</v>
      </c>
      <c r="C767">
        <v>3.4090000000000002E-2</v>
      </c>
      <c r="D767">
        <v>3.1669999999999997E-2</v>
      </c>
      <c r="E767">
        <v>3.2669999999999998E-2</v>
      </c>
      <c r="F767">
        <v>1522582.1</v>
      </c>
      <c r="G767">
        <v>0</v>
      </c>
      <c r="L767" t="s">
        <v>7</v>
      </c>
      <c r="M767" t="s">
        <v>8</v>
      </c>
      <c r="N767" t="s">
        <v>7</v>
      </c>
      <c r="P767">
        <f t="shared" ref="P767:P830" si="1004">IF(C767=D767,0,((E767-D767)-(C767-E767))/(C767-D767))</f>
        <v>-0.17355371900826561</v>
      </c>
      <c r="Q767">
        <f t="shared" ref="Q767:Q830" si="1005">F767*P767</f>
        <v>-264249.78595041495</v>
      </c>
      <c r="R767">
        <f t="shared" ref="R767:R830" si="1006">R768+Q767</f>
        <v>-21642642.597478092</v>
      </c>
      <c r="S767">
        <f t="shared" ref="S767:S830" si="1007">R767/100000</f>
        <v>-216.42642597478093</v>
      </c>
      <c r="T767">
        <f t="shared" ref="T767:T830" si="1008">S767/1000</f>
        <v>-0.21642642597478093</v>
      </c>
    </row>
    <row r="768" spans="1:20" x14ac:dyDescent="0.25">
      <c r="A768" s="5">
        <v>43825</v>
      </c>
      <c r="B768">
        <v>3.2390000000000002E-2</v>
      </c>
      <c r="C768">
        <v>3.4479999999999997E-2</v>
      </c>
      <c r="D768">
        <v>3.2000000000000001E-2</v>
      </c>
      <c r="E768">
        <v>3.236E-2</v>
      </c>
      <c r="F768">
        <v>2737431.1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-0.70967741935483886</v>
      </c>
      <c r="Q768">
        <f t="shared" si="1005"/>
        <v>-1942693.038709678</v>
      </c>
      <c r="R768">
        <f t="shared" si="1006"/>
        <v>-21378392.811527677</v>
      </c>
      <c r="S768">
        <f t="shared" si="1007"/>
        <v>-213.78392811527678</v>
      </c>
      <c r="T768">
        <f t="shared" si="1008"/>
        <v>-0.21378392811527677</v>
      </c>
    </row>
    <row r="769" spans="1:20" x14ac:dyDescent="0.25">
      <c r="A769" s="5">
        <v>43824</v>
      </c>
      <c r="B769">
        <v>3.474E-2</v>
      </c>
      <c r="C769">
        <v>3.7600000000000001E-2</v>
      </c>
      <c r="D769">
        <v>3.1510000000000003E-2</v>
      </c>
      <c r="E769">
        <v>3.2390000000000002E-2</v>
      </c>
      <c r="F769">
        <v>4956522.7</v>
      </c>
      <c r="G769">
        <v>0</v>
      </c>
      <c r="L769" t="s">
        <v>8</v>
      </c>
      <c r="M769" t="s">
        <v>8</v>
      </c>
      <c r="N769" t="s">
        <v>7</v>
      </c>
      <c r="P769">
        <f t="shared" si="1004"/>
        <v>-0.71100164203612504</v>
      </c>
      <c r="Q769">
        <f t="shared" si="1005"/>
        <v>-3524095.778489328</v>
      </c>
      <c r="R769">
        <f t="shared" si="1006"/>
        <v>-19435699.772817999</v>
      </c>
      <c r="S769">
        <f t="shared" si="1007"/>
        <v>-194.35699772818</v>
      </c>
      <c r="T769">
        <f t="shared" si="1008"/>
        <v>-0.19435699772817999</v>
      </c>
    </row>
    <row r="770" spans="1:20" x14ac:dyDescent="0.25">
      <c r="A770" s="5">
        <v>43823</v>
      </c>
      <c r="B770">
        <v>3.304E-2</v>
      </c>
      <c r="C770">
        <v>3.6299999999999999E-2</v>
      </c>
      <c r="D770">
        <v>3.2079999999999997E-2</v>
      </c>
      <c r="E770">
        <v>3.4689999999999999E-2</v>
      </c>
      <c r="F770">
        <v>5681961.7000000002</v>
      </c>
      <c r="G770">
        <v>0</v>
      </c>
      <c r="L770" t="s">
        <v>8</v>
      </c>
      <c r="M770" t="s">
        <v>8</v>
      </c>
      <c r="N770" t="s">
        <v>7</v>
      </c>
      <c r="P770">
        <f t="shared" si="1004"/>
        <v>0.23696682464454988</v>
      </c>
      <c r="Q770">
        <f t="shared" si="1005"/>
        <v>1346436.4218009487</v>
      </c>
      <c r="R770">
        <f t="shared" si="1006"/>
        <v>-15911603.99432867</v>
      </c>
      <c r="S770">
        <f t="shared" si="1007"/>
        <v>-159.11603994328669</v>
      </c>
      <c r="T770">
        <f t="shared" si="1008"/>
        <v>-0.15911603994328669</v>
      </c>
    </row>
    <row r="771" spans="1:20" x14ac:dyDescent="0.25">
      <c r="A771" s="5">
        <v>43822</v>
      </c>
      <c r="B771">
        <v>3.2739999999999998E-2</v>
      </c>
      <c r="C771">
        <v>3.3890000000000003E-2</v>
      </c>
      <c r="D771">
        <v>3.209E-2</v>
      </c>
      <c r="E771">
        <v>3.304E-2</v>
      </c>
      <c r="F771">
        <v>1683680.9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5.55555555555532E-2</v>
      </c>
      <c r="Q771">
        <f t="shared" si="1005"/>
        <v>93537.827777773811</v>
      </c>
      <c r="R771">
        <f t="shared" si="1006"/>
        <v>-17258040.416129619</v>
      </c>
      <c r="S771">
        <f t="shared" si="1007"/>
        <v>-172.5804041612962</v>
      </c>
      <c r="T771">
        <f t="shared" si="1008"/>
        <v>-0.17258040416129619</v>
      </c>
    </row>
    <row r="772" spans="1:20" x14ac:dyDescent="0.25">
      <c r="A772" s="5">
        <v>43821</v>
      </c>
      <c r="B772">
        <v>3.2099999999999997E-2</v>
      </c>
      <c r="C772">
        <v>3.3890000000000003E-2</v>
      </c>
      <c r="D772">
        <v>3.1640000000000001E-2</v>
      </c>
      <c r="E772">
        <v>3.2739999999999998E-2</v>
      </c>
      <c r="F772">
        <v>2115253.7999999998</v>
      </c>
      <c r="G772">
        <v>0</v>
      </c>
      <c r="L772" t="s">
        <v>8</v>
      </c>
      <c r="M772" t="s">
        <v>8</v>
      </c>
      <c r="N772" t="s">
        <v>7</v>
      </c>
      <c r="P772">
        <f t="shared" si="1004"/>
        <v>-2.2222222222225922E-2</v>
      </c>
      <c r="Q772">
        <f t="shared" si="1005"/>
        <v>-47005.640000007821</v>
      </c>
      <c r="R772">
        <f t="shared" si="1006"/>
        <v>-17351578.243907392</v>
      </c>
      <c r="S772">
        <f t="shared" si="1007"/>
        <v>-173.51578243907392</v>
      </c>
      <c r="T772">
        <f t="shared" si="1008"/>
        <v>-0.17351578243907392</v>
      </c>
    </row>
    <row r="773" spans="1:20" x14ac:dyDescent="0.25">
      <c r="A773" s="5">
        <v>43820</v>
      </c>
      <c r="B773">
        <v>3.1899999999999998E-2</v>
      </c>
      <c r="C773">
        <v>3.2309999999999998E-2</v>
      </c>
      <c r="D773">
        <v>3.1E-2</v>
      </c>
      <c r="E773">
        <v>3.1899999999999998E-2</v>
      </c>
      <c r="F773">
        <v>726036.2</v>
      </c>
      <c r="G773">
        <v>0</v>
      </c>
      <c r="L773" t="s">
        <v>8</v>
      </c>
      <c r="M773" t="s">
        <v>8</v>
      </c>
      <c r="N773" t="s">
        <v>7</v>
      </c>
      <c r="P773">
        <f t="shared" si="1004"/>
        <v>0.37404580152671596</v>
      </c>
      <c r="Q773">
        <f t="shared" si="1005"/>
        <v>271570.79236641101</v>
      </c>
      <c r="R773">
        <f t="shared" si="1006"/>
        <v>-17304572.603907384</v>
      </c>
      <c r="S773">
        <f t="shared" si="1007"/>
        <v>-173.04572603907383</v>
      </c>
      <c r="T773">
        <f t="shared" si="1008"/>
        <v>-0.17304572603907384</v>
      </c>
    </row>
    <row r="774" spans="1:20" x14ac:dyDescent="0.25">
      <c r="A774" s="5">
        <v>43819</v>
      </c>
      <c r="B774">
        <v>3.1489999999999997E-2</v>
      </c>
      <c r="C774">
        <v>3.2710000000000003E-2</v>
      </c>
      <c r="D774">
        <v>3.0689999999999999E-2</v>
      </c>
      <c r="E774">
        <v>3.1890000000000002E-2</v>
      </c>
      <c r="F774">
        <v>1150416.7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0.18811881188118862</v>
      </c>
      <c r="Q774">
        <f t="shared" si="1005"/>
        <v>216415.02277227779</v>
      </c>
      <c r="R774">
        <f t="shared" si="1006"/>
        <v>-17576143.396273796</v>
      </c>
      <c r="S774">
        <f t="shared" si="1007"/>
        <v>-175.76143396273795</v>
      </c>
      <c r="T774">
        <f t="shared" si="1008"/>
        <v>-0.17576143396273797</v>
      </c>
    </row>
    <row r="775" spans="1:20" x14ac:dyDescent="0.25">
      <c r="A775" s="5">
        <v>43818</v>
      </c>
      <c r="B775">
        <v>3.2160000000000001E-2</v>
      </c>
      <c r="C775">
        <v>3.245E-2</v>
      </c>
      <c r="D775">
        <v>3.0550000000000001E-2</v>
      </c>
      <c r="E775">
        <v>3.1419999999999997E-2</v>
      </c>
      <c r="F775">
        <v>948852.8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-8.4210526315793399E-2</v>
      </c>
      <c r="Q775">
        <f t="shared" si="1005"/>
        <v>-79903.393684214258</v>
      </c>
      <c r="R775">
        <f t="shared" si="1006"/>
        <v>-17792558.419046074</v>
      </c>
      <c r="S775">
        <f t="shared" si="1007"/>
        <v>-177.92558419046074</v>
      </c>
      <c r="T775">
        <f t="shared" si="1008"/>
        <v>-0.17792558419046073</v>
      </c>
    </row>
    <row r="776" spans="1:20" x14ac:dyDescent="0.25">
      <c r="A776" s="5">
        <v>43817</v>
      </c>
      <c r="B776">
        <v>2.9000000000000001E-2</v>
      </c>
      <c r="C776">
        <v>3.2989999999999998E-2</v>
      </c>
      <c r="D776">
        <v>2.751E-2</v>
      </c>
      <c r="E776">
        <v>3.2160000000000001E-2</v>
      </c>
      <c r="F776">
        <v>2832195.6</v>
      </c>
      <c r="G776">
        <v>0</v>
      </c>
      <c r="L776" t="s">
        <v>7</v>
      </c>
      <c r="M776" t="s">
        <v>8</v>
      </c>
      <c r="N776" t="s">
        <v>7</v>
      </c>
      <c r="P776">
        <f t="shared" si="1004"/>
        <v>0.69708029197080379</v>
      </c>
      <c r="Q776">
        <f t="shared" si="1005"/>
        <v>1974267.735766426</v>
      </c>
      <c r="R776">
        <f t="shared" si="1006"/>
        <v>-17712655.025361858</v>
      </c>
      <c r="S776">
        <f t="shared" si="1007"/>
        <v>-177.12655025361857</v>
      </c>
      <c r="T776">
        <f t="shared" si="1008"/>
        <v>-0.17712655025361856</v>
      </c>
    </row>
    <row r="777" spans="1:20" x14ac:dyDescent="0.25">
      <c r="A777" s="5">
        <v>43816</v>
      </c>
      <c r="B777">
        <v>3.2399999999999998E-2</v>
      </c>
      <c r="C777">
        <v>3.2829999999999998E-2</v>
      </c>
      <c r="D777">
        <v>2.8230000000000002E-2</v>
      </c>
      <c r="E777">
        <v>2.9080000000000002E-2</v>
      </c>
      <c r="F777">
        <v>3667339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-0.63043478260869534</v>
      </c>
      <c r="Q777">
        <f t="shared" si="1005"/>
        <v>-2312018.0652173902</v>
      </c>
      <c r="R777">
        <f t="shared" si="1006"/>
        <v>-19686922.761128284</v>
      </c>
      <c r="S777">
        <f t="shared" si="1007"/>
        <v>-196.86922761128284</v>
      </c>
      <c r="T777">
        <f t="shared" si="1008"/>
        <v>-0.19686922761128284</v>
      </c>
    </row>
    <row r="778" spans="1:20" x14ac:dyDescent="0.25">
      <c r="A778" s="5">
        <v>43815</v>
      </c>
      <c r="B778">
        <v>3.5920000000000001E-2</v>
      </c>
      <c r="C778">
        <v>3.6540000000000003E-2</v>
      </c>
      <c r="D778">
        <v>3.1690000000000003E-2</v>
      </c>
      <c r="E778">
        <v>3.2280000000000003E-2</v>
      </c>
      <c r="F778">
        <v>4972912.7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-0.75670103092783492</v>
      </c>
      <c r="Q778">
        <f t="shared" si="1005"/>
        <v>-3763008.1668041232</v>
      </c>
      <c r="R778">
        <f t="shared" si="1006"/>
        <v>-17374904.695910893</v>
      </c>
      <c r="S778">
        <f t="shared" si="1007"/>
        <v>-173.74904695910894</v>
      </c>
      <c r="T778">
        <f t="shared" si="1008"/>
        <v>-0.17374904695910895</v>
      </c>
    </row>
    <row r="779" spans="1:20" x14ac:dyDescent="0.25">
      <c r="A779" s="5">
        <v>43814</v>
      </c>
      <c r="B779">
        <v>3.662E-2</v>
      </c>
      <c r="C779">
        <v>3.6729999999999999E-2</v>
      </c>
      <c r="D779">
        <v>3.4259999999999999E-2</v>
      </c>
      <c r="E779">
        <v>3.6069999999999998E-2</v>
      </c>
      <c r="F779">
        <v>7389764.5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0.46558704453441224</v>
      </c>
      <c r="Q779">
        <f t="shared" si="1005"/>
        <v>3440578.6133603188</v>
      </c>
      <c r="R779">
        <f t="shared" si="1006"/>
        <v>-13611896.52910677</v>
      </c>
      <c r="S779">
        <f t="shared" si="1007"/>
        <v>-136.1189652910677</v>
      </c>
      <c r="T779">
        <f t="shared" si="1008"/>
        <v>-0.13611896529106771</v>
      </c>
    </row>
    <row r="780" spans="1:20" x14ac:dyDescent="0.25">
      <c r="A780" s="5">
        <v>43813</v>
      </c>
      <c r="B780">
        <v>3.4660000000000003E-2</v>
      </c>
      <c r="C780">
        <v>3.7960000000000001E-2</v>
      </c>
      <c r="D780">
        <v>3.3799999999999997E-2</v>
      </c>
      <c r="E780">
        <v>3.6560000000000002E-2</v>
      </c>
      <c r="F780">
        <v>6707892.9000000004</v>
      </c>
      <c r="G780">
        <v>0</v>
      </c>
      <c r="L780" t="s">
        <v>8</v>
      </c>
      <c r="M780" t="s">
        <v>7</v>
      </c>
      <c r="N780" t="s">
        <v>7</v>
      </c>
      <c r="P780">
        <f t="shared" si="1004"/>
        <v>0.32692307692307832</v>
      </c>
      <c r="Q780">
        <f t="shared" si="1005"/>
        <v>2192964.9865384712</v>
      </c>
      <c r="R780">
        <f t="shared" si="1006"/>
        <v>-17052475.142467089</v>
      </c>
      <c r="S780">
        <f t="shared" si="1007"/>
        <v>-170.52475142467088</v>
      </c>
      <c r="T780">
        <f t="shared" si="1008"/>
        <v>-0.17052475142467088</v>
      </c>
    </row>
    <row r="781" spans="1:20" x14ac:dyDescent="0.25">
      <c r="A781" s="5">
        <v>43812</v>
      </c>
      <c r="B781">
        <v>3.4139999999999997E-2</v>
      </c>
      <c r="C781">
        <v>3.6790000000000003E-2</v>
      </c>
      <c r="D781">
        <v>3.3349999999999998E-2</v>
      </c>
      <c r="E781">
        <v>3.483E-2</v>
      </c>
      <c r="F781">
        <v>1783666.8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-0.13953488372093037</v>
      </c>
      <c r="Q781">
        <f t="shared" si="1005"/>
        <v>-248883.73953488396</v>
      </c>
      <c r="R781">
        <f t="shared" si="1006"/>
        <v>-19245440.129005559</v>
      </c>
      <c r="S781">
        <f t="shared" si="1007"/>
        <v>-192.45440129005559</v>
      </c>
      <c r="T781">
        <f t="shared" si="1008"/>
        <v>-0.19245440129005559</v>
      </c>
    </row>
    <row r="782" spans="1:20" x14ac:dyDescent="0.25">
      <c r="A782" s="5">
        <v>43811</v>
      </c>
      <c r="B782">
        <v>3.3840000000000002E-2</v>
      </c>
      <c r="C782">
        <v>3.4040000000000001E-2</v>
      </c>
      <c r="D782">
        <v>3.2559999999999999E-2</v>
      </c>
      <c r="E782">
        <v>3.4000000000000002E-2</v>
      </c>
      <c r="F782">
        <v>1200592.2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0.94594594594594827</v>
      </c>
      <c r="Q782">
        <f t="shared" si="1005"/>
        <v>1135695.3243243271</v>
      </c>
      <c r="R782">
        <f t="shared" si="1006"/>
        <v>-18996556.389470674</v>
      </c>
      <c r="S782">
        <f t="shared" si="1007"/>
        <v>-189.96556389470675</v>
      </c>
      <c r="T782">
        <f t="shared" si="1008"/>
        <v>-0.18996556389470676</v>
      </c>
    </row>
    <row r="783" spans="1:20" x14ac:dyDescent="0.25">
      <c r="A783" s="5">
        <v>43810</v>
      </c>
      <c r="B783">
        <v>3.4250000000000003E-2</v>
      </c>
      <c r="C783">
        <v>3.8199999999999998E-2</v>
      </c>
      <c r="D783">
        <v>3.2800000000000003E-2</v>
      </c>
      <c r="E783">
        <v>3.3669999999999999E-2</v>
      </c>
      <c r="F783">
        <v>3325175.3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-0.67777777777777903</v>
      </c>
      <c r="Q783">
        <f t="shared" si="1005"/>
        <v>-2253729.9255555598</v>
      </c>
      <c r="R783">
        <f t="shared" si="1006"/>
        <v>-20132251.713795003</v>
      </c>
      <c r="S783">
        <f t="shared" si="1007"/>
        <v>-201.32251713795003</v>
      </c>
      <c r="T783">
        <f t="shared" si="1008"/>
        <v>-0.20132251713795002</v>
      </c>
    </row>
    <row r="784" spans="1:20" x14ac:dyDescent="0.25">
      <c r="A784" s="5">
        <v>43809</v>
      </c>
      <c r="B784">
        <v>3.6560000000000002E-2</v>
      </c>
      <c r="C784">
        <v>3.6560000000000002E-2</v>
      </c>
      <c r="D784">
        <v>3.3079999999999998E-2</v>
      </c>
      <c r="E784">
        <v>3.4430000000000002E-2</v>
      </c>
      <c r="F784">
        <v>3352702.4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-0.22413793103448135</v>
      </c>
      <c r="Q784">
        <f t="shared" si="1005"/>
        <v>-751467.77931034006</v>
      </c>
      <c r="R784">
        <f t="shared" si="1006"/>
        <v>-17878521.788239442</v>
      </c>
      <c r="S784">
        <f t="shared" si="1007"/>
        <v>-178.78521788239442</v>
      </c>
      <c r="T784">
        <f t="shared" si="1008"/>
        <v>-0.17878521788239443</v>
      </c>
    </row>
    <row r="785" spans="1:20" x14ac:dyDescent="0.25">
      <c r="A785" s="5">
        <v>43808</v>
      </c>
      <c r="B785">
        <v>3.7839999999999999E-2</v>
      </c>
      <c r="C785">
        <v>3.8699999999999998E-2</v>
      </c>
      <c r="D785">
        <v>3.6159999999999998E-2</v>
      </c>
      <c r="E785">
        <v>3.6560000000000002E-2</v>
      </c>
      <c r="F785">
        <v>2094630.3</v>
      </c>
      <c r="G785">
        <v>0</v>
      </c>
      <c r="L785" t="s">
        <v>7</v>
      </c>
      <c r="M785" t="s">
        <v>7</v>
      </c>
      <c r="N785" t="s">
        <v>8</v>
      </c>
      <c r="P785">
        <f t="shared" si="1004"/>
        <v>-0.68503937007873672</v>
      </c>
      <c r="Q785">
        <f t="shared" si="1005"/>
        <v>-1434904.2212598354</v>
      </c>
      <c r="R785">
        <f t="shared" si="1006"/>
        <v>-17127054.008929104</v>
      </c>
      <c r="S785">
        <f t="shared" si="1007"/>
        <v>-171.27054008929105</v>
      </c>
      <c r="T785">
        <f t="shared" si="1008"/>
        <v>-0.17127054008929105</v>
      </c>
    </row>
    <row r="786" spans="1:20" x14ac:dyDescent="0.25">
      <c r="A786" s="5">
        <v>43807</v>
      </c>
      <c r="B786">
        <v>3.8530000000000002E-2</v>
      </c>
      <c r="C786">
        <v>3.8730000000000001E-2</v>
      </c>
      <c r="D786">
        <v>3.7130000000000003E-2</v>
      </c>
      <c r="E786">
        <v>3.7769999999999998E-2</v>
      </c>
      <c r="F786">
        <v>2097635.7000000002</v>
      </c>
      <c r="G786">
        <v>0</v>
      </c>
      <c r="L786" t="s">
        <v>7</v>
      </c>
      <c r="M786" t="s">
        <v>7</v>
      </c>
      <c r="N786" t="s">
        <v>8</v>
      </c>
      <c r="P786">
        <f t="shared" si="1004"/>
        <v>-0.2000000000000052</v>
      </c>
      <c r="Q786">
        <f t="shared" si="1005"/>
        <v>-419527.14000001096</v>
      </c>
      <c r="R786">
        <f t="shared" si="1006"/>
        <v>-15692149.787669268</v>
      </c>
      <c r="S786">
        <f t="shared" si="1007"/>
        <v>-156.92149787669268</v>
      </c>
      <c r="T786">
        <f t="shared" si="1008"/>
        <v>-0.15692149787669268</v>
      </c>
    </row>
    <row r="787" spans="1:20" x14ac:dyDescent="0.25">
      <c r="A787" s="5">
        <v>43806</v>
      </c>
      <c r="B787">
        <v>3.9239999999999997E-2</v>
      </c>
      <c r="C787">
        <v>4.836E-2</v>
      </c>
      <c r="D787">
        <v>3.8440000000000002E-2</v>
      </c>
      <c r="E787">
        <v>3.882E-2</v>
      </c>
      <c r="F787">
        <v>3009463.4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-0.92338709677419384</v>
      </c>
      <c r="Q787">
        <f t="shared" si="1005"/>
        <v>-2778899.6717741941</v>
      </c>
      <c r="R787">
        <f t="shared" si="1006"/>
        <v>-15272622.647669256</v>
      </c>
      <c r="S787">
        <f t="shared" si="1007"/>
        <v>-152.72622647669255</v>
      </c>
      <c r="T787">
        <f t="shared" si="1008"/>
        <v>-0.15272622647669254</v>
      </c>
    </row>
    <row r="788" spans="1:20" x14ac:dyDescent="0.25">
      <c r="A788" s="5">
        <v>43805</v>
      </c>
      <c r="B788">
        <v>3.805E-2</v>
      </c>
      <c r="C788">
        <v>3.9350000000000003E-2</v>
      </c>
      <c r="D788">
        <v>3.5999999999999997E-2</v>
      </c>
      <c r="E788">
        <v>3.9149999999999997E-2</v>
      </c>
      <c r="F788">
        <v>4222599.8</v>
      </c>
      <c r="G788">
        <v>0</v>
      </c>
      <c r="L788" t="s">
        <v>8</v>
      </c>
      <c r="M788" t="s">
        <v>7</v>
      </c>
      <c r="N788" t="s">
        <v>7</v>
      </c>
      <c r="P788">
        <f t="shared" si="1004"/>
        <v>0.8805970149253699</v>
      </c>
      <c r="Q788">
        <f t="shared" si="1005"/>
        <v>3718408.7791044638</v>
      </c>
      <c r="R788">
        <f t="shared" si="1006"/>
        <v>-12493722.975895062</v>
      </c>
      <c r="S788">
        <f t="shared" si="1007"/>
        <v>-124.93722975895062</v>
      </c>
      <c r="T788">
        <f t="shared" si="1008"/>
        <v>-0.12493722975895062</v>
      </c>
    </row>
    <row r="789" spans="1:20" x14ac:dyDescent="0.25">
      <c r="A789" s="5">
        <v>43804</v>
      </c>
      <c r="B789">
        <v>3.5200000000000002E-2</v>
      </c>
      <c r="C789">
        <v>3.8240000000000003E-2</v>
      </c>
      <c r="D789">
        <v>3.4110000000000001E-2</v>
      </c>
      <c r="E789">
        <v>3.8240000000000003E-2</v>
      </c>
      <c r="F789">
        <v>3678817.3</v>
      </c>
      <c r="G789">
        <v>0</v>
      </c>
      <c r="L789" t="s">
        <v>8</v>
      </c>
      <c r="M789" t="s">
        <v>7</v>
      </c>
      <c r="N789" t="s">
        <v>7</v>
      </c>
      <c r="P789">
        <f t="shared" si="1004"/>
        <v>1</v>
      </c>
      <c r="Q789">
        <f t="shared" si="1005"/>
        <v>3678817.3</v>
      </c>
      <c r="R789">
        <f t="shared" si="1006"/>
        <v>-16212131.754999526</v>
      </c>
      <c r="S789">
        <f t="shared" si="1007"/>
        <v>-162.12131754999527</v>
      </c>
      <c r="T789">
        <f t="shared" si="1008"/>
        <v>-0.16212131754999526</v>
      </c>
    </row>
    <row r="790" spans="1:20" x14ac:dyDescent="0.25">
      <c r="A790" s="5">
        <v>43803</v>
      </c>
      <c r="B790">
        <v>3.866E-2</v>
      </c>
      <c r="C790">
        <v>0.04</v>
      </c>
      <c r="D790">
        <v>3.449E-2</v>
      </c>
      <c r="E790">
        <v>3.524E-2</v>
      </c>
      <c r="F790">
        <v>4222539.8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-0.72776769509981831</v>
      </c>
      <c r="Q790">
        <f t="shared" si="1005"/>
        <v>-3073028.0577132478</v>
      </c>
      <c r="R790">
        <f t="shared" si="1006"/>
        <v>-19890949.054999527</v>
      </c>
      <c r="S790">
        <f t="shared" si="1007"/>
        <v>-198.90949054999527</v>
      </c>
      <c r="T790">
        <f t="shared" si="1008"/>
        <v>-0.19890949054999527</v>
      </c>
    </row>
    <row r="791" spans="1:20" x14ac:dyDescent="0.25">
      <c r="A791" s="5">
        <v>43802</v>
      </c>
      <c r="B791">
        <v>3.7620000000000001E-2</v>
      </c>
      <c r="C791">
        <v>3.9460000000000002E-2</v>
      </c>
      <c r="D791">
        <v>3.7150000000000002E-2</v>
      </c>
      <c r="E791">
        <v>3.8949999999999999E-2</v>
      </c>
      <c r="F791">
        <v>2136517.9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0.5584415584415553</v>
      </c>
      <c r="Q791">
        <f t="shared" si="1005"/>
        <v>1193120.385714279</v>
      </c>
      <c r="R791">
        <f t="shared" si="1006"/>
        <v>-16817920.997286279</v>
      </c>
      <c r="S791">
        <f t="shared" si="1007"/>
        <v>-168.17920997286279</v>
      </c>
      <c r="T791">
        <f t="shared" si="1008"/>
        <v>-0.16817920997286279</v>
      </c>
    </row>
    <row r="792" spans="1:20" x14ac:dyDescent="0.25">
      <c r="A792" s="5">
        <v>43801</v>
      </c>
      <c r="B792">
        <v>3.8699999999999998E-2</v>
      </c>
      <c r="C792">
        <v>3.9419999999999997E-2</v>
      </c>
      <c r="D792">
        <v>3.6880000000000003E-2</v>
      </c>
      <c r="E792">
        <v>3.7519999999999998E-2</v>
      </c>
      <c r="F792">
        <v>1265272.3999999999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-0.49606299212598715</v>
      </c>
      <c r="Q792">
        <f t="shared" si="1005"/>
        <v>-627654.81259842881</v>
      </c>
      <c r="R792">
        <f t="shared" si="1006"/>
        <v>-18011041.383000556</v>
      </c>
      <c r="S792">
        <f t="shared" si="1007"/>
        <v>-180.11041383000557</v>
      </c>
      <c r="T792">
        <f t="shared" si="1008"/>
        <v>-0.18011041383000556</v>
      </c>
    </row>
    <row r="793" spans="1:20" x14ac:dyDescent="0.25">
      <c r="A793" s="5">
        <v>43800</v>
      </c>
      <c r="B793">
        <v>4.0500000000000001E-2</v>
      </c>
      <c r="C793">
        <v>4.0500000000000001E-2</v>
      </c>
      <c r="D793">
        <v>3.7940000000000002E-2</v>
      </c>
      <c r="E793">
        <v>3.8870000000000002E-2</v>
      </c>
      <c r="F793">
        <v>1511018.7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-0.27343749999999972</v>
      </c>
      <c r="Q793">
        <f t="shared" si="1005"/>
        <v>-413169.17578124959</v>
      </c>
      <c r="R793">
        <f t="shared" si="1006"/>
        <v>-17383386.570402127</v>
      </c>
      <c r="S793">
        <f t="shared" si="1007"/>
        <v>-173.83386570402126</v>
      </c>
      <c r="T793">
        <f t="shared" si="1008"/>
        <v>-0.17383386570402126</v>
      </c>
    </row>
    <row r="794" spans="1:20" x14ac:dyDescent="0.25">
      <c r="A794" s="5">
        <v>43799</v>
      </c>
      <c r="B794">
        <v>4.1599999999999998E-2</v>
      </c>
      <c r="C794">
        <v>4.2999999999999997E-2</v>
      </c>
      <c r="D794">
        <v>3.9390000000000001E-2</v>
      </c>
      <c r="E794">
        <v>4.07E-2</v>
      </c>
      <c r="F794">
        <v>4390526.9000000004</v>
      </c>
      <c r="G794">
        <v>0</v>
      </c>
      <c r="L794" t="s">
        <v>8</v>
      </c>
      <c r="M794" t="s">
        <v>7</v>
      </c>
      <c r="N794" t="s">
        <v>7</v>
      </c>
      <c r="P794">
        <f t="shared" si="1004"/>
        <v>-0.27423822714681417</v>
      </c>
      <c r="Q794">
        <f t="shared" si="1005"/>
        <v>-1204050.3132963979</v>
      </c>
      <c r="R794">
        <f t="shared" si="1006"/>
        <v>-16970217.394620877</v>
      </c>
      <c r="S794">
        <f t="shared" si="1007"/>
        <v>-169.70217394620877</v>
      </c>
      <c r="T794">
        <f t="shared" si="1008"/>
        <v>-0.16970217394620876</v>
      </c>
    </row>
    <row r="795" spans="1:20" x14ac:dyDescent="0.25">
      <c r="A795" s="5">
        <v>43798</v>
      </c>
      <c r="B795">
        <v>4.011E-2</v>
      </c>
      <c r="C795">
        <v>4.249E-2</v>
      </c>
      <c r="D795">
        <v>4.011E-2</v>
      </c>
      <c r="E795">
        <v>4.1590000000000002E-2</v>
      </c>
      <c r="F795">
        <v>1812362.2</v>
      </c>
      <c r="G795">
        <v>0</v>
      </c>
      <c r="L795" t="s">
        <v>8</v>
      </c>
      <c r="M795" t="s">
        <v>7</v>
      </c>
      <c r="N795" t="s">
        <v>7</v>
      </c>
      <c r="P795">
        <f t="shared" si="1004"/>
        <v>0.24369747899159835</v>
      </c>
      <c r="Q795">
        <f t="shared" si="1005"/>
        <v>441668.09915966698</v>
      </c>
      <c r="R795">
        <f t="shared" si="1006"/>
        <v>-15766167.08132448</v>
      </c>
      <c r="S795">
        <f t="shared" si="1007"/>
        <v>-157.6616708132448</v>
      </c>
      <c r="T795">
        <f t="shared" si="1008"/>
        <v>-0.15766167081324481</v>
      </c>
    </row>
    <row r="796" spans="1:20" x14ac:dyDescent="0.25">
      <c r="A796" s="5">
        <v>43797</v>
      </c>
      <c r="B796">
        <v>4.1059999999999999E-2</v>
      </c>
      <c r="C796">
        <v>4.1540000000000001E-2</v>
      </c>
      <c r="D796">
        <v>3.9039999999999998E-2</v>
      </c>
      <c r="E796">
        <v>4.036E-2</v>
      </c>
      <c r="F796">
        <v>1824475.6</v>
      </c>
      <c r="G796">
        <v>0</v>
      </c>
      <c r="L796" t="s">
        <v>7</v>
      </c>
      <c r="M796" t="s">
        <v>7</v>
      </c>
      <c r="N796" t="s">
        <v>7</v>
      </c>
      <c r="P796">
        <f t="shared" si="1004"/>
        <v>5.6000000000000445E-2</v>
      </c>
      <c r="Q796">
        <f t="shared" si="1005"/>
        <v>102170.63360000082</v>
      </c>
      <c r="R796">
        <f t="shared" si="1006"/>
        <v>-16207835.180484148</v>
      </c>
      <c r="S796">
        <f t="shared" si="1007"/>
        <v>-162.07835180484147</v>
      </c>
      <c r="T796">
        <f t="shared" si="1008"/>
        <v>-0.16207835180484148</v>
      </c>
    </row>
    <row r="797" spans="1:20" x14ac:dyDescent="0.25">
      <c r="A797" s="5">
        <v>43796</v>
      </c>
      <c r="B797">
        <v>4.0460000000000003E-2</v>
      </c>
      <c r="C797">
        <v>4.2590000000000003E-2</v>
      </c>
      <c r="D797">
        <v>3.7339999999999998E-2</v>
      </c>
      <c r="E797">
        <v>4.0919999999999998E-2</v>
      </c>
      <c r="F797">
        <v>3634758.1</v>
      </c>
      <c r="G797">
        <v>0</v>
      </c>
      <c r="L797" t="s">
        <v>8</v>
      </c>
      <c r="M797" t="s">
        <v>7</v>
      </c>
      <c r="N797" t="s">
        <v>7</v>
      </c>
      <c r="P797">
        <f t="shared" si="1004"/>
        <v>0.36380952380952253</v>
      </c>
      <c r="Q797">
        <f t="shared" si="1005"/>
        <v>1322359.6135238048</v>
      </c>
      <c r="R797">
        <f t="shared" si="1006"/>
        <v>-16310005.814084148</v>
      </c>
      <c r="S797">
        <f t="shared" si="1007"/>
        <v>-163.10005814084147</v>
      </c>
      <c r="T797">
        <f t="shared" si="1008"/>
        <v>-0.16310005814084147</v>
      </c>
    </row>
    <row r="798" spans="1:20" x14ac:dyDescent="0.25">
      <c r="A798" s="5">
        <v>43795</v>
      </c>
      <c r="B798">
        <v>3.9489999999999997E-2</v>
      </c>
      <c r="C798">
        <v>4.2000000000000003E-2</v>
      </c>
      <c r="D798">
        <v>3.8609999999999998E-2</v>
      </c>
      <c r="E798">
        <v>4.054E-2</v>
      </c>
      <c r="F798">
        <v>3788586.2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0.13864306784660696</v>
      </c>
      <c r="Q798">
        <f t="shared" si="1005"/>
        <v>525261.21356931888</v>
      </c>
      <c r="R798">
        <f t="shared" si="1006"/>
        <v>-17632365.427607954</v>
      </c>
      <c r="S798">
        <f t="shared" si="1007"/>
        <v>-176.32365427607954</v>
      </c>
      <c r="T798">
        <f t="shared" si="1008"/>
        <v>-0.17632365427607954</v>
      </c>
    </row>
    <row r="799" spans="1:20" x14ac:dyDescent="0.25">
      <c r="A799" s="5">
        <v>43794</v>
      </c>
      <c r="B799">
        <v>4.2079999999999999E-2</v>
      </c>
      <c r="C799">
        <v>4.3979999999999998E-2</v>
      </c>
      <c r="D799">
        <v>3.7150000000000002E-2</v>
      </c>
      <c r="E799">
        <v>3.9440000000000003E-2</v>
      </c>
      <c r="F799">
        <v>7203842.2999999998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-0.32942898975109758</v>
      </c>
      <c r="Q799">
        <f t="shared" si="1005"/>
        <v>-2373154.491215223</v>
      </c>
      <c r="R799">
        <f t="shared" si="1006"/>
        <v>-18157626.641177271</v>
      </c>
      <c r="S799">
        <f t="shared" si="1007"/>
        <v>-181.57626641177271</v>
      </c>
      <c r="T799">
        <f t="shared" si="1008"/>
        <v>-0.18157626641177271</v>
      </c>
    </row>
    <row r="800" spans="1:20" x14ac:dyDescent="0.25">
      <c r="A800" s="5">
        <v>43793</v>
      </c>
      <c r="B800">
        <v>4.7E-2</v>
      </c>
      <c r="C800">
        <v>4.7E-2</v>
      </c>
      <c r="D800">
        <v>4.2169999999999999E-2</v>
      </c>
      <c r="E800">
        <v>4.2169999999999999E-2</v>
      </c>
      <c r="F800">
        <v>1456065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-1</v>
      </c>
      <c r="Q800">
        <f t="shared" si="1005"/>
        <v>-1456065</v>
      </c>
      <c r="R800">
        <f t="shared" si="1006"/>
        <v>-15784472.149962049</v>
      </c>
      <c r="S800">
        <f t="shared" si="1007"/>
        <v>-157.84472149962048</v>
      </c>
      <c r="T800">
        <f t="shared" si="1008"/>
        <v>-0.15784472149962048</v>
      </c>
    </row>
    <row r="801" spans="1:20" x14ac:dyDescent="0.25">
      <c r="A801" s="5">
        <v>43792</v>
      </c>
      <c r="B801">
        <v>4.5269999999999998E-2</v>
      </c>
      <c r="C801">
        <v>4.7160000000000001E-2</v>
      </c>
      <c r="D801">
        <v>4.4420000000000001E-2</v>
      </c>
      <c r="E801">
        <v>4.7E-2</v>
      </c>
      <c r="F801">
        <v>1219822.6000000001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0.88321167883211649</v>
      </c>
      <c r="Q801">
        <f t="shared" si="1005"/>
        <v>1077361.5664233575</v>
      </c>
      <c r="R801">
        <f t="shared" si="1006"/>
        <v>-14328407.149962049</v>
      </c>
      <c r="S801">
        <f t="shared" si="1007"/>
        <v>-143.2840714996205</v>
      </c>
      <c r="T801">
        <f t="shared" si="1008"/>
        <v>-0.1432840714996205</v>
      </c>
    </row>
    <row r="802" spans="1:20" x14ac:dyDescent="0.25">
      <c r="A802" s="5">
        <v>43791</v>
      </c>
      <c r="B802">
        <v>4.8800000000000003E-2</v>
      </c>
      <c r="C802">
        <v>5.0229999999999997E-2</v>
      </c>
      <c r="D802">
        <v>4.1709999999999997E-2</v>
      </c>
      <c r="E802">
        <v>4.5100000000000001E-2</v>
      </c>
      <c r="F802">
        <v>2240040.2999999998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-0.20422535211267506</v>
      </c>
      <c r="Q802">
        <f t="shared" si="1005"/>
        <v>-457473.01901408227</v>
      </c>
      <c r="R802">
        <f t="shared" si="1006"/>
        <v>-15405768.716385406</v>
      </c>
      <c r="S802">
        <f t="shared" si="1007"/>
        <v>-154.05768716385404</v>
      </c>
      <c r="T802">
        <f t="shared" si="1008"/>
        <v>-0.15405768716385404</v>
      </c>
    </row>
    <row r="803" spans="1:20" x14ac:dyDescent="0.25">
      <c r="A803" s="5">
        <v>43790</v>
      </c>
      <c r="B803">
        <v>4.9299999999999997E-2</v>
      </c>
      <c r="C803">
        <v>5.0990000000000001E-2</v>
      </c>
      <c r="D803">
        <v>4.6010000000000002E-2</v>
      </c>
      <c r="E803">
        <v>4.9009999999999998E-2</v>
      </c>
      <c r="F803">
        <v>2793871.3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0.20481927710843242</v>
      </c>
      <c r="Q803">
        <f t="shared" si="1005"/>
        <v>572238.69999999634</v>
      </c>
      <c r="R803">
        <f t="shared" si="1006"/>
        <v>-14948295.697371323</v>
      </c>
      <c r="S803">
        <f t="shared" si="1007"/>
        <v>-149.48295697371321</v>
      </c>
      <c r="T803">
        <f t="shared" si="1008"/>
        <v>-0.14948295697371322</v>
      </c>
    </row>
    <row r="804" spans="1:20" x14ac:dyDescent="0.25">
      <c r="A804" s="5">
        <v>43789</v>
      </c>
      <c r="B804">
        <v>5.1999999999999998E-2</v>
      </c>
      <c r="C804">
        <v>6.2E-2</v>
      </c>
      <c r="D804">
        <v>4.8899999999999999E-2</v>
      </c>
      <c r="E804">
        <v>4.9549999999999997E-2</v>
      </c>
      <c r="F804">
        <v>2925884.2</v>
      </c>
      <c r="G804">
        <v>0</v>
      </c>
      <c r="L804" t="s">
        <v>8</v>
      </c>
      <c r="M804" t="s">
        <v>8</v>
      </c>
      <c r="N804" t="s">
        <v>7</v>
      </c>
      <c r="P804">
        <f t="shared" si="1004"/>
        <v>-0.90076335877862634</v>
      </c>
      <c r="Q804">
        <f t="shared" si="1005"/>
        <v>-2635529.2793893144</v>
      </c>
      <c r="R804">
        <f t="shared" si="1006"/>
        <v>-15520534.397371318</v>
      </c>
      <c r="S804">
        <f t="shared" si="1007"/>
        <v>-155.20534397371318</v>
      </c>
      <c r="T804">
        <f t="shared" si="1008"/>
        <v>-0.15520534397371319</v>
      </c>
    </row>
    <row r="805" spans="1:20" x14ac:dyDescent="0.25">
      <c r="A805" s="5">
        <v>43788</v>
      </c>
      <c r="B805">
        <v>5.1150000000000001E-2</v>
      </c>
      <c r="C805">
        <v>5.4330000000000003E-2</v>
      </c>
      <c r="D805">
        <v>4.8250000000000001E-2</v>
      </c>
      <c r="E805">
        <v>5.2069999999999998E-2</v>
      </c>
      <c r="F805">
        <v>3166593.8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0.25657894736841963</v>
      </c>
      <c r="Q805">
        <f t="shared" si="1005"/>
        <v>812481.30394736386</v>
      </c>
      <c r="R805">
        <f t="shared" si="1006"/>
        <v>-12885005.117982004</v>
      </c>
      <c r="S805">
        <f t="shared" si="1007"/>
        <v>-128.85005117982004</v>
      </c>
      <c r="T805">
        <f t="shared" si="1008"/>
        <v>-0.12885005117982004</v>
      </c>
    </row>
    <row r="806" spans="1:20" x14ac:dyDescent="0.25">
      <c r="A806" s="5">
        <v>43787</v>
      </c>
      <c r="B806">
        <v>5.5910000000000001E-2</v>
      </c>
      <c r="C806">
        <v>5.6070000000000002E-2</v>
      </c>
      <c r="D806">
        <v>5.1159999999999997E-2</v>
      </c>
      <c r="E806">
        <v>5.1240000000000001E-2</v>
      </c>
      <c r="F806">
        <v>3580276.5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-0.96741344195519197</v>
      </c>
      <c r="Q806">
        <f t="shared" si="1005"/>
        <v>-3463607.6120162876</v>
      </c>
      <c r="R806">
        <f t="shared" si="1006"/>
        <v>-13697486.421929367</v>
      </c>
      <c r="S806">
        <f t="shared" si="1007"/>
        <v>-136.97486421929366</v>
      </c>
      <c r="T806">
        <f t="shared" si="1008"/>
        <v>-0.13697486421929367</v>
      </c>
    </row>
    <row r="807" spans="1:20" x14ac:dyDescent="0.25">
      <c r="A807" s="5">
        <v>43786</v>
      </c>
      <c r="B807">
        <v>5.7619999999999998E-2</v>
      </c>
      <c r="C807">
        <v>5.7910000000000003E-2</v>
      </c>
      <c r="D807">
        <v>5.5199999999999999E-2</v>
      </c>
      <c r="E807">
        <v>5.5910000000000001E-2</v>
      </c>
      <c r="F807">
        <v>6142938.7999999998</v>
      </c>
      <c r="G807">
        <v>0</v>
      </c>
      <c r="L807" t="s">
        <v>7</v>
      </c>
      <c r="M807" t="s">
        <v>7</v>
      </c>
      <c r="N807" t="s">
        <v>7</v>
      </c>
      <c r="P807">
        <f t="shared" si="1004"/>
        <v>-0.47601476014760058</v>
      </c>
      <c r="Q807">
        <f t="shared" si="1005"/>
        <v>-2924129.5394833894</v>
      </c>
      <c r="R807">
        <f t="shared" si="1006"/>
        <v>-10233878.80991308</v>
      </c>
      <c r="S807">
        <f t="shared" si="1007"/>
        <v>-102.3387880991308</v>
      </c>
      <c r="T807">
        <f t="shared" si="1008"/>
        <v>-0.1023387880991308</v>
      </c>
    </row>
    <row r="808" spans="1:20" x14ac:dyDescent="0.25">
      <c r="A808" s="5">
        <v>43785</v>
      </c>
      <c r="B808">
        <v>5.7079999999999999E-2</v>
      </c>
      <c r="C808">
        <v>5.91E-2</v>
      </c>
      <c r="D808">
        <v>5.6529999999999997E-2</v>
      </c>
      <c r="E808">
        <v>5.7369999999999997E-2</v>
      </c>
      <c r="F808">
        <v>1317459.5</v>
      </c>
      <c r="G808">
        <v>0</v>
      </c>
      <c r="L808" t="s">
        <v>7</v>
      </c>
      <c r="M808" t="s">
        <v>7</v>
      </c>
      <c r="N808" t="s">
        <v>7</v>
      </c>
      <c r="P808">
        <f t="shared" si="1004"/>
        <v>-0.34630350194552567</v>
      </c>
      <c r="Q808">
        <f t="shared" si="1005"/>
        <v>-456240.83852140128</v>
      </c>
      <c r="R808">
        <f t="shared" si="1006"/>
        <v>-7309749.2704296904</v>
      </c>
      <c r="S808">
        <f t="shared" si="1007"/>
        <v>-73.097492704296897</v>
      </c>
      <c r="T808">
        <f t="shared" si="1008"/>
        <v>-7.3097492704296899E-2</v>
      </c>
    </row>
    <row r="809" spans="1:20" x14ac:dyDescent="0.25">
      <c r="A809" s="5">
        <v>43784</v>
      </c>
      <c r="B809">
        <v>6.1559999999999997E-2</v>
      </c>
      <c r="C809">
        <v>6.1679999999999999E-2</v>
      </c>
      <c r="D809">
        <v>5.6160000000000002E-2</v>
      </c>
      <c r="E809">
        <v>5.713E-2</v>
      </c>
      <c r="F809">
        <v>4583579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-0.64855072463768149</v>
      </c>
      <c r="Q809">
        <f t="shared" si="1005"/>
        <v>-2972683.4818840595</v>
      </c>
      <c r="R809">
        <f t="shared" si="1006"/>
        <v>-6853508.431908289</v>
      </c>
      <c r="S809">
        <f t="shared" si="1007"/>
        <v>-68.535084319082884</v>
      </c>
      <c r="T809">
        <f t="shared" si="1008"/>
        <v>-6.8535084319082881E-2</v>
      </c>
    </row>
    <row r="810" spans="1:20" x14ac:dyDescent="0.25">
      <c r="A810" s="5">
        <v>43783</v>
      </c>
      <c r="B810">
        <v>5.9279999999999999E-2</v>
      </c>
      <c r="C810">
        <v>6.1800000000000001E-2</v>
      </c>
      <c r="D810">
        <v>5.577E-2</v>
      </c>
      <c r="E810">
        <v>6.1359999999999998E-2</v>
      </c>
      <c r="F810">
        <v>3958718.9</v>
      </c>
      <c r="G810">
        <v>0</v>
      </c>
      <c r="L810" t="s">
        <v>8</v>
      </c>
      <c r="M810" t="s">
        <v>7</v>
      </c>
      <c r="N810" t="s">
        <v>7</v>
      </c>
      <c r="P810">
        <f t="shared" si="1004"/>
        <v>0.85406301824212183</v>
      </c>
      <c r="Q810">
        <f t="shared" si="1005"/>
        <v>3380995.4121061326</v>
      </c>
      <c r="R810">
        <f t="shared" si="1006"/>
        <v>-3880824.9500242299</v>
      </c>
      <c r="S810">
        <f t="shared" si="1007"/>
        <v>-38.808249500242297</v>
      </c>
      <c r="T810">
        <f t="shared" si="1008"/>
        <v>-3.8808249500242295E-2</v>
      </c>
    </row>
    <row r="811" spans="1:20" x14ac:dyDescent="0.25">
      <c r="A811" s="5">
        <v>43782</v>
      </c>
      <c r="B811">
        <v>5.7799999999999997E-2</v>
      </c>
      <c r="C811">
        <v>5.9490000000000001E-2</v>
      </c>
      <c r="D811">
        <v>5.6000000000000001E-2</v>
      </c>
      <c r="E811">
        <v>5.8930000000000003E-2</v>
      </c>
      <c r="F811">
        <v>2968922.8</v>
      </c>
      <c r="G811">
        <v>0</v>
      </c>
      <c r="L811" t="s">
        <v>7</v>
      </c>
      <c r="M811" t="s">
        <v>7</v>
      </c>
      <c r="N811" t="s">
        <v>7</v>
      </c>
      <c r="P811">
        <f t="shared" si="1004"/>
        <v>0.67908309455587512</v>
      </c>
      <c r="Q811">
        <f t="shared" si="1005"/>
        <v>2016145.2825214935</v>
      </c>
      <c r="R811">
        <f t="shared" si="1006"/>
        <v>-7261820.3621303625</v>
      </c>
      <c r="S811">
        <f t="shared" si="1007"/>
        <v>-72.618203621303621</v>
      </c>
      <c r="T811">
        <f t="shared" si="1008"/>
        <v>-7.2618203621303626E-2</v>
      </c>
    </row>
    <row r="812" spans="1:20" x14ac:dyDescent="0.25">
      <c r="A812" s="5">
        <v>43781</v>
      </c>
      <c r="B812">
        <v>5.5660000000000001E-2</v>
      </c>
      <c r="C812">
        <v>6.087E-2</v>
      </c>
      <c r="D812">
        <v>5.5599999999999997E-2</v>
      </c>
      <c r="E812">
        <v>5.7610000000000001E-2</v>
      </c>
      <c r="F812">
        <v>6553360.2999999998</v>
      </c>
      <c r="G812">
        <v>0</v>
      </c>
      <c r="L812" t="s">
        <v>8</v>
      </c>
      <c r="M812" t="s">
        <v>7</v>
      </c>
      <c r="N812" t="s">
        <v>7</v>
      </c>
      <c r="P812">
        <f t="shared" si="1004"/>
        <v>-0.23719165085388866</v>
      </c>
      <c r="Q812">
        <f t="shared" si="1005"/>
        <v>-1554402.3481973349</v>
      </c>
      <c r="R812">
        <f t="shared" si="1006"/>
        <v>-9277965.6446518563</v>
      </c>
      <c r="S812">
        <f t="shared" si="1007"/>
        <v>-92.779656446518558</v>
      </c>
      <c r="T812">
        <f t="shared" si="1008"/>
        <v>-9.277965644651856E-2</v>
      </c>
    </row>
    <row r="813" spans="1:20" x14ac:dyDescent="0.25">
      <c r="A813" s="5">
        <v>43780</v>
      </c>
      <c r="B813">
        <v>5.5870000000000003E-2</v>
      </c>
      <c r="C813">
        <v>5.67E-2</v>
      </c>
      <c r="D813">
        <v>5.5199999999999999E-2</v>
      </c>
      <c r="E813">
        <v>5.5629999999999999E-2</v>
      </c>
      <c r="F813">
        <v>2963873.5</v>
      </c>
      <c r="G813">
        <v>0</v>
      </c>
      <c r="L813" t="s">
        <v>8</v>
      </c>
      <c r="M813" t="s">
        <v>7</v>
      </c>
      <c r="N813" t="s">
        <v>7</v>
      </c>
      <c r="P813">
        <f t="shared" si="1004"/>
        <v>-0.42666666666666742</v>
      </c>
      <c r="Q813">
        <f t="shared" si="1005"/>
        <v>-1264586.0266666689</v>
      </c>
      <c r="R813">
        <f t="shared" si="1006"/>
        <v>-7723563.2964545218</v>
      </c>
      <c r="S813">
        <f t="shared" si="1007"/>
        <v>-77.235632964545218</v>
      </c>
      <c r="T813">
        <f t="shared" si="1008"/>
        <v>-7.723563296454522E-2</v>
      </c>
    </row>
    <row r="814" spans="1:20" x14ac:dyDescent="0.25">
      <c r="A814" s="5">
        <v>43779</v>
      </c>
      <c r="B814">
        <v>5.706E-2</v>
      </c>
      <c r="C814">
        <v>5.8930000000000003E-2</v>
      </c>
      <c r="D814">
        <v>5.2999999999999999E-2</v>
      </c>
      <c r="E814">
        <v>5.5939999999999997E-2</v>
      </c>
      <c r="F814">
        <v>9730211.5999999996</v>
      </c>
      <c r="G814">
        <v>0</v>
      </c>
      <c r="L814" t="s">
        <v>7</v>
      </c>
      <c r="M814" t="s">
        <v>7</v>
      </c>
      <c r="N814" t="s">
        <v>7</v>
      </c>
      <c r="P814">
        <f t="shared" si="1004"/>
        <v>-8.4317032040486222E-3</v>
      </c>
      <c r="Q814">
        <f t="shared" si="1005"/>
        <v>-82042.256323791065</v>
      </c>
      <c r="R814">
        <f t="shared" si="1006"/>
        <v>-6458977.2697878527</v>
      </c>
      <c r="S814">
        <f t="shared" si="1007"/>
        <v>-64.58977269787853</v>
      </c>
      <c r="T814">
        <f t="shared" si="1008"/>
        <v>-6.4589772697878536E-2</v>
      </c>
    </row>
    <row r="815" spans="1:20" x14ac:dyDescent="0.25">
      <c r="A815" s="5">
        <v>43778</v>
      </c>
      <c r="B815">
        <v>5.441E-2</v>
      </c>
      <c r="C815">
        <v>5.9700000000000003E-2</v>
      </c>
      <c r="D815">
        <v>5.3809999999999997E-2</v>
      </c>
      <c r="E815">
        <v>5.704E-2</v>
      </c>
      <c r="F815">
        <v>2478902.7000000002</v>
      </c>
      <c r="G815">
        <v>0</v>
      </c>
      <c r="L815" t="s">
        <v>8</v>
      </c>
      <c r="M815" t="s">
        <v>7</v>
      </c>
      <c r="N815" t="s">
        <v>7</v>
      </c>
      <c r="P815">
        <f t="shared" si="1004"/>
        <v>9.6774193548387177E-2</v>
      </c>
      <c r="Q815">
        <f t="shared" si="1005"/>
        <v>239893.80967741957</v>
      </c>
      <c r="R815">
        <f t="shared" si="1006"/>
        <v>-6376935.0134640615</v>
      </c>
      <c r="S815">
        <f t="shared" si="1007"/>
        <v>-63.769350134640618</v>
      </c>
      <c r="T815">
        <f t="shared" si="1008"/>
        <v>-6.3769350134640621E-2</v>
      </c>
    </row>
    <row r="816" spans="1:20" x14ac:dyDescent="0.25">
      <c r="A816" s="5">
        <v>43777</v>
      </c>
      <c r="B816">
        <v>5.7549999999999997E-2</v>
      </c>
      <c r="C816">
        <v>5.8220000000000001E-2</v>
      </c>
      <c r="D816">
        <v>5.2409999999999998E-2</v>
      </c>
      <c r="E816">
        <v>5.4489999999999997E-2</v>
      </c>
      <c r="F816">
        <v>3465486.8</v>
      </c>
      <c r="G816">
        <v>0</v>
      </c>
      <c r="L816" t="s">
        <v>7</v>
      </c>
      <c r="M816" t="s">
        <v>7</v>
      </c>
      <c r="N816" t="s">
        <v>7</v>
      </c>
      <c r="P816">
        <f t="shared" si="1004"/>
        <v>-0.28399311531841737</v>
      </c>
      <c r="Q816">
        <f t="shared" si="1005"/>
        <v>-984174.39242685318</v>
      </c>
      <c r="R816">
        <f t="shared" si="1006"/>
        <v>-6616828.8231414808</v>
      </c>
      <c r="S816">
        <f t="shared" si="1007"/>
        <v>-66.168288231414806</v>
      </c>
      <c r="T816">
        <f t="shared" si="1008"/>
        <v>-6.616828823141481E-2</v>
      </c>
    </row>
    <row r="817" spans="1:20" x14ac:dyDescent="0.25">
      <c r="A817" s="5">
        <v>43776</v>
      </c>
      <c r="B817">
        <v>6.0139999999999999E-2</v>
      </c>
      <c r="C817">
        <v>6.087E-2</v>
      </c>
      <c r="D817">
        <v>5.6000000000000001E-2</v>
      </c>
      <c r="E817">
        <v>5.7529999999999998E-2</v>
      </c>
      <c r="F817">
        <v>4053574.6</v>
      </c>
      <c r="G817">
        <v>0</v>
      </c>
      <c r="L817" t="s">
        <v>7</v>
      </c>
      <c r="M817" t="s">
        <v>8</v>
      </c>
      <c r="N817" t="s">
        <v>7</v>
      </c>
      <c r="P817">
        <f t="shared" si="1004"/>
        <v>-0.37166324435318404</v>
      </c>
      <c r="Q817">
        <f t="shared" si="1005"/>
        <v>-1506564.6870636602</v>
      </c>
      <c r="R817">
        <f t="shared" si="1006"/>
        <v>-5632654.4307146277</v>
      </c>
      <c r="S817">
        <f t="shared" si="1007"/>
        <v>-56.326544307146278</v>
      </c>
      <c r="T817">
        <f t="shared" si="1008"/>
        <v>-5.632654430714628E-2</v>
      </c>
    </row>
    <row r="818" spans="1:20" x14ac:dyDescent="0.25">
      <c r="A818" s="5">
        <v>43775</v>
      </c>
      <c r="B818">
        <v>5.2909999999999999E-2</v>
      </c>
      <c r="C818">
        <v>6.4380000000000007E-2</v>
      </c>
      <c r="D818">
        <v>5.1799999999999999E-2</v>
      </c>
      <c r="E818">
        <v>6.0380000000000003E-2</v>
      </c>
      <c r="F818">
        <v>12560422.4</v>
      </c>
      <c r="G818">
        <v>0</v>
      </c>
      <c r="L818" t="s">
        <v>8</v>
      </c>
      <c r="M818" t="s">
        <v>8</v>
      </c>
      <c r="N818" t="s">
        <v>7</v>
      </c>
      <c r="P818">
        <f t="shared" si="1004"/>
        <v>0.36406995230524625</v>
      </c>
      <c r="Q818">
        <f t="shared" si="1005"/>
        <v>4572872.3841017466</v>
      </c>
      <c r="R818">
        <f t="shared" si="1006"/>
        <v>-4126089.7436509673</v>
      </c>
      <c r="S818">
        <f t="shared" si="1007"/>
        <v>-41.260897436509673</v>
      </c>
      <c r="T818">
        <f t="shared" si="1008"/>
        <v>-4.1260897436509673E-2</v>
      </c>
    </row>
    <row r="819" spans="1:20" x14ac:dyDescent="0.25">
      <c r="A819" s="5">
        <v>43774</v>
      </c>
      <c r="B819">
        <v>5.11E-2</v>
      </c>
      <c r="C819">
        <v>5.4699999999999999E-2</v>
      </c>
      <c r="D819">
        <v>5.0529999999999999E-2</v>
      </c>
      <c r="E819">
        <v>5.2909999999999999E-2</v>
      </c>
      <c r="F819">
        <v>2546527.2999999998</v>
      </c>
      <c r="G819">
        <v>0</v>
      </c>
      <c r="L819" t="s">
        <v>8</v>
      </c>
      <c r="M819" t="s">
        <v>7</v>
      </c>
      <c r="N819" t="s">
        <v>7</v>
      </c>
      <c r="P819">
        <f t="shared" si="1004"/>
        <v>0.14148681055155882</v>
      </c>
      <c r="Q819">
        <f t="shared" si="1005"/>
        <v>360300.02565947257</v>
      </c>
      <c r="R819">
        <f t="shared" si="1006"/>
        <v>-8698962.1277527139</v>
      </c>
      <c r="S819">
        <f t="shared" si="1007"/>
        <v>-86.989621277527135</v>
      </c>
      <c r="T819">
        <f t="shared" si="1008"/>
        <v>-8.6989621277527129E-2</v>
      </c>
    </row>
    <row r="820" spans="1:20" x14ac:dyDescent="0.25">
      <c r="A820" s="5">
        <v>43773</v>
      </c>
      <c r="B820">
        <v>5.3249999999999999E-2</v>
      </c>
      <c r="C820">
        <v>5.3249999999999999E-2</v>
      </c>
      <c r="D820">
        <v>5.0520000000000002E-2</v>
      </c>
      <c r="E820">
        <v>5.11E-2</v>
      </c>
      <c r="F820">
        <v>2740439.5</v>
      </c>
      <c r="G820">
        <v>0</v>
      </c>
      <c r="L820" t="s">
        <v>7</v>
      </c>
      <c r="M820" t="s">
        <v>7</v>
      </c>
      <c r="N820" t="s">
        <v>7</v>
      </c>
      <c r="P820">
        <f t="shared" si="1004"/>
        <v>-0.5750915750915766</v>
      </c>
      <c r="Q820">
        <f t="shared" si="1005"/>
        <v>-1576003.6684981727</v>
      </c>
      <c r="R820">
        <f t="shared" si="1006"/>
        <v>-9059262.1534121856</v>
      </c>
      <c r="S820">
        <f t="shared" si="1007"/>
        <v>-90.592621534121861</v>
      </c>
      <c r="T820">
        <f t="shared" si="1008"/>
        <v>-9.0592621534121856E-2</v>
      </c>
    </row>
    <row r="821" spans="1:20" x14ac:dyDescent="0.25">
      <c r="A821" s="5">
        <v>43772</v>
      </c>
      <c r="B821">
        <v>5.4480000000000001E-2</v>
      </c>
      <c r="C821">
        <v>5.4480000000000001E-2</v>
      </c>
      <c r="D821">
        <v>5.21E-2</v>
      </c>
      <c r="E821">
        <v>5.3659999999999999E-2</v>
      </c>
      <c r="F821">
        <v>1053164.8</v>
      </c>
      <c r="G821">
        <v>0</v>
      </c>
      <c r="L821" t="s">
        <v>7</v>
      </c>
      <c r="M821" t="s">
        <v>7</v>
      </c>
      <c r="N821" t="s">
        <v>7</v>
      </c>
      <c r="P821">
        <f t="shared" si="1004"/>
        <v>0.31092436974789811</v>
      </c>
      <c r="Q821">
        <f t="shared" si="1005"/>
        <v>327454.60168067116</v>
      </c>
      <c r="R821">
        <f t="shared" si="1006"/>
        <v>-7483258.4849140132</v>
      </c>
      <c r="S821">
        <f t="shared" si="1007"/>
        <v>-74.832584849140133</v>
      </c>
      <c r="T821">
        <f t="shared" si="1008"/>
        <v>-7.4832584849140127E-2</v>
      </c>
    </row>
    <row r="822" spans="1:20" x14ac:dyDescent="0.25">
      <c r="A822" s="5">
        <v>43771</v>
      </c>
      <c r="B822">
        <v>5.2720000000000003E-2</v>
      </c>
      <c r="C822">
        <v>5.62E-2</v>
      </c>
      <c r="D822">
        <v>5.2359999999999997E-2</v>
      </c>
      <c r="E822">
        <v>5.4480000000000001E-2</v>
      </c>
      <c r="F822">
        <v>2328403</v>
      </c>
      <c r="G822">
        <v>0</v>
      </c>
      <c r="L822" t="s">
        <v>8</v>
      </c>
      <c r="M822" t="s">
        <v>7</v>
      </c>
      <c r="N822" t="s">
        <v>7</v>
      </c>
      <c r="P822">
        <f t="shared" si="1004"/>
        <v>0.10416666666666775</v>
      </c>
      <c r="Q822">
        <f t="shared" si="1005"/>
        <v>242541.97916666919</v>
      </c>
      <c r="R822">
        <f t="shared" si="1006"/>
        <v>-7810713.086594684</v>
      </c>
      <c r="S822">
        <f t="shared" si="1007"/>
        <v>-78.107130865946843</v>
      </c>
      <c r="T822">
        <f t="shared" si="1008"/>
        <v>-7.8107130865946839E-2</v>
      </c>
    </row>
    <row r="823" spans="1:20" x14ac:dyDescent="0.25">
      <c r="A823" s="5">
        <v>43770</v>
      </c>
      <c r="B823">
        <v>4.9979999999999997E-2</v>
      </c>
      <c r="C823">
        <v>5.398E-2</v>
      </c>
      <c r="D823">
        <v>4.9230000000000003E-2</v>
      </c>
      <c r="E823">
        <v>5.2519999999999997E-2</v>
      </c>
      <c r="F823">
        <v>1502633.5</v>
      </c>
      <c r="G823">
        <v>0</v>
      </c>
      <c r="L823" t="s">
        <v>8</v>
      </c>
      <c r="M823" t="s">
        <v>7</v>
      </c>
      <c r="N823" t="s">
        <v>7</v>
      </c>
      <c r="P823">
        <f t="shared" si="1004"/>
        <v>0.38526315789473525</v>
      </c>
      <c r="Q823">
        <f t="shared" si="1005"/>
        <v>578909.32736841869</v>
      </c>
      <c r="R823">
        <f t="shared" si="1006"/>
        <v>-8053255.0657613529</v>
      </c>
      <c r="S823">
        <f t="shared" si="1007"/>
        <v>-80.532550657613527</v>
      </c>
      <c r="T823">
        <f t="shared" si="1008"/>
        <v>-8.0532550657613527E-2</v>
      </c>
    </row>
    <row r="824" spans="1:20" x14ac:dyDescent="0.25">
      <c r="A824" s="5">
        <v>43769</v>
      </c>
      <c r="B824">
        <v>4.9399999999999999E-2</v>
      </c>
      <c r="C824">
        <v>5.1330000000000001E-2</v>
      </c>
      <c r="D824">
        <v>4.8500000000000001E-2</v>
      </c>
      <c r="E824">
        <v>4.9820000000000003E-2</v>
      </c>
      <c r="F824">
        <v>1635623.6</v>
      </c>
      <c r="G824">
        <v>0</v>
      </c>
      <c r="L824" t="s">
        <v>7</v>
      </c>
      <c r="M824" t="s">
        <v>7</v>
      </c>
      <c r="N824" t="s">
        <v>7</v>
      </c>
      <c r="P824">
        <f t="shared" si="1004"/>
        <v>-6.7137809187277658E-2</v>
      </c>
      <c r="Q824">
        <f t="shared" si="1005"/>
        <v>-109812.18515900816</v>
      </c>
      <c r="R824">
        <f t="shared" si="1006"/>
        <v>-8632164.3931297716</v>
      </c>
      <c r="S824">
        <f t="shared" si="1007"/>
        <v>-86.321643931297714</v>
      </c>
      <c r="T824">
        <f t="shared" si="1008"/>
        <v>-8.6321643931297709E-2</v>
      </c>
    </row>
    <row r="825" spans="1:20" x14ac:dyDescent="0.25">
      <c r="A825" s="5">
        <v>43768</v>
      </c>
      <c r="B825">
        <v>5.0729999999999997E-2</v>
      </c>
      <c r="C825">
        <v>5.1479999999999998E-2</v>
      </c>
      <c r="D825">
        <v>4.8599999999999997E-2</v>
      </c>
      <c r="E825">
        <v>4.9399999999999999E-2</v>
      </c>
      <c r="F825">
        <v>1551474.9</v>
      </c>
      <c r="G825">
        <v>0</v>
      </c>
      <c r="L825" t="s">
        <v>7</v>
      </c>
      <c r="M825" t="s">
        <v>8</v>
      </c>
      <c r="N825" t="s">
        <v>7</v>
      </c>
      <c r="P825">
        <f t="shared" si="1004"/>
        <v>-0.44444444444444309</v>
      </c>
      <c r="Q825">
        <f t="shared" si="1005"/>
        <v>-689544.39999999781</v>
      </c>
      <c r="R825">
        <f t="shared" si="1006"/>
        <v>-8522352.2079707626</v>
      </c>
      <c r="S825">
        <f t="shared" si="1007"/>
        <v>-85.223522079707621</v>
      </c>
      <c r="T825">
        <f t="shared" si="1008"/>
        <v>-8.5223522079707625E-2</v>
      </c>
    </row>
    <row r="826" spans="1:20" x14ac:dyDescent="0.25">
      <c r="A826" s="5">
        <v>43767</v>
      </c>
      <c r="B826">
        <v>5.1720000000000002E-2</v>
      </c>
      <c r="C826">
        <v>5.321E-2</v>
      </c>
      <c r="D826">
        <v>0.05</v>
      </c>
      <c r="E826">
        <v>5.0729999999999997E-2</v>
      </c>
      <c r="F826">
        <v>2341226.4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-0.54517133956386599</v>
      </c>
      <c r="Q826">
        <f t="shared" si="1005"/>
        <v>-1276369.5327102875</v>
      </c>
      <c r="R826">
        <f t="shared" si="1006"/>
        <v>-7832807.8079707641</v>
      </c>
      <c r="S826">
        <f t="shared" si="1007"/>
        <v>-78.328078079707637</v>
      </c>
      <c r="T826">
        <f t="shared" si="1008"/>
        <v>-7.8328078079707639E-2</v>
      </c>
    </row>
    <row r="827" spans="1:20" x14ac:dyDescent="0.25">
      <c r="A827" s="5">
        <v>43766</v>
      </c>
      <c r="B827">
        <v>5.169E-2</v>
      </c>
      <c r="C827">
        <v>5.6529999999999997E-2</v>
      </c>
      <c r="D827">
        <v>4.999E-2</v>
      </c>
      <c r="E827">
        <v>5.1799999999999999E-2</v>
      </c>
      <c r="F827">
        <v>5863541.4000000004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-0.44648318042813462</v>
      </c>
      <c r="Q827">
        <f t="shared" si="1005"/>
        <v>-2617972.6128440374</v>
      </c>
      <c r="R827">
        <f t="shared" si="1006"/>
        <v>-6556438.2752604764</v>
      </c>
      <c r="S827">
        <f t="shared" si="1007"/>
        <v>-65.564382752604757</v>
      </c>
      <c r="T827">
        <f t="shared" si="1008"/>
        <v>-6.5564382752604761E-2</v>
      </c>
    </row>
    <row r="828" spans="1:20" x14ac:dyDescent="0.25">
      <c r="A828" s="5">
        <v>43765</v>
      </c>
      <c r="B828">
        <v>5.101E-2</v>
      </c>
      <c r="C828">
        <v>5.3499999999999999E-2</v>
      </c>
      <c r="D828">
        <v>4.7730000000000002E-2</v>
      </c>
      <c r="E828">
        <v>5.169E-2</v>
      </c>
      <c r="F828">
        <v>7702756.2999999998</v>
      </c>
      <c r="G828">
        <v>0</v>
      </c>
      <c r="L828" t="s">
        <v>7</v>
      </c>
      <c r="M828" t="s">
        <v>7</v>
      </c>
      <c r="N828" t="s">
        <v>7</v>
      </c>
      <c r="P828">
        <f t="shared" si="1004"/>
        <v>0.37261698440207974</v>
      </c>
      <c r="Q828">
        <f t="shared" si="1005"/>
        <v>2870177.8240901213</v>
      </c>
      <c r="R828">
        <f t="shared" si="1006"/>
        <v>-3938465.6624164395</v>
      </c>
      <c r="S828">
        <f t="shared" si="1007"/>
        <v>-39.384656624164393</v>
      </c>
      <c r="T828">
        <f t="shared" si="1008"/>
        <v>-3.9384656624164391E-2</v>
      </c>
    </row>
    <row r="829" spans="1:20" x14ac:dyDescent="0.25">
      <c r="A829" s="5">
        <v>43764</v>
      </c>
      <c r="B829">
        <v>5.8270000000000002E-2</v>
      </c>
      <c r="C829">
        <v>6.0429999999999998E-2</v>
      </c>
      <c r="D829">
        <v>4.8809999999999999E-2</v>
      </c>
      <c r="E829">
        <v>5.0999999999999997E-2</v>
      </c>
      <c r="F829">
        <v>9956609.8000000007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-0.62306368330464756</v>
      </c>
      <c r="Q829">
        <f t="shared" si="1005"/>
        <v>-6203601.975215151</v>
      </c>
      <c r="R829">
        <f t="shared" si="1006"/>
        <v>-6808643.4865065608</v>
      </c>
      <c r="S829">
        <f t="shared" si="1007"/>
        <v>-68.086434865065613</v>
      </c>
      <c r="T829">
        <f t="shared" si="1008"/>
        <v>-6.8086434865065618E-2</v>
      </c>
    </row>
    <row r="830" spans="1:20" x14ac:dyDescent="0.25">
      <c r="A830" s="5">
        <v>43763</v>
      </c>
      <c r="B830">
        <v>5.2740000000000002E-2</v>
      </c>
      <c r="C830">
        <v>5.8270000000000002E-2</v>
      </c>
      <c r="D830">
        <v>5.1959999999999999E-2</v>
      </c>
      <c r="E830">
        <v>5.8020000000000002E-2</v>
      </c>
      <c r="F830">
        <v>3937053.4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0.92076069730586363</v>
      </c>
      <c r="Q830">
        <f t="shared" si="1005"/>
        <v>3625084.0339144212</v>
      </c>
      <c r="R830">
        <f t="shared" si="1006"/>
        <v>-605041.51129140938</v>
      </c>
      <c r="S830">
        <f t="shared" si="1007"/>
        <v>-6.0504151129140942</v>
      </c>
      <c r="T830">
        <f t="shared" si="1008"/>
        <v>-6.0504151129140938E-3</v>
      </c>
    </row>
    <row r="831" spans="1:20" x14ac:dyDescent="0.25">
      <c r="A831" s="5">
        <v>43762</v>
      </c>
      <c r="B831">
        <v>5.1630000000000002E-2</v>
      </c>
      <c r="C831">
        <v>5.67E-2</v>
      </c>
      <c r="D831">
        <v>0.05</v>
      </c>
      <c r="E831">
        <v>5.2749999999999998E-2</v>
      </c>
      <c r="F831">
        <v>2687689.1</v>
      </c>
      <c r="G831">
        <v>0</v>
      </c>
      <c r="L831" t="s">
        <v>8</v>
      </c>
      <c r="M831" t="s">
        <v>7</v>
      </c>
      <c r="N831" t="s">
        <v>7</v>
      </c>
      <c r="P831">
        <f t="shared" ref="P831:P860" si="1009">IF(C831=D831,0,((E831-D831)-(C831-E831))/(C831-D831))</f>
        <v>-0.17910447761194134</v>
      </c>
      <c r="Q831">
        <f t="shared" ref="Q831:Q860" si="1010">F831*P831</f>
        <v>-481377.15223880881</v>
      </c>
      <c r="R831">
        <f t="shared" ref="R831:R860" si="1011">R832+Q831</f>
        <v>-4230125.5452058306</v>
      </c>
      <c r="S831">
        <f t="shared" ref="S831:S860" si="1012">R831/100000</f>
        <v>-42.301255452058307</v>
      </c>
      <c r="T831">
        <f t="shared" ref="T831:T860" si="1013">S831/1000</f>
        <v>-4.2301255452058303E-2</v>
      </c>
    </row>
    <row r="832" spans="1:20" x14ac:dyDescent="0.25">
      <c r="A832" s="5">
        <v>43761</v>
      </c>
      <c r="B832">
        <v>5.6989999999999999E-2</v>
      </c>
      <c r="C832">
        <v>5.7389999999999997E-2</v>
      </c>
      <c r="D832">
        <v>4.8649999999999999E-2</v>
      </c>
      <c r="E832">
        <v>5.1429999999999997E-2</v>
      </c>
      <c r="F832">
        <v>4539348.7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-0.36384439359267767</v>
      </c>
      <c r="Q832">
        <f t="shared" si="1010"/>
        <v>-1651616.5750572097</v>
      </c>
      <c r="R832">
        <f t="shared" si="1011"/>
        <v>-3748748.392967022</v>
      </c>
      <c r="S832">
        <f t="shared" si="1012"/>
        <v>-37.487483929670219</v>
      </c>
      <c r="T832">
        <f t="shared" si="1013"/>
        <v>-3.7487483929670218E-2</v>
      </c>
    </row>
    <row r="833" spans="1:20" x14ac:dyDescent="0.25">
      <c r="A833" s="5">
        <v>43760</v>
      </c>
      <c r="B833">
        <v>5.4769999999999999E-2</v>
      </c>
      <c r="C833">
        <v>5.9900000000000002E-2</v>
      </c>
      <c r="D833">
        <v>5.4480000000000001E-2</v>
      </c>
      <c r="E833">
        <v>5.7259999999999998E-2</v>
      </c>
      <c r="F833">
        <v>3274783.3</v>
      </c>
      <c r="G833">
        <v>0</v>
      </c>
      <c r="L833" t="s">
        <v>8</v>
      </c>
      <c r="M833" t="s">
        <v>7</v>
      </c>
      <c r="N833" t="s">
        <v>7</v>
      </c>
      <c r="P833">
        <f t="shared" si="1009"/>
        <v>2.5830258302581968E-2</v>
      </c>
      <c r="Q833">
        <f t="shared" si="1010"/>
        <v>84588.498523981776</v>
      </c>
      <c r="R833">
        <f t="shared" si="1011"/>
        <v>-2097131.8179098121</v>
      </c>
      <c r="S833">
        <f t="shared" si="1012"/>
        <v>-20.97131817909812</v>
      </c>
      <c r="T833">
        <f t="shared" si="1013"/>
        <v>-2.0971318179098121E-2</v>
      </c>
    </row>
    <row r="834" spans="1:20" x14ac:dyDescent="0.25">
      <c r="A834" s="5">
        <v>43759</v>
      </c>
      <c r="B834">
        <v>5.441E-2</v>
      </c>
      <c r="C834">
        <v>5.6890000000000003E-2</v>
      </c>
      <c r="D834">
        <v>5.3969999999999997E-2</v>
      </c>
      <c r="E834">
        <v>5.4969999999999998E-2</v>
      </c>
      <c r="F834">
        <v>2011692.5</v>
      </c>
      <c r="G834">
        <v>0</v>
      </c>
      <c r="L834" t="s">
        <v>7</v>
      </c>
      <c r="M834" t="s">
        <v>7</v>
      </c>
      <c r="N834" t="s">
        <v>7</v>
      </c>
      <c r="P834">
        <f t="shared" si="1009"/>
        <v>-0.31506849315068569</v>
      </c>
      <c r="Q834">
        <f t="shared" si="1010"/>
        <v>-633820.92465753574</v>
      </c>
      <c r="R834">
        <f t="shared" si="1011"/>
        <v>-2181720.3164337939</v>
      </c>
      <c r="S834">
        <f t="shared" si="1012"/>
        <v>-21.81720316433794</v>
      </c>
      <c r="T834">
        <f t="shared" si="1013"/>
        <v>-2.1817203164337939E-2</v>
      </c>
    </row>
    <row r="835" spans="1:20" x14ac:dyDescent="0.25">
      <c r="A835" s="5">
        <v>43758</v>
      </c>
      <c r="B835">
        <v>5.4300000000000001E-2</v>
      </c>
      <c r="C835">
        <v>5.9400000000000001E-2</v>
      </c>
      <c r="D835">
        <v>5.1429999999999997E-2</v>
      </c>
      <c r="E835">
        <v>5.441E-2</v>
      </c>
      <c r="F835">
        <v>3566980.7</v>
      </c>
      <c r="G835">
        <v>0</v>
      </c>
      <c r="L835" t="s">
        <v>8</v>
      </c>
      <c r="M835" t="s">
        <v>7</v>
      </c>
      <c r="N835" t="s">
        <v>7</v>
      </c>
      <c r="P835">
        <f t="shared" si="1009"/>
        <v>-0.252195734002509</v>
      </c>
      <c r="Q835">
        <f t="shared" si="1010"/>
        <v>-899577.31580928341</v>
      </c>
      <c r="R835">
        <f t="shared" si="1011"/>
        <v>-1547899.3917762581</v>
      </c>
      <c r="S835">
        <f t="shared" si="1012"/>
        <v>-15.478993917762581</v>
      </c>
      <c r="T835">
        <f t="shared" si="1013"/>
        <v>-1.5478993917762581E-2</v>
      </c>
    </row>
    <row r="836" spans="1:20" x14ac:dyDescent="0.25">
      <c r="A836" s="5">
        <v>43757</v>
      </c>
      <c r="B836">
        <v>5.3870000000000001E-2</v>
      </c>
      <c r="C836">
        <v>5.5010000000000003E-2</v>
      </c>
      <c r="D836">
        <v>5.1869999999999999E-2</v>
      </c>
      <c r="E836">
        <v>5.4429999999999999E-2</v>
      </c>
      <c r="F836">
        <v>1593177.6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0.63057324840764117</v>
      </c>
      <c r="Q836">
        <f t="shared" si="1010"/>
        <v>1004615.1745222897</v>
      </c>
      <c r="R836">
        <f t="shared" si="1011"/>
        <v>-648322.0759669746</v>
      </c>
      <c r="S836">
        <f t="shared" si="1012"/>
        <v>-6.483220759669746</v>
      </c>
      <c r="T836">
        <f t="shared" si="1013"/>
        <v>-6.483220759669746E-3</v>
      </c>
    </row>
    <row r="837" spans="1:20" x14ac:dyDescent="0.25">
      <c r="A837" s="5">
        <v>43756</v>
      </c>
      <c r="B837">
        <v>5.6419999999999998E-2</v>
      </c>
      <c r="C837">
        <v>5.7329999999999999E-2</v>
      </c>
      <c r="D837">
        <v>5.176E-2</v>
      </c>
      <c r="E837">
        <v>5.3620000000000001E-2</v>
      </c>
      <c r="F837">
        <v>2160102.6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-0.33213644524236946</v>
      </c>
      <c r="Q837">
        <f t="shared" si="1010"/>
        <v>-717448.79892279988</v>
      </c>
      <c r="R837">
        <f t="shared" si="1011"/>
        <v>-1652937.2504892643</v>
      </c>
      <c r="S837">
        <f t="shared" si="1012"/>
        <v>-16.529372504892642</v>
      </c>
      <c r="T837">
        <f t="shared" si="1013"/>
        <v>-1.6529372504892642E-2</v>
      </c>
    </row>
    <row r="838" spans="1:20" x14ac:dyDescent="0.25">
      <c r="A838" s="5">
        <v>43755</v>
      </c>
      <c r="B838">
        <v>5.7009999999999998E-2</v>
      </c>
      <c r="C838">
        <v>6.6000000000000003E-2</v>
      </c>
      <c r="D838">
        <v>5.3999999999999999E-2</v>
      </c>
      <c r="E838">
        <v>5.6959999999999997E-2</v>
      </c>
      <c r="F838">
        <v>4609338.3</v>
      </c>
      <c r="G838">
        <v>0</v>
      </c>
      <c r="L838" t="s">
        <v>8</v>
      </c>
      <c r="M838" t="s">
        <v>8</v>
      </c>
      <c r="N838" t="s">
        <v>7</v>
      </c>
      <c r="P838">
        <f t="shared" si="1009"/>
        <v>-0.50666666666666726</v>
      </c>
      <c r="Q838">
        <f t="shared" si="1010"/>
        <v>-2335398.0720000025</v>
      </c>
      <c r="R838">
        <f t="shared" si="1011"/>
        <v>-935488.4515664645</v>
      </c>
      <c r="S838">
        <f t="shared" si="1012"/>
        <v>-9.3548845156646454</v>
      </c>
      <c r="T838">
        <f t="shared" si="1013"/>
        <v>-9.3548845156646455E-3</v>
      </c>
    </row>
    <row r="839" spans="1:20" x14ac:dyDescent="0.25">
      <c r="A839" s="5">
        <v>43754</v>
      </c>
      <c r="B839">
        <v>6.2309999999999997E-2</v>
      </c>
      <c r="C839">
        <v>6.232E-2</v>
      </c>
      <c r="D839">
        <v>5.0259999999999999E-2</v>
      </c>
      <c r="E839">
        <v>5.7020000000000001E-2</v>
      </c>
      <c r="F839">
        <v>11508613.5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0.12106135986733024</v>
      </c>
      <c r="Q839">
        <f t="shared" si="1010"/>
        <v>1393248.400497515</v>
      </c>
      <c r="R839">
        <f t="shared" si="1011"/>
        <v>1399909.620433538</v>
      </c>
      <c r="S839">
        <f t="shared" si="1012"/>
        <v>13.99909620433538</v>
      </c>
      <c r="T839">
        <f t="shared" si="1013"/>
        <v>1.3999096204335381E-2</v>
      </c>
    </row>
    <row r="840" spans="1:20" x14ac:dyDescent="0.25">
      <c r="A840" s="5">
        <v>43753</v>
      </c>
      <c r="B840">
        <v>6.5850000000000006E-2</v>
      </c>
      <c r="C840">
        <v>6.6890000000000005E-2</v>
      </c>
      <c r="D840">
        <v>6.0170000000000001E-2</v>
      </c>
      <c r="E840">
        <v>6.2850000000000003E-2</v>
      </c>
      <c r="F840">
        <v>4403369.9000000004</v>
      </c>
      <c r="G840">
        <v>0</v>
      </c>
      <c r="L840" t="s">
        <v>7</v>
      </c>
      <c r="M840" t="s">
        <v>8</v>
      </c>
      <c r="N840" t="s">
        <v>8</v>
      </c>
      <c r="P840">
        <f t="shared" si="1009"/>
        <v>-0.20238095238095227</v>
      </c>
      <c r="Q840">
        <f t="shared" si="1010"/>
        <v>-891158.19404761866</v>
      </c>
      <c r="R840">
        <f t="shared" si="1011"/>
        <v>6661.2199360230006</v>
      </c>
      <c r="S840">
        <f t="shared" si="1012"/>
        <v>6.6612199360230009E-2</v>
      </c>
      <c r="T840">
        <f t="shared" si="1013"/>
        <v>6.6612199360230003E-5</v>
      </c>
    </row>
    <row r="841" spans="1:20" x14ac:dyDescent="0.25">
      <c r="A841" s="5">
        <v>43752</v>
      </c>
      <c r="B841">
        <v>6.0040000000000003E-2</v>
      </c>
      <c r="C841">
        <v>6.923E-2</v>
      </c>
      <c r="D841">
        <v>6.0040000000000003E-2</v>
      </c>
      <c r="E841">
        <v>6.5850000000000006E-2</v>
      </c>
      <c r="F841">
        <v>5854373.5999999996</v>
      </c>
      <c r="G841">
        <v>0</v>
      </c>
      <c r="L841" t="s">
        <v>8</v>
      </c>
      <c r="M841" t="s">
        <v>8</v>
      </c>
      <c r="N841" t="s">
        <v>8</v>
      </c>
      <c r="P841">
        <f t="shared" si="1009"/>
        <v>0.26441784548422298</v>
      </c>
      <c r="Q841">
        <f t="shared" si="1010"/>
        <v>1548000.8539717142</v>
      </c>
      <c r="R841">
        <f t="shared" si="1011"/>
        <v>897819.41398364166</v>
      </c>
      <c r="S841">
        <f t="shared" si="1012"/>
        <v>8.9781941398364165</v>
      </c>
      <c r="T841">
        <f t="shared" si="1013"/>
        <v>8.9781941398364169E-3</v>
      </c>
    </row>
    <row r="842" spans="1:20" x14ac:dyDescent="0.25">
      <c r="A842" s="5">
        <v>43751</v>
      </c>
      <c r="B842">
        <v>6.1769999999999999E-2</v>
      </c>
      <c r="C842">
        <v>6.6000000000000003E-2</v>
      </c>
      <c r="D842">
        <v>5.7829999999999999E-2</v>
      </c>
      <c r="E842">
        <v>6.0470000000000003E-2</v>
      </c>
      <c r="F842">
        <v>6603266.7999999998</v>
      </c>
      <c r="G842">
        <v>0</v>
      </c>
      <c r="L842" t="s">
        <v>8</v>
      </c>
      <c r="M842" t="s">
        <v>8</v>
      </c>
      <c r="N842" t="s">
        <v>8</v>
      </c>
      <c r="P842">
        <f t="shared" si="1009"/>
        <v>-0.35373317013463834</v>
      </c>
      <c r="Q842">
        <f t="shared" si="1010"/>
        <v>-2335794.4984088088</v>
      </c>
      <c r="R842">
        <f t="shared" si="1011"/>
        <v>-650181.4399880725</v>
      </c>
      <c r="S842">
        <f t="shared" si="1012"/>
        <v>-6.5018143998807245</v>
      </c>
      <c r="T842">
        <f t="shared" si="1013"/>
        <v>-6.5018143998807247E-3</v>
      </c>
    </row>
    <row r="843" spans="1:20" x14ac:dyDescent="0.25">
      <c r="A843" s="5">
        <v>43750</v>
      </c>
      <c r="B843">
        <v>5.8770000000000003E-2</v>
      </c>
      <c r="C843">
        <v>6.2449999999999999E-2</v>
      </c>
      <c r="D843">
        <v>5.5849999999999997E-2</v>
      </c>
      <c r="E843">
        <v>6.1629999999999997E-2</v>
      </c>
      <c r="F843">
        <v>4677884.5</v>
      </c>
      <c r="G843">
        <v>0</v>
      </c>
      <c r="L843" t="s">
        <v>8</v>
      </c>
      <c r="M843" t="s">
        <v>7</v>
      </c>
      <c r="N843" t="s">
        <v>8</v>
      </c>
      <c r="P843">
        <f t="shared" si="1009"/>
        <v>0.75151515151515114</v>
      </c>
      <c r="Q843">
        <f t="shared" si="1010"/>
        <v>3515501.0787878772</v>
      </c>
      <c r="R843">
        <f t="shared" si="1011"/>
        <v>1685613.0584207363</v>
      </c>
      <c r="S843">
        <f t="shared" si="1012"/>
        <v>16.856130584207364</v>
      </c>
      <c r="T843">
        <f t="shared" si="1013"/>
        <v>1.6856130584207363E-2</v>
      </c>
    </row>
    <row r="844" spans="1:20" x14ac:dyDescent="0.25">
      <c r="A844" s="5">
        <v>43749</v>
      </c>
      <c r="B844">
        <v>5.9119999999999999E-2</v>
      </c>
      <c r="C844">
        <v>6.5000000000000002E-2</v>
      </c>
      <c r="D844">
        <v>5.5059999999999998E-2</v>
      </c>
      <c r="E844">
        <v>5.8790000000000002E-2</v>
      </c>
      <c r="F844">
        <v>10163364.5</v>
      </c>
      <c r="G844">
        <v>0</v>
      </c>
      <c r="L844" t="s">
        <v>7</v>
      </c>
      <c r="M844" t="s">
        <v>7</v>
      </c>
      <c r="N844" t="s">
        <v>8</v>
      </c>
      <c r="P844">
        <f t="shared" si="1009"/>
        <v>-0.24949698189134759</v>
      </c>
      <c r="Q844">
        <f t="shared" si="1010"/>
        <v>-2535728.7686116649</v>
      </c>
      <c r="R844">
        <f t="shared" si="1011"/>
        <v>-1829888.0203671409</v>
      </c>
      <c r="S844">
        <f t="shared" si="1012"/>
        <v>-18.298880203671409</v>
      </c>
      <c r="T844">
        <f t="shared" si="1013"/>
        <v>-1.829888020367141E-2</v>
      </c>
    </row>
    <row r="845" spans="1:20" x14ac:dyDescent="0.25">
      <c r="A845" s="5">
        <v>43748</v>
      </c>
      <c r="B845">
        <v>6.268E-2</v>
      </c>
      <c r="C845">
        <v>7.0000000000000007E-2</v>
      </c>
      <c r="D845">
        <v>5.636E-2</v>
      </c>
      <c r="E845">
        <v>5.892E-2</v>
      </c>
      <c r="F845">
        <v>21095947.600000001</v>
      </c>
      <c r="G845">
        <v>0</v>
      </c>
      <c r="L845" t="s">
        <v>8</v>
      </c>
      <c r="M845" t="s">
        <v>8</v>
      </c>
      <c r="N845" t="s">
        <v>8</v>
      </c>
      <c r="P845">
        <f t="shared" si="1009"/>
        <v>-0.62463343108504421</v>
      </c>
      <c r="Q845">
        <f t="shared" si="1010"/>
        <v>-13177234.131378304</v>
      </c>
      <c r="R845">
        <f t="shared" si="1011"/>
        <v>705840.748244524</v>
      </c>
      <c r="S845">
        <f t="shared" si="1012"/>
        <v>7.0584074824452401</v>
      </c>
      <c r="T845">
        <f t="shared" si="1013"/>
        <v>7.0584074824452401E-3</v>
      </c>
    </row>
    <row r="846" spans="1:20" x14ac:dyDescent="0.25">
      <c r="A846" s="5">
        <v>43747</v>
      </c>
      <c r="B846">
        <v>5.0369999999999998E-2</v>
      </c>
      <c r="C846">
        <v>6.3960000000000003E-2</v>
      </c>
      <c r="D846">
        <v>4.8899999999999999E-2</v>
      </c>
      <c r="E846">
        <v>6.2770000000000006E-2</v>
      </c>
      <c r="F846">
        <v>9023812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0.84196547144754363</v>
      </c>
      <c r="Q846">
        <f t="shared" si="1010"/>
        <v>7597738.124834002</v>
      </c>
      <c r="R846">
        <f t="shared" si="1011"/>
        <v>13883074.879622828</v>
      </c>
      <c r="S846">
        <f t="shared" si="1012"/>
        <v>138.83074879622828</v>
      </c>
      <c r="T846">
        <f t="shared" si="1013"/>
        <v>0.13883074879622828</v>
      </c>
    </row>
    <row r="847" spans="1:20" x14ac:dyDescent="0.25">
      <c r="A847" s="5">
        <v>43746</v>
      </c>
      <c r="B847">
        <v>4.4839999999999998E-2</v>
      </c>
      <c r="C847">
        <v>5.1929999999999997E-2</v>
      </c>
      <c r="D847">
        <v>4.4839999999999998E-2</v>
      </c>
      <c r="E847">
        <v>5.0250000000000003E-2</v>
      </c>
      <c r="F847">
        <v>5130138.2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0.52609308885754746</v>
      </c>
      <c r="Q847">
        <f t="shared" si="1010"/>
        <v>2698930.2519040988</v>
      </c>
      <c r="R847">
        <f t="shared" si="1011"/>
        <v>6285336.7547888253</v>
      </c>
      <c r="S847">
        <f t="shared" si="1012"/>
        <v>62.853367547888254</v>
      </c>
      <c r="T847">
        <f t="shared" si="1013"/>
        <v>6.2853367547888256E-2</v>
      </c>
    </row>
    <row r="848" spans="1:20" x14ac:dyDescent="0.25">
      <c r="A848" s="5">
        <v>43745</v>
      </c>
      <c r="B848">
        <v>4.2770000000000002E-2</v>
      </c>
      <c r="C848">
        <v>4.7100000000000003E-2</v>
      </c>
      <c r="D848">
        <v>4.0500000000000001E-2</v>
      </c>
      <c r="E848">
        <v>4.4720000000000003E-2</v>
      </c>
      <c r="F848">
        <v>2362863.7999999998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0.27878787878787892</v>
      </c>
      <c r="Q848">
        <f t="shared" si="1010"/>
        <v>658737.78666666697</v>
      </c>
      <c r="R848">
        <f t="shared" si="1011"/>
        <v>3586406.502884726</v>
      </c>
      <c r="S848">
        <f t="shared" si="1012"/>
        <v>35.864065028847257</v>
      </c>
      <c r="T848">
        <f t="shared" si="1013"/>
        <v>3.5864065028847258E-2</v>
      </c>
    </row>
    <row r="849" spans="1:20" x14ac:dyDescent="0.25">
      <c r="A849" s="5">
        <v>43744</v>
      </c>
      <c r="B849">
        <v>4.351E-2</v>
      </c>
      <c r="C849">
        <v>4.5769999999999998E-2</v>
      </c>
      <c r="D849">
        <v>4.2200000000000001E-2</v>
      </c>
      <c r="E849">
        <v>4.2770000000000002E-2</v>
      </c>
      <c r="F849">
        <v>2025019.6</v>
      </c>
      <c r="G849">
        <v>0</v>
      </c>
      <c r="L849" t="s">
        <v>8</v>
      </c>
      <c r="M849" t="s">
        <v>8</v>
      </c>
      <c r="N849" t="s">
        <v>7</v>
      </c>
      <c r="P849">
        <f t="shared" si="1009"/>
        <v>-0.68067226890756216</v>
      </c>
      <c r="Q849">
        <f t="shared" si="1010"/>
        <v>-1378374.685714284</v>
      </c>
      <c r="R849">
        <f t="shared" si="1011"/>
        <v>2927668.716218059</v>
      </c>
      <c r="S849">
        <f t="shared" si="1012"/>
        <v>29.27668716218059</v>
      </c>
      <c r="T849">
        <f t="shared" si="1013"/>
        <v>2.9276687162180591E-2</v>
      </c>
    </row>
    <row r="850" spans="1:20" x14ac:dyDescent="0.25">
      <c r="A850" s="5">
        <v>43743</v>
      </c>
      <c r="B850">
        <v>4.1509999999999998E-2</v>
      </c>
      <c r="C850">
        <v>4.4499999999999998E-2</v>
      </c>
      <c r="D850">
        <v>4.0340000000000001E-2</v>
      </c>
      <c r="E850">
        <v>4.351E-2</v>
      </c>
      <c r="F850">
        <v>2382986.4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0.52403846153846223</v>
      </c>
      <c r="Q850">
        <f t="shared" si="1010"/>
        <v>1248776.5269230786</v>
      </c>
      <c r="R850">
        <f t="shared" si="1011"/>
        <v>4306043.4019323429</v>
      </c>
      <c r="S850">
        <f t="shared" si="1012"/>
        <v>43.060434019323431</v>
      </c>
      <c r="T850">
        <f t="shared" si="1013"/>
        <v>4.3060434019323433E-2</v>
      </c>
    </row>
    <row r="851" spans="1:20" x14ac:dyDescent="0.25">
      <c r="A851" s="5">
        <v>43742</v>
      </c>
      <c r="B851">
        <v>4.0090000000000001E-2</v>
      </c>
      <c r="C851">
        <v>4.2700000000000002E-2</v>
      </c>
      <c r="D851">
        <v>3.8550000000000001E-2</v>
      </c>
      <c r="E851">
        <v>4.1500000000000002E-2</v>
      </c>
      <c r="F851">
        <v>1675701.1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0.42168674698795211</v>
      </c>
      <c r="Q851">
        <f t="shared" si="1010"/>
        <v>706620.94578313304</v>
      </c>
      <c r="R851">
        <f t="shared" si="1011"/>
        <v>3057266.8750092643</v>
      </c>
      <c r="S851">
        <f t="shared" si="1012"/>
        <v>30.572668750092642</v>
      </c>
      <c r="T851">
        <f t="shared" si="1013"/>
        <v>3.0572668750092642E-2</v>
      </c>
    </row>
    <row r="852" spans="1:20" x14ac:dyDescent="0.25">
      <c r="A852" s="5">
        <v>43741</v>
      </c>
      <c r="B852">
        <v>4.1680000000000002E-2</v>
      </c>
      <c r="C852">
        <v>4.2630000000000001E-2</v>
      </c>
      <c r="D852">
        <v>3.85E-2</v>
      </c>
      <c r="E852">
        <v>4.0090000000000001E-2</v>
      </c>
      <c r="F852">
        <v>1658892.9</v>
      </c>
      <c r="G852">
        <v>0</v>
      </c>
      <c r="L852" t="s">
        <v>7</v>
      </c>
      <c r="M852" t="s">
        <v>8</v>
      </c>
      <c r="N852" t="s">
        <v>7</v>
      </c>
      <c r="P852">
        <f t="shared" si="1009"/>
        <v>-0.2300242130750603</v>
      </c>
      <c r="Q852">
        <f t="shared" si="1010"/>
        <v>-381585.53389830468</v>
      </c>
      <c r="R852">
        <f t="shared" si="1011"/>
        <v>2350645.9292261312</v>
      </c>
      <c r="S852">
        <f t="shared" si="1012"/>
        <v>23.506459292261312</v>
      </c>
      <c r="T852">
        <f t="shared" si="1013"/>
        <v>2.3506459292261313E-2</v>
      </c>
    </row>
    <row r="853" spans="1:20" x14ac:dyDescent="0.25">
      <c r="A853" s="5">
        <v>43740</v>
      </c>
      <c r="B853">
        <v>4.0759999999999998E-2</v>
      </c>
      <c r="C853">
        <v>4.3290000000000002E-2</v>
      </c>
      <c r="D853">
        <v>4.0599999999999997E-2</v>
      </c>
      <c r="E853">
        <v>4.1390000000000003E-2</v>
      </c>
      <c r="F853">
        <v>1811674.6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-0.41263940520445758</v>
      </c>
      <c r="Q853">
        <f t="shared" si="1010"/>
        <v>-747568.32936802367</v>
      </c>
      <c r="R853">
        <f t="shared" si="1011"/>
        <v>2732231.4631244359</v>
      </c>
      <c r="S853">
        <f t="shared" si="1012"/>
        <v>27.32231463124436</v>
      </c>
      <c r="T853">
        <f t="shared" si="1013"/>
        <v>2.7322314631244359E-2</v>
      </c>
    </row>
    <row r="854" spans="1:20" x14ac:dyDescent="0.25">
      <c r="A854" s="5">
        <v>43739</v>
      </c>
      <c r="B854">
        <v>3.9460000000000002E-2</v>
      </c>
      <c r="C854">
        <v>4.2999999999999997E-2</v>
      </c>
      <c r="D854">
        <v>3.8030000000000001E-2</v>
      </c>
      <c r="E854">
        <v>4.0750000000000001E-2</v>
      </c>
      <c r="F854">
        <v>2376786.5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9.4567404426560475E-2</v>
      </c>
      <c r="Q854">
        <f t="shared" si="1010"/>
        <v>224766.53018108918</v>
      </c>
      <c r="R854">
        <f t="shared" si="1011"/>
        <v>3479799.7924924595</v>
      </c>
      <c r="S854">
        <f t="shared" si="1012"/>
        <v>34.797997924924594</v>
      </c>
      <c r="T854">
        <f t="shared" si="1013"/>
        <v>3.4797997924924592E-2</v>
      </c>
    </row>
    <row r="855" spans="1:20" x14ac:dyDescent="0.25">
      <c r="A855" s="5">
        <v>43738</v>
      </c>
      <c r="B855">
        <v>4.104E-2</v>
      </c>
      <c r="C855">
        <v>4.1619999999999997E-2</v>
      </c>
      <c r="D855">
        <v>3.5389999999999998E-2</v>
      </c>
      <c r="E855">
        <v>3.9440000000000003E-2</v>
      </c>
      <c r="F855">
        <v>4934527.7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0.30016051364366142</v>
      </c>
      <c r="Q855">
        <f t="shared" si="1010"/>
        <v>1481150.3690208753</v>
      </c>
      <c r="R855">
        <f t="shared" si="1011"/>
        <v>3255033.2623113706</v>
      </c>
      <c r="S855">
        <f t="shared" si="1012"/>
        <v>32.550332623113704</v>
      </c>
      <c r="T855">
        <f t="shared" si="1013"/>
        <v>3.2550332623113701E-2</v>
      </c>
    </row>
    <row r="856" spans="1:20" x14ac:dyDescent="0.25">
      <c r="A856" s="5">
        <v>43737</v>
      </c>
      <c r="B856">
        <v>3.8760000000000003E-2</v>
      </c>
      <c r="C856">
        <v>4.3299999999999998E-2</v>
      </c>
      <c r="D856">
        <v>3.7429999999999998E-2</v>
      </c>
      <c r="E856">
        <v>4.104E-2</v>
      </c>
      <c r="F856">
        <v>3602292.8</v>
      </c>
      <c r="G856">
        <v>0</v>
      </c>
      <c r="L856" t="s">
        <v>8</v>
      </c>
      <c r="M856" t="s">
        <v>8</v>
      </c>
      <c r="N856" t="s">
        <v>7</v>
      </c>
      <c r="P856">
        <f t="shared" si="1009"/>
        <v>0.22998296422487291</v>
      </c>
      <c r="Q856">
        <f t="shared" si="1010"/>
        <v>828465.97614991723</v>
      </c>
      <c r="R856">
        <f t="shared" si="1011"/>
        <v>1773882.8932904953</v>
      </c>
      <c r="S856">
        <f t="shared" si="1012"/>
        <v>17.738828932904951</v>
      </c>
      <c r="T856">
        <f t="shared" si="1013"/>
        <v>1.7738828932904953E-2</v>
      </c>
    </row>
    <row r="857" spans="1:20" x14ac:dyDescent="0.25">
      <c r="A857" s="5">
        <v>43736</v>
      </c>
      <c r="B857">
        <v>3.8710000000000001E-2</v>
      </c>
      <c r="C857">
        <v>4.0719999999999999E-2</v>
      </c>
      <c r="D857">
        <v>3.6089999999999997E-2</v>
      </c>
      <c r="E857">
        <v>3.8760000000000003E-2</v>
      </c>
      <c r="F857">
        <v>1065323.8</v>
      </c>
      <c r="G857">
        <v>0</v>
      </c>
      <c r="L857" t="s">
        <v>7</v>
      </c>
      <c r="M857" t="s">
        <v>8</v>
      </c>
      <c r="N857" t="s">
        <v>7</v>
      </c>
      <c r="P857">
        <f t="shared" si="1009"/>
        <v>0.15334773218142742</v>
      </c>
      <c r="Q857">
        <f t="shared" si="1010"/>
        <v>163364.98876890054</v>
      </c>
      <c r="R857">
        <f t="shared" si="1011"/>
        <v>945416.91714057804</v>
      </c>
      <c r="S857">
        <f t="shared" si="1012"/>
        <v>9.4541691714057805</v>
      </c>
      <c r="T857">
        <f t="shared" si="1013"/>
        <v>9.4541691714057803E-3</v>
      </c>
    </row>
    <row r="858" spans="1:20" x14ac:dyDescent="0.25">
      <c r="A858" s="5">
        <v>43735</v>
      </c>
      <c r="B858">
        <v>3.7319999999999999E-2</v>
      </c>
      <c r="C858">
        <v>4.086E-2</v>
      </c>
      <c r="D858">
        <v>3.6040000000000003E-2</v>
      </c>
      <c r="E858">
        <v>3.8710000000000001E-2</v>
      </c>
      <c r="F858">
        <v>1856005.5</v>
      </c>
      <c r="G858">
        <v>0</v>
      </c>
      <c r="L858" t="s">
        <v>8</v>
      </c>
      <c r="M858" t="s">
        <v>8</v>
      </c>
      <c r="N858" t="s">
        <v>7</v>
      </c>
      <c r="P858">
        <f t="shared" si="1009"/>
        <v>0.10788381742738586</v>
      </c>
      <c r="Q858">
        <f t="shared" si="1010"/>
        <v>200232.95850622401</v>
      </c>
      <c r="R858">
        <f t="shared" si="1011"/>
        <v>782051.92837167752</v>
      </c>
      <c r="S858">
        <f t="shared" si="1012"/>
        <v>7.8205192837167754</v>
      </c>
      <c r="T858">
        <f t="shared" si="1013"/>
        <v>7.8205192837167755E-3</v>
      </c>
    </row>
    <row r="859" spans="1:20" x14ac:dyDescent="0.25">
      <c r="A859" s="5">
        <v>43734</v>
      </c>
      <c r="B859">
        <v>3.9329999999999997E-2</v>
      </c>
      <c r="C859">
        <v>4.1300000000000003E-2</v>
      </c>
      <c r="D859">
        <v>3.3820000000000003E-2</v>
      </c>
      <c r="E859">
        <v>3.7249999999999998E-2</v>
      </c>
      <c r="F859">
        <v>2567310.7000000002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-8.2887700534760619E-2</v>
      </c>
      <c r="Q859">
        <f t="shared" si="1010"/>
        <v>-212798.48048128668</v>
      </c>
      <c r="R859">
        <f t="shared" si="1011"/>
        <v>581818.96986545355</v>
      </c>
      <c r="S859">
        <f t="shared" si="1012"/>
        <v>5.8181896986545354</v>
      </c>
      <c r="T859">
        <f t="shared" si="1013"/>
        <v>5.8181896986545358E-3</v>
      </c>
    </row>
    <row r="860" spans="1:20" x14ac:dyDescent="0.25">
      <c r="A860" s="5">
        <v>43733</v>
      </c>
      <c r="B860">
        <v>3.5000000000000003E-2</v>
      </c>
      <c r="C860">
        <v>3.952E-2</v>
      </c>
      <c r="D860">
        <v>3.2309999999999998E-2</v>
      </c>
      <c r="E860">
        <v>3.8879999999999998E-2</v>
      </c>
      <c r="F860">
        <v>966136.9</v>
      </c>
      <c r="G860">
        <v>0</v>
      </c>
      <c r="P860">
        <f t="shared" si="1009"/>
        <v>0.82246879334257927</v>
      </c>
      <c r="Q860">
        <f t="shared" si="1010"/>
        <v>794617.4503467402</v>
      </c>
      <c r="R860">
        <f t="shared" si="1011"/>
        <v>794617.4503467402</v>
      </c>
      <c r="S860">
        <f t="shared" si="1012"/>
        <v>7.9461745034674021</v>
      </c>
      <c r="T860">
        <f t="shared" si="1013"/>
        <v>7.9461745034674017E-3</v>
      </c>
    </row>
    <row r="861" spans="1:20" x14ac:dyDescent="0.25">
      <c r="A861" s="5"/>
      <c r="C861" s="4"/>
      <c r="D861" s="4"/>
    </row>
    <row r="862" spans="1:20" x14ac:dyDescent="0.25">
      <c r="A862" s="5"/>
      <c r="C862" s="4"/>
      <c r="D862" s="4"/>
    </row>
    <row r="863" spans="1:20" x14ac:dyDescent="0.25">
      <c r="A863" s="5"/>
      <c r="C863" s="4"/>
      <c r="D863" s="4"/>
    </row>
    <row r="864" spans="1:20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P644" sqref="PP64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$A$643</v>
      </c>
      <c r="D111" s="1" t="str">
        <f>ADDRESS(C121-1,D121,1,1)</f>
        <v>$PP$643</v>
      </c>
      <c r="E111"/>
    </row>
    <row r="112" spans="1:5" x14ac:dyDescent="0.25">
      <c r="A112" s="7">
        <v>12164.144957890772</v>
      </c>
      <c r="C112" s="1" t="str">
        <f>ADDRESS(C121,1,1,1)</f>
        <v>$A$644</v>
      </c>
      <c r="D112" s="1" t="str">
        <f>ADDRESS(C121,D121-1,1,1)</f>
        <v>$PO$644</v>
      </c>
      <c r="E112"/>
    </row>
    <row r="113" spans="1:5" x14ac:dyDescent="0.25">
      <c r="A113" s="7">
        <v>11925.63231165762</v>
      </c>
      <c r="C113" s="1" t="str">
        <f>ADDRESS(C121+1,1,1,1)</f>
        <v>$A$645</v>
      </c>
      <c r="D113" s="1" t="str">
        <f>ADDRESS(C121-1,D121+1,1,1)</f>
        <v>$PQ$643</v>
      </c>
    </row>
    <row r="114" spans="1:5" x14ac:dyDescent="0.25">
      <c r="A114" s="7">
        <v>11691.796383978059</v>
      </c>
      <c r="C114" s="1" t="str">
        <f>ADDRESS(C121,D121,1,1)</f>
        <v>$PP$644</v>
      </c>
      <c r="D114" s="1" t="str">
        <f>ADDRESS(C121+1,D121+1,1,1)</f>
        <v>$PQ$645</v>
      </c>
    </row>
    <row r="115" spans="1:5" x14ac:dyDescent="0.25">
      <c r="A115" s="7">
        <v>11462.545474488292</v>
      </c>
      <c r="C115" s="1" t="str">
        <f>ADDRESS(C121+1,D121,1,1)</f>
        <v>$PP$645</v>
      </c>
    </row>
    <row r="116" spans="1:5" x14ac:dyDescent="0.25">
      <c r="A116" s="7">
        <v>11237.789680870874</v>
      </c>
      <c r="C116" s="1">
        <f>C117-1</f>
        <v>643</v>
      </c>
    </row>
    <row r="117" spans="1:5" x14ac:dyDescent="0.25">
      <c r="A117" s="7">
        <v>11017.440863598895</v>
      </c>
      <c r="C117" s="1">
        <f>C121</f>
        <v>644</v>
      </c>
      <c r="D117" s="1">
        <f>D121</f>
        <v>432</v>
      </c>
    </row>
    <row r="118" spans="1:5" x14ac:dyDescent="0.25">
      <c r="A118" s="7">
        <v>10801.412611371465</v>
      </c>
      <c r="C118" s="1">
        <f>C117+1</f>
        <v>645</v>
      </c>
      <c r="D118" s="1">
        <f>D117+1</f>
        <v>433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644</v>
      </c>
      <c r="D121" s="19">
        <v>432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R644</v>
      </c>
      <c r="D123" s="1" t="str">
        <f>"C"&amp;D121</f>
        <v>C432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0.32343737942449713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262" x14ac:dyDescent="0.25">
      <c r="A545" s="7">
        <v>2.2972444660248938</v>
      </c>
      <c r="B545"/>
      <c r="C545"/>
      <c r="D545"/>
      <c r="E545"/>
    </row>
    <row r="546" spans="1:262" x14ac:dyDescent="0.25">
      <c r="A546" s="7">
        <v>2.252200456887151</v>
      </c>
      <c r="B546"/>
      <c r="C546"/>
      <c r="D546"/>
      <c r="E546"/>
    </row>
    <row r="547" spans="1:262" x14ac:dyDescent="0.25">
      <c r="A547" s="7">
        <v>2.208039663614854</v>
      </c>
      <c r="B547"/>
      <c r="C547"/>
      <c r="D547"/>
      <c r="E547"/>
    </row>
    <row r="548" spans="1:262" x14ac:dyDescent="0.25">
      <c r="A548" s="7">
        <v>2.1647447682498568</v>
      </c>
      <c r="B548"/>
      <c r="C548"/>
      <c r="D548"/>
      <c r="E548"/>
    </row>
    <row r="549" spans="1:262" x14ac:dyDescent="0.25">
      <c r="A549" s="7">
        <v>2.1222987924018204</v>
      </c>
      <c r="B549"/>
      <c r="C549"/>
      <c r="D549"/>
      <c r="E549"/>
    </row>
    <row r="550" spans="1:262" x14ac:dyDescent="0.25">
      <c r="A550" s="7">
        <v>2.0806850905900198</v>
      </c>
      <c r="B550"/>
      <c r="C550"/>
      <c r="D550"/>
      <c r="E550"/>
    </row>
    <row r="551" spans="1:262" x14ac:dyDescent="0.25">
      <c r="A551" s="7">
        <v>2.0398873437157055</v>
      </c>
      <c r="B551"/>
      <c r="C551"/>
      <c r="D551"/>
      <c r="E551"/>
    </row>
    <row r="552" spans="1:262" x14ac:dyDescent="0.25">
      <c r="A552" s="7">
        <v>1.9998895526624565</v>
      </c>
      <c r="B552"/>
      <c r="C552"/>
      <c r="D552"/>
      <c r="E552"/>
    </row>
    <row r="553" spans="1:262" x14ac:dyDescent="0.25">
      <c r="A553" s="7">
        <v>1.9606760320220162</v>
      </c>
      <c r="B553"/>
      <c r="C553"/>
      <c r="D553"/>
      <c r="E553"/>
    </row>
    <row r="554" spans="1:262" x14ac:dyDescent="0.25">
      <c r="A554" s="7">
        <v>1.9222314039431532</v>
      </c>
      <c r="B554"/>
      <c r="C554"/>
      <c r="D554"/>
      <c r="E554"/>
    </row>
    <row r="555" spans="1:262" x14ac:dyDescent="0.25">
      <c r="A555" s="7">
        <v>1.8845405921011305</v>
      </c>
      <c r="B555"/>
      <c r="C555"/>
      <c r="D555"/>
      <c r="E555"/>
    </row>
    <row r="556" spans="1:262" x14ac:dyDescent="0.25">
      <c r="A556" s="7">
        <v>1.8475888157854219</v>
      </c>
      <c r="B556"/>
      <c r="C556"/>
      <c r="D556"/>
      <c r="E556"/>
    </row>
    <row r="557" spans="1:262" x14ac:dyDescent="0.25">
      <c r="A557" s="7">
        <v>1.8113615841033548</v>
      </c>
      <c r="B557"/>
      <c r="C557"/>
      <c r="D557"/>
      <c r="E557"/>
      <c r="JA557" s="27" t="s">
        <v>8</v>
      </c>
    </row>
    <row r="558" spans="1:262" x14ac:dyDescent="0.25">
      <c r="A558" s="7">
        <v>1.7758446902974065</v>
      </c>
      <c r="B558"/>
      <c r="C558"/>
      <c r="D558"/>
      <c r="E558"/>
      <c r="JA558" s="27" t="s">
        <v>8</v>
      </c>
      <c r="JB558" s="27" t="s">
        <v>7</v>
      </c>
    </row>
    <row r="559" spans="1:262" x14ac:dyDescent="0.25">
      <c r="A559" s="7">
        <v>1.7410242061739281</v>
      </c>
      <c r="B559"/>
      <c r="C559"/>
      <c r="D559"/>
      <c r="E559"/>
      <c r="JA559" s="27" t="s">
        <v>8</v>
      </c>
      <c r="JB559" s="27" t="s">
        <v>7</v>
      </c>
    </row>
    <row r="560" spans="1:262" x14ac:dyDescent="0.25">
      <c r="A560" s="7">
        <v>1.7068864766411058</v>
      </c>
      <c r="B560"/>
      <c r="C560"/>
      <c r="D560"/>
      <c r="E560"/>
      <c r="JA560" s="27" t="s">
        <v>8</v>
      </c>
      <c r="JB560" s="27" t="s">
        <v>7</v>
      </c>
    </row>
    <row r="561" spans="1:382" x14ac:dyDescent="0.25">
      <c r="A561" s="7">
        <v>1.6734181143540252</v>
      </c>
      <c r="B561"/>
      <c r="C561"/>
      <c r="D561"/>
      <c r="E561"/>
      <c r="JA561" s="27" t="s">
        <v>8</v>
      </c>
      <c r="JB561" s="27" t="s">
        <v>7</v>
      </c>
    </row>
    <row r="562" spans="1:382" x14ac:dyDescent="0.25">
      <c r="A562" s="7">
        <v>1.6406059944647307</v>
      </c>
      <c r="B562"/>
      <c r="C562"/>
      <c r="D562"/>
      <c r="E562"/>
      <c r="JA562" s="27" t="s">
        <v>8</v>
      </c>
      <c r="JB562" s="27" t="s">
        <v>7</v>
      </c>
    </row>
    <row r="563" spans="1:382" x14ac:dyDescent="0.25">
      <c r="A563" s="7">
        <v>1.6084372494752261</v>
      </c>
      <c r="B563"/>
      <c r="C563"/>
      <c r="D563"/>
      <c r="E563"/>
      <c r="JA563" s="27" t="s">
        <v>8</v>
      </c>
      <c r="JB563" s="27" t="s">
        <v>7</v>
      </c>
    </row>
    <row r="564" spans="1:382" x14ac:dyDescent="0.25">
      <c r="A564" s="7">
        <v>1.5768992641913981</v>
      </c>
      <c r="B564"/>
      <c r="C564"/>
      <c r="D564"/>
      <c r="E564"/>
      <c r="JA564" s="27" t="s">
        <v>8</v>
      </c>
      <c r="JB564" s="27" t="s">
        <v>7</v>
      </c>
    </row>
    <row r="565" spans="1:382" x14ac:dyDescent="0.25">
      <c r="A565" s="7">
        <v>1.5459796707758806</v>
      </c>
      <c r="B565"/>
      <c r="C565"/>
      <c r="D565"/>
      <c r="E565"/>
      <c r="JA565" s="27" t="s">
        <v>8</v>
      </c>
      <c r="JB565" s="27" t="s">
        <v>7</v>
      </c>
    </row>
    <row r="566" spans="1:382" x14ac:dyDescent="0.25">
      <c r="A566" s="7">
        <v>1.5156663438979221</v>
      </c>
      <c r="B566"/>
      <c r="C566"/>
      <c r="D566"/>
      <c r="E566"/>
      <c r="JA566" s="27" t="s">
        <v>8</v>
      </c>
      <c r="JB566" s="27" t="s">
        <v>7</v>
      </c>
    </row>
    <row r="567" spans="1:382" x14ac:dyDescent="0.25">
      <c r="A567" s="7">
        <v>1.4859473959783549</v>
      </c>
      <c r="B567"/>
      <c r="C567"/>
      <c r="D567"/>
      <c r="E567"/>
      <c r="JA567" s="27" t="s">
        <v>8</v>
      </c>
      <c r="JB567" s="27" t="s">
        <v>7</v>
      </c>
    </row>
    <row r="568" spans="1:382" x14ac:dyDescent="0.25">
      <c r="A568" s="7">
        <v>1.4568111725277988</v>
      </c>
      <c r="B568"/>
      <c r="C568"/>
      <c r="D568"/>
      <c r="E568"/>
      <c r="JA568" s="27" t="s">
        <v>8</v>
      </c>
      <c r="JB568" s="27" t="s">
        <v>7</v>
      </c>
    </row>
    <row r="569" spans="1:382" x14ac:dyDescent="0.25">
      <c r="A569" s="7">
        <v>1.4282462475762734</v>
      </c>
      <c r="B569"/>
      <c r="C569"/>
      <c r="D569"/>
      <c r="E569"/>
      <c r="JA569" s="27" t="s">
        <v>8</v>
      </c>
      <c r="JB569" s="27" t="s">
        <v>7</v>
      </c>
    </row>
    <row r="570" spans="1:382" x14ac:dyDescent="0.25">
      <c r="A570" s="7">
        <v>1.4002414191924248</v>
      </c>
      <c r="B570"/>
      <c r="C570"/>
      <c r="D570"/>
      <c r="E570"/>
      <c r="JA570" s="27" t="s">
        <v>8</v>
      </c>
      <c r="JB570" s="27" t="s">
        <v>7</v>
      </c>
    </row>
    <row r="571" spans="1:382" x14ac:dyDescent="0.25">
      <c r="A571" s="7">
        <v>1.3727857050906125</v>
      </c>
      <c r="B571"/>
      <c r="C571"/>
      <c r="D571"/>
      <c r="E571"/>
      <c r="JA571" s="27" t="s">
        <v>8</v>
      </c>
      <c r="JB571" s="27" t="s">
        <v>7</v>
      </c>
      <c r="JK571" s="27" t="s">
        <v>8</v>
      </c>
    </row>
    <row r="572" spans="1:382" x14ac:dyDescent="0.25">
      <c r="A572" s="7">
        <v>1.3458683383241299</v>
      </c>
      <c r="B572"/>
      <c r="C572"/>
      <c r="D572"/>
      <c r="E572"/>
      <c r="JA572" s="27" t="s">
        <v>8</v>
      </c>
      <c r="JB572" s="27" t="s">
        <v>7</v>
      </c>
      <c r="JK572" s="27" t="s">
        <v>8</v>
      </c>
      <c r="JL572" s="27" t="s">
        <v>7</v>
      </c>
    </row>
    <row r="573" spans="1:382" x14ac:dyDescent="0.25">
      <c r="A573" s="7">
        <v>1.3194787630628724</v>
      </c>
      <c r="B573"/>
      <c r="C573"/>
      <c r="D573"/>
      <c r="E573"/>
      <c r="JA573" s="27" t="s">
        <v>8</v>
      </c>
      <c r="JB573" s="27" t="s">
        <v>7</v>
      </c>
      <c r="JK573" s="27" t="s">
        <v>8</v>
      </c>
      <c r="JL573" s="27" t="s">
        <v>7</v>
      </c>
      <c r="NO573" s="27" t="s">
        <v>8</v>
      </c>
    </row>
    <row r="574" spans="1:382" x14ac:dyDescent="0.25">
      <c r="A574" s="7">
        <v>1.2936066304537963</v>
      </c>
      <c r="B574"/>
      <c r="C574"/>
      <c r="D574"/>
      <c r="E574"/>
      <c r="JA574" s="27" t="s">
        <v>8</v>
      </c>
      <c r="JB574" s="27" t="s">
        <v>7</v>
      </c>
      <c r="JC574" s="27" t="s">
        <v>8</v>
      </c>
      <c r="JK574" s="27" t="s">
        <v>8</v>
      </c>
      <c r="JL574" s="27" t="s">
        <v>7</v>
      </c>
      <c r="JM574" s="27" t="s">
        <v>8</v>
      </c>
      <c r="NO574" s="27" t="s">
        <v>8</v>
      </c>
      <c r="NP574" s="27" t="s">
        <v>7</v>
      </c>
      <c r="NQ574" s="27" t="s">
        <v>8</v>
      </c>
    </row>
    <row r="575" spans="1:382" x14ac:dyDescent="0.25">
      <c r="A575" s="7">
        <v>1.2682417945625455</v>
      </c>
      <c r="B575"/>
      <c r="C575"/>
      <c r="D575"/>
      <c r="E575"/>
      <c r="JA575" s="27" t="s">
        <v>8</v>
      </c>
      <c r="JB575" s="27" t="s">
        <v>7</v>
      </c>
      <c r="JC575" s="27" t="s">
        <v>8</v>
      </c>
      <c r="JD575" s="27" t="s">
        <v>7</v>
      </c>
      <c r="JK575" s="27" t="s">
        <v>8</v>
      </c>
      <c r="JL575" s="27" t="s">
        <v>7</v>
      </c>
      <c r="JM575" s="27" t="s">
        <v>8</v>
      </c>
      <c r="JN575" s="27" t="s">
        <v>7</v>
      </c>
      <c r="NO575" s="27" t="s">
        <v>8</v>
      </c>
      <c r="NP575" s="27" t="s">
        <v>7</v>
      </c>
      <c r="NQ575" s="27" t="s">
        <v>8</v>
      </c>
      <c r="NR575" s="27" t="s">
        <v>7</v>
      </c>
    </row>
    <row r="576" spans="1:382" x14ac:dyDescent="0.25">
      <c r="A576" s="7">
        <v>1.2433743083946525</v>
      </c>
      <c r="B576"/>
      <c r="C576"/>
      <c r="D576"/>
      <c r="E576"/>
      <c r="JA576" s="27" t="s">
        <v>8</v>
      </c>
      <c r="JB576" s="27" t="s">
        <v>7</v>
      </c>
      <c r="JC576" s="27" t="s">
        <v>8</v>
      </c>
      <c r="JD576" s="27" t="s">
        <v>7</v>
      </c>
      <c r="JK576" s="27" t="s">
        <v>8</v>
      </c>
      <c r="JL576" s="27" t="s">
        <v>7</v>
      </c>
      <c r="JM576" s="27" t="s">
        <v>8</v>
      </c>
      <c r="JN576" s="27" t="s">
        <v>7</v>
      </c>
      <c r="NO576" s="27" t="s">
        <v>8</v>
      </c>
      <c r="NP576" s="27" t="s">
        <v>7</v>
      </c>
      <c r="NQ576" s="27" t="s">
        <v>8</v>
      </c>
      <c r="NR576" s="27" t="s">
        <v>7</v>
      </c>
    </row>
    <row r="577" spans="1:408" x14ac:dyDescent="0.25">
      <c r="A577" s="7">
        <v>1.2189944199947573</v>
      </c>
      <c r="B577"/>
      <c r="C577"/>
      <c r="D577"/>
      <c r="E577"/>
      <c r="JA577" s="27" t="s">
        <v>8</v>
      </c>
      <c r="JB577" s="27" t="s">
        <v>7</v>
      </c>
      <c r="JC577" s="27" t="s">
        <v>8</v>
      </c>
      <c r="JD577" s="27" t="s">
        <v>7</v>
      </c>
      <c r="JK577" s="27" t="s">
        <v>8</v>
      </c>
      <c r="JL577" s="27" t="s">
        <v>7</v>
      </c>
      <c r="JN577" s="27" t="s">
        <v>7</v>
      </c>
      <c r="JO577" s="27" t="s">
        <v>8</v>
      </c>
      <c r="KC577" s="27" t="s">
        <v>8</v>
      </c>
      <c r="NK577" s="27" t="s">
        <v>8</v>
      </c>
      <c r="NO577" s="27" t="s">
        <v>8</v>
      </c>
      <c r="NP577" s="27" t="s">
        <v>7</v>
      </c>
      <c r="NQ577" s="27" t="s">
        <v>8</v>
      </c>
      <c r="NR577" s="27" t="s">
        <v>7</v>
      </c>
    </row>
    <row r="578" spans="1:408" x14ac:dyDescent="0.25">
      <c r="A578" s="7">
        <v>1.1950925686223111</v>
      </c>
      <c r="B578"/>
      <c r="C578"/>
      <c r="D578"/>
      <c r="E578"/>
      <c r="JA578" s="27" t="s">
        <v>8</v>
      </c>
      <c r="JB578" s="27" t="s">
        <v>7</v>
      </c>
      <c r="JC578" s="27" t="s">
        <v>8</v>
      </c>
      <c r="JD578" s="27" t="s">
        <v>7</v>
      </c>
      <c r="JK578" s="27" t="s">
        <v>8</v>
      </c>
      <c r="JN578" s="27" t="s">
        <v>7</v>
      </c>
      <c r="JO578" s="27" t="s">
        <v>8</v>
      </c>
      <c r="JP578" s="27" t="s">
        <v>7</v>
      </c>
      <c r="KC578" s="27" t="s">
        <v>8</v>
      </c>
      <c r="KD578" s="27" t="s">
        <v>7</v>
      </c>
      <c r="NK578" s="27" t="s">
        <v>8</v>
      </c>
      <c r="NL578" s="27" t="s">
        <v>7</v>
      </c>
      <c r="NO578" s="27" t="s">
        <v>8</v>
      </c>
      <c r="NP578" s="27" t="s">
        <v>7</v>
      </c>
      <c r="NQ578" s="27" t="s">
        <v>8</v>
      </c>
      <c r="NR578" s="27" t="s">
        <v>7</v>
      </c>
    </row>
    <row r="579" spans="1:408" x14ac:dyDescent="0.25">
      <c r="A579" s="7">
        <v>1.1716593810022657</v>
      </c>
      <c r="B579"/>
      <c r="C579"/>
      <c r="D579"/>
      <c r="E579"/>
      <c r="JA579" s="27" t="s">
        <v>8</v>
      </c>
      <c r="JB579" s="27" t="s">
        <v>7</v>
      </c>
      <c r="JC579" s="27" t="s">
        <v>8</v>
      </c>
      <c r="JD579" s="27" t="s">
        <v>7</v>
      </c>
      <c r="JG579" s="27" t="s">
        <v>8</v>
      </c>
      <c r="JK579" s="27" t="s">
        <v>8</v>
      </c>
      <c r="JN579" s="27" t="s">
        <v>7</v>
      </c>
      <c r="JO579" s="27" t="s">
        <v>8</v>
      </c>
      <c r="JP579" s="27" t="s">
        <v>7</v>
      </c>
      <c r="JQ579" s="27" t="s">
        <v>8</v>
      </c>
      <c r="JY579" s="27" t="s">
        <v>8</v>
      </c>
      <c r="KC579" s="27" t="s">
        <v>8</v>
      </c>
      <c r="KD579" s="27" t="s">
        <v>7</v>
      </c>
      <c r="NK579" s="27" t="s">
        <v>8</v>
      </c>
      <c r="NL579" s="27" t="s">
        <v>7</v>
      </c>
      <c r="NO579" s="27" t="s">
        <v>8</v>
      </c>
      <c r="NP579" s="27" t="s">
        <v>7</v>
      </c>
      <c r="NQ579" s="27" t="s">
        <v>8</v>
      </c>
      <c r="NR579" s="27" t="s">
        <v>7</v>
      </c>
      <c r="NY579" s="27" t="s">
        <v>8</v>
      </c>
    </row>
    <row r="580" spans="1:408" x14ac:dyDescent="0.25">
      <c r="A580" s="7">
        <v>1.14868566764928</v>
      </c>
      <c r="B580"/>
      <c r="C580"/>
      <c r="D580"/>
      <c r="E580"/>
      <c r="JA580" s="27" t="s">
        <v>8</v>
      </c>
      <c r="JB580" s="27" t="s">
        <v>7</v>
      </c>
      <c r="JC580" s="27" t="s">
        <v>8</v>
      </c>
      <c r="JD580" s="27" t="s">
        <v>7</v>
      </c>
      <c r="JG580" s="27" t="s">
        <v>8</v>
      </c>
      <c r="JH580" s="27" t="s">
        <v>7</v>
      </c>
      <c r="JI580" s="27" t="s">
        <v>8</v>
      </c>
      <c r="JK580" s="27" t="s">
        <v>8</v>
      </c>
      <c r="JN580" s="27" t="s">
        <v>7</v>
      </c>
      <c r="JO580" s="27" t="s">
        <v>8</v>
      </c>
      <c r="JP580" s="27" t="s">
        <v>7</v>
      </c>
      <c r="JQ580" s="27" t="s">
        <v>8</v>
      </c>
      <c r="JR580" s="27" t="s">
        <v>7</v>
      </c>
      <c r="JS580" s="27" t="s">
        <v>8</v>
      </c>
      <c r="JY580" s="27" t="s">
        <v>8</v>
      </c>
      <c r="JZ580" s="27" t="s">
        <v>7</v>
      </c>
      <c r="KC580" s="27" t="s">
        <v>8</v>
      </c>
      <c r="KD580" s="27" t="s">
        <v>7</v>
      </c>
      <c r="NG580" s="27" t="s">
        <v>8</v>
      </c>
      <c r="NK580" s="27" t="s">
        <v>8</v>
      </c>
      <c r="NL580" s="27" t="s">
        <v>7</v>
      </c>
      <c r="NM580" s="27" t="s">
        <v>8</v>
      </c>
      <c r="NO580" s="27" t="s">
        <v>8</v>
      </c>
      <c r="NP580" s="27" t="s">
        <v>7</v>
      </c>
      <c r="NQ580" s="27" t="s">
        <v>8</v>
      </c>
      <c r="NR580" s="27" t="s">
        <v>7</v>
      </c>
      <c r="NS580" s="27" t="s">
        <v>8</v>
      </c>
      <c r="NW580" s="27" t="s">
        <v>8</v>
      </c>
      <c r="NY580" s="27" t="s">
        <v>8</v>
      </c>
      <c r="NZ580" s="27" t="s">
        <v>7</v>
      </c>
    </row>
    <row r="581" spans="1:408" x14ac:dyDescent="0.25">
      <c r="A581" s="7">
        <v>1.1261624192640001</v>
      </c>
      <c r="B581"/>
      <c r="C581"/>
      <c r="D581"/>
      <c r="E581"/>
      <c r="JA581" s="27" t="s">
        <v>8</v>
      </c>
      <c r="JB581" s="27" t="s">
        <v>7</v>
      </c>
      <c r="JC581" s="27" t="s">
        <v>8</v>
      </c>
      <c r="JD581" s="27" t="s">
        <v>7</v>
      </c>
      <c r="JE581" s="27" t="s">
        <v>8</v>
      </c>
      <c r="JG581" s="27" t="s">
        <v>8</v>
      </c>
      <c r="JH581" s="27" t="s">
        <v>7</v>
      </c>
      <c r="JI581" s="27" t="s">
        <v>8</v>
      </c>
      <c r="JJ581" s="27" t="s">
        <v>7</v>
      </c>
      <c r="JK581" s="27" t="s">
        <v>8</v>
      </c>
      <c r="JN581" s="27" t="s">
        <v>7</v>
      </c>
      <c r="JP581" s="27" t="s">
        <v>7</v>
      </c>
      <c r="JQ581" s="27" t="s">
        <v>8</v>
      </c>
      <c r="JR581" s="27" t="s">
        <v>7</v>
      </c>
      <c r="JS581" s="27" t="s">
        <v>8</v>
      </c>
      <c r="JT581" s="27" t="s">
        <v>7</v>
      </c>
      <c r="JW581" s="27" t="s">
        <v>8</v>
      </c>
      <c r="JY581" s="27" t="s">
        <v>8</v>
      </c>
      <c r="JZ581" s="27" t="s">
        <v>7</v>
      </c>
      <c r="KA581" s="27" t="s">
        <v>8</v>
      </c>
      <c r="KC581" s="27" t="s">
        <v>8</v>
      </c>
      <c r="KD581" s="27" t="s">
        <v>7</v>
      </c>
      <c r="NG581" s="27" t="s">
        <v>8</v>
      </c>
      <c r="NH581" s="27" t="s">
        <v>7</v>
      </c>
      <c r="NK581" s="27" t="s">
        <v>8</v>
      </c>
      <c r="NL581" s="27" t="s">
        <v>7</v>
      </c>
      <c r="NM581" s="27" t="s">
        <v>8</v>
      </c>
      <c r="NN581" s="27" t="s">
        <v>7</v>
      </c>
      <c r="NO581" s="27" t="s">
        <v>8</v>
      </c>
      <c r="NP581" s="27" t="s">
        <v>7</v>
      </c>
      <c r="NR581" s="27" t="s">
        <v>7</v>
      </c>
      <c r="NS581" s="27" t="s">
        <v>8</v>
      </c>
      <c r="NT581" s="27" t="s">
        <v>7</v>
      </c>
      <c r="NW581" s="27" t="s">
        <v>8</v>
      </c>
      <c r="NX581" s="27" t="s">
        <v>7</v>
      </c>
      <c r="NY581" s="27" t="s">
        <v>8</v>
      </c>
      <c r="NZ581" s="27" t="s">
        <v>7</v>
      </c>
    </row>
    <row r="582" spans="1:408" x14ac:dyDescent="0.25">
      <c r="A582" s="7">
        <v>1.1040808032</v>
      </c>
      <c r="B582"/>
      <c r="C582"/>
      <c r="D582"/>
      <c r="E582"/>
      <c r="IY582" s="27" t="s">
        <v>8</v>
      </c>
      <c r="JA582" s="27" t="s">
        <v>8</v>
      </c>
      <c r="JB582" s="27" t="s">
        <v>7</v>
      </c>
      <c r="JC582" s="27" t="s">
        <v>8</v>
      </c>
      <c r="JD582" s="27" t="s">
        <v>7</v>
      </c>
      <c r="JE582" s="27" t="s">
        <v>8</v>
      </c>
      <c r="JF582" s="27" t="s">
        <v>7</v>
      </c>
      <c r="JG582" s="27" t="s">
        <v>8</v>
      </c>
      <c r="JH582" s="27" t="s">
        <v>7</v>
      </c>
      <c r="JI582" s="27" t="s">
        <v>8</v>
      </c>
      <c r="JJ582" s="27" t="s">
        <v>7</v>
      </c>
      <c r="JK582" s="27" t="s">
        <v>8</v>
      </c>
      <c r="JP582" s="27" t="s">
        <v>7</v>
      </c>
      <c r="JQ582" s="27" t="s">
        <v>8</v>
      </c>
      <c r="JR582" s="27" t="s">
        <v>7</v>
      </c>
      <c r="JS582" s="27" t="s">
        <v>8</v>
      </c>
      <c r="JT582" s="27" t="s">
        <v>7</v>
      </c>
      <c r="JU582" s="27" t="s">
        <v>8</v>
      </c>
      <c r="JW582" s="27" t="s">
        <v>8</v>
      </c>
      <c r="JX582" s="27" t="s">
        <v>7</v>
      </c>
      <c r="JY582" s="27" t="s">
        <v>8</v>
      </c>
      <c r="JZ582" s="27" t="s">
        <v>7</v>
      </c>
      <c r="KA582" s="27" t="s">
        <v>8</v>
      </c>
      <c r="KB582" s="27" t="s">
        <v>7</v>
      </c>
      <c r="KC582" s="27" t="s">
        <v>8</v>
      </c>
      <c r="KD582" s="27" t="s">
        <v>7</v>
      </c>
      <c r="NG582" s="27" t="s">
        <v>8</v>
      </c>
      <c r="NH582" s="27" t="s">
        <v>7</v>
      </c>
      <c r="NK582" s="27" t="s">
        <v>8</v>
      </c>
      <c r="NL582" s="27" t="s">
        <v>7</v>
      </c>
      <c r="NM582" s="27" t="s">
        <v>8</v>
      </c>
      <c r="NN582" s="27" t="s">
        <v>7</v>
      </c>
      <c r="NO582" s="27" t="s">
        <v>8</v>
      </c>
      <c r="NR582" s="27" t="s">
        <v>7</v>
      </c>
      <c r="NS582" s="27" t="s">
        <v>8</v>
      </c>
      <c r="NT582" s="27" t="s">
        <v>7</v>
      </c>
      <c r="NU582" s="27" t="s">
        <v>8</v>
      </c>
      <c r="NW582" s="27" t="s">
        <v>8</v>
      </c>
      <c r="NX582" s="27" t="s">
        <v>7</v>
      </c>
      <c r="NY582" s="27" t="s">
        <v>8</v>
      </c>
      <c r="NZ582" s="27" t="s">
        <v>7</v>
      </c>
    </row>
    <row r="583" spans="1:408" x14ac:dyDescent="0.25">
      <c r="A583" s="7">
        <v>1.08243216</v>
      </c>
      <c r="B583"/>
      <c r="C583"/>
      <c r="D583"/>
      <c r="E583"/>
      <c r="IW583" s="27" t="s">
        <v>8</v>
      </c>
      <c r="IY583" s="27" t="s">
        <v>8</v>
      </c>
      <c r="IZ583" s="27" t="s">
        <v>7</v>
      </c>
      <c r="JA583" s="27" t="s">
        <v>8</v>
      </c>
      <c r="JB583" s="27" t="s">
        <v>7</v>
      </c>
      <c r="JC583" s="27" t="s">
        <v>8</v>
      </c>
      <c r="JD583" s="27" t="s">
        <v>7</v>
      </c>
      <c r="JE583" s="27" t="s">
        <v>8</v>
      </c>
      <c r="JF583" s="27" t="s">
        <v>7</v>
      </c>
      <c r="JG583" s="27" t="s">
        <v>8</v>
      </c>
      <c r="JH583" s="27" t="s">
        <v>7</v>
      </c>
      <c r="JI583" s="27" t="s">
        <v>8</v>
      </c>
      <c r="JJ583" s="27" t="s">
        <v>7</v>
      </c>
      <c r="JK583" s="27" t="s">
        <v>8</v>
      </c>
      <c r="JP583" s="27" t="s">
        <v>7</v>
      </c>
      <c r="JQ583" s="27" t="s">
        <v>8</v>
      </c>
      <c r="JR583" s="27" t="s">
        <v>7</v>
      </c>
      <c r="JS583" s="27" t="s">
        <v>8</v>
      </c>
      <c r="JT583" s="27" t="s">
        <v>7</v>
      </c>
      <c r="JU583" s="27" t="s">
        <v>8</v>
      </c>
      <c r="JV583" s="27" t="s">
        <v>7</v>
      </c>
      <c r="JW583" s="27" t="s">
        <v>8</v>
      </c>
      <c r="JX583" s="27" t="s">
        <v>7</v>
      </c>
      <c r="JY583" s="27" t="s">
        <v>8</v>
      </c>
      <c r="JZ583" s="27" t="s">
        <v>7</v>
      </c>
      <c r="KA583" s="27" t="s">
        <v>8</v>
      </c>
      <c r="KB583" s="27" t="s">
        <v>7</v>
      </c>
      <c r="KC583" s="27" t="s">
        <v>8</v>
      </c>
      <c r="KD583" s="27" t="s">
        <v>7</v>
      </c>
      <c r="KQ583" s="27" t="s">
        <v>8</v>
      </c>
      <c r="NG583" s="27" t="s">
        <v>8</v>
      </c>
      <c r="NH583" s="27" t="s">
        <v>7</v>
      </c>
      <c r="NI583" s="27" t="s">
        <v>8</v>
      </c>
      <c r="NK583" s="27" t="s">
        <v>8</v>
      </c>
      <c r="NL583" s="27" t="s">
        <v>7</v>
      </c>
      <c r="NM583" s="27" t="s">
        <v>8</v>
      </c>
      <c r="NN583" s="27" t="s">
        <v>7</v>
      </c>
      <c r="NO583" s="27" t="s">
        <v>8</v>
      </c>
      <c r="NR583" s="27" t="s">
        <v>7</v>
      </c>
      <c r="NT583" s="27" t="s">
        <v>7</v>
      </c>
      <c r="NU583" s="27" t="s">
        <v>8</v>
      </c>
      <c r="NV583" s="27" t="s">
        <v>7</v>
      </c>
      <c r="NW583" s="27" t="s">
        <v>8</v>
      </c>
      <c r="NX583" s="27" t="s">
        <v>7</v>
      </c>
      <c r="NZ583" s="27" t="s">
        <v>7</v>
      </c>
      <c r="OA583" s="27" t="s">
        <v>8</v>
      </c>
    </row>
    <row r="584" spans="1:408" x14ac:dyDescent="0.25">
      <c r="A584" s="7">
        <v>1.0612079999999999</v>
      </c>
      <c r="B584"/>
      <c r="C584"/>
      <c r="D584"/>
      <c r="E584"/>
      <c r="IW584" s="27" t="s">
        <v>8</v>
      </c>
      <c r="IX584" s="27" t="s">
        <v>7</v>
      </c>
      <c r="IY584" s="27" t="s">
        <v>8</v>
      </c>
      <c r="IZ584" s="27" t="s">
        <v>7</v>
      </c>
      <c r="JA584" s="27" t="s">
        <v>8</v>
      </c>
      <c r="JB584" s="27" t="s">
        <v>7</v>
      </c>
      <c r="JC584" s="27" t="s">
        <v>8</v>
      </c>
      <c r="JD584" s="27" t="s">
        <v>7</v>
      </c>
      <c r="JE584" s="27" t="s">
        <v>8</v>
      </c>
      <c r="JF584" s="27" t="s">
        <v>7</v>
      </c>
      <c r="JG584" s="27" t="s">
        <v>8</v>
      </c>
      <c r="JH584" s="27" t="s">
        <v>7</v>
      </c>
      <c r="JI584" s="27" t="s">
        <v>8</v>
      </c>
      <c r="JJ584" s="27" t="s">
        <v>7</v>
      </c>
      <c r="JK584" s="27" t="s">
        <v>8</v>
      </c>
      <c r="JP584" s="27" t="s">
        <v>7</v>
      </c>
      <c r="JQ584" s="27" t="s">
        <v>8</v>
      </c>
      <c r="JR584" s="27" t="s">
        <v>7</v>
      </c>
      <c r="JT584" s="27" t="s">
        <v>7</v>
      </c>
      <c r="JU584" s="27" t="s">
        <v>8</v>
      </c>
      <c r="JV584" s="27" t="s">
        <v>7</v>
      </c>
      <c r="JW584" s="27" t="s">
        <v>8</v>
      </c>
      <c r="JX584" s="27" t="s">
        <v>7</v>
      </c>
      <c r="JY584" s="27" t="s">
        <v>8</v>
      </c>
      <c r="JZ584" s="27" t="s">
        <v>7</v>
      </c>
      <c r="KA584" s="27" t="s">
        <v>8</v>
      </c>
      <c r="KB584" s="27" t="s">
        <v>7</v>
      </c>
      <c r="KC584" s="27" t="s">
        <v>8</v>
      </c>
      <c r="KD584" s="27" t="s">
        <v>7</v>
      </c>
      <c r="KQ584" s="27" t="s">
        <v>8</v>
      </c>
      <c r="KR584" s="27" t="s">
        <v>7</v>
      </c>
      <c r="NG584" s="27" t="s">
        <v>8</v>
      </c>
      <c r="NH584" s="27" t="s">
        <v>7</v>
      </c>
      <c r="NI584" s="27" t="s">
        <v>8</v>
      </c>
      <c r="NJ584" s="27" t="s">
        <v>7</v>
      </c>
      <c r="NK584" s="27" t="s">
        <v>8</v>
      </c>
      <c r="NL584" s="27" t="s">
        <v>7</v>
      </c>
      <c r="NM584" s="27" t="s">
        <v>8</v>
      </c>
      <c r="NN584" s="27" t="s">
        <v>7</v>
      </c>
      <c r="NO584" s="27" t="s">
        <v>8</v>
      </c>
      <c r="NT584" s="27" t="s">
        <v>7</v>
      </c>
      <c r="NU584" s="27" t="s">
        <v>8</v>
      </c>
      <c r="NV584" s="27" t="s">
        <v>7</v>
      </c>
      <c r="NW584" s="27" t="s">
        <v>8</v>
      </c>
      <c r="NZ584" s="27" t="s">
        <v>7</v>
      </c>
      <c r="OA584" s="27" t="s">
        <v>8</v>
      </c>
      <c r="OB584" s="27" t="s">
        <v>7</v>
      </c>
    </row>
    <row r="585" spans="1:408" x14ac:dyDescent="0.25">
      <c r="A585" s="7">
        <v>1.0404</v>
      </c>
      <c r="B585"/>
      <c r="C585"/>
      <c r="D585"/>
      <c r="E585"/>
      <c r="IW585" s="27" t="s">
        <v>8</v>
      </c>
      <c r="IX585" s="27" t="s">
        <v>7</v>
      </c>
      <c r="IY585" s="27" t="s">
        <v>8</v>
      </c>
      <c r="IZ585" s="27" t="s">
        <v>7</v>
      </c>
      <c r="JA585" s="27" t="s">
        <v>8</v>
      </c>
      <c r="JB585" s="27" t="s">
        <v>7</v>
      </c>
      <c r="JC585" s="27" t="s">
        <v>8</v>
      </c>
      <c r="JD585" s="27" t="s">
        <v>7</v>
      </c>
      <c r="JE585" s="27" t="s">
        <v>8</v>
      </c>
      <c r="JF585" s="27" t="s">
        <v>7</v>
      </c>
      <c r="JG585" s="27" t="s">
        <v>8</v>
      </c>
      <c r="JH585" s="27" t="s">
        <v>7</v>
      </c>
      <c r="JJ585" s="27" t="s">
        <v>7</v>
      </c>
      <c r="JK585" s="27" t="s">
        <v>8</v>
      </c>
      <c r="JP585" s="27" t="s">
        <v>7</v>
      </c>
      <c r="JQ585" s="27" t="s">
        <v>8</v>
      </c>
      <c r="JT585" s="27" t="s">
        <v>7</v>
      </c>
      <c r="JU585" s="27" t="s">
        <v>8</v>
      </c>
      <c r="JV585" s="27" t="s">
        <v>7</v>
      </c>
      <c r="JW585" s="27" t="s">
        <v>8</v>
      </c>
      <c r="JX585" s="27" t="s">
        <v>7</v>
      </c>
      <c r="JY585" s="27" t="s">
        <v>8</v>
      </c>
      <c r="JZ585" s="27" t="s">
        <v>7</v>
      </c>
      <c r="KA585" s="27" t="s">
        <v>8</v>
      </c>
      <c r="KB585" s="27" t="s">
        <v>7</v>
      </c>
      <c r="KC585" s="27" t="s">
        <v>8</v>
      </c>
      <c r="KD585" s="27" t="s">
        <v>7</v>
      </c>
      <c r="KQ585" s="27" t="s">
        <v>8</v>
      </c>
      <c r="KR585" s="27" t="s">
        <v>7</v>
      </c>
      <c r="NG585" s="27" t="s">
        <v>8</v>
      </c>
      <c r="NH585" s="27" t="s">
        <v>7</v>
      </c>
      <c r="NI585" s="27" t="s">
        <v>8</v>
      </c>
      <c r="NJ585" s="27" t="s">
        <v>7</v>
      </c>
      <c r="NK585" s="27" t="s">
        <v>8</v>
      </c>
      <c r="NL585" s="27" t="s">
        <v>7</v>
      </c>
      <c r="NM585" s="27" t="s">
        <v>8</v>
      </c>
      <c r="NN585" s="27" t="s">
        <v>7</v>
      </c>
      <c r="NO585" s="27" t="s">
        <v>8</v>
      </c>
      <c r="NT585" s="27" t="s">
        <v>7</v>
      </c>
      <c r="NU585" s="27" t="s">
        <v>8</v>
      </c>
      <c r="NV585" s="27" t="s">
        <v>7</v>
      </c>
      <c r="NW585" s="27" t="s">
        <v>8</v>
      </c>
      <c r="NZ585" s="27" t="s">
        <v>7</v>
      </c>
      <c r="OA585" s="27" t="s">
        <v>8</v>
      </c>
      <c r="OB585" s="27" t="s">
        <v>7</v>
      </c>
      <c r="OC585" s="27" t="s">
        <v>8</v>
      </c>
      <c r="OQ585" s="27" t="s">
        <v>8</v>
      </c>
    </row>
    <row r="586" spans="1:408" x14ac:dyDescent="0.25">
      <c r="A586" s="7">
        <v>1.02</v>
      </c>
      <c r="B586"/>
      <c r="C586"/>
      <c r="D586"/>
      <c r="E586"/>
      <c r="IW586" s="27" t="s">
        <v>8</v>
      </c>
      <c r="IX586" s="27" t="s">
        <v>7</v>
      </c>
      <c r="IY586" s="27" t="s">
        <v>8</v>
      </c>
      <c r="IZ586" s="27" t="s">
        <v>7</v>
      </c>
      <c r="JA586" s="27" t="s">
        <v>8</v>
      </c>
      <c r="JB586" s="27" t="s">
        <v>7</v>
      </c>
      <c r="JC586" s="27" t="s">
        <v>8</v>
      </c>
      <c r="JD586" s="27" t="s">
        <v>7</v>
      </c>
      <c r="JE586" s="27" t="s">
        <v>8</v>
      </c>
      <c r="JF586" s="27" t="s">
        <v>7</v>
      </c>
      <c r="JG586" s="27" t="s">
        <v>8</v>
      </c>
      <c r="JJ586" s="27" t="s">
        <v>7</v>
      </c>
      <c r="JK586" s="27" t="s">
        <v>8</v>
      </c>
      <c r="JP586" s="27" t="s">
        <v>7</v>
      </c>
      <c r="JT586" s="27" t="s">
        <v>7</v>
      </c>
      <c r="JU586" s="27" t="s">
        <v>8</v>
      </c>
      <c r="JV586" s="27" t="s">
        <v>7</v>
      </c>
      <c r="JW586" s="27" t="s">
        <v>8</v>
      </c>
      <c r="JX586" s="27" t="s">
        <v>7</v>
      </c>
      <c r="JY586" s="27" t="s">
        <v>8</v>
      </c>
      <c r="JZ586" s="27" t="s">
        <v>7</v>
      </c>
      <c r="KA586" s="27" t="s">
        <v>8</v>
      </c>
      <c r="KB586" s="27" t="s">
        <v>7</v>
      </c>
      <c r="KC586" s="27" t="s">
        <v>8</v>
      </c>
      <c r="KD586" s="27" t="s">
        <v>7</v>
      </c>
      <c r="KM586" s="27" t="s">
        <v>8</v>
      </c>
      <c r="KO586" s="27" t="s">
        <v>8</v>
      </c>
      <c r="KQ586" s="27" t="s">
        <v>8</v>
      </c>
      <c r="KR586" s="27" t="s">
        <v>7</v>
      </c>
      <c r="NG586" s="27" t="s">
        <v>8</v>
      </c>
      <c r="NH586" s="27" t="s">
        <v>7</v>
      </c>
      <c r="NI586" s="27" t="s">
        <v>8</v>
      </c>
      <c r="NJ586" s="27" t="s">
        <v>7</v>
      </c>
      <c r="NK586" s="27" t="s">
        <v>8</v>
      </c>
      <c r="NL586" s="27" t="s">
        <v>7</v>
      </c>
      <c r="NM586" s="27" t="s">
        <v>8</v>
      </c>
      <c r="NN586" s="27" t="s">
        <v>7</v>
      </c>
      <c r="NO586" s="27" t="s">
        <v>8</v>
      </c>
      <c r="NT586" s="27" t="s">
        <v>7</v>
      </c>
      <c r="NU586" s="27" t="s">
        <v>8</v>
      </c>
      <c r="NV586" s="27" t="s">
        <v>7</v>
      </c>
      <c r="NW586" s="27" t="s">
        <v>8</v>
      </c>
      <c r="NZ586" s="27" t="s">
        <v>7</v>
      </c>
      <c r="OA586" s="27" t="s">
        <v>8</v>
      </c>
      <c r="OB586" s="27" t="s">
        <v>7</v>
      </c>
      <c r="OC586" s="27" t="s">
        <v>8</v>
      </c>
      <c r="OD586" s="27" t="s">
        <v>7</v>
      </c>
      <c r="OE586" s="27" t="s">
        <v>8</v>
      </c>
      <c r="OQ586" s="27" t="s">
        <v>8</v>
      </c>
      <c r="OR586" s="27" t="s">
        <v>7</v>
      </c>
    </row>
    <row r="587" spans="1:408" x14ac:dyDescent="0.25">
      <c r="A587" s="7">
        <v>1</v>
      </c>
      <c r="B587"/>
      <c r="C587"/>
      <c r="D587"/>
      <c r="E587" s="29" t="s">
        <v>8</v>
      </c>
      <c r="IW587" s="27" t="s">
        <v>8</v>
      </c>
      <c r="IX587" s="27" t="s">
        <v>7</v>
      </c>
      <c r="IY587" s="27" t="s">
        <v>8</v>
      </c>
      <c r="IZ587" s="27" t="s">
        <v>7</v>
      </c>
      <c r="JA587" s="27" t="s">
        <v>8</v>
      </c>
      <c r="JB587" s="27" t="s">
        <v>7</v>
      </c>
      <c r="JC587" s="27" t="s">
        <v>8</v>
      </c>
      <c r="JD587" s="27" t="s">
        <v>7</v>
      </c>
      <c r="JE587" s="27" t="s">
        <v>8</v>
      </c>
      <c r="JF587" s="27" t="s">
        <v>7</v>
      </c>
      <c r="JG587" s="27" t="s">
        <v>8</v>
      </c>
      <c r="JJ587" s="27" t="s">
        <v>7</v>
      </c>
      <c r="JK587" s="27" t="s">
        <v>8</v>
      </c>
      <c r="JT587" s="27" t="s">
        <v>7</v>
      </c>
      <c r="JU587" s="27" t="s">
        <v>8</v>
      </c>
      <c r="JV587" s="27" t="s">
        <v>7</v>
      </c>
      <c r="JW587" s="27" t="s">
        <v>8</v>
      </c>
      <c r="JX587" s="27" t="s">
        <v>7</v>
      </c>
      <c r="JY587" s="27" t="s">
        <v>8</v>
      </c>
      <c r="JZ587" s="27" t="s">
        <v>7</v>
      </c>
      <c r="KA587" s="27" t="s">
        <v>8</v>
      </c>
      <c r="KB587" s="27" t="s">
        <v>7</v>
      </c>
      <c r="KD587" s="27" t="s">
        <v>7</v>
      </c>
      <c r="KM587" s="27" t="s">
        <v>8</v>
      </c>
      <c r="KN587" s="27" t="s">
        <v>7</v>
      </c>
      <c r="KO587" s="27" t="s">
        <v>8</v>
      </c>
      <c r="KP587" s="27" t="s">
        <v>7</v>
      </c>
      <c r="KQ587" s="27" t="s">
        <v>8</v>
      </c>
      <c r="KR587" s="27" t="s">
        <v>7</v>
      </c>
      <c r="NG587" s="27" t="s">
        <v>8</v>
      </c>
      <c r="NH587" s="27" t="s">
        <v>7</v>
      </c>
      <c r="NI587" s="27" t="s">
        <v>8</v>
      </c>
      <c r="NJ587" s="27" t="s">
        <v>7</v>
      </c>
      <c r="NK587" s="27" t="s">
        <v>8</v>
      </c>
      <c r="NL587" s="27" t="s">
        <v>7</v>
      </c>
      <c r="NM587" s="27" t="s">
        <v>8</v>
      </c>
      <c r="NN587" s="27" t="s">
        <v>7</v>
      </c>
      <c r="NO587" s="27" t="s">
        <v>8</v>
      </c>
      <c r="NT587" s="27" t="s">
        <v>7</v>
      </c>
      <c r="NU587" s="27" t="s">
        <v>8</v>
      </c>
      <c r="NV587" s="27" t="s">
        <v>7</v>
      </c>
      <c r="NW587" s="27" t="s">
        <v>8</v>
      </c>
      <c r="NZ587" s="27" t="s">
        <v>7</v>
      </c>
      <c r="OB587" s="27" t="s">
        <v>7</v>
      </c>
      <c r="OC587" s="27" t="s">
        <v>8</v>
      </c>
      <c r="OD587" s="27" t="s">
        <v>7</v>
      </c>
      <c r="OE587" s="27" t="s">
        <v>8</v>
      </c>
      <c r="OF587" s="27" t="s">
        <v>7</v>
      </c>
      <c r="OQ587" s="27" t="s">
        <v>8</v>
      </c>
      <c r="OR587" s="27" t="s">
        <v>7</v>
      </c>
    </row>
    <row r="588" spans="1:408" x14ac:dyDescent="0.25">
      <c r="A588" s="7">
        <v>0.98039215686274506</v>
      </c>
      <c r="B588"/>
      <c r="C588"/>
      <c r="D588"/>
      <c r="E588"/>
      <c r="F588" s="27" t="s">
        <v>7</v>
      </c>
      <c r="IU588" s="27" t="s">
        <v>8</v>
      </c>
      <c r="IW588" s="27" t="s">
        <v>8</v>
      </c>
      <c r="IX588" s="27" t="s">
        <v>7</v>
      </c>
      <c r="IY588" s="27" t="s">
        <v>8</v>
      </c>
      <c r="IZ588" s="27" t="s">
        <v>7</v>
      </c>
      <c r="JA588" s="27" t="s">
        <v>8</v>
      </c>
      <c r="JB588" s="27" t="s">
        <v>7</v>
      </c>
      <c r="JC588" s="27" t="s">
        <v>8</v>
      </c>
      <c r="JD588" s="27" t="s">
        <v>7</v>
      </c>
      <c r="JF588" s="27" t="s">
        <v>7</v>
      </c>
      <c r="JG588" s="27" t="s">
        <v>8</v>
      </c>
      <c r="JJ588" s="27" t="s">
        <v>7</v>
      </c>
      <c r="JT588" s="27" t="s">
        <v>7</v>
      </c>
      <c r="JU588" s="27" t="s">
        <v>8</v>
      </c>
      <c r="JV588" s="27" t="s">
        <v>7</v>
      </c>
      <c r="JX588" s="27" t="s">
        <v>7</v>
      </c>
      <c r="JZ588" s="27" t="s">
        <v>7</v>
      </c>
      <c r="KA588" s="27" t="s">
        <v>8</v>
      </c>
      <c r="KD588" s="27" t="s">
        <v>7</v>
      </c>
      <c r="KE588" s="27" t="s">
        <v>8</v>
      </c>
      <c r="KM588" s="27" t="s">
        <v>8</v>
      </c>
      <c r="KN588" s="27" t="s">
        <v>7</v>
      </c>
      <c r="KO588" s="27" t="s">
        <v>8</v>
      </c>
      <c r="KP588" s="27" t="s">
        <v>7</v>
      </c>
      <c r="KQ588" s="27" t="s">
        <v>8</v>
      </c>
      <c r="KR588" s="27" t="s">
        <v>7</v>
      </c>
      <c r="NG588" s="27" t="s">
        <v>8</v>
      </c>
      <c r="NH588" s="27" t="s">
        <v>7</v>
      </c>
      <c r="NI588" s="27" t="s">
        <v>8</v>
      </c>
      <c r="NJ588" s="27" t="s">
        <v>7</v>
      </c>
      <c r="NK588" s="27" t="s">
        <v>8</v>
      </c>
      <c r="NL588" s="27" t="s">
        <v>7</v>
      </c>
      <c r="NM588" s="27" t="s">
        <v>8</v>
      </c>
      <c r="NN588" s="27" t="s">
        <v>7</v>
      </c>
      <c r="NO588" s="27" t="s">
        <v>8</v>
      </c>
      <c r="NT588" s="27" t="s">
        <v>7</v>
      </c>
      <c r="NU588" s="27" t="s">
        <v>8</v>
      </c>
      <c r="NV588" s="27" t="s">
        <v>7</v>
      </c>
      <c r="OB588" s="27" t="s">
        <v>7</v>
      </c>
      <c r="OD588" s="27" t="s">
        <v>7</v>
      </c>
      <c r="OE588" s="27" t="s">
        <v>8</v>
      </c>
      <c r="OF588" s="27" t="s">
        <v>7</v>
      </c>
      <c r="OM588" s="27" t="s">
        <v>8</v>
      </c>
      <c r="OQ588" s="27" t="s">
        <v>8</v>
      </c>
      <c r="OR588" s="27" t="s">
        <v>7</v>
      </c>
    </row>
    <row r="589" spans="1:408" x14ac:dyDescent="0.25">
      <c r="A589" s="7">
        <v>0.96116878123798544</v>
      </c>
      <c r="B589"/>
      <c r="C589"/>
      <c r="D589"/>
      <c r="E589"/>
      <c r="F589" s="27" t="s">
        <v>7</v>
      </c>
      <c r="IU589" s="27" t="s">
        <v>8</v>
      </c>
      <c r="IV589" s="27" t="s">
        <v>7</v>
      </c>
      <c r="IW589" s="27" t="s">
        <v>8</v>
      </c>
      <c r="IX589" s="27" t="s">
        <v>7</v>
      </c>
      <c r="IY589" s="27" t="s">
        <v>8</v>
      </c>
      <c r="IZ589" s="27" t="s">
        <v>7</v>
      </c>
      <c r="JA589" s="27" t="s">
        <v>8</v>
      </c>
      <c r="JB589" s="27" t="s">
        <v>7</v>
      </c>
      <c r="JC589" s="27" t="s">
        <v>8</v>
      </c>
      <c r="JF589" s="27" t="s">
        <v>7</v>
      </c>
      <c r="JG589" s="27" t="s">
        <v>8</v>
      </c>
      <c r="JT589" s="27" t="s">
        <v>7</v>
      </c>
      <c r="JU589" s="27" t="s">
        <v>8</v>
      </c>
      <c r="JZ589" s="27" t="s">
        <v>7</v>
      </c>
      <c r="KA589" s="27" t="s">
        <v>8</v>
      </c>
      <c r="KD589" s="27" t="s">
        <v>7</v>
      </c>
      <c r="KE589" s="27" t="s">
        <v>8</v>
      </c>
      <c r="KF589" s="27" t="s">
        <v>7</v>
      </c>
      <c r="KM589" s="27" t="s">
        <v>8</v>
      </c>
      <c r="KN589" s="27" t="s">
        <v>7</v>
      </c>
      <c r="KO589" s="27" t="s">
        <v>8</v>
      </c>
      <c r="KP589" s="27" t="s">
        <v>7</v>
      </c>
      <c r="KQ589" s="27" t="s">
        <v>8</v>
      </c>
      <c r="KR589" s="27" t="s">
        <v>7</v>
      </c>
      <c r="KS589" s="27" t="s">
        <v>8</v>
      </c>
      <c r="NG589" s="27" t="s">
        <v>8</v>
      </c>
      <c r="NH589" s="27" t="s">
        <v>7</v>
      </c>
      <c r="NI589" s="27" t="s">
        <v>8</v>
      </c>
      <c r="NJ589" s="27" t="s">
        <v>7</v>
      </c>
      <c r="NK589" s="27" t="s">
        <v>8</v>
      </c>
      <c r="NL589" s="27" t="s">
        <v>7</v>
      </c>
      <c r="NM589" s="27" t="s">
        <v>8</v>
      </c>
      <c r="NN589" s="27" t="s">
        <v>7</v>
      </c>
      <c r="NO589" s="27" t="s">
        <v>8</v>
      </c>
      <c r="NT589" s="27" t="s">
        <v>7</v>
      </c>
      <c r="NU589" s="27" t="s">
        <v>8</v>
      </c>
      <c r="OD589" s="27" t="s">
        <v>7</v>
      </c>
      <c r="OE589" s="27" t="s">
        <v>8</v>
      </c>
      <c r="OF589" s="27" t="s">
        <v>7</v>
      </c>
      <c r="OK589" s="27" t="s">
        <v>8</v>
      </c>
      <c r="OM589" s="27" t="s">
        <v>8</v>
      </c>
      <c r="ON589" s="27" t="s">
        <v>7</v>
      </c>
      <c r="OQ589" s="27" t="s">
        <v>8</v>
      </c>
      <c r="OR589" s="27" t="s">
        <v>7</v>
      </c>
    </row>
    <row r="590" spans="1:408" x14ac:dyDescent="0.25">
      <c r="A590" s="7">
        <v>0.94232233454704462</v>
      </c>
      <c r="B590"/>
      <c r="C590"/>
      <c r="D590"/>
      <c r="E590"/>
      <c r="F590" s="27" t="s">
        <v>7</v>
      </c>
      <c r="IU590" s="27" t="s">
        <v>8</v>
      </c>
      <c r="IV590" s="27" t="s">
        <v>7</v>
      </c>
      <c r="IW590" s="27" t="s">
        <v>8</v>
      </c>
      <c r="IX590" s="27" t="s">
        <v>7</v>
      </c>
      <c r="IY590" s="27" t="s">
        <v>8</v>
      </c>
      <c r="IZ590" s="27" t="s">
        <v>7</v>
      </c>
      <c r="JB590" s="27" t="s">
        <v>7</v>
      </c>
      <c r="JC590" s="27" t="s">
        <v>8</v>
      </c>
      <c r="JF590" s="27" t="s">
        <v>7</v>
      </c>
      <c r="JG590" s="27" t="s">
        <v>8</v>
      </c>
      <c r="JT590" s="27" t="s">
        <v>7</v>
      </c>
      <c r="JU590" s="27" t="s">
        <v>8</v>
      </c>
      <c r="JZ590" s="27" t="s">
        <v>7</v>
      </c>
      <c r="KD590" s="27" t="s">
        <v>7</v>
      </c>
      <c r="KE590" s="27" t="s">
        <v>8</v>
      </c>
      <c r="KF590" s="27" t="s">
        <v>7</v>
      </c>
      <c r="KM590" s="27" t="s">
        <v>8</v>
      </c>
      <c r="KN590" s="27" t="s">
        <v>7</v>
      </c>
      <c r="KO590" s="27" t="s">
        <v>8</v>
      </c>
      <c r="KP590" s="27" t="s">
        <v>7</v>
      </c>
      <c r="KQ590" s="27" t="s">
        <v>8</v>
      </c>
      <c r="KR590" s="27" t="s">
        <v>7</v>
      </c>
      <c r="KS590" s="27" t="s">
        <v>8</v>
      </c>
      <c r="KT590" s="27" t="s">
        <v>7</v>
      </c>
      <c r="NG590" s="27" t="s">
        <v>8</v>
      </c>
      <c r="NH590" s="27" t="s">
        <v>7</v>
      </c>
      <c r="NI590" s="27" t="s">
        <v>8</v>
      </c>
      <c r="NJ590" s="27" t="s">
        <v>7</v>
      </c>
      <c r="NK590" s="27" t="s">
        <v>8</v>
      </c>
      <c r="NL590" s="27" t="s">
        <v>7</v>
      </c>
      <c r="NM590" s="27" t="s">
        <v>8</v>
      </c>
      <c r="NN590" s="27" t="s">
        <v>7</v>
      </c>
      <c r="NO590" s="27" t="s">
        <v>8</v>
      </c>
      <c r="NT590" s="27" t="s">
        <v>7</v>
      </c>
      <c r="OD590" s="27" t="s">
        <v>7</v>
      </c>
      <c r="OE590" s="27" t="s">
        <v>8</v>
      </c>
      <c r="OF590" s="27" t="s">
        <v>7</v>
      </c>
      <c r="OG590" s="27" t="s">
        <v>8</v>
      </c>
      <c r="OK590" s="27" t="s">
        <v>8</v>
      </c>
      <c r="OL590" s="27" t="s">
        <v>7</v>
      </c>
      <c r="OM590" s="27" t="s">
        <v>8</v>
      </c>
      <c r="ON590" s="27" t="s">
        <v>7</v>
      </c>
      <c r="OQ590" s="27" t="s">
        <v>8</v>
      </c>
      <c r="OR590" s="27" t="s">
        <v>7</v>
      </c>
    </row>
    <row r="591" spans="1:408" x14ac:dyDescent="0.25">
      <c r="A591" s="7">
        <v>0.92384542602651432</v>
      </c>
      <c r="B591"/>
      <c r="C591"/>
      <c r="D591"/>
      <c r="E591"/>
      <c r="F591" s="27" t="s">
        <v>7</v>
      </c>
      <c r="IU591" s="27" t="s">
        <v>8</v>
      </c>
      <c r="IV591" s="27" t="s">
        <v>7</v>
      </c>
      <c r="IW591" s="27" t="s">
        <v>8</v>
      </c>
      <c r="IX591" s="27" t="s">
        <v>7</v>
      </c>
      <c r="IY591" s="27" t="s">
        <v>8</v>
      </c>
      <c r="JB591" s="27" t="s">
        <v>7</v>
      </c>
      <c r="JC591" s="27" t="s">
        <v>8</v>
      </c>
      <c r="JF591" s="27" t="s">
        <v>7</v>
      </c>
      <c r="JG591" s="27" t="s">
        <v>8</v>
      </c>
      <c r="JT591" s="27" t="s">
        <v>7</v>
      </c>
      <c r="JU591" s="27" t="s">
        <v>8</v>
      </c>
      <c r="KD591" s="27" t="s">
        <v>7</v>
      </c>
      <c r="KE591" s="27" t="s">
        <v>8</v>
      </c>
      <c r="KF591" s="27" t="s">
        <v>7</v>
      </c>
      <c r="KM591" s="27" t="s">
        <v>8</v>
      </c>
      <c r="KN591" s="27" t="s">
        <v>7</v>
      </c>
      <c r="KP591" s="27" t="s">
        <v>7</v>
      </c>
      <c r="KQ591" s="27" t="s">
        <v>8</v>
      </c>
      <c r="KR591" s="27" t="s">
        <v>7</v>
      </c>
      <c r="KS591" s="27" t="s">
        <v>8</v>
      </c>
      <c r="KT591" s="27" t="s">
        <v>7</v>
      </c>
      <c r="NG591" s="27" t="s">
        <v>8</v>
      </c>
      <c r="NH591" s="27" t="s">
        <v>7</v>
      </c>
      <c r="NJ591" s="27" t="s">
        <v>7</v>
      </c>
      <c r="NK591" s="27" t="s">
        <v>8</v>
      </c>
      <c r="NL591" s="27" t="s">
        <v>7</v>
      </c>
      <c r="NN591" s="27" t="s">
        <v>7</v>
      </c>
      <c r="NO591" s="27" t="s">
        <v>8</v>
      </c>
      <c r="OD591" s="27" t="s">
        <v>7</v>
      </c>
      <c r="OF591" s="27" t="s">
        <v>7</v>
      </c>
      <c r="OG591" s="27" t="s">
        <v>8</v>
      </c>
      <c r="OH591" s="27" t="s">
        <v>7</v>
      </c>
      <c r="OK591" s="27" t="s">
        <v>8</v>
      </c>
      <c r="OL591" s="27" t="s">
        <v>7</v>
      </c>
      <c r="OM591" s="27" t="s">
        <v>8</v>
      </c>
      <c r="ON591" s="27" t="s">
        <v>7</v>
      </c>
      <c r="OO591" s="27" t="s">
        <v>8</v>
      </c>
      <c r="OQ591" s="27" t="s">
        <v>8</v>
      </c>
      <c r="OR591" s="27" t="s">
        <v>7</v>
      </c>
    </row>
    <row r="592" spans="1:408" x14ac:dyDescent="0.25">
      <c r="A592" s="7">
        <v>0.90573080982991594</v>
      </c>
      <c r="B592"/>
      <c r="C592"/>
      <c r="D592"/>
      <c r="E592"/>
      <c r="F592" s="27" t="s">
        <v>7</v>
      </c>
      <c r="IU592" s="27" t="s">
        <v>8</v>
      </c>
      <c r="IV592" s="27" t="s">
        <v>7</v>
      </c>
      <c r="IW592" s="27" t="s">
        <v>8</v>
      </c>
      <c r="IX592" s="27" t="s">
        <v>7</v>
      </c>
      <c r="IY592" s="27" t="s">
        <v>8</v>
      </c>
      <c r="JB592" s="27" t="s">
        <v>7</v>
      </c>
      <c r="JC592" s="27" t="s">
        <v>8</v>
      </c>
      <c r="JF592" s="27" t="s">
        <v>7</v>
      </c>
      <c r="JT592" s="27" t="s">
        <v>7</v>
      </c>
      <c r="JU592" s="27" t="s">
        <v>8</v>
      </c>
      <c r="KD592" s="27" t="s">
        <v>7</v>
      </c>
      <c r="KE592" s="27" t="s">
        <v>8</v>
      </c>
      <c r="KF592" s="27" t="s">
        <v>7</v>
      </c>
      <c r="KG592" s="27" t="s">
        <v>8</v>
      </c>
      <c r="KK592" s="27" t="s">
        <v>8</v>
      </c>
      <c r="KM592" s="27" t="s">
        <v>8</v>
      </c>
      <c r="KP592" s="27" t="s">
        <v>7</v>
      </c>
      <c r="KQ592" s="27" t="s">
        <v>8</v>
      </c>
      <c r="KR592" s="27" t="s">
        <v>7</v>
      </c>
      <c r="KS592" s="27" t="s">
        <v>8</v>
      </c>
      <c r="KT592" s="27" t="s">
        <v>7</v>
      </c>
      <c r="NA592" s="27" t="s">
        <v>8</v>
      </c>
      <c r="NG592" s="27" t="s">
        <v>8</v>
      </c>
      <c r="NJ592" s="27" t="s">
        <v>7</v>
      </c>
      <c r="NK592" s="27" t="s">
        <v>8</v>
      </c>
      <c r="NN592" s="27" t="s">
        <v>7</v>
      </c>
      <c r="OF592" s="27" t="s">
        <v>7</v>
      </c>
      <c r="OG592" s="27" t="s">
        <v>8</v>
      </c>
      <c r="OH592" s="27" t="s">
        <v>7</v>
      </c>
      <c r="OK592" s="27" t="s">
        <v>8</v>
      </c>
      <c r="OL592" s="27" t="s">
        <v>7</v>
      </c>
      <c r="OM592" s="27" t="s">
        <v>8</v>
      </c>
      <c r="ON592" s="27" t="s">
        <v>7</v>
      </c>
      <c r="OO592" s="27" t="s">
        <v>8</v>
      </c>
      <c r="OP592" s="27" t="s">
        <v>7</v>
      </c>
      <c r="OQ592" s="27" t="s">
        <v>8</v>
      </c>
      <c r="OR592" s="27" t="s">
        <v>7</v>
      </c>
    </row>
    <row r="593" spans="1:420" x14ac:dyDescent="0.25">
      <c r="A593" s="7">
        <v>0.8879713821861922</v>
      </c>
      <c r="B593"/>
      <c r="C593"/>
      <c r="D593"/>
      <c r="E593"/>
      <c r="F593" s="27" t="s">
        <v>7</v>
      </c>
      <c r="IU593" s="27" t="s">
        <v>8</v>
      </c>
      <c r="IV593" s="27" t="s">
        <v>7</v>
      </c>
      <c r="IW593" s="27" t="s">
        <v>8</v>
      </c>
      <c r="IX593" s="27" t="s">
        <v>7</v>
      </c>
      <c r="IY593" s="27" t="s">
        <v>8</v>
      </c>
      <c r="JB593" s="27" t="s">
        <v>7</v>
      </c>
      <c r="JT593" s="27" t="s">
        <v>7</v>
      </c>
      <c r="JU593" s="27" t="s">
        <v>8</v>
      </c>
      <c r="KD593" s="27" t="s">
        <v>7</v>
      </c>
      <c r="KE593" s="27" t="s">
        <v>8</v>
      </c>
      <c r="KF593" s="27" t="s">
        <v>7</v>
      </c>
      <c r="KG593" s="27" t="s">
        <v>8</v>
      </c>
      <c r="KH593" s="27" t="s">
        <v>7</v>
      </c>
      <c r="KK593" s="27" t="s">
        <v>8</v>
      </c>
      <c r="KL593" s="27" t="s">
        <v>7</v>
      </c>
      <c r="KM593" s="27" t="s">
        <v>8</v>
      </c>
      <c r="KP593" s="27" t="s">
        <v>7</v>
      </c>
      <c r="KQ593" s="27" t="s">
        <v>8</v>
      </c>
      <c r="KR593" s="27" t="s">
        <v>7</v>
      </c>
      <c r="KS593" s="27" t="s">
        <v>8</v>
      </c>
      <c r="KT593" s="27" t="s">
        <v>7</v>
      </c>
      <c r="NA593" s="27" t="s">
        <v>8</v>
      </c>
      <c r="NB593" s="27" t="s">
        <v>7</v>
      </c>
      <c r="NG593" s="27" t="s">
        <v>8</v>
      </c>
      <c r="NJ593" s="27" t="s">
        <v>7</v>
      </c>
      <c r="NK593" s="27" t="s">
        <v>8</v>
      </c>
      <c r="OF593" s="27" t="s">
        <v>7</v>
      </c>
      <c r="OG593" s="27" t="s">
        <v>8</v>
      </c>
      <c r="OH593" s="27" t="s">
        <v>7</v>
      </c>
      <c r="OK593" s="27" t="s">
        <v>8</v>
      </c>
      <c r="OL593" s="27" t="s">
        <v>7</v>
      </c>
      <c r="OM593" s="27" t="s">
        <v>8</v>
      </c>
      <c r="ON593" s="27" t="s">
        <v>7</v>
      </c>
      <c r="OO593" s="27" t="s">
        <v>8</v>
      </c>
      <c r="OP593" s="27" t="s">
        <v>7</v>
      </c>
      <c r="OQ593" s="27" t="s">
        <v>8</v>
      </c>
      <c r="OR593" s="27" t="s">
        <v>7</v>
      </c>
    </row>
    <row r="594" spans="1:420" x14ac:dyDescent="0.25">
      <c r="A594" s="7">
        <v>0.87056017861391399</v>
      </c>
      <c r="B594"/>
      <c r="C594"/>
      <c r="D594"/>
      <c r="E594"/>
      <c r="F594" s="27" t="s">
        <v>7</v>
      </c>
      <c r="IU594" s="27" t="s">
        <v>8</v>
      </c>
      <c r="IV594" s="27" t="s">
        <v>7</v>
      </c>
      <c r="IW594" s="27" t="s">
        <v>8</v>
      </c>
      <c r="IX594" s="27" t="s">
        <v>7</v>
      </c>
      <c r="IY594" s="27" t="s">
        <v>8</v>
      </c>
      <c r="JT594" s="27" t="s">
        <v>7</v>
      </c>
      <c r="JU594" s="27" t="s">
        <v>8</v>
      </c>
      <c r="KD594" s="27" t="s">
        <v>7</v>
      </c>
      <c r="KE594" s="27" t="s">
        <v>8</v>
      </c>
      <c r="KF594" s="27" t="s">
        <v>7</v>
      </c>
      <c r="KG594" s="27" t="s">
        <v>8</v>
      </c>
      <c r="KH594" s="27" t="s">
        <v>7</v>
      </c>
      <c r="KK594" s="27" t="s">
        <v>8</v>
      </c>
      <c r="KL594" s="27" t="s">
        <v>7</v>
      </c>
      <c r="KM594" s="27" t="s">
        <v>8</v>
      </c>
      <c r="KP594" s="27" t="s">
        <v>7</v>
      </c>
      <c r="KR594" s="27" t="s">
        <v>7</v>
      </c>
      <c r="KS594" s="27" t="s">
        <v>8</v>
      </c>
      <c r="KT594" s="27" t="s">
        <v>7</v>
      </c>
      <c r="NA594" s="27" t="s">
        <v>8</v>
      </c>
      <c r="NB594" s="27" t="s">
        <v>7</v>
      </c>
      <c r="NC594" s="27" t="s">
        <v>8</v>
      </c>
      <c r="NG594" s="27" t="s">
        <v>8</v>
      </c>
      <c r="NJ594" s="27" t="s">
        <v>7</v>
      </c>
      <c r="NK594" s="27" t="s">
        <v>8</v>
      </c>
      <c r="OF594" s="27" t="s">
        <v>7</v>
      </c>
      <c r="OH594" s="27" t="s">
        <v>7</v>
      </c>
      <c r="OK594" s="27" t="s">
        <v>8</v>
      </c>
      <c r="OL594" s="27" t="s">
        <v>7</v>
      </c>
      <c r="OM594" s="27" t="s">
        <v>8</v>
      </c>
      <c r="ON594" s="27" t="s">
        <v>7</v>
      </c>
      <c r="OO594" s="27" t="s">
        <v>8</v>
      </c>
      <c r="OP594" s="27" t="s">
        <v>7</v>
      </c>
      <c r="OQ594" s="27" t="s">
        <v>8</v>
      </c>
      <c r="OR594" s="27" t="s">
        <v>7</v>
      </c>
    </row>
    <row r="595" spans="1:420" x14ac:dyDescent="0.25">
      <c r="A595" s="7">
        <v>0.85349037119011173</v>
      </c>
      <c r="B595"/>
      <c r="C595"/>
      <c r="D595"/>
      <c r="E595"/>
      <c r="F595" s="27" t="s">
        <v>7</v>
      </c>
      <c r="IU595" s="27" t="s">
        <v>8</v>
      </c>
      <c r="IV595" s="27" t="s">
        <v>7</v>
      </c>
      <c r="IW595" s="27" t="s">
        <v>8</v>
      </c>
      <c r="IX595" s="27" t="s">
        <v>7</v>
      </c>
      <c r="IY595" s="27" t="s">
        <v>8</v>
      </c>
      <c r="JT595" s="27" t="s">
        <v>7</v>
      </c>
      <c r="JU595" s="27" t="s">
        <v>8</v>
      </c>
      <c r="KD595" s="27" t="s">
        <v>7</v>
      </c>
      <c r="KE595" s="27" t="s">
        <v>8</v>
      </c>
      <c r="KF595" s="27" t="s">
        <v>7</v>
      </c>
      <c r="KG595" s="27" t="s">
        <v>8</v>
      </c>
      <c r="KH595" s="27" t="s">
        <v>7</v>
      </c>
      <c r="KK595" s="27" t="s">
        <v>8</v>
      </c>
      <c r="KL595" s="27" t="s">
        <v>7</v>
      </c>
      <c r="KM595" s="27" t="s">
        <v>8</v>
      </c>
      <c r="KR595" s="27" t="s">
        <v>7</v>
      </c>
      <c r="KS595" s="27" t="s">
        <v>8</v>
      </c>
      <c r="KT595" s="27" t="s">
        <v>7</v>
      </c>
      <c r="KU595" s="27" t="s">
        <v>8</v>
      </c>
      <c r="NA595" s="27" t="s">
        <v>8</v>
      </c>
      <c r="NB595" s="27" t="s">
        <v>7</v>
      </c>
      <c r="NC595" s="27" t="s">
        <v>8</v>
      </c>
      <c r="ND595" s="27" t="s">
        <v>7</v>
      </c>
      <c r="NG595" s="27" t="s">
        <v>8</v>
      </c>
      <c r="NJ595" s="27" t="s">
        <v>7</v>
      </c>
      <c r="NK595" s="27" t="s">
        <v>8</v>
      </c>
      <c r="OH595" s="27" t="s">
        <v>7</v>
      </c>
      <c r="OK595" s="27" t="s">
        <v>8</v>
      </c>
      <c r="OL595" s="27" t="s">
        <v>7</v>
      </c>
      <c r="OM595" s="27" t="s">
        <v>8</v>
      </c>
      <c r="ON595" s="27" t="s">
        <v>7</v>
      </c>
      <c r="OP595" s="27" t="s">
        <v>7</v>
      </c>
      <c r="OR595" s="27" t="s">
        <v>7</v>
      </c>
    </row>
    <row r="596" spans="1:420" x14ac:dyDescent="0.25">
      <c r="A596" s="7">
        <v>0.83675526587265858</v>
      </c>
      <c r="B596"/>
      <c r="C596"/>
      <c r="D596"/>
      <c r="E596"/>
      <c r="F596" s="27" t="s">
        <v>7</v>
      </c>
      <c r="IU596" s="27" t="s">
        <v>8</v>
      </c>
      <c r="IV596" s="27" t="s">
        <v>7</v>
      </c>
      <c r="IW596" s="27" t="s">
        <v>8</v>
      </c>
      <c r="IX596" s="27" t="s">
        <v>7</v>
      </c>
      <c r="IY596" s="27" t="s">
        <v>8</v>
      </c>
      <c r="JT596" s="27" t="s">
        <v>7</v>
      </c>
      <c r="JU596" s="27" t="s">
        <v>8</v>
      </c>
      <c r="KD596" s="27" t="s">
        <v>7</v>
      </c>
      <c r="KE596" s="27" t="s">
        <v>8</v>
      </c>
      <c r="KF596" s="27" t="s">
        <v>7</v>
      </c>
      <c r="KG596" s="27" t="s">
        <v>8</v>
      </c>
      <c r="KH596" s="27" t="s">
        <v>7</v>
      </c>
      <c r="KK596" s="27" t="s">
        <v>8</v>
      </c>
      <c r="KL596" s="27" t="s">
        <v>7</v>
      </c>
      <c r="KM596" s="27" t="s">
        <v>8</v>
      </c>
      <c r="KR596" s="27" t="s">
        <v>7</v>
      </c>
      <c r="KS596" s="27" t="s">
        <v>8</v>
      </c>
      <c r="KT596" s="27" t="s">
        <v>7</v>
      </c>
      <c r="KU596" s="27" t="s">
        <v>8</v>
      </c>
      <c r="KV596" s="27" t="s">
        <v>7</v>
      </c>
      <c r="NA596" s="27" t="s">
        <v>8</v>
      </c>
      <c r="NB596" s="27" t="s">
        <v>7</v>
      </c>
      <c r="NC596" s="27" t="s">
        <v>8</v>
      </c>
      <c r="ND596" s="27" t="s">
        <v>7</v>
      </c>
      <c r="NG596" s="27" t="s">
        <v>8</v>
      </c>
      <c r="NJ596" s="27" t="s">
        <v>7</v>
      </c>
      <c r="NK596" s="27" t="s">
        <v>8</v>
      </c>
      <c r="OH596" s="27" t="s">
        <v>7</v>
      </c>
      <c r="OI596" s="27" t="s">
        <v>8</v>
      </c>
      <c r="OK596" s="27" t="s">
        <v>8</v>
      </c>
      <c r="OL596" s="27" t="s">
        <v>7</v>
      </c>
      <c r="OR596" s="27" t="s">
        <v>7</v>
      </c>
    </row>
    <row r="597" spans="1:420" x14ac:dyDescent="0.25">
      <c r="A597" s="7">
        <v>0.82034829987515545</v>
      </c>
      <c r="B597"/>
      <c r="C597"/>
      <c r="D597"/>
      <c r="E597"/>
      <c r="F597" s="27" t="s">
        <v>7</v>
      </c>
      <c r="IU597" s="27" t="s">
        <v>8</v>
      </c>
      <c r="IV597" s="27" t="s">
        <v>7</v>
      </c>
      <c r="IW597" s="27" t="s">
        <v>8</v>
      </c>
      <c r="IX597" s="27" t="s">
        <v>7</v>
      </c>
      <c r="IY597" s="27" t="s">
        <v>8</v>
      </c>
      <c r="JT597" s="27" t="s">
        <v>7</v>
      </c>
      <c r="KD597" s="27" t="s">
        <v>7</v>
      </c>
      <c r="KE597" s="27" t="s">
        <v>8</v>
      </c>
      <c r="KF597" s="27" t="s">
        <v>7</v>
      </c>
      <c r="KG597" s="27" t="s">
        <v>8</v>
      </c>
      <c r="KH597" s="27" t="s">
        <v>7</v>
      </c>
      <c r="KI597" s="27" t="s">
        <v>8</v>
      </c>
      <c r="KK597" s="27" t="s">
        <v>8</v>
      </c>
      <c r="KL597" s="27" t="s">
        <v>7</v>
      </c>
      <c r="KR597" s="27" t="s">
        <v>7</v>
      </c>
      <c r="KT597" s="27" t="s">
        <v>7</v>
      </c>
      <c r="KU597" s="27" t="s">
        <v>8</v>
      </c>
      <c r="KV597" s="27" t="s">
        <v>7</v>
      </c>
      <c r="NA597" s="27" t="s">
        <v>8</v>
      </c>
      <c r="NB597" s="27" t="s">
        <v>7</v>
      </c>
      <c r="NC597" s="27" t="s">
        <v>8</v>
      </c>
      <c r="ND597" s="27" t="s">
        <v>7</v>
      </c>
      <c r="NE597" s="27" t="s">
        <v>8</v>
      </c>
      <c r="NG597" s="27" t="s">
        <v>8</v>
      </c>
      <c r="NJ597" s="27" t="s">
        <v>7</v>
      </c>
      <c r="NK597" s="27" t="s">
        <v>8</v>
      </c>
      <c r="OH597" s="27" t="s">
        <v>7</v>
      </c>
      <c r="OI597" s="27" t="s">
        <v>8</v>
      </c>
      <c r="OJ597" s="27" t="s">
        <v>7</v>
      </c>
      <c r="OK597" s="27" t="s">
        <v>8</v>
      </c>
      <c r="OR597" s="27" t="s">
        <v>7</v>
      </c>
    </row>
    <row r="598" spans="1:420" x14ac:dyDescent="0.25">
      <c r="A598" s="7">
        <v>0.80426303909328967</v>
      </c>
      <c r="B598"/>
      <c r="C598"/>
      <c r="D598"/>
      <c r="E598"/>
      <c r="F598" s="27" t="s">
        <v>7</v>
      </c>
      <c r="IU598" s="27" t="s">
        <v>8</v>
      </c>
      <c r="IV598" s="27" t="s">
        <v>7</v>
      </c>
      <c r="IW598" s="27" t="s">
        <v>8</v>
      </c>
      <c r="IX598" s="27" t="s">
        <v>7</v>
      </c>
      <c r="IY598" s="27" t="s">
        <v>8</v>
      </c>
      <c r="KD598" s="27" t="s">
        <v>7</v>
      </c>
      <c r="KE598" s="27" t="s">
        <v>8</v>
      </c>
      <c r="KF598" s="27" t="s">
        <v>7</v>
      </c>
      <c r="KG598" s="27" t="s">
        <v>8</v>
      </c>
      <c r="KH598" s="27" t="s">
        <v>7</v>
      </c>
      <c r="KI598" s="27" t="s">
        <v>8</v>
      </c>
      <c r="KJ598" s="27" t="s">
        <v>7</v>
      </c>
      <c r="KK598" s="27" t="s">
        <v>8</v>
      </c>
      <c r="KT598" s="27" t="s">
        <v>7</v>
      </c>
      <c r="KU598" s="27" t="s">
        <v>8</v>
      </c>
      <c r="KV598" s="27" t="s">
        <v>7</v>
      </c>
      <c r="NA598" s="27" t="s">
        <v>8</v>
      </c>
      <c r="NB598" s="27" t="s">
        <v>7</v>
      </c>
      <c r="NC598" s="27" t="s">
        <v>8</v>
      </c>
      <c r="ND598" s="27" t="s">
        <v>7</v>
      </c>
      <c r="NE598" s="27" t="s">
        <v>8</v>
      </c>
      <c r="NF598" s="27" t="s">
        <v>7</v>
      </c>
      <c r="NG598" s="27" t="s">
        <v>8</v>
      </c>
      <c r="NJ598" s="27" t="s">
        <v>7</v>
      </c>
      <c r="NK598" s="27" t="s">
        <v>8</v>
      </c>
      <c r="OH598" s="27" t="s">
        <v>7</v>
      </c>
      <c r="OI598" s="27" t="s">
        <v>8</v>
      </c>
      <c r="OJ598" s="27" t="s">
        <v>7</v>
      </c>
      <c r="OK598" s="27" t="s">
        <v>8</v>
      </c>
      <c r="OR598" s="27" t="s">
        <v>7</v>
      </c>
    </row>
    <row r="599" spans="1:420" x14ac:dyDescent="0.25">
      <c r="A599" s="7">
        <v>0.78849317558165644</v>
      </c>
      <c r="B599"/>
      <c r="C599"/>
      <c r="D599"/>
      <c r="E599"/>
      <c r="F599" s="27" t="s">
        <v>7</v>
      </c>
      <c r="IU599" s="27" t="s">
        <v>8</v>
      </c>
      <c r="IV599" s="27" t="s">
        <v>7</v>
      </c>
      <c r="IW599" s="27" t="s">
        <v>8</v>
      </c>
      <c r="IX599" s="27" t="s">
        <v>7</v>
      </c>
      <c r="IY599" s="27" t="s">
        <v>8</v>
      </c>
      <c r="KD599" s="27" t="s">
        <v>7</v>
      </c>
      <c r="KE599" s="27" t="s">
        <v>8</v>
      </c>
      <c r="KF599" s="27" t="s">
        <v>7</v>
      </c>
      <c r="KG599" s="27" t="s">
        <v>8</v>
      </c>
      <c r="KH599" s="27" t="s">
        <v>7</v>
      </c>
      <c r="KI599" s="27" t="s">
        <v>8</v>
      </c>
      <c r="KJ599" s="27" t="s">
        <v>7</v>
      </c>
      <c r="KK599" s="27" t="s">
        <v>8</v>
      </c>
      <c r="KT599" s="27" t="s">
        <v>7</v>
      </c>
      <c r="KU599" s="27" t="s">
        <v>8</v>
      </c>
      <c r="KV599" s="27" t="s">
        <v>7</v>
      </c>
      <c r="NA599" s="27" t="s">
        <v>8</v>
      </c>
      <c r="NB599" s="27" t="s">
        <v>7</v>
      </c>
      <c r="ND599" s="27" t="s">
        <v>7</v>
      </c>
      <c r="NE599" s="27" t="s">
        <v>8</v>
      </c>
      <c r="NF599" s="27" t="s">
        <v>7</v>
      </c>
      <c r="NG599" s="27" t="s">
        <v>8</v>
      </c>
      <c r="NJ599" s="27" t="s">
        <v>7</v>
      </c>
      <c r="NK599" s="27" t="s">
        <v>8</v>
      </c>
      <c r="OH599" s="27" t="s">
        <v>7</v>
      </c>
      <c r="OI599" s="27" t="s">
        <v>8</v>
      </c>
      <c r="OJ599" s="27" t="s">
        <v>7</v>
      </c>
      <c r="OK599" s="27" t="s">
        <v>8</v>
      </c>
      <c r="OR599" s="27" t="s">
        <v>7</v>
      </c>
    </row>
    <row r="600" spans="1:420" x14ac:dyDescent="0.25">
      <c r="A600" s="7">
        <v>0.77303252508005538</v>
      </c>
      <c r="B600"/>
      <c r="C600"/>
      <c r="D600"/>
      <c r="E600"/>
      <c r="F600" s="27" t="s">
        <v>7</v>
      </c>
      <c r="IM600" s="27" t="s">
        <v>8</v>
      </c>
      <c r="IU600" s="27" t="s">
        <v>8</v>
      </c>
      <c r="IV600" s="27" t="s">
        <v>7</v>
      </c>
      <c r="IW600" s="27" t="s">
        <v>8</v>
      </c>
      <c r="IX600" s="27" t="s">
        <v>7</v>
      </c>
      <c r="IY600" s="27" t="s">
        <v>8</v>
      </c>
      <c r="KD600" s="27" t="s">
        <v>7</v>
      </c>
      <c r="KE600" s="27" t="s">
        <v>8</v>
      </c>
      <c r="KF600" s="27" t="s">
        <v>7</v>
      </c>
      <c r="KG600" s="27" t="s">
        <v>8</v>
      </c>
      <c r="KH600" s="27" t="s">
        <v>7</v>
      </c>
      <c r="KI600" s="27" t="s">
        <v>8</v>
      </c>
      <c r="KJ600" s="27" t="s">
        <v>7</v>
      </c>
      <c r="KK600" s="27" t="s">
        <v>8</v>
      </c>
      <c r="KT600" s="27" t="s">
        <v>7</v>
      </c>
      <c r="KU600" s="27" t="s">
        <v>8</v>
      </c>
      <c r="KV600" s="27" t="s">
        <v>7</v>
      </c>
      <c r="KW600" s="27" t="s">
        <v>8</v>
      </c>
      <c r="NA600" s="27" t="s">
        <v>8</v>
      </c>
      <c r="ND600" s="27" t="s">
        <v>7</v>
      </c>
      <c r="NE600" s="27" t="s">
        <v>8</v>
      </c>
      <c r="NF600" s="27" t="s">
        <v>7</v>
      </c>
      <c r="NG600" s="27" t="s">
        <v>8</v>
      </c>
      <c r="NJ600" s="27" t="s">
        <v>7</v>
      </c>
      <c r="NK600" s="27" t="s">
        <v>8</v>
      </c>
      <c r="OH600" s="27" t="s">
        <v>7</v>
      </c>
      <c r="OI600" s="27" t="s">
        <v>8</v>
      </c>
      <c r="OJ600" s="27" t="s">
        <v>7</v>
      </c>
      <c r="OK600" s="27" t="s">
        <v>8</v>
      </c>
      <c r="OR600" s="27" t="s">
        <v>7</v>
      </c>
    </row>
    <row r="601" spans="1:420" x14ac:dyDescent="0.25">
      <c r="A601" s="7">
        <v>0.75787502458828959</v>
      </c>
      <c r="B601"/>
      <c r="C601"/>
      <c r="D601"/>
      <c r="E601"/>
      <c r="F601" s="27" t="s">
        <v>7</v>
      </c>
      <c r="IM601" s="27" t="s">
        <v>8</v>
      </c>
      <c r="IN601" s="27" t="s">
        <v>7</v>
      </c>
      <c r="IU601" s="27" t="s">
        <v>8</v>
      </c>
      <c r="IV601" s="27" t="s">
        <v>7</v>
      </c>
      <c r="IW601" s="27" t="s">
        <v>8</v>
      </c>
      <c r="IX601" s="27" t="s">
        <v>7</v>
      </c>
      <c r="IY601" s="27" t="s">
        <v>8</v>
      </c>
      <c r="KD601" s="27" t="s">
        <v>7</v>
      </c>
      <c r="KE601" s="27" t="s">
        <v>8</v>
      </c>
      <c r="KF601" s="27" t="s">
        <v>7</v>
      </c>
      <c r="KH601" s="27" t="s">
        <v>7</v>
      </c>
      <c r="KI601" s="27" t="s">
        <v>8</v>
      </c>
      <c r="KJ601" s="27" t="s">
        <v>7</v>
      </c>
      <c r="KK601" s="27" t="s">
        <v>8</v>
      </c>
      <c r="KT601" s="27" t="s">
        <v>7</v>
      </c>
      <c r="KV601" s="27" t="s">
        <v>7</v>
      </c>
      <c r="KW601" s="27" t="s">
        <v>8</v>
      </c>
      <c r="KX601" s="27" t="s">
        <v>7</v>
      </c>
      <c r="NA601" s="27" t="s">
        <v>8</v>
      </c>
      <c r="ND601" s="27" t="s">
        <v>7</v>
      </c>
      <c r="NE601" s="27" t="s">
        <v>8</v>
      </c>
      <c r="NF601" s="27" t="s">
        <v>7</v>
      </c>
      <c r="NG601" s="27" t="s">
        <v>8</v>
      </c>
      <c r="NJ601" s="27" t="s">
        <v>7</v>
      </c>
      <c r="NK601" s="27" t="s">
        <v>8</v>
      </c>
      <c r="OH601" s="27" t="s">
        <v>7</v>
      </c>
      <c r="OJ601" s="27" t="s">
        <v>7</v>
      </c>
      <c r="OR601" s="27" t="s">
        <v>7</v>
      </c>
      <c r="PA601" s="27" t="s">
        <v>8</v>
      </c>
    </row>
    <row r="602" spans="1:420" x14ac:dyDescent="0.25">
      <c r="A602" s="7">
        <v>0.74301472998851925</v>
      </c>
      <c r="B602"/>
      <c r="C602"/>
      <c r="D602"/>
      <c r="E602"/>
      <c r="F602" s="27" t="s">
        <v>7</v>
      </c>
      <c r="IM602" s="27" t="s">
        <v>8</v>
      </c>
      <c r="IN602" s="27" t="s">
        <v>7</v>
      </c>
      <c r="IS602" s="27" t="s">
        <v>8</v>
      </c>
      <c r="IU602" s="27" t="s">
        <v>8</v>
      </c>
      <c r="IV602" s="27" t="s">
        <v>7</v>
      </c>
      <c r="IW602" s="27" t="s">
        <v>8</v>
      </c>
      <c r="IX602" s="27" t="s">
        <v>7</v>
      </c>
      <c r="IY602" s="27" t="s">
        <v>8</v>
      </c>
      <c r="KD602" s="27" t="s">
        <v>7</v>
      </c>
      <c r="KE602" s="27" t="s">
        <v>8</v>
      </c>
      <c r="KH602" s="27" t="s">
        <v>7</v>
      </c>
      <c r="KI602" s="27" t="s">
        <v>8</v>
      </c>
      <c r="KJ602" s="27" t="s">
        <v>7</v>
      </c>
      <c r="KK602" s="27" t="s">
        <v>8</v>
      </c>
      <c r="KV602" s="27" t="s">
        <v>7</v>
      </c>
      <c r="KW602" s="27" t="s">
        <v>8</v>
      </c>
      <c r="KX602" s="27" t="s">
        <v>7</v>
      </c>
      <c r="NA602" s="27" t="s">
        <v>8</v>
      </c>
      <c r="ND602" s="27" t="s">
        <v>7</v>
      </c>
      <c r="NE602" s="27" t="s">
        <v>8</v>
      </c>
      <c r="NF602" s="27" t="s">
        <v>7</v>
      </c>
      <c r="NG602" s="27" t="s">
        <v>8</v>
      </c>
      <c r="NJ602" s="27" t="s">
        <v>7</v>
      </c>
      <c r="NK602" s="27" t="s">
        <v>8</v>
      </c>
      <c r="OR602" s="27" t="s">
        <v>7</v>
      </c>
      <c r="PA602" s="27" t="s">
        <v>8</v>
      </c>
      <c r="PB602" s="27" t="s">
        <v>7</v>
      </c>
    </row>
    <row r="603" spans="1:420" x14ac:dyDescent="0.25">
      <c r="A603" s="7">
        <v>0.72844581371423456</v>
      </c>
      <c r="B603"/>
      <c r="C603"/>
      <c r="D603"/>
      <c r="E603"/>
      <c r="F603" s="27" t="s">
        <v>7</v>
      </c>
      <c r="IM603" s="27" t="s">
        <v>8</v>
      </c>
      <c r="IN603" s="27" t="s">
        <v>7</v>
      </c>
      <c r="IS603" s="27" t="s">
        <v>8</v>
      </c>
      <c r="IT603" s="27" t="s">
        <v>7</v>
      </c>
      <c r="IU603" s="27" t="s">
        <v>8</v>
      </c>
      <c r="IV603" s="27" t="s">
        <v>7</v>
      </c>
      <c r="IW603" s="27" t="s">
        <v>8</v>
      </c>
      <c r="IX603" s="27" t="s">
        <v>7</v>
      </c>
      <c r="IY603" s="27" t="s">
        <v>8</v>
      </c>
      <c r="KD603" s="27" t="s">
        <v>7</v>
      </c>
      <c r="KE603" s="27" t="s">
        <v>8</v>
      </c>
      <c r="KH603" s="27" t="s">
        <v>7</v>
      </c>
      <c r="KI603" s="27" t="s">
        <v>8</v>
      </c>
      <c r="KJ603" s="27" t="s">
        <v>7</v>
      </c>
      <c r="KK603" s="27" t="s">
        <v>8</v>
      </c>
      <c r="KV603" s="27" t="s">
        <v>7</v>
      </c>
      <c r="KW603" s="27" t="s">
        <v>8</v>
      </c>
      <c r="KX603" s="27" t="s">
        <v>7</v>
      </c>
      <c r="NA603" s="27" t="s">
        <v>8</v>
      </c>
      <c r="ND603" s="27" t="s">
        <v>7</v>
      </c>
      <c r="NE603" s="27" t="s">
        <v>8</v>
      </c>
      <c r="NF603" s="27" t="s">
        <v>7</v>
      </c>
      <c r="NG603" s="27" t="s">
        <v>8</v>
      </c>
      <c r="NJ603" s="27" t="s">
        <v>7</v>
      </c>
      <c r="NK603" s="27" t="s">
        <v>8</v>
      </c>
      <c r="OR603" s="27" t="s">
        <v>7</v>
      </c>
      <c r="PA603" s="27" t="s">
        <v>8</v>
      </c>
      <c r="PB603" s="27" t="s">
        <v>7</v>
      </c>
    </row>
    <row r="604" spans="1:420" x14ac:dyDescent="0.25">
      <c r="A604" s="7">
        <v>0.71416256246493581</v>
      </c>
      <c r="B604"/>
      <c r="C604"/>
      <c r="D604"/>
      <c r="E604"/>
      <c r="F604" s="27" t="s">
        <v>7</v>
      </c>
      <c r="IM604" s="27" t="s">
        <v>8</v>
      </c>
      <c r="IN604" s="27" t="s">
        <v>7</v>
      </c>
      <c r="IS604" s="27" t="s">
        <v>8</v>
      </c>
      <c r="IT604" s="27" t="s">
        <v>7</v>
      </c>
      <c r="IU604" s="27" t="s">
        <v>8</v>
      </c>
      <c r="IV604" s="27" t="s">
        <v>7</v>
      </c>
      <c r="IW604" s="27" t="s">
        <v>8</v>
      </c>
      <c r="IX604" s="27" t="s">
        <v>7</v>
      </c>
      <c r="KD604" s="27" t="s">
        <v>7</v>
      </c>
      <c r="KE604" s="27" t="s">
        <v>8</v>
      </c>
      <c r="KH604" s="27" t="s">
        <v>7</v>
      </c>
      <c r="KI604" s="27" t="s">
        <v>8</v>
      </c>
      <c r="KJ604" s="27" t="s">
        <v>7</v>
      </c>
      <c r="KK604" s="27" t="s">
        <v>8</v>
      </c>
      <c r="KV604" s="27" t="s">
        <v>7</v>
      </c>
      <c r="KW604" s="27" t="s">
        <v>8</v>
      </c>
      <c r="KX604" s="27" t="s">
        <v>7</v>
      </c>
      <c r="NA604" s="27" t="s">
        <v>8</v>
      </c>
      <c r="ND604" s="27" t="s">
        <v>7</v>
      </c>
      <c r="NE604" s="27" t="s">
        <v>8</v>
      </c>
      <c r="NF604" s="27" t="s">
        <v>7</v>
      </c>
      <c r="NG604" s="27" t="s">
        <v>8</v>
      </c>
      <c r="NJ604" s="27" t="s">
        <v>7</v>
      </c>
      <c r="NK604" s="27" t="s">
        <v>8</v>
      </c>
      <c r="OR604" s="27" t="s">
        <v>7</v>
      </c>
      <c r="PA604" s="27" t="s">
        <v>8</v>
      </c>
      <c r="PB604" s="27" t="s">
        <v>7</v>
      </c>
    </row>
    <row r="605" spans="1:420" x14ac:dyDescent="0.25">
      <c r="A605" s="7">
        <v>0.7001593749656233</v>
      </c>
      <c r="B605"/>
      <c r="C605"/>
      <c r="D605"/>
      <c r="E605"/>
      <c r="F605" s="27" t="s">
        <v>7</v>
      </c>
      <c r="IM605" s="27" t="s">
        <v>8</v>
      </c>
      <c r="IN605" s="27" t="s">
        <v>7</v>
      </c>
      <c r="IS605" s="27" t="s">
        <v>8</v>
      </c>
      <c r="IT605" s="27" t="s">
        <v>7</v>
      </c>
      <c r="IU605" s="27" t="s">
        <v>8</v>
      </c>
      <c r="IV605" s="27" t="s">
        <v>7</v>
      </c>
      <c r="KD605" s="27" t="s">
        <v>7</v>
      </c>
      <c r="KE605" s="27" t="s">
        <v>8</v>
      </c>
      <c r="KH605" s="27" t="s">
        <v>7</v>
      </c>
      <c r="KJ605" s="27" t="s">
        <v>7</v>
      </c>
      <c r="KV605" s="27" t="s">
        <v>7</v>
      </c>
      <c r="KX605" s="27" t="s">
        <v>7</v>
      </c>
      <c r="MY605" s="27" t="s">
        <v>8</v>
      </c>
      <c r="NA605" s="27" t="s">
        <v>8</v>
      </c>
      <c r="ND605" s="27" t="s">
        <v>7</v>
      </c>
      <c r="NE605" s="27" t="s">
        <v>8</v>
      </c>
      <c r="NF605" s="27" t="s">
        <v>7</v>
      </c>
      <c r="NG605" s="27" t="s">
        <v>8</v>
      </c>
      <c r="NJ605" s="27" t="s">
        <v>7</v>
      </c>
      <c r="OR605" s="27" t="s">
        <v>7</v>
      </c>
      <c r="PA605" s="27" t="s">
        <v>8</v>
      </c>
      <c r="PB605" s="27" t="s">
        <v>7</v>
      </c>
    </row>
    <row r="606" spans="1:420" x14ac:dyDescent="0.25">
      <c r="A606" s="7">
        <v>0.68643075977021883</v>
      </c>
      <c r="B606"/>
      <c r="C606"/>
      <c r="D606"/>
      <c r="E606"/>
      <c r="F606" s="27" t="s">
        <v>7</v>
      </c>
      <c r="IM606" s="27" t="s">
        <v>8</v>
      </c>
      <c r="IN606" s="27" t="s">
        <v>7</v>
      </c>
      <c r="IS606" s="27" t="s">
        <v>8</v>
      </c>
      <c r="IT606" s="27" t="s">
        <v>7</v>
      </c>
      <c r="IU606" s="27" t="s">
        <v>8</v>
      </c>
      <c r="KD606" s="27" t="s">
        <v>7</v>
      </c>
      <c r="KE606" s="27" t="s">
        <v>8</v>
      </c>
      <c r="KX606" s="27" t="s">
        <v>7</v>
      </c>
      <c r="LA606" s="27" t="s">
        <v>8</v>
      </c>
      <c r="MY606" s="27" t="s">
        <v>8</v>
      </c>
      <c r="MZ606" s="27" t="s">
        <v>7</v>
      </c>
      <c r="NA606" s="27" t="s">
        <v>8</v>
      </c>
      <c r="ND606" s="27" t="s">
        <v>7</v>
      </c>
      <c r="NE606" s="27" t="s">
        <v>8</v>
      </c>
      <c r="NF606" s="27" t="s">
        <v>7</v>
      </c>
      <c r="NG606" s="27" t="s">
        <v>8</v>
      </c>
      <c r="OR606" s="27" t="s">
        <v>7</v>
      </c>
      <c r="PA606" s="27" t="s">
        <v>8</v>
      </c>
      <c r="PB606" s="27" t="s">
        <v>7</v>
      </c>
      <c r="PC606" s="27" t="s">
        <v>8</v>
      </c>
    </row>
    <row r="607" spans="1:420" x14ac:dyDescent="0.25">
      <c r="A607" s="7">
        <v>0.67297133310805768</v>
      </c>
      <c r="B607"/>
      <c r="C607"/>
      <c r="D607"/>
      <c r="E607"/>
      <c r="F607" s="27" t="s">
        <v>7</v>
      </c>
      <c r="IM607" s="27" t="s">
        <v>8</v>
      </c>
      <c r="IN607" s="27" t="s">
        <v>7</v>
      </c>
      <c r="IO607" s="27" t="s">
        <v>8</v>
      </c>
      <c r="IS607" s="27" t="s">
        <v>8</v>
      </c>
      <c r="IT607" s="27" t="s">
        <v>7</v>
      </c>
      <c r="IU607" s="27" t="s">
        <v>8</v>
      </c>
      <c r="KD607" s="27" t="s">
        <v>7</v>
      </c>
      <c r="KE607" s="27" t="s">
        <v>8</v>
      </c>
      <c r="KX607" s="27" t="s">
        <v>7</v>
      </c>
      <c r="LA607" s="27" t="s">
        <v>8</v>
      </c>
      <c r="LB607" s="27" t="s">
        <v>7</v>
      </c>
      <c r="MY607" s="27" t="s">
        <v>8</v>
      </c>
      <c r="MZ607" s="27" t="s">
        <v>7</v>
      </c>
      <c r="NA607" s="27" t="s">
        <v>8</v>
      </c>
      <c r="ND607" s="27" t="s">
        <v>7</v>
      </c>
      <c r="NE607" s="27" t="s">
        <v>8</v>
      </c>
      <c r="NF607" s="27" t="s">
        <v>7</v>
      </c>
      <c r="NG607" s="27" t="s">
        <v>8</v>
      </c>
      <c r="OR607" s="27" t="s">
        <v>7</v>
      </c>
      <c r="PA607" s="27" t="s">
        <v>8</v>
      </c>
      <c r="PB607" s="27" t="s">
        <v>7</v>
      </c>
      <c r="PC607" s="27" t="s">
        <v>8</v>
      </c>
      <c r="PD607" s="27" t="s">
        <v>7</v>
      </c>
    </row>
    <row r="608" spans="1:420" x14ac:dyDescent="0.25">
      <c r="A608" s="7">
        <v>0.65977581677260566</v>
      </c>
      <c r="B608"/>
      <c r="C608"/>
      <c r="D608"/>
      <c r="E608"/>
      <c r="F608" s="27" t="s">
        <v>7</v>
      </c>
      <c r="IM608" s="27" t="s">
        <v>8</v>
      </c>
      <c r="IN608" s="27" t="s">
        <v>7</v>
      </c>
      <c r="IO608" s="27" t="s">
        <v>8</v>
      </c>
      <c r="IP608" s="27" t="s">
        <v>7</v>
      </c>
      <c r="IQ608" s="27" t="s">
        <v>8</v>
      </c>
      <c r="IS608" s="27" t="s">
        <v>8</v>
      </c>
      <c r="IT608" s="27" t="s">
        <v>7</v>
      </c>
      <c r="IU608" s="27" t="s">
        <v>8</v>
      </c>
      <c r="KD608" s="27" t="s">
        <v>7</v>
      </c>
      <c r="KE608" s="27" t="s">
        <v>8</v>
      </c>
      <c r="KX608" s="27" t="s">
        <v>7</v>
      </c>
      <c r="LA608" s="27" t="s">
        <v>8</v>
      </c>
      <c r="LB608" s="27" t="s">
        <v>7</v>
      </c>
      <c r="MW608" s="27" t="s">
        <v>8</v>
      </c>
      <c r="MY608" s="27" t="s">
        <v>8</v>
      </c>
      <c r="MZ608" s="27" t="s">
        <v>7</v>
      </c>
      <c r="NA608" s="27" t="s">
        <v>8</v>
      </c>
      <c r="ND608" s="27" t="s">
        <v>7</v>
      </c>
      <c r="NE608" s="27" t="s">
        <v>8</v>
      </c>
      <c r="NF608" s="27" t="s">
        <v>7</v>
      </c>
      <c r="NG608" s="27" t="s">
        <v>8</v>
      </c>
      <c r="OR608" s="27" t="s">
        <v>7</v>
      </c>
      <c r="PA608" s="27" t="s">
        <v>8</v>
      </c>
      <c r="PB608" s="27" t="s">
        <v>7</v>
      </c>
      <c r="PC608" s="27" t="s">
        <v>8</v>
      </c>
      <c r="PD608" s="27" t="s">
        <v>7</v>
      </c>
    </row>
    <row r="609" spans="1:427" x14ac:dyDescent="0.25">
      <c r="A609" s="7">
        <v>0.64683903605157422</v>
      </c>
      <c r="B609"/>
      <c r="C609"/>
      <c r="D609"/>
      <c r="E609"/>
      <c r="F609" s="27" t="s">
        <v>7</v>
      </c>
      <c r="IM609" s="27" t="s">
        <v>8</v>
      </c>
      <c r="IN609" s="27" t="s">
        <v>7</v>
      </c>
      <c r="IO609" s="27" t="s">
        <v>8</v>
      </c>
      <c r="IP609" s="27" t="s">
        <v>7</v>
      </c>
      <c r="IQ609" s="27" t="s">
        <v>8</v>
      </c>
      <c r="IR609" s="27" t="s">
        <v>7</v>
      </c>
      <c r="IS609" s="27" t="s">
        <v>8</v>
      </c>
      <c r="IT609" s="27" t="s">
        <v>7</v>
      </c>
      <c r="KD609" s="27" t="s">
        <v>7</v>
      </c>
      <c r="KE609" s="27" t="s">
        <v>8</v>
      </c>
      <c r="KX609" s="27" t="s">
        <v>7</v>
      </c>
      <c r="LA609" s="27" t="s">
        <v>8</v>
      </c>
      <c r="LB609" s="27" t="s">
        <v>7</v>
      </c>
      <c r="LC609" s="27" t="s">
        <v>8</v>
      </c>
      <c r="MU609" s="27" t="s">
        <v>8</v>
      </c>
      <c r="MW609" s="27" t="s">
        <v>8</v>
      </c>
      <c r="MX609" s="27" t="s">
        <v>7</v>
      </c>
      <c r="MY609" s="27" t="s">
        <v>8</v>
      </c>
      <c r="MZ609" s="27" t="s">
        <v>7</v>
      </c>
      <c r="ND609" s="27" t="s">
        <v>7</v>
      </c>
      <c r="NE609" s="27" t="s">
        <v>8</v>
      </c>
      <c r="NF609" s="27" t="s">
        <v>7</v>
      </c>
      <c r="NG609" s="27" t="s">
        <v>8</v>
      </c>
      <c r="OR609" s="27" t="s">
        <v>7</v>
      </c>
      <c r="OS609" s="27" t="s">
        <v>8</v>
      </c>
      <c r="PA609" s="27" t="s">
        <v>8</v>
      </c>
      <c r="PB609" s="27" t="s">
        <v>7</v>
      </c>
      <c r="PC609" s="27" t="s">
        <v>8</v>
      </c>
      <c r="PD609" s="27" t="s">
        <v>7</v>
      </c>
    </row>
    <row r="610" spans="1:427" x14ac:dyDescent="0.25">
      <c r="A610" s="7">
        <v>0.63415591769762181</v>
      </c>
      <c r="B610"/>
      <c r="C610"/>
      <c r="D610"/>
      <c r="E610"/>
      <c r="F610" s="27" t="s">
        <v>7</v>
      </c>
      <c r="IM610" s="27" t="s">
        <v>8</v>
      </c>
      <c r="IN610" s="27" t="s">
        <v>7</v>
      </c>
      <c r="IO610" s="27" t="s">
        <v>8</v>
      </c>
      <c r="IP610" s="27" t="s">
        <v>7</v>
      </c>
      <c r="IQ610" s="27" t="s">
        <v>8</v>
      </c>
      <c r="IR610" s="27" t="s">
        <v>7</v>
      </c>
      <c r="IS610" s="27" t="s">
        <v>8</v>
      </c>
      <c r="KD610" s="27" t="s">
        <v>7</v>
      </c>
      <c r="KE610" s="27" t="s">
        <v>8</v>
      </c>
      <c r="KX610" s="27" t="s">
        <v>7</v>
      </c>
      <c r="LA610" s="27" t="s">
        <v>8</v>
      </c>
      <c r="LB610" s="27" t="s">
        <v>7</v>
      </c>
      <c r="LC610" s="27" t="s">
        <v>8</v>
      </c>
      <c r="LD610" s="27" t="s">
        <v>7</v>
      </c>
      <c r="MU610" s="27" t="s">
        <v>8</v>
      </c>
      <c r="MV610" s="27" t="s">
        <v>7</v>
      </c>
      <c r="MW610" s="27" t="s">
        <v>8</v>
      </c>
      <c r="MX610" s="27" t="s">
        <v>7</v>
      </c>
      <c r="MY610" s="27" t="s">
        <v>8</v>
      </c>
      <c r="ND610" s="27" t="s">
        <v>7</v>
      </c>
      <c r="NE610" s="27" t="s">
        <v>8</v>
      </c>
      <c r="NF610" s="27" t="s">
        <v>7</v>
      </c>
      <c r="OR610" s="27" t="s">
        <v>7</v>
      </c>
      <c r="OS610" s="27" t="s">
        <v>8</v>
      </c>
      <c r="OT610" s="27" t="s">
        <v>7</v>
      </c>
      <c r="PA610" s="27" t="s">
        <v>8</v>
      </c>
      <c r="PB610" s="27" t="s">
        <v>7</v>
      </c>
      <c r="PC610" s="27" t="s">
        <v>8</v>
      </c>
      <c r="PD610" s="27" t="s">
        <v>7</v>
      </c>
    </row>
    <row r="611" spans="1:427" x14ac:dyDescent="0.25">
      <c r="A611" s="7">
        <v>0.62172148793884496</v>
      </c>
      <c r="B611"/>
      <c r="C611"/>
      <c r="D611"/>
      <c r="E611"/>
      <c r="F611" s="27" t="s">
        <v>7</v>
      </c>
      <c r="IM611" s="27" t="s">
        <v>8</v>
      </c>
      <c r="IN611" s="27" t="s">
        <v>7</v>
      </c>
      <c r="IO611" s="27" t="s">
        <v>8</v>
      </c>
      <c r="IP611" s="27" t="s">
        <v>7</v>
      </c>
      <c r="IQ611" s="27" t="s">
        <v>8</v>
      </c>
      <c r="IR611" s="27" t="s">
        <v>7</v>
      </c>
      <c r="IS611" s="27" t="s">
        <v>8</v>
      </c>
      <c r="KD611" s="27" t="s">
        <v>7</v>
      </c>
      <c r="KE611" s="27" t="s">
        <v>8</v>
      </c>
      <c r="KX611" s="27" t="s">
        <v>7</v>
      </c>
      <c r="LA611" s="27" t="s">
        <v>8</v>
      </c>
      <c r="LB611" s="27" t="s">
        <v>7</v>
      </c>
      <c r="LC611" s="27" t="s">
        <v>8</v>
      </c>
      <c r="LD611" s="27" t="s">
        <v>7</v>
      </c>
      <c r="MU611" s="27" t="s">
        <v>8</v>
      </c>
      <c r="MV611" s="27" t="s">
        <v>7</v>
      </c>
      <c r="MW611" s="27" t="s">
        <v>8</v>
      </c>
      <c r="MX611" s="27" t="s">
        <v>7</v>
      </c>
      <c r="MY611" s="27" t="s">
        <v>8</v>
      </c>
      <c r="ND611" s="27" t="s">
        <v>7</v>
      </c>
      <c r="NE611" s="27" t="s">
        <v>8</v>
      </c>
      <c r="OR611" s="27" t="s">
        <v>7</v>
      </c>
      <c r="OS611" s="27" t="s">
        <v>8</v>
      </c>
      <c r="OT611" s="27" t="s">
        <v>7</v>
      </c>
      <c r="PA611" s="27" t="s">
        <v>8</v>
      </c>
      <c r="PB611" s="27" t="s">
        <v>7</v>
      </c>
      <c r="PD611" s="27" t="s">
        <v>7</v>
      </c>
    </row>
    <row r="612" spans="1:427" x14ac:dyDescent="0.25">
      <c r="A612" s="7">
        <v>0.60953087052827937</v>
      </c>
      <c r="B612"/>
      <c r="C612"/>
      <c r="D612"/>
      <c r="E612"/>
      <c r="F612" s="27" t="s">
        <v>7</v>
      </c>
      <c r="IM612" s="27" t="s">
        <v>8</v>
      </c>
      <c r="IN612" s="27" t="s">
        <v>7</v>
      </c>
      <c r="IO612" s="27" t="s">
        <v>8</v>
      </c>
      <c r="IP612" s="27" t="s">
        <v>7</v>
      </c>
      <c r="IQ612" s="27" t="s">
        <v>8</v>
      </c>
      <c r="IR612" s="27" t="s">
        <v>7</v>
      </c>
      <c r="IS612" s="27" t="s">
        <v>8</v>
      </c>
      <c r="KD612" s="27" t="s">
        <v>7</v>
      </c>
      <c r="KE612" s="27" t="s">
        <v>8</v>
      </c>
      <c r="KX612" s="27" t="s">
        <v>7</v>
      </c>
      <c r="LA612" s="27" t="s">
        <v>8</v>
      </c>
      <c r="LB612" s="27" t="s">
        <v>7</v>
      </c>
      <c r="LC612" s="27" t="s">
        <v>8</v>
      </c>
      <c r="LD612" s="27" t="s">
        <v>7</v>
      </c>
      <c r="MS612" s="27" t="s">
        <v>8</v>
      </c>
      <c r="MU612" s="27" t="s">
        <v>8</v>
      </c>
      <c r="MV612" s="27" t="s">
        <v>7</v>
      </c>
      <c r="MX612" s="27" t="s">
        <v>7</v>
      </c>
      <c r="MY612" s="27" t="s">
        <v>8</v>
      </c>
      <c r="ND612" s="27" t="s">
        <v>7</v>
      </c>
      <c r="NE612" s="27" t="s">
        <v>8</v>
      </c>
      <c r="OR612" s="27" t="s">
        <v>7</v>
      </c>
      <c r="OS612" s="27" t="s">
        <v>8</v>
      </c>
      <c r="OT612" s="27" t="s">
        <v>7</v>
      </c>
      <c r="PA612" s="27" t="s">
        <v>8</v>
      </c>
      <c r="PD612" s="27" t="s">
        <v>7</v>
      </c>
      <c r="PE612" s="27" t="s">
        <v>8</v>
      </c>
    </row>
    <row r="613" spans="1:427" x14ac:dyDescent="0.25">
      <c r="A613" s="7">
        <v>0.59757928483164646</v>
      </c>
      <c r="B613"/>
      <c r="C613"/>
      <c r="D613"/>
      <c r="E613"/>
      <c r="F613" s="27" t="s">
        <v>7</v>
      </c>
      <c r="FS613" s="27" t="s">
        <v>8</v>
      </c>
      <c r="IM613" s="27" t="s">
        <v>8</v>
      </c>
      <c r="IN613" s="27" t="s">
        <v>7</v>
      </c>
      <c r="IO613" s="27" t="s">
        <v>8</v>
      </c>
      <c r="IP613" s="27" t="s">
        <v>7</v>
      </c>
      <c r="IQ613" s="27" t="s">
        <v>8</v>
      </c>
      <c r="IR613" s="27" t="s">
        <v>7</v>
      </c>
      <c r="IS613" s="27" t="s">
        <v>8</v>
      </c>
      <c r="KD613" s="27" t="s">
        <v>7</v>
      </c>
      <c r="KE613" s="27" t="s">
        <v>8</v>
      </c>
      <c r="KX613" s="27" t="s">
        <v>7</v>
      </c>
      <c r="LA613" s="27" t="s">
        <v>8</v>
      </c>
      <c r="LB613" s="27" t="s">
        <v>7</v>
      </c>
      <c r="LC613" s="27" t="s">
        <v>8</v>
      </c>
      <c r="LD613" s="27" t="s">
        <v>7</v>
      </c>
      <c r="MS613" s="27" t="s">
        <v>8</v>
      </c>
      <c r="MT613" s="27" t="s">
        <v>7</v>
      </c>
      <c r="MU613" s="27" t="s">
        <v>8</v>
      </c>
      <c r="MX613" s="27" t="s">
        <v>7</v>
      </c>
      <c r="MY613" s="27" t="s">
        <v>8</v>
      </c>
      <c r="ND613" s="27" t="s">
        <v>7</v>
      </c>
      <c r="NE613" s="27" t="s">
        <v>8</v>
      </c>
      <c r="OR613" s="27" t="s">
        <v>7</v>
      </c>
      <c r="OS613" s="27" t="s">
        <v>8</v>
      </c>
      <c r="OT613" s="27" t="s">
        <v>7</v>
      </c>
      <c r="PA613" s="27" t="s">
        <v>8</v>
      </c>
      <c r="PD613" s="27" t="s">
        <v>7</v>
      </c>
      <c r="PE613" s="27" t="s">
        <v>8</v>
      </c>
      <c r="PF613" s="27" t="s">
        <v>7</v>
      </c>
    </row>
    <row r="614" spans="1:427" x14ac:dyDescent="0.25">
      <c r="A614" s="7">
        <v>0.58586204395259456</v>
      </c>
      <c r="B614"/>
      <c r="C614"/>
      <c r="D614"/>
      <c r="E614"/>
      <c r="F614" s="27" t="s">
        <v>7</v>
      </c>
      <c r="FS614" s="27" t="s">
        <v>8</v>
      </c>
      <c r="FT614" s="27" t="s">
        <v>7</v>
      </c>
      <c r="IM614" s="27" t="s">
        <v>8</v>
      </c>
      <c r="IN614" s="27" t="s">
        <v>7</v>
      </c>
      <c r="IO614" s="27" t="s">
        <v>8</v>
      </c>
      <c r="IP614" s="27" t="s">
        <v>7</v>
      </c>
      <c r="IQ614" s="27" t="s">
        <v>8</v>
      </c>
      <c r="IR614" s="27" t="s">
        <v>7</v>
      </c>
      <c r="KD614" s="27" t="s">
        <v>7</v>
      </c>
      <c r="KE614" s="27" t="s">
        <v>8</v>
      </c>
      <c r="KX614" s="27" t="s">
        <v>7</v>
      </c>
      <c r="KY614" s="27" t="s">
        <v>8</v>
      </c>
      <c r="LA614" s="27" t="s">
        <v>8</v>
      </c>
      <c r="LB614" s="27" t="s">
        <v>7</v>
      </c>
      <c r="LC614" s="27" t="s">
        <v>8</v>
      </c>
      <c r="LD614" s="27" t="s">
        <v>7</v>
      </c>
      <c r="MS614" s="27" t="s">
        <v>8</v>
      </c>
      <c r="MT614" s="27" t="s">
        <v>7</v>
      </c>
      <c r="MU614" s="27" t="s">
        <v>8</v>
      </c>
      <c r="MX614" s="27" t="s">
        <v>7</v>
      </c>
      <c r="MY614" s="27" t="s">
        <v>8</v>
      </c>
      <c r="ND614" s="27" t="s">
        <v>7</v>
      </c>
      <c r="OR614" s="27" t="s">
        <v>7</v>
      </c>
      <c r="OS614" s="27" t="s">
        <v>8</v>
      </c>
      <c r="OT614" s="27" t="s">
        <v>7</v>
      </c>
      <c r="PA614" s="27" t="s">
        <v>8</v>
      </c>
      <c r="PD614" s="27" t="s">
        <v>7</v>
      </c>
      <c r="PE614" s="27" t="s">
        <v>8</v>
      </c>
      <c r="PF614" s="27" t="s">
        <v>7</v>
      </c>
    </row>
    <row r="615" spans="1:427" x14ac:dyDescent="0.25">
      <c r="A615" s="7">
        <v>0.57437455289470052</v>
      </c>
      <c r="B615"/>
      <c r="C615"/>
      <c r="D615"/>
      <c r="E615"/>
      <c r="F615" s="27" t="s">
        <v>7</v>
      </c>
      <c r="FS615" s="27" t="s">
        <v>8</v>
      </c>
      <c r="FT615" s="27" t="s">
        <v>7</v>
      </c>
      <c r="IM615" s="27" t="s">
        <v>8</v>
      </c>
      <c r="IN615" s="27" t="s">
        <v>7</v>
      </c>
      <c r="IO615" s="27" t="s">
        <v>8</v>
      </c>
      <c r="IP615" s="27" t="s">
        <v>7</v>
      </c>
      <c r="IQ615" s="27" t="s">
        <v>8</v>
      </c>
      <c r="KD615" s="27" t="s">
        <v>7</v>
      </c>
      <c r="KE615" s="27" t="s">
        <v>8</v>
      </c>
      <c r="KX615" s="27" t="s">
        <v>7</v>
      </c>
      <c r="KY615" s="27" t="s">
        <v>8</v>
      </c>
      <c r="KZ615" s="27" t="s">
        <v>7</v>
      </c>
      <c r="LA615" s="27" t="s">
        <v>8</v>
      </c>
      <c r="LB615" s="27" t="s">
        <v>7</v>
      </c>
      <c r="LC615" s="27" t="s">
        <v>8</v>
      </c>
      <c r="LD615" s="27" t="s">
        <v>7</v>
      </c>
      <c r="MS615" s="27" t="s">
        <v>8</v>
      </c>
      <c r="MT615" s="27" t="s">
        <v>7</v>
      </c>
      <c r="MU615" s="27" t="s">
        <v>8</v>
      </c>
      <c r="MX615" s="27" t="s">
        <v>7</v>
      </c>
      <c r="MY615" s="27" t="s">
        <v>8</v>
      </c>
      <c r="OR615" s="27" t="s">
        <v>7</v>
      </c>
      <c r="OS615" s="27" t="s">
        <v>8</v>
      </c>
      <c r="OT615" s="27" t="s">
        <v>7</v>
      </c>
      <c r="OU615" s="27" t="s">
        <v>8</v>
      </c>
      <c r="PA615" s="27" t="s">
        <v>8</v>
      </c>
      <c r="PD615" s="27" t="s">
        <v>7</v>
      </c>
      <c r="PE615" s="27" t="s">
        <v>8</v>
      </c>
      <c r="PF615" s="27" t="s">
        <v>7</v>
      </c>
    </row>
    <row r="616" spans="1:427" x14ac:dyDescent="0.25">
      <c r="A616" s="7">
        <v>0.56311230675951029</v>
      </c>
      <c r="B616"/>
      <c r="C616"/>
      <c r="D616"/>
      <c r="E616"/>
      <c r="F616" s="27" t="s">
        <v>7</v>
      </c>
      <c r="FI616" s="27" t="s">
        <v>8</v>
      </c>
      <c r="FS616" s="27" t="s">
        <v>8</v>
      </c>
      <c r="FT616" s="27" t="s">
        <v>7</v>
      </c>
      <c r="IM616" s="27" t="s">
        <v>8</v>
      </c>
      <c r="IN616" s="27" t="s">
        <v>7</v>
      </c>
      <c r="IO616" s="27" t="s">
        <v>8</v>
      </c>
      <c r="IP616" s="27" t="s">
        <v>7</v>
      </c>
      <c r="IQ616" s="27" t="s">
        <v>8</v>
      </c>
      <c r="KD616" s="27" t="s">
        <v>7</v>
      </c>
      <c r="KE616" s="27" t="s">
        <v>8</v>
      </c>
      <c r="KX616" s="27" t="s">
        <v>7</v>
      </c>
      <c r="KY616" s="27" t="s">
        <v>8</v>
      </c>
      <c r="KZ616" s="27" t="s">
        <v>7</v>
      </c>
      <c r="LA616" s="27" t="s">
        <v>8</v>
      </c>
      <c r="LB616" s="27" t="s">
        <v>7</v>
      </c>
      <c r="LC616" s="27" t="s">
        <v>8</v>
      </c>
      <c r="LD616" s="27" t="s">
        <v>7</v>
      </c>
      <c r="MS616" s="27" t="s">
        <v>8</v>
      </c>
      <c r="MT616" s="27" t="s">
        <v>7</v>
      </c>
      <c r="MU616" s="27" t="s">
        <v>8</v>
      </c>
      <c r="MX616" s="27" t="s">
        <v>7</v>
      </c>
      <c r="MY616" s="27" t="s">
        <v>8</v>
      </c>
      <c r="OR616" s="27" t="s">
        <v>7</v>
      </c>
      <c r="OT616" s="27" t="s">
        <v>7</v>
      </c>
      <c r="OU616" s="27" t="s">
        <v>8</v>
      </c>
      <c r="OV616" s="27" t="s">
        <v>7</v>
      </c>
      <c r="PA616" s="27" t="s">
        <v>8</v>
      </c>
      <c r="PD616" s="27" t="s">
        <v>7</v>
      </c>
      <c r="PE616" s="27" t="s">
        <v>8</v>
      </c>
      <c r="PF616" s="27" t="s">
        <v>7</v>
      </c>
    </row>
    <row r="617" spans="1:427" x14ac:dyDescent="0.25">
      <c r="A617" s="7">
        <v>0.55207088897991208</v>
      </c>
      <c r="B617"/>
      <c r="C617"/>
      <c r="D617"/>
      <c r="E617"/>
      <c r="F617" s="27" t="s">
        <v>7</v>
      </c>
      <c r="FI617" s="27" t="s">
        <v>8</v>
      </c>
      <c r="FJ617" s="27" t="s">
        <v>7</v>
      </c>
      <c r="FS617" s="27" t="s">
        <v>8</v>
      </c>
      <c r="FT617" s="27" t="s">
        <v>7</v>
      </c>
      <c r="IM617" s="27" t="s">
        <v>8</v>
      </c>
      <c r="IN617" s="27" t="s">
        <v>7</v>
      </c>
      <c r="IO617" s="27" t="s">
        <v>8</v>
      </c>
      <c r="IP617" s="27" t="s">
        <v>7</v>
      </c>
      <c r="IQ617" s="27" t="s">
        <v>8</v>
      </c>
      <c r="KD617" s="27" t="s">
        <v>7</v>
      </c>
      <c r="KE617" s="27" t="s">
        <v>8</v>
      </c>
      <c r="KX617" s="27" t="s">
        <v>7</v>
      </c>
      <c r="KY617" s="27" t="s">
        <v>8</v>
      </c>
      <c r="KZ617" s="27" t="s">
        <v>7</v>
      </c>
      <c r="LA617" s="27" t="s">
        <v>8</v>
      </c>
      <c r="LB617" s="27" t="s">
        <v>7</v>
      </c>
      <c r="LC617" s="27" t="s">
        <v>8</v>
      </c>
      <c r="LD617" s="27" t="s">
        <v>7</v>
      </c>
      <c r="MS617" s="27" t="s">
        <v>8</v>
      </c>
      <c r="MT617" s="27" t="s">
        <v>7</v>
      </c>
      <c r="MU617" s="27" t="s">
        <v>8</v>
      </c>
      <c r="MX617" s="27" t="s">
        <v>7</v>
      </c>
      <c r="MY617" s="27" t="s">
        <v>8</v>
      </c>
      <c r="OT617" s="27" t="s">
        <v>7</v>
      </c>
      <c r="OU617" s="27" t="s">
        <v>8</v>
      </c>
      <c r="OV617" s="27" t="s">
        <v>7</v>
      </c>
      <c r="PA617" s="27" t="s">
        <v>8</v>
      </c>
      <c r="PD617" s="27" t="s">
        <v>7</v>
      </c>
      <c r="PE617" s="27" t="s">
        <v>8</v>
      </c>
      <c r="PF617" s="27" t="s">
        <v>7</v>
      </c>
    </row>
    <row r="618" spans="1:427" x14ac:dyDescent="0.25">
      <c r="A618" s="7">
        <v>0.54124596958814908</v>
      </c>
      <c r="B618"/>
      <c r="C618"/>
      <c r="D618"/>
      <c r="E618"/>
      <c r="F618" s="27" t="s">
        <v>7</v>
      </c>
      <c r="FI618" s="27" t="s">
        <v>8</v>
      </c>
      <c r="FJ618" s="27" t="s">
        <v>7</v>
      </c>
      <c r="FS618" s="27" t="s">
        <v>8</v>
      </c>
      <c r="FT618" s="27" t="s">
        <v>7</v>
      </c>
      <c r="IM618" s="27" t="s">
        <v>8</v>
      </c>
      <c r="IN618" s="27" t="s">
        <v>7</v>
      </c>
      <c r="IO618" s="27" t="s">
        <v>8</v>
      </c>
      <c r="IP618" s="27" t="s">
        <v>7</v>
      </c>
      <c r="IQ618" s="27" t="s">
        <v>8</v>
      </c>
      <c r="KD618" s="27" t="s">
        <v>7</v>
      </c>
      <c r="KE618" s="27" t="s">
        <v>8</v>
      </c>
      <c r="KX618" s="27" t="s">
        <v>7</v>
      </c>
      <c r="KY618" s="27" t="s">
        <v>8</v>
      </c>
      <c r="KZ618" s="27" t="s">
        <v>7</v>
      </c>
      <c r="LA618" s="27" t="s">
        <v>8</v>
      </c>
      <c r="LB618" s="27" t="s">
        <v>7</v>
      </c>
      <c r="LC618" s="27" t="s">
        <v>8</v>
      </c>
      <c r="LD618" s="27" t="s">
        <v>7</v>
      </c>
      <c r="LE618" s="27" t="s">
        <v>8</v>
      </c>
      <c r="MS618" s="27" t="s">
        <v>8</v>
      </c>
      <c r="MT618" s="27" t="s">
        <v>7</v>
      </c>
      <c r="MX618" s="27" t="s">
        <v>7</v>
      </c>
      <c r="MY618" s="27" t="s">
        <v>8</v>
      </c>
      <c r="OT618" s="27" t="s">
        <v>7</v>
      </c>
      <c r="OU618" s="27" t="s">
        <v>8</v>
      </c>
      <c r="OV618" s="27" t="s">
        <v>7</v>
      </c>
      <c r="OW618" s="27" t="s">
        <v>8</v>
      </c>
      <c r="PA618" s="27" t="s">
        <v>8</v>
      </c>
      <c r="PD618" s="27" t="s">
        <v>7</v>
      </c>
      <c r="PE618" s="27" t="s">
        <v>8</v>
      </c>
      <c r="PF618" s="27" t="s">
        <v>7</v>
      </c>
    </row>
    <row r="619" spans="1:427" x14ac:dyDescent="0.25">
      <c r="A619" s="7">
        <v>0.53063330351779314</v>
      </c>
      <c r="B619"/>
      <c r="C619"/>
      <c r="D619"/>
      <c r="E619"/>
      <c r="F619" s="27" t="s">
        <v>7</v>
      </c>
      <c r="FI619" s="27" t="s">
        <v>8</v>
      </c>
      <c r="FJ619" s="27" t="s">
        <v>7</v>
      </c>
      <c r="FS619" s="27" t="s">
        <v>8</v>
      </c>
      <c r="FT619" s="27" t="s">
        <v>7</v>
      </c>
      <c r="IM619" s="27" t="s">
        <v>8</v>
      </c>
      <c r="IN619" s="27" t="s">
        <v>7</v>
      </c>
      <c r="IO619" s="27" t="s">
        <v>8</v>
      </c>
      <c r="IP619" s="27" t="s">
        <v>7</v>
      </c>
      <c r="IQ619" s="27" t="s">
        <v>8</v>
      </c>
      <c r="KD619" s="27" t="s">
        <v>7</v>
      </c>
      <c r="KE619" s="27" t="s">
        <v>8</v>
      </c>
      <c r="KX619" s="27" t="s">
        <v>7</v>
      </c>
      <c r="KY619" s="27" t="s">
        <v>8</v>
      </c>
      <c r="KZ619" s="27" t="s">
        <v>7</v>
      </c>
      <c r="LA619" s="27" t="s">
        <v>8</v>
      </c>
      <c r="LB619" s="27" t="s">
        <v>7</v>
      </c>
      <c r="LC619" s="27" t="s">
        <v>8</v>
      </c>
      <c r="LD619" s="27" t="s">
        <v>7</v>
      </c>
      <c r="LE619" s="27" t="s">
        <v>8</v>
      </c>
      <c r="LF619" s="27" t="s">
        <v>7</v>
      </c>
      <c r="MQ619" s="27" t="s">
        <v>8</v>
      </c>
      <c r="MS619" s="27" t="s">
        <v>8</v>
      </c>
      <c r="MX619" s="27" t="s">
        <v>7</v>
      </c>
      <c r="OT619" s="27" t="s">
        <v>7</v>
      </c>
      <c r="OU619" s="27" t="s">
        <v>8</v>
      </c>
      <c r="OV619" s="27" t="s">
        <v>7</v>
      </c>
      <c r="OW619" s="27" t="s">
        <v>8</v>
      </c>
      <c r="OX619" s="27" t="s">
        <v>7</v>
      </c>
      <c r="PA619" s="27" t="s">
        <v>8</v>
      </c>
      <c r="PD619" s="27" t="s">
        <v>7</v>
      </c>
      <c r="PF619" s="27" t="s">
        <v>7</v>
      </c>
    </row>
    <row r="620" spans="1:427" x14ac:dyDescent="0.25">
      <c r="A620" s="7">
        <v>0.52022872893901284</v>
      </c>
      <c r="B620"/>
      <c r="C620"/>
      <c r="D620"/>
      <c r="E620"/>
      <c r="F620" s="27" t="s">
        <v>7</v>
      </c>
      <c r="FI620" s="27" t="s">
        <v>8</v>
      </c>
      <c r="FJ620" s="27" t="s">
        <v>7</v>
      </c>
      <c r="FS620" s="27" t="s">
        <v>8</v>
      </c>
      <c r="FT620" s="27" t="s">
        <v>7</v>
      </c>
      <c r="IM620" s="27" t="s">
        <v>8</v>
      </c>
      <c r="IN620" s="27" t="s">
        <v>7</v>
      </c>
      <c r="IP620" s="27" t="s">
        <v>7</v>
      </c>
      <c r="IQ620" s="27" t="s">
        <v>8</v>
      </c>
      <c r="KD620" s="27" t="s">
        <v>7</v>
      </c>
      <c r="KE620" s="27" t="s">
        <v>8</v>
      </c>
      <c r="KX620" s="27" t="s">
        <v>7</v>
      </c>
      <c r="KY620" s="27" t="s">
        <v>8</v>
      </c>
      <c r="KZ620" s="27" t="s">
        <v>7</v>
      </c>
      <c r="LA620" s="27" t="s">
        <v>8</v>
      </c>
      <c r="LB620" s="27" t="s">
        <v>7</v>
      </c>
      <c r="LC620" s="27" t="s">
        <v>8</v>
      </c>
      <c r="LD620" s="27" t="s">
        <v>7</v>
      </c>
      <c r="LE620" s="27" t="s">
        <v>8</v>
      </c>
      <c r="LF620" s="27" t="s">
        <v>7</v>
      </c>
      <c r="MQ620" s="27" t="s">
        <v>8</v>
      </c>
      <c r="MR620" s="27" t="s">
        <v>7</v>
      </c>
      <c r="MS620" s="27" t="s">
        <v>8</v>
      </c>
      <c r="OT620" s="27" t="s">
        <v>7</v>
      </c>
      <c r="OV620" s="27" t="s">
        <v>7</v>
      </c>
      <c r="OW620" s="27" t="s">
        <v>8</v>
      </c>
      <c r="OX620" s="27" t="s">
        <v>7</v>
      </c>
      <c r="OY620" s="27" t="s">
        <v>8</v>
      </c>
      <c r="PA620" s="27" t="s">
        <v>8</v>
      </c>
      <c r="PF620" s="27" t="s">
        <v>7</v>
      </c>
    </row>
    <row r="621" spans="1:427" x14ac:dyDescent="0.25">
      <c r="A621" s="7">
        <v>0.51002816562648323</v>
      </c>
      <c r="B621"/>
      <c r="C621"/>
      <c r="D621"/>
      <c r="E621"/>
      <c r="F621" s="27" t="s">
        <v>7</v>
      </c>
      <c r="FI621" s="27" t="s">
        <v>8</v>
      </c>
      <c r="FJ621" s="27" t="s">
        <v>7</v>
      </c>
      <c r="FS621" s="27" t="s">
        <v>8</v>
      </c>
      <c r="FT621" s="27" t="s">
        <v>7</v>
      </c>
      <c r="IM621" s="27" t="s">
        <v>8</v>
      </c>
      <c r="IP621" s="27" t="s">
        <v>7</v>
      </c>
      <c r="KD621" s="27" t="s">
        <v>7</v>
      </c>
      <c r="KE621" s="27" t="s">
        <v>8</v>
      </c>
      <c r="KX621" s="27" t="s">
        <v>7</v>
      </c>
      <c r="KY621" s="27" t="s">
        <v>8</v>
      </c>
      <c r="KZ621" s="27" t="s">
        <v>7</v>
      </c>
      <c r="LA621" s="27" t="s">
        <v>8</v>
      </c>
      <c r="LB621" s="27" t="s">
        <v>7</v>
      </c>
      <c r="LC621" s="27" t="s">
        <v>8</v>
      </c>
      <c r="LD621" s="27" t="s">
        <v>7</v>
      </c>
      <c r="LF621" s="27" t="s">
        <v>7</v>
      </c>
      <c r="LG621" s="27" t="s">
        <v>8</v>
      </c>
      <c r="MQ621" s="27" t="s">
        <v>8</v>
      </c>
      <c r="MR621" s="27" t="s">
        <v>7</v>
      </c>
      <c r="MS621" s="27" t="s">
        <v>8</v>
      </c>
      <c r="OV621" s="27" t="s">
        <v>7</v>
      </c>
      <c r="OW621" s="27" t="s">
        <v>8</v>
      </c>
      <c r="OX621" s="27" t="s">
        <v>7</v>
      </c>
      <c r="OY621" s="27" t="s">
        <v>8</v>
      </c>
      <c r="OZ621" s="27" t="s">
        <v>7</v>
      </c>
      <c r="PA621" s="27" t="s">
        <v>8</v>
      </c>
      <c r="PF621" s="27" t="s">
        <v>7</v>
      </c>
    </row>
    <row r="622" spans="1:427" x14ac:dyDescent="0.25">
      <c r="A622" s="7">
        <v>0.50002761335929735</v>
      </c>
      <c r="B622"/>
      <c r="C622"/>
      <c r="D622"/>
      <c r="E622"/>
      <c r="F622" s="27" t="s">
        <v>7</v>
      </c>
      <c r="FI622" s="27" t="s">
        <v>8</v>
      </c>
      <c r="FJ622" s="27" t="s">
        <v>7</v>
      </c>
      <c r="FK622" s="27" t="s">
        <v>8</v>
      </c>
      <c r="FS622" s="27" t="s">
        <v>8</v>
      </c>
      <c r="FT622" s="27" t="s">
        <v>7</v>
      </c>
      <c r="IM622" s="27" t="s">
        <v>8</v>
      </c>
      <c r="KD622" s="27" t="s">
        <v>7</v>
      </c>
      <c r="KE622" s="27" t="s">
        <v>8</v>
      </c>
      <c r="KX622" s="27" t="s">
        <v>7</v>
      </c>
      <c r="KY622" s="27" t="s">
        <v>8</v>
      </c>
      <c r="KZ622" s="27" t="s">
        <v>7</v>
      </c>
      <c r="LA622" s="27" t="s">
        <v>8</v>
      </c>
      <c r="LB622" s="27" t="s">
        <v>7</v>
      </c>
      <c r="LC622" s="27" t="s">
        <v>8</v>
      </c>
      <c r="LF622" s="27" t="s">
        <v>7</v>
      </c>
      <c r="LG622" s="27" t="s">
        <v>8</v>
      </c>
      <c r="LH622" s="27" t="s">
        <v>7</v>
      </c>
      <c r="MQ622" s="27" t="s">
        <v>8</v>
      </c>
      <c r="MR622" s="27" t="s">
        <v>7</v>
      </c>
      <c r="MS622" s="27" t="s">
        <v>8</v>
      </c>
      <c r="OV622" s="27" t="s">
        <v>7</v>
      </c>
      <c r="OW622" s="27" t="s">
        <v>8</v>
      </c>
      <c r="OX622" s="27" t="s">
        <v>7</v>
      </c>
      <c r="OY622" s="27" t="s">
        <v>8</v>
      </c>
      <c r="OZ622" s="27" t="s">
        <v>7</v>
      </c>
      <c r="PA622" s="27" t="s">
        <v>8</v>
      </c>
      <c r="PF622" s="27" t="s">
        <v>7</v>
      </c>
      <c r="PI622" s="27" t="s">
        <v>8</v>
      </c>
    </row>
    <row r="623" spans="1:427" x14ac:dyDescent="0.25">
      <c r="A623" s="7">
        <v>0.49022315035225228</v>
      </c>
      <c r="B623"/>
      <c r="C623"/>
      <c r="D623"/>
      <c r="E623"/>
      <c r="F623" s="27" t="s">
        <v>7</v>
      </c>
      <c r="FI623" s="27" t="s">
        <v>8</v>
      </c>
      <c r="FJ623" s="27" t="s">
        <v>7</v>
      </c>
      <c r="FK623" s="27" t="s">
        <v>8</v>
      </c>
      <c r="FL623" s="27" t="s">
        <v>7</v>
      </c>
      <c r="FS623" s="27" t="s">
        <v>8</v>
      </c>
      <c r="FT623" s="27" t="s">
        <v>7</v>
      </c>
      <c r="IM623" s="27" t="s">
        <v>8</v>
      </c>
      <c r="KD623" s="27" t="s">
        <v>7</v>
      </c>
      <c r="KE623" s="27" t="s">
        <v>8</v>
      </c>
      <c r="KX623" s="27" t="s">
        <v>7</v>
      </c>
      <c r="KY623" s="27" t="s">
        <v>8</v>
      </c>
      <c r="KZ623" s="27" t="s">
        <v>7</v>
      </c>
      <c r="LA623" s="27" t="s">
        <v>8</v>
      </c>
      <c r="LB623" s="27" t="s">
        <v>7</v>
      </c>
      <c r="LC623" s="27" t="s">
        <v>8</v>
      </c>
      <c r="LF623" s="27" t="s">
        <v>7</v>
      </c>
      <c r="LG623" s="27" t="s">
        <v>8</v>
      </c>
      <c r="LH623" s="27" t="s">
        <v>7</v>
      </c>
      <c r="LI623" s="27" t="s">
        <v>8</v>
      </c>
      <c r="MQ623" s="27" t="s">
        <v>8</v>
      </c>
      <c r="MR623" s="27" t="s">
        <v>7</v>
      </c>
      <c r="MS623" s="27" t="s">
        <v>8</v>
      </c>
      <c r="OV623" s="27" t="s">
        <v>7</v>
      </c>
      <c r="OW623" s="27" t="s">
        <v>8</v>
      </c>
      <c r="OX623" s="27" t="s">
        <v>7</v>
      </c>
      <c r="OZ623" s="27" t="s">
        <v>7</v>
      </c>
      <c r="PA623" s="27" t="s">
        <v>8</v>
      </c>
      <c r="PF623" s="27" t="s">
        <v>7</v>
      </c>
      <c r="PI623" s="27" t="s">
        <v>8</v>
      </c>
      <c r="PJ623" s="27" t="s">
        <v>7</v>
      </c>
    </row>
    <row r="624" spans="1:427" x14ac:dyDescent="0.25">
      <c r="A624" s="7">
        <v>0.48061093171789437</v>
      </c>
      <c r="B624"/>
      <c r="C624"/>
      <c r="D624"/>
      <c r="E624"/>
      <c r="F624" s="27" t="s">
        <v>7</v>
      </c>
      <c r="FI624" s="27" t="s">
        <v>8</v>
      </c>
      <c r="FJ624" s="27" t="s">
        <v>7</v>
      </c>
      <c r="FK624" s="27" t="s">
        <v>8</v>
      </c>
      <c r="FL624" s="27" t="s">
        <v>7</v>
      </c>
      <c r="FM624" s="27" t="s">
        <v>8</v>
      </c>
      <c r="FO624" s="27" t="s">
        <v>8</v>
      </c>
      <c r="FS624" s="27" t="s">
        <v>8</v>
      </c>
      <c r="FT624" s="27" t="s">
        <v>7</v>
      </c>
      <c r="IM624" s="27" t="s">
        <v>8</v>
      </c>
      <c r="KD624" s="27" t="s">
        <v>7</v>
      </c>
      <c r="KE624" s="27" t="s">
        <v>8</v>
      </c>
      <c r="KX624" s="27" t="s">
        <v>7</v>
      </c>
      <c r="KY624" s="27" t="s">
        <v>8</v>
      </c>
      <c r="KZ624" s="27" t="s">
        <v>7</v>
      </c>
      <c r="LA624" s="27" t="s">
        <v>8</v>
      </c>
      <c r="LB624" s="27" t="s">
        <v>7</v>
      </c>
      <c r="LC624" s="27" t="s">
        <v>8</v>
      </c>
      <c r="LF624" s="27" t="s">
        <v>7</v>
      </c>
      <c r="LG624" s="27" t="s">
        <v>8</v>
      </c>
      <c r="LH624" s="27" t="s">
        <v>7</v>
      </c>
      <c r="LI624" s="27" t="s">
        <v>8</v>
      </c>
      <c r="LJ624" s="27" t="s">
        <v>7</v>
      </c>
      <c r="MQ624" s="27" t="s">
        <v>8</v>
      </c>
      <c r="MR624" s="27" t="s">
        <v>7</v>
      </c>
      <c r="MS624" s="27" t="s">
        <v>8</v>
      </c>
      <c r="OV624" s="27" t="s">
        <v>7</v>
      </c>
      <c r="OZ624" s="27" t="s">
        <v>7</v>
      </c>
      <c r="PA624" s="27" t="s">
        <v>8</v>
      </c>
      <c r="PF624" s="27" t="s">
        <v>7</v>
      </c>
      <c r="PI624" s="27" t="s">
        <v>8</v>
      </c>
      <c r="PJ624" s="27" t="s">
        <v>7</v>
      </c>
      <c r="PK624" s="27" t="s">
        <v>8</v>
      </c>
    </row>
    <row r="625" spans="1:432" x14ac:dyDescent="0.25">
      <c r="A625" s="7">
        <v>0.47118718795871994</v>
      </c>
      <c r="B625"/>
      <c r="C625"/>
      <c r="D625"/>
      <c r="E625"/>
      <c r="F625" s="27" t="s">
        <v>7</v>
      </c>
      <c r="FI625" s="27" t="s">
        <v>8</v>
      </c>
      <c r="FJ625" s="27" t="s">
        <v>7</v>
      </c>
      <c r="FK625" s="27" t="s">
        <v>8</v>
      </c>
      <c r="FL625" s="27" t="s">
        <v>7</v>
      </c>
      <c r="FM625" s="27" t="s">
        <v>8</v>
      </c>
      <c r="FN625" s="27" t="s">
        <v>7</v>
      </c>
      <c r="FO625" s="27" t="s">
        <v>8</v>
      </c>
      <c r="FP625" s="27" t="s">
        <v>7</v>
      </c>
      <c r="FS625" s="27" t="s">
        <v>8</v>
      </c>
      <c r="FT625" s="27" t="s">
        <v>7</v>
      </c>
      <c r="IK625" s="27" t="s">
        <v>8</v>
      </c>
      <c r="IM625" s="27" t="s">
        <v>8</v>
      </c>
      <c r="KD625" s="27" t="s">
        <v>7</v>
      </c>
      <c r="KE625" s="27" t="s">
        <v>8</v>
      </c>
      <c r="KX625" s="27" t="s">
        <v>7</v>
      </c>
      <c r="KY625" s="27" t="s">
        <v>8</v>
      </c>
      <c r="KZ625" s="27" t="s">
        <v>7</v>
      </c>
      <c r="LA625" s="27" t="s">
        <v>8</v>
      </c>
      <c r="LB625" s="27" t="s">
        <v>7</v>
      </c>
      <c r="LC625" s="27" t="s">
        <v>8</v>
      </c>
      <c r="LF625" s="27" t="s">
        <v>7</v>
      </c>
      <c r="LG625" s="27" t="s">
        <v>8</v>
      </c>
      <c r="LH625" s="27" t="s">
        <v>7</v>
      </c>
      <c r="LI625" s="27" t="s">
        <v>8</v>
      </c>
      <c r="LJ625" s="27" t="s">
        <v>7</v>
      </c>
      <c r="MK625" s="27" t="s">
        <v>8</v>
      </c>
      <c r="MO625" s="27" t="s">
        <v>8</v>
      </c>
      <c r="MQ625" s="27" t="s">
        <v>8</v>
      </c>
      <c r="MR625" s="27" t="s">
        <v>7</v>
      </c>
      <c r="OZ625" s="27" t="s">
        <v>7</v>
      </c>
      <c r="PF625" s="27" t="s">
        <v>7</v>
      </c>
      <c r="PG625" s="27" t="s">
        <v>8</v>
      </c>
      <c r="PI625" s="27" t="s">
        <v>8</v>
      </c>
      <c r="PJ625" s="27" t="s">
        <v>7</v>
      </c>
      <c r="PK625" s="27" t="s">
        <v>8</v>
      </c>
      <c r="PL625" s="27" t="s">
        <v>7</v>
      </c>
    </row>
    <row r="626" spans="1:432" x14ac:dyDescent="0.25">
      <c r="A626" s="7">
        <v>0.46194822348894116</v>
      </c>
      <c r="B626"/>
      <c r="C626"/>
      <c r="D626"/>
      <c r="E626"/>
      <c r="F626" s="27" t="s">
        <v>7</v>
      </c>
      <c r="FI626" s="27" t="s">
        <v>8</v>
      </c>
      <c r="FJ626" s="27" t="s">
        <v>7</v>
      </c>
      <c r="FK626" s="27" t="s">
        <v>8</v>
      </c>
      <c r="FL626" s="27" t="s">
        <v>7</v>
      </c>
      <c r="FM626" s="27" t="s">
        <v>8</v>
      </c>
      <c r="FN626" s="27" t="s">
        <v>7</v>
      </c>
      <c r="FO626" s="27" t="s">
        <v>8</v>
      </c>
      <c r="FP626" s="27" t="s">
        <v>7</v>
      </c>
      <c r="FS626" s="27" t="s">
        <v>8</v>
      </c>
      <c r="FT626" s="27" t="s">
        <v>7</v>
      </c>
      <c r="IK626" s="27" t="s">
        <v>8</v>
      </c>
      <c r="IL626" s="27" t="s">
        <v>7</v>
      </c>
      <c r="IM626" s="27" t="s">
        <v>8</v>
      </c>
      <c r="KD626" s="27" t="s">
        <v>7</v>
      </c>
      <c r="KE626" s="27" t="s">
        <v>8</v>
      </c>
      <c r="KX626" s="27" t="s">
        <v>7</v>
      </c>
      <c r="KY626" s="27" t="s">
        <v>8</v>
      </c>
      <c r="KZ626" s="27" t="s">
        <v>7</v>
      </c>
      <c r="LA626" s="27" t="s">
        <v>8</v>
      </c>
      <c r="LB626" s="27" t="s">
        <v>7</v>
      </c>
      <c r="LC626" s="27" t="s">
        <v>8</v>
      </c>
      <c r="LF626" s="27" t="s">
        <v>7</v>
      </c>
      <c r="LG626" s="27" t="s">
        <v>8</v>
      </c>
      <c r="LH626" s="27" t="s">
        <v>7</v>
      </c>
      <c r="LI626" s="27" t="s">
        <v>8</v>
      </c>
      <c r="LJ626" s="27" t="s">
        <v>7</v>
      </c>
      <c r="MK626" s="27" t="s">
        <v>8</v>
      </c>
      <c r="ML626" s="27" t="s">
        <v>7</v>
      </c>
      <c r="MO626" s="27" t="s">
        <v>8</v>
      </c>
      <c r="MP626" s="27" t="s">
        <v>7</v>
      </c>
      <c r="MQ626" s="27" t="s">
        <v>8</v>
      </c>
      <c r="PF626" s="27" t="s">
        <v>7</v>
      </c>
      <c r="PG626" s="27" t="s">
        <v>8</v>
      </c>
      <c r="PH626" s="27" t="s">
        <v>7</v>
      </c>
      <c r="PI626" s="27" t="s">
        <v>8</v>
      </c>
      <c r="PJ626" s="27" t="s">
        <v>7</v>
      </c>
      <c r="PK626" s="27" t="s">
        <v>8</v>
      </c>
      <c r="PL626" s="27" t="s">
        <v>7</v>
      </c>
    </row>
    <row r="627" spans="1:432" x14ac:dyDescent="0.25">
      <c r="A627" s="7">
        <v>0.45289041518523643</v>
      </c>
      <c r="B627"/>
      <c r="C627"/>
      <c r="D627"/>
      <c r="E627"/>
      <c r="F627" s="27" t="s">
        <v>7</v>
      </c>
      <c r="FI627" s="27" t="s">
        <v>8</v>
      </c>
      <c r="FJ627" s="27" t="s">
        <v>7</v>
      </c>
      <c r="FK627" s="27" t="s">
        <v>8</v>
      </c>
      <c r="FL627" s="27" t="s">
        <v>7</v>
      </c>
      <c r="FM627" s="27" t="s">
        <v>8</v>
      </c>
      <c r="FN627" s="27" t="s">
        <v>7</v>
      </c>
      <c r="FO627" s="27" t="s">
        <v>8</v>
      </c>
      <c r="FP627" s="27" t="s">
        <v>7</v>
      </c>
      <c r="FQ627" s="27" t="s">
        <v>8</v>
      </c>
      <c r="FS627" s="27" t="s">
        <v>8</v>
      </c>
      <c r="FT627" s="27" t="s">
        <v>7</v>
      </c>
      <c r="IK627" s="27" t="s">
        <v>8</v>
      </c>
      <c r="IL627" s="27" t="s">
        <v>7</v>
      </c>
      <c r="IM627" s="27" t="s">
        <v>8</v>
      </c>
      <c r="KD627" s="27" t="s">
        <v>7</v>
      </c>
      <c r="KE627" s="27" t="s">
        <v>8</v>
      </c>
      <c r="KX627" s="27" t="s">
        <v>7</v>
      </c>
      <c r="KY627" s="27" t="s">
        <v>8</v>
      </c>
      <c r="KZ627" s="27" t="s">
        <v>7</v>
      </c>
      <c r="LA627" s="27" t="s">
        <v>8</v>
      </c>
      <c r="LB627" s="27" t="s">
        <v>7</v>
      </c>
      <c r="LC627" s="27" t="s">
        <v>8</v>
      </c>
      <c r="LF627" s="27" t="s">
        <v>7</v>
      </c>
      <c r="LG627" s="27" t="s">
        <v>8</v>
      </c>
      <c r="LH627" s="27" t="s">
        <v>7</v>
      </c>
      <c r="LI627" s="27" t="s">
        <v>8</v>
      </c>
      <c r="LJ627" s="27" t="s">
        <v>7</v>
      </c>
      <c r="LK627" s="27" t="s">
        <v>8</v>
      </c>
      <c r="MK627" s="27" t="s">
        <v>8</v>
      </c>
      <c r="ML627" s="27" t="s">
        <v>7</v>
      </c>
      <c r="MO627" s="27" t="s">
        <v>8</v>
      </c>
      <c r="MP627" s="27" t="s">
        <v>7</v>
      </c>
      <c r="MQ627" s="27" t="s">
        <v>8</v>
      </c>
      <c r="PF627" s="27" t="s">
        <v>7</v>
      </c>
      <c r="PG627" s="27" t="s">
        <v>8</v>
      </c>
      <c r="PH627" s="27" t="s">
        <v>7</v>
      </c>
      <c r="PI627" s="27" t="s">
        <v>8</v>
      </c>
      <c r="PJ627" s="27" t="s">
        <v>7</v>
      </c>
      <c r="PL627" s="27" t="s">
        <v>7</v>
      </c>
    </row>
    <row r="628" spans="1:432" x14ac:dyDescent="0.25">
      <c r="A628" s="7">
        <v>0.44401021096591808</v>
      </c>
      <c r="B628"/>
      <c r="C628"/>
      <c r="D628"/>
      <c r="E628"/>
      <c r="F628" s="27" t="s">
        <v>7</v>
      </c>
      <c r="FI628" s="27" t="s">
        <v>8</v>
      </c>
      <c r="FJ628" s="27" t="s">
        <v>7</v>
      </c>
      <c r="FK628" s="27" t="s">
        <v>8</v>
      </c>
      <c r="FL628" s="27" t="s">
        <v>7</v>
      </c>
      <c r="FM628" s="27" t="s">
        <v>8</v>
      </c>
      <c r="FN628" s="27" t="s">
        <v>7</v>
      </c>
      <c r="FO628" s="27" t="s">
        <v>8</v>
      </c>
      <c r="FP628" s="27" t="s">
        <v>7</v>
      </c>
      <c r="FQ628" s="27" t="s">
        <v>8</v>
      </c>
      <c r="FR628" s="27" t="s">
        <v>7</v>
      </c>
      <c r="FS628" s="27" t="s">
        <v>8</v>
      </c>
      <c r="FT628" s="27" t="s">
        <v>7</v>
      </c>
      <c r="II628" s="27" t="s">
        <v>8</v>
      </c>
      <c r="IK628" s="27" t="s">
        <v>8</v>
      </c>
      <c r="IL628" s="27" t="s">
        <v>7</v>
      </c>
      <c r="IM628" s="27" t="s">
        <v>8</v>
      </c>
      <c r="KD628" s="27" t="s">
        <v>7</v>
      </c>
      <c r="KE628" s="27" t="s">
        <v>8</v>
      </c>
      <c r="KX628" s="27" t="s">
        <v>7</v>
      </c>
      <c r="KY628" s="27" t="s">
        <v>8</v>
      </c>
      <c r="KZ628" s="27" t="s">
        <v>7</v>
      </c>
      <c r="LA628" s="27" t="s">
        <v>8</v>
      </c>
      <c r="LB628" s="27" t="s">
        <v>7</v>
      </c>
      <c r="LC628" s="27" t="s">
        <v>8</v>
      </c>
      <c r="LF628" s="27" t="s">
        <v>7</v>
      </c>
      <c r="LG628" s="27" t="s">
        <v>8</v>
      </c>
      <c r="LH628" s="27" t="s">
        <v>7</v>
      </c>
      <c r="LI628" s="27" t="s">
        <v>8</v>
      </c>
      <c r="LJ628" s="27" t="s">
        <v>7</v>
      </c>
      <c r="LK628" s="27" t="s">
        <v>8</v>
      </c>
      <c r="LL628" s="27" t="s">
        <v>7</v>
      </c>
      <c r="MK628" s="27" t="s">
        <v>8</v>
      </c>
      <c r="ML628" s="27" t="s">
        <v>7</v>
      </c>
      <c r="MO628" s="27" t="s">
        <v>8</v>
      </c>
      <c r="MP628" s="27" t="s">
        <v>7</v>
      </c>
      <c r="MQ628" s="27" t="s">
        <v>8</v>
      </c>
      <c r="PF628" s="27" t="s">
        <v>7</v>
      </c>
      <c r="PG628" s="27" t="s">
        <v>8</v>
      </c>
      <c r="PH628" s="27" t="s">
        <v>7</v>
      </c>
      <c r="PI628" s="27" t="s">
        <v>8</v>
      </c>
      <c r="PL628" s="27" t="s">
        <v>7</v>
      </c>
    </row>
    <row r="629" spans="1:432" x14ac:dyDescent="0.25">
      <c r="A629" s="7">
        <v>0.4353041283979589</v>
      </c>
      <c r="B629"/>
      <c r="C629"/>
      <c r="D629"/>
      <c r="E629"/>
      <c r="F629" s="27" t="s">
        <v>7</v>
      </c>
      <c r="FI629" s="27" t="s">
        <v>8</v>
      </c>
      <c r="FJ629" s="27" t="s">
        <v>7</v>
      </c>
      <c r="FK629" s="27" t="s">
        <v>8</v>
      </c>
      <c r="FL629" s="27" t="s">
        <v>7</v>
      </c>
      <c r="FM629" s="27" t="s">
        <v>8</v>
      </c>
      <c r="FN629" s="27" t="s">
        <v>7</v>
      </c>
      <c r="FO629" s="27" t="s">
        <v>8</v>
      </c>
      <c r="FP629" s="27" t="s">
        <v>7</v>
      </c>
      <c r="FQ629" s="27" t="s">
        <v>8</v>
      </c>
      <c r="FR629" s="27" t="s">
        <v>7</v>
      </c>
      <c r="FS629" s="27" t="s">
        <v>8</v>
      </c>
      <c r="FT629" s="27" t="s">
        <v>7</v>
      </c>
      <c r="II629" s="27" t="s">
        <v>8</v>
      </c>
      <c r="IJ629" s="27" t="s">
        <v>7</v>
      </c>
      <c r="IK629" s="27" t="s">
        <v>8</v>
      </c>
      <c r="IL629" s="27" t="s">
        <v>7</v>
      </c>
      <c r="IM629" s="27" t="s">
        <v>8</v>
      </c>
      <c r="KD629" s="27" t="s">
        <v>7</v>
      </c>
      <c r="KE629" s="27" t="s">
        <v>8</v>
      </c>
      <c r="KX629" s="27" t="s">
        <v>7</v>
      </c>
      <c r="KY629" s="27" t="s">
        <v>8</v>
      </c>
      <c r="KZ629" s="27" t="s">
        <v>7</v>
      </c>
      <c r="LA629" s="27" t="s">
        <v>8</v>
      </c>
      <c r="LB629" s="27" t="s">
        <v>7</v>
      </c>
      <c r="LC629" s="27" t="s">
        <v>8</v>
      </c>
      <c r="LF629" s="27" t="s">
        <v>7</v>
      </c>
      <c r="LG629" s="27" t="s">
        <v>8</v>
      </c>
      <c r="LH629" s="27" t="s">
        <v>7</v>
      </c>
      <c r="LI629" s="27" t="s">
        <v>8</v>
      </c>
      <c r="LJ629" s="27" t="s">
        <v>7</v>
      </c>
      <c r="LK629" s="27" t="s">
        <v>8</v>
      </c>
      <c r="LL629" s="27" t="s">
        <v>7</v>
      </c>
      <c r="MK629" s="27" t="s">
        <v>8</v>
      </c>
      <c r="ML629" s="27" t="s">
        <v>7</v>
      </c>
      <c r="MM629" s="27" t="s">
        <v>8</v>
      </c>
      <c r="MO629" s="27" t="s">
        <v>8</v>
      </c>
      <c r="MP629" s="27" t="s">
        <v>7</v>
      </c>
      <c r="MQ629" s="27" t="s">
        <v>8</v>
      </c>
      <c r="PF629" s="27" t="s">
        <v>7</v>
      </c>
      <c r="PG629" s="27" t="s">
        <v>8</v>
      </c>
      <c r="PH629" s="27" t="s">
        <v>7</v>
      </c>
      <c r="PI629" s="27" t="s">
        <v>8</v>
      </c>
      <c r="PL629" s="27" t="s">
        <v>7</v>
      </c>
    </row>
    <row r="630" spans="1:432" x14ac:dyDescent="0.25">
      <c r="A630" s="7">
        <v>0.4267687533313323</v>
      </c>
      <c r="B630"/>
      <c r="C630"/>
      <c r="D630"/>
      <c r="E630"/>
      <c r="F630" s="27" t="s">
        <v>7</v>
      </c>
      <c r="FI630" s="27" t="s">
        <v>8</v>
      </c>
      <c r="FJ630" s="27" t="s">
        <v>7</v>
      </c>
      <c r="FL630" s="27" t="s">
        <v>7</v>
      </c>
      <c r="FM630" s="27" t="s">
        <v>8</v>
      </c>
      <c r="FN630" s="27" t="s">
        <v>7</v>
      </c>
      <c r="FO630" s="27" t="s">
        <v>8</v>
      </c>
      <c r="FP630" s="27" t="s">
        <v>7</v>
      </c>
      <c r="FQ630" s="27" t="s">
        <v>8</v>
      </c>
      <c r="FR630" s="27" t="s">
        <v>7</v>
      </c>
      <c r="FT630" s="27" t="s">
        <v>7</v>
      </c>
      <c r="GM630" s="27" t="s">
        <v>8</v>
      </c>
      <c r="II630" s="27" t="s">
        <v>8</v>
      </c>
      <c r="IJ630" s="27" t="s">
        <v>7</v>
      </c>
      <c r="IK630" s="27" t="s">
        <v>8</v>
      </c>
      <c r="IL630" s="27" t="s">
        <v>7</v>
      </c>
      <c r="IM630" s="27" t="s">
        <v>8</v>
      </c>
      <c r="KD630" s="27" t="s">
        <v>7</v>
      </c>
      <c r="KE630" s="27" t="s">
        <v>8</v>
      </c>
      <c r="KX630" s="27" t="s">
        <v>7</v>
      </c>
      <c r="KY630" s="27" t="s">
        <v>8</v>
      </c>
      <c r="KZ630" s="27" t="s">
        <v>7</v>
      </c>
      <c r="LA630" s="27" t="s">
        <v>8</v>
      </c>
      <c r="LB630" s="27" t="s">
        <v>7</v>
      </c>
      <c r="LC630" s="27" t="s">
        <v>8</v>
      </c>
      <c r="LF630" s="27" t="s">
        <v>7</v>
      </c>
      <c r="LH630" s="27" t="s">
        <v>7</v>
      </c>
      <c r="LI630" s="27" t="s">
        <v>8</v>
      </c>
      <c r="LJ630" s="27" t="s">
        <v>7</v>
      </c>
      <c r="LL630" s="27" t="s">
        <v>7</v>
      </c>
      <c r="LM630" s="27" t="s">
        <v>8</v>
      </c>
      <c r="MK630" s="27" t="s">
        <v>8</v>
      </c>
      <c r="ML630" s="27" t="s">
        <v>7</v>
      </c>
      <c r="MM630" s="27" t="s">
        <v>8</v>
      </c>
      <c r="MN630" s="27" t="s">
        <v>7</v>
      </c>
      <c r="MO630" s="27" t="s">
        <v>8</v>
      </c>
      <c r="MP630" s="27" t="s">
        <v>7</v>
      </c>
      <c r="MQ630" s="27" t="s">
        <v>8</v>
      </c>
      <c r="PF630" s="27" t="s">
        <v>7</v>
      </c>
      <c r="PH630" s="27" t="s">
        <v>7</v>
      </c>
      <c r="PL630" s="27" t="s">
        <v>7</v>
      </c>
    </row>
    <row r="631" spans="1:432" x14ac:dyDescent="0.25">
      <c r="A631" s="7">
        <v>0.41840073856012971</v>
      </c>
      <c r="B631"/>
      <c r="C631"/>
      <c r="D631"/>
      <c r="E631"/>
      <c r="F631" s="27" t="s">
        <v>7</v>
      </c>
      <c r="FI631" s="27" t="s">
        <v>8</v>
      </c>
      <c r="FL631" s="27" t="s">
        <v>7</v>
      </c>
      <c r="FM631" s="27" t="s">
        <v>8</v>
      </c>
      <c r="FN631" s="27" t="s">
        <v>7</v>
      </c>
      <c r="FO631" s="27" t="s">
        <v>8</v>
      </c>
      <c r="FP631" s="27" t="s">
        <v>7</v>
      </c>
      <c r="FQ631" s="27" t="s">
        <v>8</v>
      </c>
      <c r="FT631" s="27" t="s">
        <v>7</v>
      </c>
      <c r="GM631" s="27" t="s">
        <v>8</v>
      </c>
      <c r="GN631" s="27" t="s">
        <v>7</v>
      </c>
      <c r="II631" s="27" t="s">
        <v>8</v>
      </c>
      <c r="IJ631" s="27" t="s">
        <v>7</v>
      </c>
      <c r="IK631" s="27" t="s">
        <v>8</v>
      </c>
      <c r="IL631" s="27" t="s">
        <v>7</v>
      </c>
      <c r="IM631" s="27" t="s">
        <v>8</v>
      </c>
      <c r="KD631" s="27" t="s">
        <v>7</v>
      </c>
      <c r="KE631" s="27" t="s">
        <v>8</v>
      </c>
      <c r="KX631" s="27" t="s">
        <v>7</v>
      </c>
      <c r="KY631" s="27" t="s">
        <v>8</v>
      </c>
      <c r="KZ631" s="27" t="s">
        <v>7</v>
      </c>
      <c r="LA631" s="27" t="s">
        <v>8</v>
      </c>
      <c r="LB631" s="27" t="s">
        <v>7</v>
      </c>
      <c r="LH631" s="27" t="s">
        <v>7</v>
      </c>
      <c r="LI631" s="27" t="s">
        <v>8</v>
      </c>
      <c r="LL631" s="27" t="s">
        <v>7</v>
      </c>
      <c r="LM631" s="27" t="s">
        <v>8</v>
      </c>
      <c r="LN631" s="27" t="s">
        <v>7</v>
      </c>
      <c r="LY631" s="27" t="s">
        <v>8</v>
      </c>
      <c r="MK631" s="27" t="s">
        <v>8</v>
      </c>
      <c r="ML631" s="27" t="s">
        <v>7</v>
      </c>
      <c r="MM631" s="27" t="s">
        <v>8</v>
      </c>
      <c r="MN631" s="27" t="s">
        <v>7</v>
      </c>
      <c r="MO631" s="27" t="s">
        <v>8</v>
      </c>
      <c r="MP631" s="27" t="s">
        <v>7</v>
      </c>
      <c r="MQ631" s="27" t="s">
        <v>8</v>
      </c>
      <c r="PL631" s="27" t="s">
        <v>7</v>
      </c>
    </row>
    <row r="632" spans="1:432" x14ac:dyDescent="0.25">
      <c r="A632" s="7">
        <v>0.41019680250993112</v>
      </c>
      <c r="B632"/>
      <c r="C632"/>
      <c r="D632"/>
      <c r="E632"/>
      <c r="F632" s="27" t="s">
        <v>7</v>
      </c>
      <c r="FI632" s="27" t="s">
        <v>8</v>
      </c>
      <c r="FL632" s="27" t="s">
        <v>7</v>
      </c>
      <c r="FM632" s="27" t="s">
        <v>8</v>
      </c>
      <c r="FN632" s="27" t="s">
        <v>7</v>
      </c>
      <c r="FO632" s="27" t="s">
        <v>8</v>
      </c>
      <c r="FP632" s="27" t="s">
        <v>7</v>
      </c>
      <c r="FQ632" s="27" t="s">
        <v>8</v>
      </c>
      <c r="FT632" s="27" t="s">
        <v>7</v>
      </c>
      <c r="GM632" s="27" t="s">
        <v>8</v>
      </c>
      <c r="GN632" s="27" t="s">
        <v>7</v>
      </c>
      <c r="II632" s="27" t="s">
        <v>8</v>
      </c>
      <c r="IJ632" s="27" t="s">
        <v>7</v>
      </c>
      <c r="IK632" s="27" t="s">
        <v>8</v>
      </c>
      <c r="IL632" s="27" t="s">
        <v>7</v>
      </c>
      <c r="IM632" s="27" t="s">
        <v>8</v>
      </c>
      <c r="KD632" s="27" t="s">
        <v>7</v>
      </c>
      <c r="KE632" s="27" t="s">
        <v>8</v>
      </c>
      <c r="KX632" s="27" t="s">
        <v>7</v>
      </c>
      <c r="KY632" s="27" t="s">
        <v>8</v>
      </c>
      <c r="KZ632" s="27" t="s">
        <v>7</v>
      </c>
      <c r="LA632" s="27" t="s">
        <v>8</v>
      </c>
      <c r="LH632" s="27" t="s">
        <v>7</v>
      </c>
      <c r="LI632" s="27" t="s">
        <v>8</v>
      </c>
      <c r="LL632" s="27" t="s">
        <v>7</v>
      </c>
      <c r="LM632" s="27" t="s">
        <v>8</v>
      </c>
      <c r="LN632" s="27" t="s">
        <v>7</v>
      </c>
      <c r="LY632" s="27" t="s">
        <v>8</v>
      </c>
      <c r="LZ632" s="27" t="s">
        <v>7</v>
      </c>
      <c r="MK632" s="27" t="s">
        <v>8</v>
      </c>
      <c r="ML632" s="27" t="s">
        <v>7</v>
      </c>
      <c r="MN632" s="27" t="s">
        <v>7</v>
      </c>
      <c r="MP632" s="27" t="s">
        <v>7</v>
      </c>
      <c r="PL632" s="27" t="s">
        <v>7</v>
      </c>
    </row>
    <row r="633" spans="1:432" x14ac:dyDescent="0.25">
      <c r="A633" s="7">
        <v>0.40215372795091286</v>
      </c>
      <c r="B633"/>
      <c r="C633"/>
      <c r="D633"/>
      <c r="E633"/>
      <c r="F633" s="27" t="s">
        <v>7</v>
      </c>
      <c r="FI633" s="27" t="s">
        <v>8</v>
      </c>
      <c r="FL633" s="27" t="s">
        <v>7</v>
      </c>
      <c r="FM633" s="27" t="s">
        <v>8</v>
      </c>
      <c r="FN633" s="27" t="s">
        <v>7</v>
      </c>
      <c r="FO633" s="27" t="s">
        <v>8</v>
      </c>
      <c r="FP633" s="27" t="s">
        <v>7</v>
      </c>
      <c r="FQ633" s="27" t="s">
        <v>8</v>
      </c>
      <c r="FT633" s="27" t="s">
        <v>7</v>
      </c>
      <c r="GM633" s="27" t="s">
        <v>8</v>
      </c>
      <c r="GN633" s="27" t="s">
        <v>7</v>
      </c>
      <c r="HG633" s="27" t="s">
        <v>8</v>
      </c>
      <c r="IC633" s="27" t="s">
        <v>8</v>
      </c>
      <c r="II633" s="27" t="s">
        <v>8</v>
      </c>
      <c r="IJ633" s="27" t="s">
        <v>7</v>
      </c>
      <c r="IK633" s="27" t="s">
        <v>8</v>
      </c>
      <c r="IL633" s="27" t="s">
        <v>7</v>
      </c>
      <c r="IM633" s="27" t="s">
        <v>8</v>
      </c>
      <c r="KD633" s="27" t="s">
        <v>7</v>
      </c>
      <c r="KE633" s="27" t="s">
        <v>8</v>
      </c>
      <c r="KX633" s="27" t="s">
        <v>7</v>
      </c>
      <c r="KY633" s="27" t="s">
        <v>8</v>
      </c>
      <c r="KZ633" s="27" t="s">
        <v>7</v>
      </c>
      <c r="LA633" s="27" t="s">
        <v>8</v>
      </c>
      <c r="LH633" s="27" t="s">
        <v>7</v>
      </c>
      <c r="LI633" s="27" t="s">
        <v>8</v>
      </c>
      <c r="LL633" s="27" t="s">
        <v>7</v>
      </c>
      <c r="LM633" s="27" t="s">
        <v>8</v>
      </c>
      <c r="LN633" s="27" t="s">
        <v>7</v>
      </c>
      <c r="LY633" s="27" t="s">
        <v>8</v>
      </c>
      <c r="LZ633" s="27" t="s">
        <v>7</v>
      </c>
      <c r="MA633" s="27" t="s">
        <v>8</v>
      </c>
      <c r="MK633" s="27" t="s">
        <v>8</v>
      </c>
      <c r="PL633" s="27" t="s">
        <v>7</v>
      </c>
    </row>
    <row r="634" spans="1:432" x14ac:dyDescent="0.25">
      <c r="A634" s="7">
        <v>0.39426836073618904</v>
      </c>
      <c r="B634"/>
      <c r="C634"/>
      <c r="D634"/>
      <c r="E634"/>
      <c r="F634" s="27" t="s">
        <v>7</v>
      </c>
      <c r="FI634" s="27" t="s">
        <v>8</v>
      </c>
      <c r="FL634" s="27" t="s">
        <v>7</v>
      </c>
      <c r="FN634" s="27" t="s">
        <v>7</v>
      </c>
      <c r="FO634" s="27" t="s">
        <v>8</v>
      </c>
      <c r="FP634" s="27" t="s">
        <v>7</v>
      </c>
      <c r="FT634" s="27" t="s">
        <v>7</v>
      </c>
      <c r="GM634" s="27" t="s">
        <v>8</v>
      </c>
      <c r="GN634" s="27" t="s">
        <v>7</v>
      </c>
      <c r="HG634" s="27" t="s">
        <v>8</v>
      </c>
      <c r="HH634" s="27" t="s">
        <v>7</v>
      </c>
      <c r="IC634" s="27" t="s">
        <v>8</v>
      </c>
      <c r="ID634" s="27" t="s">
        <v>7</v>
      </c>
      <c r="II634" s="27" t="s">
        <v>8</v>
      </c>
      <c r="IJ634" s="27" t="s">
        <v>7</v>
      </c>
      <c r="IK634" s="27" t="s">
        <v>8</v>
      </c>
      <c r="IL634" s="27" t="s">
        <v>7</v>
      </c>
      <c r="IM634" s="27" t="s">
        <v>8</v>
      </c>
      <c r="KD634" s="27" t="s">
        <v>7</v>
      </c>
      <c r="KE634" s="27" t="s">
        <v>8</v>
      </c>
      <c r="KX634" s="27" t="s">
        <v>7</v>
      </c>
      <c r="KY634" s="27" t="s">
        <v>8</v>
      </c>
      <c r="KZ634" s="27" t="s">
        <v>7</v>
      </c>
      <c r="LA634" s="27" t="s">
        <v>8</v>
      </c>
      <c r="LH634" s="27" t="s">
        <v>7</v>
      </c>
      <c r="LL634" s="27" t="s">
        <v>7</v>
      </c>
      <c r="LM634" s="27" t="s">
        <v>8</v>
      </c>
      <c r="LN634" s="27" t="s">
        <v>7</v>
      </c>
      <c r="LQ634" s="27" t="s">
        <v>8</v>
      </c>
      <c r="LW634" s="27" t="s">
        <v>8</v>
      </c>
      <c r="LY634" s="27" t="s">
        <v>8</v>
      </c>
      <c r="LZ634" s="27" t="s">
        <v>7</v>
      </c>
      <c r="MA634" s="27" t="s">
        <v>8</v>
      </c>
      <c r="MB634" s="27" t="s">
        <v>7</v>
      </c>
      <c r="MK634" s="27" t="s">
        <v>8</v>
      </c>
      <c r="PL634" s="27" t="s">
        <v>7</v>
      </c>
    </row>
    <row r="635" spans="1:432" x14ac:dyDescent="0.25">
      <c r="A635" s="7">
        <v>0.38653760856489122</v>
      </c>
      <c r="B635"/>
      <c r="C635"/>
      <c r="D635"/>
      <c r="E635"/>
      <c r="F635" s="27" t="s">
        <v>7</v>
      </c>
      <c r="FI635" s="27" t="s">
        <v>8</v>
      </c>
      <c r="FN635" s="27" t="s">
        <v>7</v>
      </c>
      <c r="FO635" s="27" t="s">
        <v>8</v>
      </c>
      <c r="FT635" s="27" t="s">
        <v>7</v>
      </c>
      <c r="GM635" s="27" t="s">
        <v>8</v>
      </c>
      <c r="GN635" s="27" t="s">
        <v>7</v>
      </c>
      <c r="GO635" s="27" t="s">
        <v>8</v>
      </c>
      <c r="HG635" s="27" t="s">
        <v>8</v>
      </c>
      <c r="HH635" s="27" t="s">
        <v>7</v>
      </c>
      <c r="IC635" s="27" t="s">
        <v>8</v>
      </c>
      <c r="ID635" s="27" t="s">
        <v>7</v>
      </c>
      <c r="II635" s="27" t="s">
        <v>8</v>
      </c>
      <c r="IJ635" s="27" t="s">
        <v>7</v>
      </c>
      <c r="IK635" s="27" t="s">
        <v>8</v>
      </c>
      <c r="IL635" s="27" t="s">
        <v>7</v>
      </c>
      <c r="IM635" s="27" t="s">
        <v>8</v>
      </c>
      <c r="KD635" s="27" t="s">
        <v>7</v>
      </c>
      <c r="KE635" s="27" t="s">
        <v>8</v>
      </c>
      <c r="KX635" s="27" t="s">
        <v>7</v>
      </c>
      <c r="KY635" s="27" t="s">
        <v>8</v>
      </c>
      <c r="KZ635" s="27" t="s">
        <v>7</v>
      </c>
      <c r="LA635" s="27" t="s">
        <v>8</v>
      </c>
      <c r="LL635" s="27" t="s">
        <v>7</v>
      </c>
      <c r="LN635" s="27" t="s">
        <v>7</v>
      </c>
      <c r="LQ635" s="27" t="s">
        <v>8</v>
      </c>
      <c r="LR635" s="27" t="s">
        <v>7</v>
      </c>
      <c r="LS635" s="27" t="s">
        <v>8</v>
      </c>
      <c r="LW635" s="27" t="s">
        <v>8</v>
      </c>
      <c r="LX635" s="27" t="s">
        <v>7</v>
      </c>
      <c r="LY635" s="27" t="s">
        <v>8</v>
      </c>
      <c r="LZ635" s="27" t="s">
        <v>7</v>
      </c>
      <c r="MA635" s="27" t="s">
        <v>8</v>
      </c>
      <c r="MB635" s="27" t="s">
        <v>7</v>
      </c>
      <c r="MK635" s="27" t="s">
        <v>8</v>
      </c>
      <c r="PL635" s="27" t="s">
        <v>7</v>
      </c>
    </row>
    <row r="636" spans="1:432" x14ac:dyDescent="0.25">
      <c r="A636" s="7">
        <v>0.37895843976950117</v>
      </c>
      <c r="B636"/>
      <c r="C636"/>
      <c r="D636"/>
      <c r="E636"/>
      <c r="F636" s="27" t="s">
        <v>7</v>
      </c>
      <c r="FI636" s="27" t="s">
        <v>8</v>
      </c>
      <c r="FN636" s="27" t="s">
        <v>7</v>
      </c>
      <c r="FO636" s="27" t="s">
        <v>8</v>
      </c>
      <c r="FT636" s="27" t="s">
        <v>7</v>
      </c>
      <c r="GM636" s="27" t="s">
        <v>8</v>
      </c>
      <c r="GN636" s="27" t="s">
        <v>7</v>
      </c>
      <c r="GO636" s="27" t="s">
        <v>8</v>
      </c>
      <c r="GP636" s="27" t="s">
        <v>7</v>
      </c>
      <c r="HG636" s="27" t="s">
        <v>8</v>
      </c>
      <c r="HH636" s="27" t="s">
        <v>7</v>
      </c>
      <c r="IC636" s="27" t="s">
        <v>8</v>
      </c>
      <c r="ID636" s="27" t="s">
        <v>7</v>
      </c>
      <c r="II636" s="27" t="s">
        <v>8</v>
      </c>
      <c r="IJ636" s="27" t="s">
        <v>7</v>
      </c>
      <c r="IK636" s="27" t="s">
        <v>8</v>
      </c>
      <c r="IL636" s="27" t="s">
        <v>7</v>
      </c>
      <c r="IM636" s="27" t="s">
        <v>8</v>
      </c>
      <c r="KD636" s="27" t="s">
        <v>7</v>
      </c>
      <c r="KE636" s="27" t="s">
        <v>8</v>
      </c>
      <c r="KX636" s="27" t="s">
        <v>7</v>
      </c>
      <c r="KY636" s="27" t="s">
        <v>8</v>
      </c>
      <c r="KZ636" s="27" t="s">
        <v>7</v>
      </c>
      <c r="LA636" s="27" t="s">
        <v>8</v>
      </c>
      <c r="LN636" s="27" t="s">
        <v>7</v>
      </c>
      <c r="LQ636" s="27" t="s">
        <v>8</v>
      </c>
      <c r="LR636" s="27" t="s">
        <v>7</v>
      </c>
      <c r="LS636" s="27" t="s">
        <v>8</v>
      </c>
      <c r="LT636" s="27" t="s">
        <v>7</v>
      </c>
      <c r="LW636" s="27" t="s">
        <v>8</v>
      </c>
      <c r="LX636" s="27" t="s">
        <v>7</v>
      </c>
      <c r="LY636" s="27" t="s">
        <v>8</v>
      </c>
      <c r="LZ636" s="27" t="s">
        <v>7</v>
      </c>
      <c r="MA636" s="27" t="s">
        <v>8</v>
      </c>
      <c r="MB636" s="27" t="s">
        <v>7</v>
      </c>
      <c r="MI636" s="27" t="s">
        <v>8</v>
      </c>
      <c r="MK636" s="27" t="s">
        <v>8</v>
      </c>
      <c r="PL636" s="27" t="s">
        <v>7</v>
      </c>
    </row>
    <row r="637" spans="1:432" x14ac:dyDescent="0.25">
      <c r="A637" s="7">
        <v>0.37152788212696197</v>
      </c>
      <c r="B637"/>
      <c r="C637"/>
      <c r="D637"/>
      <c r="E637"/>
      <c r="F637" s="27" t="s">
        <v>7</v>
      </c>
      <c r="FI637" s="27" t="s">
        <v>8</v>
      </c>
      <c r="FN637" s="27" t="s">
        <v>7</v>
      </c>
      <c r="FO637" s="27" t="s">
        <v>8</v>
      </c>
      <c r="FT637" s="27" t="s">
        <v>7</v>
      </c>
      <c r="GM637" s="27" t="s">
        <v>8</v>
      </c>
      <c r="GN637" s="27" t="s">
        <v>7</v>
      </c>
      <c r="GO637" s="27" t="s">
        <v>8</v>
      </c>
      <c r="GP637" s="27" t="s">
        <v>7</v>
      </c>
      <c r="HG637" s="27" t="s">
        <v>8</v>
      </c>
      <c r="HH637" s="27" t="s">
        <v>7</v>
      </c>
      <c r="HM637" s="27" t="s">
        <v>8</v>
      </c>
      <c r="IC637" s="27" t="s">
        <v>8</v>
      </c>
      <c r="ID637" s="27" t="s">
        <v>7</v>
      </c>
      <c r="IG637" s="27" t="s">
        <v>8</v>
      </c>
      <c r="II637" s="27" t="s">
        <v>8</v>
      </c>
      <c r="IJ637" s="27" t="s">
        <v>7</v>
      </c>
      <c r="IK637" s="27" t="s">
        <v>8</v>
      </c>
      <c r="IL637" s="27" t="s">
        <v>7</v>
      </c>
      <c r="IM637" s="27" t="s">
        <v>8</v>
      </c>
      <c r="KD637" s="27" t="s">
        <v>7</v>
      </c>
      <c r="KE637" s="27" t="s">
        <v>8</v>
      </c>
      <c r="KX637" s="27" t="s">
        <v>7</v>
      </c>
      <c r="KY637" s="27" t="s">
        <v>8</v>
      </c>
      <c r="KZ637" s="27" t="s">
        <v>7</v>
      </c>
      <c r="LA637" s="27" t="s">
        <v>8</v>
      </c>
      <c r="LN637" s="27" t="s">
        <v>7</v>
      </c>
      <c r="LO637" s="27" t="s">
        <v>8</v>
      </c>
      <c r="LQ637" s="27" t="s">
        <v>8</v>
      </c>
      <c r="LR637" s="27" t="s">
        <v>7</v>
      </c>
      <c r="LS637" s="27" t="s">
        <v>8</v>
      </c>
      <c r="LT637" s="27" t="s">
        <v>7</v>
      </c>
      <c r="LU637" s="27" t="s">
        <v>8</v>
      </c>
      <c r="LW637" s="27" t="s">
        <v>8</v>
      </c>
      <c r="LX637" s="27" t="s">
        <v>7</v>
      </c>
      <c r="LY637" s="27" t="s">
        <v>8</v>
      </c>
      <c r="LZ637" s="27" t="s">
        <v>7</v>
      </c>
      <c r="MA637" s="27" t="s">
        <v>8</v>
      </c>
      <c r="MB637" s="27" t="s">
        <v>7</v>
      </c>
      <c r="MI637" s="27" t="s">
        <v>8</v>
      </c>
      <c r="MJ637" s="27" t="s">
        <v>7</v>
      </c>
      <c r="MK637" s="27" t="s">
        <v>8</v>
      </c>
      <c r="PL637" s="27" t="s">
        <v>7</v>
      </c>
    </row>
    <row r="638" spans="1:432" x14ac:dyDescent="0.25">
      <c r="A638" s="7">
        <v>0.36424302169310002</v>
      </c>
      <c r="B638"/>
      <c r="C638"/>
      <c r="D638"/>
      <c r="E638"/>
      <c r="F638" s="27" t="s">
        <v>7</v>
      </c>
      <c r="FI638" s="27" t="s">
        <v>8</v>
      </c>
      <c r="FN638" s="27" t="s">
        <v>7</v>
      </c>
      <c r="FO638" s="27" t="s">
        <v>8</v>
      </c>
      <c r="FT638" s="27" t="s">
        <v>7</v>
      </c>
      <c r="GM638" s="27" t="s">
        <v>8</v>
      </c>
      <c r="GN638" s="27" t="s">
        <v>7</v>
      </c>
      <c r="GO638" s="27" t="s">
        <v>8</v>
      </c>
      <c r="GP638" s="27" t="s">
        <v>7</v>
      </c>
      <c r="HG638" s="27" t="s">
        <v>8</v>
      </c>
      <c r="HH638" s="27" t="s">
        <v>7</v>
      </c>
      <c r="HM638" s="27" t="s">
        <v>8</v>
      </c>
      <c r="HN638" s="27" t="s">
        <v>7</v>
      </c>
      <c r="IC638" s="27" t="s">
        <v>8</v>
      </c>
      <c r="ID638" s="27" t="s">
        <v>7</v>
      </c>
      <c r="IG638" s="27" t="s">
        <v>8</v>
      </c>
      <c r="IH638" s="27" t="s">
        <v>7</v>
      </c>
      <c r="II638" s="27" t="s">
        <v>8</v>
      </c>
      <c r="IJ638" s="27" t="s">
        <v>7</v>
      </c>
      <c r="IK638" s="27" t="s">
        <v>8</v>
      </c>
      <c r="IL638" s="27" t="s">
        <v>7</v>
      </c>
      <c r="IM638" s="27" t="s">
        <v>8</v>
      </c>
      <c r="KD638" s="27" t="s">
        <v>7</v>
      </c>
      <c r="KE638" s="27" t="s">
        <v>8</v>
      </c>
      <c r="KX638" s="27" t="s">
        <v>7</v>
      </c>
      <c r="KY638" s="27" t="s">
        <v>8</v>
      </c>
      <c r="KZ638" s="27" t="s">
        <v>7</v>
      </c>
      <c r="LA638" s="27" t="s">
        <v>8</v>
      </c>
      <c r="LN638" s="27" t="s">
        <v>7</v>
      </c>
      <c r="LO638" s="27" t="s">
        <v>8</v>
      </c>
      <c r="LP638" s="27" t="s">
        <v>7</v>
      </c>
      <c r="LQ638" s="27" t="s">
        <v>8</v>
      </c>
      <c r="LR638" s="27" t="s">
        <v>7</v>
      </c>
      <c r="LS638" s="27" t="s">
        <v>8</v>
      </c>
      <c r="LT638" s="27" t="s">
        <v>7</v>
      </c>
      <c r="LU638" s="27" t="s">
        <v>8</v>
      </c>
      <c r="LV638" s="27" t="s">
        <v>7</v>
      </c>
      <c r="LW638" s="27" t="s">
        <v>8</v>
      </c>
      <c r="LX638" s="27" t="s">
        <v>7</v>
      </c>
      <c r="LY638" s="27" t="s">
        <v>8</v>
      </c>
      <c r="LZ638" s="27" t="s">
        <v>7</v>
      </c>
      <c r="MA638" s="27" t="s">
        <v>8</v>
      </c>
      <c r="MB638" s="27" t="s">
        <v>7</v>
      </c>
      <c r="MI638" s="27" t="s">
        <v>8</v>
      </c>
      <c r="MJ638" s="27" t="s">
        <v>7</v>
      </c>
      <c r="MK638" s="27" t="s">
        <v>8</v>
      </c>
      <c r="PL638" s="27" t="s">
        <v>7</v>
      </c>
      <c r="PO638" s="27" t="s">
        <v>8</v>
      </c>
    </row>
    <row r="639" spans="1:432" x14ac:dyDescent="0.25">
      <c r="A639" s="7">
        <v>0.35710100165990194</v>
      </c>
      <c r="B639"/>
      <c r="C639"/>
      <c r="D639"/>
      <c r="E639"/>
      <c r="F639" s="27" t="s">
        <v>7</v>
      </c>
      <c r="FI639" s="27" t="s">
        <v>8</v>
      </c>
      <c r="FN639" s="27" t="s">
        <v>7</v>
      </c>
      <c r="FT639" s="27" t="s">
        <v>7</v>
      </c>
      <c r="GM639" s="27" t="s">
        <v>8</v>
      </c>
      <c r="GN639" s="27" t="s">
        <v>7</v>
      </c>
      <c r="GO639" s="27" t="s">
        <v>8</v>
      </c>
      <c r="GP639" s="27" t="s">
        <v>7</v>
      </c>
      <c r="GS639" s="27" t="s">
        <v>8</v>
      </c>
      <c r="HG639" s="27" t="s">
        <v>8</v>
      </c>
      <c r="HH639" s="27" t="s">
        <v>7</v>
      </c>
      <c r="HM639" s="27" t="s">
        <v>8</v>
      </c>
      <c r="HN639" s="27" t="s">
        <v>7</v>
      </c>
      <c r="IC639" s="27" t="s">
        <v>8</v>
      </c>
      <c r="ID639" s="27" t="s">
        <v>7</v>
      </c>
      <c r="IG639" s="27" t="s">
        <v>8</v>
      </c>
      <c r="IH639" s="27" t="s">
        <v>7</v>
      </c>
      <c r="II639" s="27" t="s">
        <v>8</v>
      </c>
      <c r="IJ639" s="27" t="s">
        <v>7</v>
      </c>
      <c r="IK639" s="27" t="s">
        <v>8</v>
      </c>
      <c r="IL639" s="27" t="s">
        <v>7</v>
      </c>
      <c r="IM639" s="27" t="s">
        <v>8</v>
      </c>
      <c r="KD639" s="27" t="s">
        <v>7</v>
      </c>
      <c r="KE639" s="27" t="s">
        <v>8</v>
      </c>
      <c r="KX639" s="27" t="s">
        <v>7</v>
      </c>
      <c r="KY639" s="27" t="s">
        <v>8</v>
      </c>
      <c r="KZ639" s="27" t="s">
        <v>7</v>
      </c>
      <c r="LA639" s="27" t="s">
        <v>8</v>
      </c>
      <c r="LN639" s="27" t="s">
        <v>7</v>
      </c>
      <c r="LO639" s="27" t="s">
        <v>8</v>
      </c>
      <c r="LP639" s="27" t="s">
        <v>7</v>
      </c>
      <c r="LQ639" s="27" t="s">
        <v>8</v>
      </c>
      <c r="LR639" s="27" t="s">
        <v>7</v>
      </c>
      <c r="LS639" s="27" t="s">
        <v>8</v>
      </c>
      <c r="LT639" s="27" t="s">
        <v>7</v>
      </c>
      <c r="LU639" s="27" t="s">
        <v>8</v>
      </c>
      <c r="LV639" s="27" t="s">
        <v>7</v>
      </c>
      <c r="LW639" s="27" t="s">
        <v>8</v>
      </c>
      <c r="LX639" s="27" t="s">
        <v>7</v>
      </c>
      <c r="LZ639" s="27" t="s">
        <v>7</v>
      </c>
      <c r="MA639" s="27" t="s">
        <v>8</v>
      </c>
      <c r="MB639" s="27" t="s">
        <v>7</v>
      </c>
      <c r="MI639" s="27" t="s">
        <v>8</v>
      </c>
      <c r="MJ639" s="27" t="s">
        <v>7</v>
      </c>
      <c r="MK639" s="27" t="s">
        <v>8</v>
      </c>
      <c r="PL639" s="27" t="s">
        <v>7</v>
      </c>
      <c r="PO639" s="27" t="s">
        <v>8</v>
      </c>
      <c r="PP639" s="27" t="s">
        <v>7</v>
      </c>
    </row>
    <row r="640" spans="1:432" x14ac:dyDescent="0.25">
      <c r="A640" s="7">
        <v>0.35009902123519804</v>
      </c>
      <c r="B640"/>
      <c r="C640"/>
      <c r="D640"/>
      <c r="E640"/>
      <c r="F640" s="27" t="s">
        <v>7</v>
      </c>
      <c r="FI640" s="27" t="s">
        <v>8</v>
      </c>
      <c r="FT640" s="27" t="s">
        <v>7</v>
      </c>
      <c r="FW640" s="27" t="s">
        <v>8</v>
      </c>
      <c r="FY640" s="27" t="s">
        <v>8</v>
      </c>
      <c r="GM640" s="27" t="s">
        <v>8</v>
      </c>
      <c r="GN640" s="27" t="s">
        <v>7</v>
      </c>
      <c r="GO640" s="27" t="s">
        <v>8</v>
      </c>
      <c r="GP640" s="27" t="s">
        <v>7</v>
      </c>
      <c r="GQ640" s="27" t="s">
        <v>8</v>
      </c>
      <c r="GS640" s="27" t="s">
        <v>8</v>
      </c>
      <c r="GT640" s="27" t="s">
        <v>7</v>
      </c>
      <c r="HA640" s="27" t="s">
        <v>8</v>
      </c>
      <c r="HG640" s="27" t="s">
        <v>8</v>
      </c>
      <c r="HH640" s="27" t="s">
        <v>7</v>
      </c>
      <c r="HM640" s="27" t="s">
        <v>8</v>
      </c>
      <c r="HN640" s="27" t="s">
        <v>7</v>
      </c>
      <c r="IC640" s="27" t="s">
        <v>8</v>
      </c>
      <c r="ID640" s="27" t="s">
        <v>7</v>
      </c>
      <c r="IG640" s="27" t="s">
        <v>8</v>
      </c>
      <c r="IH640" s="27" t="s">
        <v>7</v>
      </c>
      <c r="II640" s="27" t="s">
        <v>8</v>
      </c>
      <c r="IJ640" s="27" t="s">
        <v>7</v>
      </c>
      <c r="IK640" s="27" t="s">
        <v>8</v>
      </c>
      <c r="IL640" s="27" t="s">
        <v>7</v>
      </c>
      <c r="IM640" s="27" t="s">
        <v>8</v>
      </c>
      <c r="KD640" s="27" t="s">
        <v>7</v>
      </c>
      <c r="KE640" s="27" t="s">
        <v>8</v>
      </c>
      <c r="KX640" s="27" t="s">
        <v>7</v>
      </c>
      <c r="KY640" s="27" t="s">
        <v>8</v>
      </c>
      <c r="KZ640" s="27" t="s">
        <v>7</v>
      </c>
      <c r="LA640" s="27" t="s">
        <v>8</v>
      </c>
      <c r="LN640" s="27" t="s">
        <v>7</v>
      </c>
      <c r="LO640" s="27" t="s">
        <v>8</v>
      </c>
      <c r="LP640" s="27" t="s">
        <v>7</v>
      </c>
      <c r="LQ640" s="27" t="s">
        <v>8</v>
      </c>
      <c r="LR640" s="27" t="s">
        <v>7</v>
      </c>
      <c r="LS640" s="27" t="s">
        <v>8</v>
      </c>
      <c r="LT640" s="27" t="s">
        <v>7</v>
      </c>
      <c r="LV640" s="27" t="s">
        <v>7</v>
      </c>
      <c r="LW640" s="27" t="s">
        <v>8</v>
      </c>
      <c r="LZ640" s="27" t="s">
        <v>7</v>
      </c>
      <c r="MA640" s="27" t="s">
        <v>8</v>
      </c>
      <c r="MB640" s="27" t="s">
        <v>7</v>
      </c>
      <c r="MI640" s="27" t="s">
        <v>8</v>
      </c>
      <c r="MJ640" s="27" t="s">
        <v>7</v>
      </c>
      <c r="MK640" s="27" t="s">
        <v>8</v>
      </c>
      <c r="PL640" s="27" t="s">
        <v>7</v>
      </c>
      <c r="PO640" s="27" t="s">
        <v>8</v>
      </c>
      <c r="PP640" s="27" t="s">
        <v>7</v>
      </c>
    </row>
    <row r="641" spans="1:432" x14ac:dyDescent="0.25">
      <c r="A641" s="7">
        <v>0.34323433454431179</v>
      </c>
      <c r="B641"/>
      <c r="C641"/>
      <c r="D641"/>
      <c r="E641"/>
      <c r="F641" s="27" t="s">
        <v>7</v>
      </c>
      <c r="FI641" s="27" t="s">
        <v>8</v>
      </c>
      <c r="FT641" s="27" t="s">
        <v>7</v>
      </c>
      <c r="FU641" s="27" t="s">
        <v>8</v>
      </c>
      <c r="FW641" s="27" t="s">
        <v>8</v>
      </c>
      <c r="FX641" s="27" t="s">
        <v>7</v>
      </c>
      <c r="FY641" s="27" t="s">
        <v>8</v>
      </c>
      <c r="FZ641" s="27" t="s">
        <v>7</v>
      </c>
      <c r="GM641" s="27" t="s">
        <v>8</v>
      </c>
      <c r="GN641" s="27" t="s">
        <v>7</v>
      </c>
      <c r="GO641" s="27" t="s">
        <v>8</v>
      </c>
      <c r="GP641" s="27" t="s">
        <v>7</v>
      </c>
      <c r="GQ641" s="27" t="s">
        <v>8</v>
      </c>
      <c r="GR641" s="27" t="s">
        <v>7</v>
      </c>
      <c r="GS641" s="27" t="s">
        <v>8</v>
      </c>
      <c r="GT641" s="27" t="s">
        <v>7</v>
      </c>
      <c r="GY641" s="27" t="s">
        <v>8</v>
      </c>
      <c r="HA641" s="27" t="s">
        <v>8</v>
      </c>
      <c r="HB641" s="27" t="s">
        <v>7</v>
      </c>
      <c r="HE641" s="27" t="s">
        <v>8</v>
      </c>
      <c r="HG641" s="27" t="s">
        <v>8</v>
      </c>
      <c r="HH641" s="27" t="s">
        <v>7</v>
      </c>
      <c r="HK641" s="27" t="s">
        <v>8</v>
      </c>
      <c r="HM641" s="27" t="s">
        <v>8</v>
      </c>
      <c r="HN641" s="27" t="s">
        <v>7</v>
      </c>
      <c r="HO641" s="27" t="s">
        <v>8</v>
      </c>
      <c r="IC641" s="27" t="s">
        <v>8</v>
      </c>
      <c r="ID641" s="27" t="s">
        <v>7</v>
      </c>
      <c r="IE641" s="27" t="s">
        <v>8</v>
      </c>
      <c r="IG641" s="27" t="s">
        <v>8</v>
      </c>
      <c r="IH641" s="27" t="s">
        <v>7</v>
      </c>
      <c r="II641" s="27" t="s">
        <v>8</v>
      </c>
      <c r="IJ641" s="27" t="s">
        <v>7</v>
      </c>
      <c r="IK641" s="27" t="s">
        <v>8</v>
      </c>
      <c r="IL641" s="27" t="s">
        <v>7</v>
      </c>
      <c r="IM641" s="27" t="s">
        <v>8</v>
      </c>
      <c r="KD641" s="27" t="s">
        <v>7</v>
      </c>
      <c r="KE641" s="27" t="s">
        <v>8</v>
      </c>
      <c r="KX641" s="27" t="s">
        <v>7</v>
      </c>
      <c r="KY641" s="27" t="s">
        <v>8</v>
      </c>
      <c r="KZ641" s="27" t="s">
        <v>7</v>
      </c>
      <c r="LA641" s="27" t="s">
        <v>8</v>
      </c>
      <c r="LN641" s="27" t="s">
        <v>7</v>
      </c>
      <c r="LO641" s="27" t="s">
        <v>8</v>
      </c>
      <c r="LP641" s="27" t="s">
        <v>7</v>
      </c>
      <c r="LQ641" s="27" t="s">
        <v>8</v>
      </c>
      <c r="LR641" s="27" t="s">
        <v>7</v>
      </c>
      <c r="LS641" s="27" t="s">
        <v>8</v>
      </c>
      <c r="LV641" s="27" t="s">
        <v>7</v>
      </c>
      <c r="LW641" s="27" t="s">
        <v>8</v>
      </c>
      <c r="LZ641" s="27" t="s">
        <v>7</v>
      </c>
      <c r="MB641" s="27" t="s">
        <v>7</v>
      </c>
      <c r="MC641" s="27" t="s">
        <v>8</v>
      </c>
      <c r="MG641" s="27" t="s">
        <v>8</v>
      </c>
      <c r="MI641" s="27" t="s">
        <v>8</v>
      </c>
      <c r="MJ641" s="27" t="s">
        <v>7</v>
      </c>
      <c r="MK641" s="27" t="s">
        <v>8</v>
      </c>
      <c r="PL641" s="27" t="s">
        <v>7</v>
      </c>
      <c r="PO641" s="27" t="s">
        <v>8</v>
      </c>
      <c r="PP641" s="27" t="s">
        <v>7</v>
      </c>
    </row>
    <row r="642" spans="1:432" x14ac:dyDescent="0.25">
      <c r="A642" s="7">
        <v>0.33650424955324681</v>
      </c>
      <c r="B642"/>
      <c r="C642"/>
      <c r="D642"/>
      <c r="E642"/>
      <c r="F642" s="27" t="s">
        <v>7</v>
      </c>
      <c r="FI642" s="27" t="s">
        <v>8</v>
      </c>
      <c r="FT642" s="27" t="s">
        <v>7</v>
      </c>
      <c r="FU642" s="27" t="s">
        <v>8</v>
      </c>
      <c r="FV642" s="27" t="s">
        <v>7</v>
      </c>
      <c r="FW642" s="27" t="s">
        <v>8</v>
      </c>
      <c r="FX642" s="27" t="s">
        <v>7</v>
      </c>
      <c r="FY642" s="27" t="s">
        <v>8</v>
      </c>
      <c r="FZ642" s="27" t="s">
        <v>7</v>
      </c>
      <c r="GM642" s="27" t="s">
        <v>8</v>
      </c>
      <c r="GN642" s="27" t="s">
        <v>7</v>
      </c>
      <c r="GP642" s="27" t="s">
        <v>7</v>
      </c>
      <c r="GQ642" s="27" t="s">
        <v>8</v>
      </c>
      <c r="GR642" s="27" t="s">
        <v>7</v>
      </c>
      <c r="GS642" s="27" t="s">
        <v>8</v>
      </c>
      <c r="GT642" s="27" t="s">
        <v>7</v>
      </c>
      <c r="GY642" s="27" t="s">
        <v>8</v>
      </c>
      <c r="GZ642" s="27" t="s">
        <v>7</v>
      </c>
      <c r="HA642" s="27" t="s">
        <v>8</v>
      </c>
      <c r="HB642" s="27" t="s">
        <v>7</v>
      </c>
      <c r="HE642" s="27" t="s">
        <v>8</v>
      </c>
      <c r="HF642" s="27" t="s">
        <v>7</v>
      </c>
      <c r="HG642" s="27" t="s">
        <v>8</v>
      </c>
      <c r="HH642" s="27" t="s">
        <v>7</v>
      </c>
      <c r="HK642" s="27" t="s">
        <v>8</v>
      </c>
      <c r="HL642" s="27" t="s">
        <v>7</v>
      </c>
      <c r="HM642" s="27" t="s">
        <v>8</v>
      </c>
      <c r="HN642" s="27" t="s">
        <v>7</v>
      </c>
      <c r="HO642" s="27" t="s">
        <v>8</v>
      </c>
      <c r="HP642" s="27" t="s">
        <v>7</v>
      </c>
      <c r="IC642" s="27" t="s">
        <v>8</v>
      </c>
      <c r="ID642" s="27" t="s">
        <v>7</v>
      </c>
      <c r="IE642" s="27" t="s">
        <v>8</v>
      </c>
      <c r="IF642" s="27" t="s">
        <v>7</v>
      </c>
      <c r="IG642" s="27" t="s">
        <v>8</v>
      </c>
      <c r="IH642" s="27" t="s">
        <v>7</v>
      </c>
      <c r="II642" s="27" t="s">
        <v>8</v>
      </c>
      <c r="IJ642" s="27" t="s">
        <v>7</v>
      </c>
      <c r="IK642" s="27" t="s">
        <v>8</v>
      </c>
      <c r="IL642" s="27" t="s">
        <v>7</v>
      </c>
      <c r="IM642" s="27" t="s">
        <v>8</v>
      </c>
      <c r="KD642" s="27" t="s">
        <v>7</v>
      </c>
      <c r="KE642" s="27" t="s">
        <v>8</v>
      </c>
      <c r="KX642" s="27" t="s">
        <v>7</v>
      </c>
      <c r="KY642" s="27" t="s">
        <v>8</v>
      </c>
      <c r="KZ642" s="27" t="s">
        <v>7</v>
      </c>
      <c r="LA642" s="27" t="s">
        <v>8</v>
      </c>
      <c r="LN642" s="27" t="s">
        <v>7</v>
      </c>
      <c r="LO642" s="27" t="s">
        <v>8</v>
      </c>
      <c r="LP642" s="27" t="s">
        <v>7</v>
      </c>
      <c r="LQ642" s="27" t="s">
        <v>8</v>
      </c>
      <c r="LR642" s="27" t="s">
        <v>7</v>
      </c>
      <c r="LS642" s="27" t="s">
        <v>8</v>
      </c>
      <c r="LV642" s="27" t="s">
        <v>7</v>
      </c>
      <c r="MB642" s="27" t="s">
        <v>7</v>
      </c>
      <c r="MC642" s="27" t="s">
        <v>8</v>
      </c>
      <c r="MD642" s="27" t="s">
        <v>7</v>
      </c>
      <c r="MG642" s="27" t="s">
        <v>8</v>
      </c>
      <c r="MH642" s="27" t="s">
        <v>7</v>
      </c>
      <c r="MI642" s="27" t="s">
        <v>8</v>
      </c>
      <c r="MJ642" s="27" t="s">
        <v>7</v>
      </c>
      <c r="MK642" s="27" t="s">
        <v>8</v>
      </c>
      <c r="PL642" s="27" t="s">
        <v>7</v>
      </c>
      <c r="PO642" s="27" t="s">
        <v>8</v>
      </c>
      <c r="PP642" s="27" t="s">
        <v>7</v>
      </c>
    </row>
    <row r="643" spans="1:432" x14ac:dyDescent="0.25">
      <c r="A643" s="7">
        <v>0.3299061270129871</v>
      </c>
      <c r="B643"/>
      <c r="C643"/>
      <c r="D643"/>
      <c r="E643"/>
      <c r="F643" s="27" t="s">
        <v>7</v>
      </c>
      <c r="FI643" s="27" t="s">
        <v>8</v>
      </c>
      <c r="FT643" s="27" t="s">
        <v>7</v>
      </c>
      <c r="FU643" s="27" t="s">
        <v>8</v>
      </c>
      <c r="FV643" s="27" t="s">
        <v>7</v>
      </c>
      <c r="FW643" s="27" t="s">
        <v>8</v>
      </c>
      <c r="FX643" s="27" t="s">
        <v>7</v>
      </c>
      <c r="FY643" s="27" t="s">
        <v>8</v>
      </c>
      <c r="FZ643" s="27" t="s">
        <v>7</v>
      </c>
      <c r="GM643" s="27" t="s">
        <v>8</v>
      </c>
      <c r="GP643" s="27" t="s">
        <v>7</v>
      </c>
      <c r="GQ643" s="27" t="s">
        <v>8</v>
      </c>
      <c r="GR643" s="27" t="s">
        <v>7</v>
      </c>
      <c r="GS643" s="27" t="s">
        <v>8</v>
      </c>
      <c r="GT643" s="27" t="s">
        <v>7</v>
      </c>
      <c r="GY643" s="27" t="s">
        <v>8</v>
      </c>
      <c r="GZ643" s="27" t="s">
        <v>7</v>
      </c>
      <c r="HA643" s="27" t="s">
        <v>8</v>
      </c>
      <c r="HB643" s="27" t="s">
        <v>7</v>
      </c>
      <c r="HE643" s="27" t="s">
        <v>8</v>
      </c>
      <c r="HF643" s="27" t="s">
        <v>7</v>
      </c>
      <c r="HG643" s="27" t="s">
        <v>8</v>
      </c>
      <c r="HH643" s="27" t="s">
        <v>7</v>
      </c>
      <c r="HK643" s="27" t="s">
        <v>8</v>
      </c>
      <c r="HL643" s="27" t="s">
        <v>7</v>
      </c>
      <c r="HM643" s="27" t="s">
        <v>8</v>
      </c>
      <c r="HN643" s="27" t="s">
        <v>7</v>
      </c>
      <c r="HO643" s="27" t="s">
        <v>8</v>
      </c>
      <c r="HP643" s="27" t="s">
        <v>7</v>
      </c>
      <c r="IC643" s="27" t="s">
        <v>8</v>
      </c>
      <c r="ID643" s="27" t="s">
        <v>7</v>
      </c>
      <c r="IE643" s="27" t="s">
        <v>8</v>
      </c>
      <c r="IF643" s="27" t="s">
        <v>7</v>
      </c>
      <c r="IG643" s="27" t="s">
        <v>8</v>
      </c>
      <c r="IH643" s="27" t="s">
        <v>7</v>
      </c>
      <c r="II643" s="27" t="s">
        <v>8</v>
      </c>
      <c r="IJ643" s="27" t="s">
        <v>7</v>
      </c>
      <c r="IL643" s="27" t="s">
        <v>7</v>
      </c>
      <c r="IM643" s="27" t="s">
        <v>8</v>
      </c>
      <c r="KD643" s="27" t="s">
        <v>7</v>
      </c>
      <c r="KE643" s="27" t="s">
        <v>8</v>
      </c>
      <c r="KX643" s="27" t="s">
        <v>7</v>
      </c>
      <c r="KY643" s="27" t="s">
        <v>8</v>
      </c>
      <c r="KZ643" s="27" t="s">
        <v>7</v>
      </c>
      <c r="LA643" s="27" t="s">
        <v>8</v>
      </c>
      <c r="LN643" s="27" t="s">
        <v>7</v>
      </c>
      <c r="LO643" s="27" t="s">
        <v>8</v>
      </c>
      <c r="LP643" s="27" t="s">
        <v>7</v>
      </c>
      <c r="LR643" s="27" t="s">
        <v>7</v>
      </c>
      <c r="LS643" s="27" t="s">
        <v>8</v>
      </c>
      <c r="MB643" s="27" t="s">
        <v>7</v>
      </c>
      <c r="MC643" s="27" t="s">
        <v>8</v>
      </c>
      <c r="MD643" s="27" t="s">
        <v>7</v>
      </c>
      <c r="MG643" s="27" t="s">
        <v>8</v>
      </c>
      <c r="MH643" s="27" t="s">
        <v>7</v>
      </c>
      <c r="MI643" s="27" t="s">
        <v>8</v>
      </c>
      <c r="MJ643" s="27" t="s">
        <v>7</v>
      </c>
      <c r="PL643" s="27" t="s">
        <v>7</v>
      </c>
      <c r="PO643" s="27" t="s">
        <v>8</v>
      </c>
      <c r="PP643" s="27" t="s">
        <v>7</v>
      </c>
    </row>
    <row r="644" spans="1:432" x14ac:dyDescent="0.25">
      <c r="A644" s="7">
        <v>0.32343737942449713</v>
      </c>
      <c r="B644"/>
      <c r="C644"/>
      <c r="D644"/>
      <c r="E644"/>
      <c r="F644" s="27" t="s">
        <v>7</v>
      </c>
      <c r="FI644" s="27" t="s">
        <v>8</v>
      </c>
      <c r="FT644" s="27" t="s">
        <v>7</v>
      </c>
      <c r="FU644" s="27" t="s">
        <v>8</v>
      </c>
      <c r="FV644" s="27" t="s">
        <v>7</v>
      </c>
      <c r="FW644" s="27" t="s">
        <v>8</v>
      </c>
      <c r="FX644" s="27" t="s">
        <v>7</v>
      </c>
      <c r="FY644" s="27" t="s">
        <v>8</v>
      </c>
      <c r="FZ644" s="27" t="s">
        <v>7</v>
      </c>
      <c r="GM644" s="27" t="s">
        <v>8</v>
      </c>
      <c r="GP644" s="27" t="s">
        <v>7</v>
      </c>
      <c r="GQ644" s="27" t="s">
        <v>8</v>
      </c>
      <c r="GR644" s="27" t="s">
        <v>7</v>
      </c>
      <c r="GS644" s="27" t="s">
        <v>8</v>
      </c>
      <c r="GT644" s="27" t="s">
        <v>7</v>
      </c>
      <c r="GY644" s="27" t="s">
        <v>8</v>
      </c>
      <c r="GZ644" s="27" t="s">
        <v>7</v>
      </c>
      <c r="HA644" s="27" t="s">
        <v>8</v>
      </c>
      <c r="HB644" s="27" t="s">
        <v>7</v>
      </c>
      <c r="HC644" s="27" t="s">
        <v>8</v>
      </c>
      <c r="HE644" s="27" t="s">
        <v>8</v>
      </c>
      <c r="HF644" s="27" t="s">
        <v>7</v>
      </c>
      <c r="HG644" s="27" t="s">
        <v>8</v>
      </c>
      <c r="HH644" s="27" t="s">
        <v>7</v>
      </c>
      <c r="HI644" s="27" t="s">
        <v>8</v>
      </c>
      <c r="HK644" s="27" t="s">
        <v>8</v>
      </c>
      <c r="HL644" s="27" t="s">
        <v>7</v>
      </c>
      <c r="HM644" s="27" t="s">
        <v>8</v>
      </c>
      <c r="HN644" s="27" t="s">
        <v>7</v>
      </c>
      <c r="HO644" s="27" t="s">
        <v>8</v>
      </c>
      <c r="HP644" s="27" t="s">
        <v>7</v>
      </c>
      <c r="IC644" s="27" t="s">
        <v>8</v>
      </c>
      <c r="ID644" s="27" t="s">
        <v>7</v>
      </c>
      <c r="IE644" s="27" t="s">
        <v>8</v>
      </c>
      <c r="IF644" s="27" t="s">
        <v>7</v>
      </c>
      <c r="IG644" s="27" t="s">
        <v>8</v>
      </c>
      <c r="IH644" s="27" t="s">
        <v>7</v>
      </c>
      <c r="II644" s="27" t="s">
        <v>8</v>
      </c>
      <c r="IL644" s="27" t="s">
        <v>7</v>
      </c>
      <c r="IM644" s="27" t="s">
        <v>8</v>
      </c>
      <c r="KD644" s="27" t="s">
        <v>7</v>
      </c>
      <c r="KE644" s="27" t="s">
        <v>8</v>
      </c>
      <c r="KX644" s="27" t="s">
        <v>7</v>
      </c>
      <c r="KY644" s="27" t="s">
        <v>8</v>
      </c>
      <c r="KZ644" s="27" t="s">
        <v>7</v>
      </c>
      <c r="LA644" s="27" t="s">
        <v>8</v>
      </c>
      <c r="LN644" s="27" t="s">
        <v>7</v>
      </c>
      <c r="LO644" s="27" t="s">
        <v>8</v>
      </c>
      <c r="LR644" s="27" t="s">
        <v>7</v>
      </c>
      <c r="LS644" s="27" t="s">
        <v>8</v>
      </c>
      <c r="MB644" s="27" t="s">
        <v>7</v>
      </c>
      <c r="MC644" s="27" t="s">
        <v>8</v>
      </c>
      <c r="MD644" s="27" t="s">
        <v>7</v>
      </c>
      <c r="ME644" s="27" t="s">
        <v>8</v>
      </c>
      <c r="MG644" s="27" t="s">
        <v>8</v>
      </c>
      <c r="MH644" s="27" t="s">
        <v>7</v>
      </c>
      <c r="PL644" s="27" t="s">
        <v>7</v>
      </c>
      <c r="PO644" s="27" t="s">
        <v>8</v>
      </c>
      <c r="PP644" s="27" t="s">
        <v>7</v>
      </c>
    </row>
    <row r="645" spans="1:432" x14ac:dyDescent="0.25">
      <c r="A645" s="7">
        <v>0.31709547002401678</v>
      </c>
      <c r="B645"/>
      <c r="C645"/>
      <c r="D645"/>
      <c r="E645"/>
      <c r="F645" s="27" t="s">
        <v>7</v>
      </c>
      <c r="FG645" s="27" t="s">
        <v>8</v>
      </c>
      <c r="FI645" s="27" t="s">
        <v>8</v>
      </c>
      <c r="FT645" s="27" t="s">
        <v>7</v>
      </c>
      <c r="FU645" s="27" t="s">
        <v>8</v>
      </c>
      <c r="FV645" s="27" t="s">
        <v>7</v>
      </c>
      <c r="FW645" s="27" t="s">
        <v>8</v>
      </c>
      <c r="FX645" s="27" t="s">
        <v>7</v>
      </c>
      <c r="FY645" s="27" t="s">
        <v>8</v>
      </c>
      <c r="FZ645" s="27" t="s">
        <v>7</v>
      </c>
      <c r="GM645" s="27" t="s">
        <v>8</v>
      </c>
      <c r="GP645" s="27" t="s">
        <v>7</v>
      </c>
      <c r="GR645" s="27" t="s">
        <v>7</v>
      </c>
      <c r="GS645" s="27" t="s">
        <v>8</v>
      </c>
      <c r="GT645" s="27" t="s">
        <v>7</v>
      </c>
      <c r="GY645" s="27" t="s">
        <v>8</v>
      </c>
      <c r="GZ645" s="27" t="s">
        <v>7</v>
      </c>
      <c r="HA645" s="27" t="s">
        <v>8</v>
      </c>
      <c r="HB645" s="27" t="s">
        <v>7</v>
      </c>
      <c r="HC645" s="27" t="s">
        <v>8</v>
      </c>
      <c r="HD645" s="27" t="s">
        <v>7</v>
      </c>
      <c r="HE645" s="27" t="s">
        <v>8</v>
      </c>
      <c r="HF645" s="27" t="s">
        <v>7</v>
      </c>
      <c r="HG645" s="27" t="s">
        <v>8</v>
      </c>
      <c r="HH645" s="27" t="s">
        <v>7</v>
      </c>
      <c r="HI645" s="27" t="s">
        <v>8</v>
      </c>
      <c r="HJ645" s="27" t="s">
        <v>7</v>
      </c>
      <c r="HK645" s="27" t="s">
        <v>8</v>
      </c>
      <c r="HL645" s="27" t="s">
        <v>7</v>
      </c>
      <c r="HM645" s="27" t="s">
        <v>8</v>
      </c>
      <c r="HN645" s="27" t="s">
        <v>7</v>
      </c>
      <c r="HP645" s="27" t="s">
        <v>7</v>
      </c>
      <c r="IC645" s="27" t="s">
        <v>8</v>
      </c>
      <c r="ID645" s="27" t="s">
        <v>7</v>
      </c>
      <c r="IE645" s="27" t="s">
        <v>8</v>
      </c>
      <c r="IF645" s="27" t="s">
        <v>7</v>
      </c>
      <c r="IG645" s="27" t="s">
        <v>8</v>
      </c>
      <c r="IH645" s="27" t="s">
        <v>7</v>
      </c>
      <c r="IL645" s="27" t="s">
        <v>7</v>
      </c>
      <c r="IM645" s="27" t="s">
        <v>8</v>
      </c>
      <c r="KD645" s="27" t="s">
        <v>7</v>
      </c>
      <c r="KE645" s="27" t="s">
        <v>8</v>
      </c>
      <c r="KX645" s="27" t="s">
        <v>7</v>
      </c>
      <c r="KZ645" s="27" t="s">
        <v>7</v>
      </c>
      <c r="LA645" s="27" t="s">
        <v>8</v>
      </c>
      <c r="LN645" s="27" t="s">
        <v>7</v>
      </c>
      <c r="LO645" s="27" t="s">
        <v>8</v>
      </c>
      <c r="LR645" s="27" t="s">
        <v>7</v>
      </c>
      <c r="MB645" s="27" t="s">
        <v>7</v>
      </c>
      <c r="MD645" s="27" t="s">
        <v>7</v>
      </c>
      <c r="ME645" s="27" t="s">
        <v>8</v>
      </c>
      <c r="MF645" s="27" t="s">
        <v>7</v>
      </c>
      <c r="MG645" s="27" t="s">
        <v>8</v>
      </c>
      <c r="PL645" s="27" t="s">
        <v>7</v>
      </c>
      <c r="PO645" s="27" t="s">
        <v>8</v>
      </c>
    </row>
    <row r="646" spans="1:432" x14ac:dyDescent="0.25">
      <c r="A646" s="7">
        <v>0.31087791178825175</v>
      </c>
      <c r="B646"/>
      <c r="C646"/>
      <c r="D646"/>
      <c r="E646"/>
      <c r="F646" s="27" t="s">
        <v>7</v>
      </c>
      <c r="FG646" s="27" t="s">
        <v>8</v>
      </c>
      <c r="FH646" s="27" t="s">
        <v>7</v>
      </c>
      <c r="FI646" s="27" t="s">
        <v>8</v>
      </c>
      <c r="FT646" s="27" t="s">
        <v>7</v>
      </c>
      <c r="FU646" s="27" t="s">
        <v>8</v>
      </c>
      <c r="FV646" s="27" t="s">
        <v>7</v>
      </c>
      <c r="FW646" s="27" t="s">
        <v>8</v>
      </c>
      <c r="FX646" s="27" t="s">
        <v>7</v>
      </c>
      <c r="FY646" s="27" t="s">
        <v>8</v>
      </c>
      <c r="FZ646" s="27" t="s">
        <v>7</v>
      </c>
      <c r="GM646" s="27" t="s">
        <v>8</v>
      </c>
      <c r="GR646" s="27" t="s">
        <v>7</v>
      </c>
      <c r="GS646" s="27" t="s">
        <v>8</v>
      </c>
      <c r="GT646" s="27" t="s">
        <v>7</v>
      </c>
      <c r="GU646" s="27" t="s">
        <v>8</v>
      </c>
      <c r="GY646" s="27" t="s">
        <v>8</v>
      </c>
      <c r="GZ646" s="27" t="s">
        <v>7</v>
      </c>
      <c r="HA646" s="27" t="s">
        <v>8</v>
      </c>
      <c r="HB646" s="27" t="s">
        <v>7</v>
      </c>
      <c r="HC646" s="27" t="s">
        <v>8</v>
      </c>
      <c r="HD646" s="27" t="s">
        <v>7</v>
      </c>
      <c r="HE646" s="27" t="s">
        <v>8</v>
      </c>
      <c r="HF646" s="27" t="s">
        <v>7</v>
      </c>
      <c r="HG646" s="27" t="s">
        <v>8</v>
      </c>
      <c r="HH646" s="27" t="s">
        <v>7</v>
      </c>
      <c r="HI646" s="27" t="s">
        <v>8</v>
      </c>
      <c r="HJ646" s="27" t="s">
        <v>7</v>
      </c>
      <c r="HK646" s="27" t="s">
        <v>8</v>
      </c>
      <c r="HL646" s="27" t="s">
        <v>7</v>
      </c>
      <c r="HP646" s="27" t="s">
        <v>7</v>
      </c>
      <c r="HU646" s="27" t="s">
        <v>8</v>
      </c>
      <c r="IC646" s="27" t="s">
        <v>8</v>
      </c>
      <c r="ID646" s="27" t="s">
        <v>7</v>
      </c>
      <c r="IE646" s="27" t="s">
        <v>8</v>
      </c>
      <c r="IF646" s="27" t="s">
        <v>7</v>
      </c>
      <c r="IG646" s="27" t="s">
        <v>8</v>
      </c>
      <c r="IL646" s="27" t="s">
        <v>7</v>
      </c>
      <c r="KD646" s="27" t="s">
        <v>7</v>
      </c>
      <c r="KE646" s="27" t="s">
        <v>8</v>
      </c>
      <c r="KZ646" s="27" t="s">
        <v>7</v>
      </c>
      <c r="LA646" s="27" t="s">
        <v>8</v>
      </c>
      <c r="LN646" s="27" t="s">
        <v>7</v>
      </c>
      <c r="LO646" s="27" t="s">
        <v>8</v>
      </c>
      <c r="MD646" s="27" t="s">
        <v>7</v>
      </c>
      <c r="ME646" s="27" t="s">
        <v>8</v>
      </c>
      <c r="MF646" s="27" t="s">
        <v>7</v>
      </c>
      <c r="MG646" s="27" t="s">
        <v>8</v>
      </c>
      <c r="PL646" s="27" t="s">
        <v>7</v>
      </c>
      <c r="PM646" s="27" t="s">
        <v>8</v>
      </c>
      <c r="PO646" s="27" t="s">
        <v>8</v>
      </c>
    </row>
    <row r="647" spans="1:432" x14ac:dyDescent="0.25">
      <c r="A647" s="7">
        <v>0.30478226645907036</v>
      </c>
      <c r="B647"/>
      <c r="C647"/>
      <c r="D647"/>
      <c r="E647"/>
      <c r="F647" s="27" t="s">
        <v>7</v>
      </c>
      <c r="FG647" s="27" t="s">
        <v>8</v>
      </c>
      <c r="FH647" s="27" t="s">
        <v>7</v>
      </c>
      <c r="FI647" s="27" t="s">
        <v>8</v>
      </c>
      <c r="FT647" s="27" t="s">
        <v>7</v>
      </c>
      <c r="FU647" s="27" t="s">
        <v>8</v>
      </c>
      <c r="FV647" s="27" t="s">
        <v>7</v>
      </c>
      <c r="FW647" s="27" t="s">
        <v>8</v>
      </c>
      <c r="FX647" s="27" t="s">
        <v>7</v>
      </c>
      <c r="FY647" s="27" t="s">
        <v>8</v>
      </c>
      <c r="FZ647" s="27" t="s">
        <v>7</v>
      </c>
      <c r="GM647" s="27" t="s">
        <v>8</v>
      </c>
      <c r="GR647" s="27" t="s">
        <v>7</v>
      </c>
      <c r="GS647" s="27" t="s">
        <v>8</v>
      </c>
      <c r="GT647" s="27" t="s">
        <v>7</v>
      </c>
      <c r="GU647" s="27" t="s">
        <v>8</v>
      </c>
      <c r="GV647" s="27" t="s">
        <v>7</v>
      </c>
      <c r="GY647" s="27" t="s">
        <v>8</v>
      </c>
      <c r="GZ647" s="27" t="s">
        <v>7</v>
      </c>
      <c r="HA647" s="27" t="s">
        <v>8</v>
      </c>
      <c r="HB647" s="27" t="s">
        <v>7</v>
      </c>
      <c r="HC647" s="27" t="s">
        <v>8</v>
      </c>
      <c r="HD647" s="27" t="s">
        <v>7</v>
      </c>
      <c r="HE647" s="27" t="s">
        <v>8</v>
      </c>
      <c r="HF647" s="27" t="s">
        <v>7</v>
      </c>
      <c r="HH647" s="27" t="s">
        <v>7</v>
      </c>
      <c r="HI647" s="27" t="s">
        <v>8</v>
      </c>
      <c r="HJ647" s="27" t="s">
        <v>7</v>
      </c>
      <c r="HP647" s="27" t="s">
        <v>7</v>
      </c>
      <c r="HU647" s="27" t="s">
        <v>8</v>
      </c>
      <c r="HV647" s="27" t="s">
        <v>7</v>
      </c>
      <c r="HW647" s="27" t="s">
        <v>8</v>
      </c>
      <c r="IC647" s="27" t="s">
        <v>8</v>
      </c>
      <c r="ID647" s="27" t="s">
        <v>7</v>
      </c>
      <c r="IF647" s="27" t="s">
        <v>7</v>
      </c>
      <c r="KD647" s="27" t="s">
        <v>7</v>
      </c>
      <c r="KE647" s="27" t="s">
        <v>8</v>
      </c>
      <c r="KZ647" s="27" t="s">
        <v>7</v>
      </c>
      <c r="LA647" s="27" t="s">
        <v>8</v>
      </c>
      <c r="LN647" s="27" t="s">
        <v>7</v>
      </c>
      <c r="LO647" s="27" t="s">
        <v>8</v>
      </c>
      <c r="MD647" s="27" t="s">
        <v>7</v>
      </c>
      <c r="ME647" s="27" t="s">
        <v>8</v>
      </c>
      <c r="MF647" s="27" t="s">
        <v>7</v>
      </c>
      <c r="MG647" s="27" t="s">
        <v>8</v>
      </c>
      <c r="PL647" s="27" t="s">
        <v>7</v>
      </c>
      <c r="PM647" s="27" t="s">
        <v>8</v>
      </c>
      <c r="PN647" s="27" t="s">
        <v>7</v>
      </c>
      <c r="PO647" s="27" t="s">
        <v>8</v>
      </c>
    </row>
    <row r="648" spans="1:432" x14ac:dyDescent="0.25">
      <c r="A648" s="7">
        <v>0.29880614358732388</v>
      </c>
      <c r="B648"/>
      <c r="C648"/>
      <c r="D648"/>
      <c r="E648"/>
      <c r="F648" s="27" t="s">
        <v>7</v>
      </c>
      <c r="FG648" s="27" t="s">
        <v>8</v>
      </c>
      <c r="FH648" s="27" t="s">
        <v>7</v>
      </c>
      <c r="FI648" s="27" t="s">
        <v>8</v>
      </c>
      <c r="FT648" s="27" t="s">
        <v>7</v>
      </c>
      <c r="FU648" s="27" t="s">
        <v>8</v>
      </c>
      <c r="FV648" s="27" t="s">
        <v>7</v>
      </c>
      <c r="FW648" s="27" t="s">
        <v>8</v>
      </c>
      <c r="FX648" s="27" t="s">
        <v>7</v>
      </c>
      <c r="FZ648" s="27" t="s">
        <v>7</v>
      </c>
      <c r="GM648" s="27" t="s">
        <v>8</v>
      </c>
      <c r="GR648" s="27" t="s">
        <v>7</v>
      </c>
      <c r="GS648" s="27" t="s">
        <v>8</v>
      </c>
      <c r="GT648" s="27" t="s">
        <v>7</v>
      </c>
      <c r="GU648" s="27" t="s">
        <v>8</v>
      </c>
      <c r="GV648" s="27" t="s">
        <v>7</v>
      </c>
      <c r="GY648" s="27" t="s">
        <v>8</v>
      </c>
      <c r="GZ648" s="27" t="s">
        <v>7</v>
      </c>
      <c r="HA648" s="27" t="s">
        <v>8</v>
      </c>
      <c r="HB648" s="27" t="s">
        <v>7</v>
      </c>
      <c r="HC648" s="27" t="s">
        <v>8</v>
      </c>
      <c r="HD648" s="27" t="s">
        <v>7</v>
      </c>
      <c r="HH648" s="27" t="s">
        <v>7</v>
      </c>
      <c r="HI648" s="27" t="s">
        <v>8</v>
      </c>
      <c r="HP648" s="27" t="s">
        <v>7</v>
      </c>
      <c r="HS648" s="27" t="s">
        <v>8</v>
      </c>
      <c r="HU648" s="27" t="s">
        <v>8</v>
      </c>
      <c r="HV648" s="27" t="s">
        <v>7</v>
      </c>
      <c r="HW648" s="27" t="s">
        <v>8</v>
      </c>
      <c r="HX648" s="27" t="s">
        <v>7</v>
      </c>
      <c r="IC648" s="27" t="s">
        <v>8</v>
      </c>
      <c r="KD648" s="27" t="s">
        <v>7</v>
      </c>
      <c r="KE648" s="27" t="s">
        <v>8</v>
      </c>
      <c r="KZ648" s="27" t="s">
        <v>7</v>
      </c>
      <c r="LA648" s="27" t="s">
        <v>8</v>
      </c>
      <c r="LN648" s="27" t="s">
        <v>7</v>
      </c>
      <c r="LO648" s="27" t="s">
        <v>8</v>
      </c>
      <c r="MD648" s="27" t="s">
        <v>7</v>
      </c>
      <c r="MF648" s="27" t="s">
        <v>7</v>
      </c>
      <c r="MG648" s="27" t="s">
        <v>8</v>
      </c>
      <c r="PL648" s="27" t="s">
        <v>7</v>
      </c>
      <c r="PM648" s="27" t="s">
        <v>8</v>
      </c>
      <c r="PN648" s="27" t="s">
        <v>7</v>
      </c>
      <c r="PO648" s="27" t="s">
        <v>8</v>
      </c>
    </row>
    <row r="649" spans="1:432" x14ac:dyDescent="0.25">
      <c r="A649" s="7">
        <v>0.2929471995954156</v>
      </c>
      <c r="B649"/>
      <c r="C649"/>
      <c r="D649"/>
      <c r="E649"/>
      <c r="F649" s="27" t="s">
        <v>7</v>
      </c>
      <c r="FE649" s="27" t="s">
        <v>8</v>
      </c>
      <c r="FG649" s="27" t="s">
        <v>8</v>
      </c>
      <c r="FH649" s="27" t="s">
        <v>7</v>
      </c>
      <c r="FI649" s="27" t="s">
        <v>8</v>
      </c>
      <c r="FT649" s="27" t="s">
        <v>7</v>
      </c>
      <c r="FU649" s="27" t="s">
        <v>8</v>
      </c>
      <c r="FV649" s="27" t="s">
        <v>7</v>
      </c>
      <c r="FW649" s="27" t="s">
        <v>8</v>
      </c>
      <c r="FZ649" s="27" t="s">
        <v>7</v>
      </c>
      <c r="GG649" s="27" t="s">
        <v>8</v>
      </c>
      <c r="GM649" s="27" t="s">
        <v>8</v>
      </c>
      <c r="GR649" s="27" t="s">
        <v>7</v>
      </c>
      <c r="GS649" s="27" t="s">
        <v>8</v>
      </c>
      <c r="GT649" s="27" t="s">
        <v>7</v>
      </c>
      <c r="GU649" s="27" t="s">
        <v>8</v>
      </c>
      <c r="GV649" s="27" t="s">
        <v>7</v>
      </c>
      <c r="GY649" s="27" t="s">
        <v>8</v>
      </c>
      <c r="GZ649" s="27" t="s">
        <v>7</v>
      </c>
      <c r="HA649" s="27" t="s">
        <v>8</v>
      </c>
      <c r="HB649" s="27" t="s">
        <v>7</v>
      </c>
      <c r="HH649" s="27" t="s">
        <v>7</v>
      </c>
      <c r="HI649" s="27" t="s">
        <v>8</v>
      </c>
      <c r="HP649" s="27" t="s">
        <v>7</v>
      </c>
      <c r="HQ649" s="27" t="s">
        <v>8</v>
      </c>
      <c r="HS649" s="27" t="s">
        <v>8</v>
      </c>
      <c r="HT649" s="27" t="s">
        <v>7</v>
      </c>
      <c r="HU649" s="27" t="s">
        <v>8</v>
      </c>
      <c r="HV649" s="27" t="s">
        <v>7</v>
      </c>
      <c r="HW649" s="27" t="s">
        <v>8</v>
      </c>
      <c r="HX649" s="27" t="s">
        <v>7</v>
      </c>
      <c r="HY649" s="27" t="s">
        <v>8</v>
      </c>
      <c r="IC649" s="27" t="s">
        <v>8</v>
      </c>
      <c r="KD649" s="27" t="s">
        <v>7</v>
      </c>
      <c r="KE649" s="27" t="s">
        <v>8</v>
      </c>
      <c r="KZ649" s="27" t="s">
        <v>7</v>
      </c>
      <c r="LA649" s="27" t="s">
        <v>8</v>
      </c>
      <c r="LN649" s="27" t="s">
        <v>7</v>
      </c>
      <c r="LO649" s="27" t="s">
        <v>8</v>
      </c>
      <c r="MF649" s="27" t="s">
        <v>7</v>
      </c>
      <c r="MG649" s="27" t="s">
        <v>8</v>
      </c>
      <c r="PL649" s="27" t="s">
        <v>7</v>
      </c>
      <c r="PM649" s="27" t="s">
        <v>8</v>
      </c>
      <c r="PN649" s="27" t="s">
        <v>7</v>
      </c>
      <c r="PO649" s="27" t="s">
        <v>8</v>
      </c>
    </row>
    <row r="650" spans="1:432" x14ac:dyDescent="0.25">
      <c r="A650" s="7">
        <v>0.28720313685825055</v>
      </c>
      <c r="B650"/>
      <c r="C650"/>
      <c r="D650"/>
      <c r="E650"/>
      <c r="F650" s="27" t="s">
        <v>7</v>
      </c>
      <c r="FE650" s="27" t="s">
        <v>8</v>
      </c>
      <c r="FF650" s="27" t="s">
        <v>7</v>
      </c>
      <c r="FG650" s="27" t="s">
        <v>8</v>
      </c>
      <c r="FH650" s="27" t="s">
        <v>7</v>
      </c>
      <c r="FI650" s="27" t="s">
        <v>8</v>
      </c>
      <c r="FT650" s="27" t="s">
        <v>7</v>
      </c>
      <c r="FU650" s="27" t="s">
        <v>8</v>
      </c>
      <c r="FV650" s="27" t="s">
        <v>7</v>
      </c>
      <c r="FW650" s="27" t="s">
        <v>8</v>
      </c>
      <c r="FZ650" s="27" t="s">
        <v>7</v>
      </c>
      <c r="GG650" s="27" t="s">
        <v>8</v>
      </c>
      <c r="GH650" s="27" t="s">
        <v>7</v>
      </c>
      <c r="GK650" s="27" t="s">
        <v>8</v>
      </c>
      <c r="GM650" s="27" t="s">
        <v>8</v>
      </c>
      <c r="GR650" s="27" t="s">
        <v>7</v>
      </c>
      <c r="GS650" s="27" t="s">
        <v>8</v>
      </c>
      <c r="GT650" s="27" t="s">
        <v>7</v>
      </c>
      <c r="GV650" s="27" t="s">
        <v>7</v>
      </c>
      <c r="GW650" s="27" t="s">
        <v>8</v>
      </c>
      <c r="GY650" s="27" t="s">
        <v>8</v>
      </c>
      <c r="GZ650" s="27" t="s">
        <v>7</v>
      </c>
      <c r="HA650" s="27" t="s">
        <v>8</v>
      </c>
      <c r="HH650" s="27" t="s">
        <v>7</v>
      </c>
      <c r="HP650" s="27" t="s">
        <v>7</v>
      </c>
      <c r="HQ650" s="27" t="s">
        <v>8</v>
      </c>
      <c r="HR650" s="27" t="s">
        <v>7</v>
      </c>
      <c r="HS650" s="27" t="s">
        <v>8</v>
      </c>
      <c r="HT650" s="27" t="s">
        <v>7</v>
      </c>
      <c r="HU650" s="27" t="s">
        <v>8</v>
      </c>
      <c r="HV650" s="27" t="s">
        <v>7</v>
      </c>
      <c r="HX650" s="27" t="s">
        <v>7</v>
      </c>
      <c r="HY650" s="27" t="s">
        <v>8</v>
      </c>
      <c r="HZ650" s="27" t="s">
        <v>7</v>
      </c>
      <c r="IC650" s="27" t="s">
        <v>8</v>
      </c>
      <c r="KD650" s="27" t="s">
        <v>7</v>
      </c>
      <c r="KE650" s="27" t="s">
        <v>8</v>
      </c>
      <c r="KZ650" s="27" t="s">
        <v>7</v>
      </c>
      <c r="LN650" s="27" t="s">
        <v>7</v>
      </c>
      <c r="LO650" s="27" t="s">
        <v>8</v>
      </c>
      <c r="MF650" s="18" t="s">
        <v>7</v>
      </c>
      <c r="MG650" s="27" t="s">
        <v>8</v>
      </c>
      <c r="PL650" s="27" t="s">
        <v>7</v>
      </c>
      <c r="PM650" s="27" t="s">
        <v>8</v>
      </c>
      <c r="PN650" s="27" t="s">
        <v>7</v>
      </c>
      <c r="PO650" s="27" t="s">
        <v>8</v>
      </c>
    </row>
    <row r="651" spans="1:432" x14ac:dyDescent="0.25">
      <c r="A651" s="7">
        <v>0.28157170280220645</v>
      </c>
      <c r="B651"/>
      <c r="C651"/>
      <c r="D651"/>
      <c r="E651"/>
      <c r="F651" s="27" t="s">
        <v>7</v>
      </c>
      <c r="FE651" s="27" t="s">
        <v>8</v>
      </c>
      <c r="FF651" s="27" t="s">
        <v>7</v>
      </c>
      <c r="FG651" s="27" t="s">
        <v>8</v>
      </c>
      <c r="FH651" s="27" t="s">
        <v>7</v>
      </c>
      <c r="FI651" s="27" t="s">
        <v>8</v>
      </c>
      <c r="FT651" s="27" t="s">
        <v>7</v>
      </c>
      <c r="FU651" s="27" t="s">
        <v>8</v>
      </c>
      <c r="FV651" s="27" t="s">
        <v>7</v>
      </c>
      <c r="FW651" s="27" t="s">
        <v>8</v>
      </c>
      <c r="FZ651" s="27" t="s">
        <v>7</v>
      </c>
      <c r="GG651" s="27" t="s">
        <v>8</v>
      </c>
      <c r="GH651" s="27" t="s">
        <v>7</v>
      </c>
      <c r="GI651" s="27" t="s">
        <v>8</v>
      </c>
      <c r="GK651" s="27" t="s">
        <v>8</v>
      </c>
      <c r="GL651" s="27" t="s">
        <v>7</v>
      </c>
      <c r="GM651" s="27" t="s">
        <v>8</v>
      </c>
      <c r="GR651" s="27" t="s">
        <v>7</v>
      </c>
      <c r="GS651" s="27" t="s">
        <v>8</v>
      </c>
      <c r="GV651" s="27" t="s">
        <v>7</v>
      </c>
      <c r="GW651" s="27" t="s">
        <v>8</v>
      </c>
      <c r="GX651" s="27" t="s">
        <v>7</v>
      </c>
      <c r="GY651" s="27" t="s">
        <v>8</v>
      </c>
      <c r="GZ651" s="27" t="s">
        <v>7</v>
      </c>
      <c r="HP651" s="27" t="s">
        <v>7</v>
      </c>
      <c r="HQ651" s="27" t="s">
        <v>8</v>
      </c>
      <c r="HR651" s="27" t="s">
        <v>7</v>
      </c>
      <c r="HS651" s="27" t="s">
        <v>8</v>
      </c>
      <c r="HT651" s="27" t="s">
        <v>7</v>
      </c>
      <c r="HX651" s="27" t="s">
        <v>7</v>
      </c>
      <c r="HY651" s="27" t="s">
        <v>8</v>
      </c>
      <c r="HZ651" s="27" t="s">
        <v>7</v>
      </c>
      <c r="IC651" s="27" t="s">
        <v>8</v>
      </c>
      <c r="KD651" s="27" t="s">
        <v>7</v>
      </c>
      <c r="KE651" s="27" t="s">
        <v>8</v>
      </c>
      <c r="LN651" s="27" t="s">
        <v>7</v>
      </c>
      <c r="MF651" s="27" t="s">
        <v>7</v>
      </c>
      <c r="MG651" s="27" t="s">
        <v>8</v>
      </c>
      <c r="PL651" s="27" t="s">
        <v>7</v>
      </c>
      <c r="PM651" s="27" t="s">
        <v>8</v>
      </c>
      <c r="PN651" s="27" t="s">
        <v>7</v>
      </c>
      <c r="PO651" s="27" t="s">
        <v>8</v>
      </c>
    </row>
    <row r="652" spans="1:432" x14ac:dyDescent="0.25">
      <c r="A652" s="7">
        <v>0.27605068902177105</v>
      </c>
      <c r="B652"/>
      <c r="C652"/>
      <c r="D652"/>
      <c r="E652"/>
      <c r="F652" s="27" t="s">
        <v>7</v>
      </c>
      <c r="FE652" s="27" t="s">
        <v>8</v>
      </c>
      <c r="FF652" s="27" t="s">
        <v>7</v>
      </c>
      <c r="FG652" s="27" t="s">
        <v>8</v>
      </c>
      <c r="FH652" s="27" t="s">
        <v>7</v>
      </c>
      <c r="FI652" s="27" t="s">
        <v>8</v>
      </c>
      <c r="FT652" s="27" t="s">
        <v>7</v>
      </c>
      <c r="FU652" s="27" t="s">
        <v>8</v>
      </c>
      <c r="FV652" s="27" t="s">
        <v>7</v>
      </c>
      <c r="FW652" s="27" t="s">
        <v>8</v>
      </c>
      <c r="FZ652" s="27" t="s">
        <v>7</v>
      </c>
      <c r="GG652" s="27" t="s">
        <v>8</v>
      </c>
      <c r="GH652" s="27" t="s">
        <v>7</v>
      </c>
      <c r="GI652" s="27" t="s">
        <v>8</v>
      </c>
      <c r="GJ652" s="27" t="s">
        <v>7</v>
      </c>
      <c r="GK652" s="27" t="s">
        <v>8</v>
      </c>
      <c r="GL652" s="27" t="s">
        <v>7</v>
      </c>
      <c r="GM652" s="27" t="s">
        <v>8</v>
      </c>
      <c r="GR652" s="27" t="s">
        <v>7</v>
      </c>
      <c r="GV652" s="27" t="s">
        <v>7</v>
      </c>
      <c r="GW652" s="27" t="s">
        <v>8</v>
      </c>
      <c r="GX652" s="27" t="s">
        <v>7</v>
      </c>
      <c r="GY652" s="27" t="s">
        <v>8</v>
      </c>
      <c r="HP652" s="27" t="s">
        <v>7</v>
      </c>
      <c r="HR652" s="27" t="s">
        <v>7</v>
      </c>
      <c r="HS652" s="27" t="s">
        <v>8</v>
      </c>
      <c r="HX652" s="27" t="s">
        <v>7</v>
      </c>
      <c r="HY652" s="27" t="s">
        <v>8</v>
      </c>
      <c r="HZ652" s="27" t="s">
        <v>7</v>
      </c>
      <c r="IA652" s="27" t="s">
        <v>8</v>
      </c>
      <c r="IC652" s="27" t="s">
        <v>8</v>
      </c>
      <c r="KD652" s="27" t="s">
        <v>7</v>
      </c>
      <c r="KE652" s="27" t="s">
        <v>8</v>
      </c>
      <c r="MF652" s="27" t="s">
        <v>7</v>
      </c>
      <c r="MG652" s="27" t="s">
        <v>8</v>
      </c>
      <c r="PL652" s="27" t="s">
        <v>7</v>
      </c>
      <c r="PM652" s="27" t="s">
        <v>8</v>
      </c>
      <c r="PN652" s="27" t="s">
        <v>7</v>
      </c>
      <c r="PO652" s="27" t="s">
        <v>8</v>
      </c>
    </row>
    <row r="653" spans="1:432" x14ac:dyDescent="0.25">
      <c r="A653" s="7">
        <v>0.27063793041350104</v>
      </c>
      <c r="B653"/>
      <c r="C653"/>
      <c r="D653"/>
      <c r="E653"/>
      <c r="F653" s="27" t="s">
        <v>7</v>
      </c>
      <c r="FE653" s="27" t="s">
        <v>8</v>
      </c>
      <c r="FF653" s="27" t="s">
        <v>7</v>
      </c>
      <c r="FG653" s="27" t="s">
        <v>8</v>
      </c>
      <c r="FH653" s="27" t="s">
        <v>7</v>
      </c>
      <c r="FI653" s="27" t="s">
        <v>8</v>
      </c>
      <c r="FT653" s="27" t="s">
        <v>7</v>
      </c>
      <c r="FU653" s="27" t="s">
        <v>8</v>
      </c>
      <c r="FV653" s="27" t="s">
        <v>7</v>
      </c>
      <c r="FW653" s="27" t="s">
        <v>8</v>
      </c>
      <c r="FZ653" s="27" t="s">
        <v>7</v>
      </c>
      <c r="GG653" s="27" t="s">
        <v>8</v>
      </c>
      <c r="GH653" s="27" t="s">
        <v>7</v>
      </c>
      <c r="GI653" s="27" t="s">
        <v>8</v>
      </c>
      <c r="GJ653" s="27" t="s">
        <v>7</v>
      </c>
      <c r="GK653" s="27" t="s">
        <v>8</v>
      </c>
      <c r="GL653" s="27" t="s">
        <v>7</v>
      </c>
      <c r="GV653" s="27" t="s">
        <v>7</v>
      </c>
      <c r="GW653" s="27" t="s">
        <v>8</v>
      </c>
      <c r="GX653" s="27" t="s">
        <v>7</v>
      </c>
      <c r="GY653" s="27" t="s">
        <v>8</v>
      </c>
      <c r="HR653" s="27" t="s">
        <v>7</v>
      </c>
      <c r="HS653" s="27" t="s">
        <v>8</v>
      </c>
      <c r="HX653" s="27" t="s">
        <v>7</v>
      </c>
      <c r="HY653" s="27" t="s">
        <v>8</v>
      </c>
      <c r="HZ653" s="27" t="s">
        <v>7</v>
      </c>
      <c r="IA653" s="27" t="s">
        <v>8</v>
      </c>
      <c r="IB653" s="27" t="s">
        <v>7</v>
      </c>
      <c r="IC653" s="27" t="s">
        <v>8</v>
      </c>
      <c r="KD653" s="27" t="s">
        <v>7</v>
      </c>
      <c r="KE653" s="27" t="s">
        <v>8</v>
      </c>
      <c r="MF653" s="27" t="s">
        <v>7</v>
      </c>
      <c r="PL653" s="27" t="s">
        <v>7</v>
      </c>
      <c r="PM653" s="27" t="s">
        <v>8</v>
      </c>
      <c r="PN653" s="27" t="s">
        <v>7</v>
      </c>
      <c r="PO653" s="27" t="s">
        <v>8</v>
      </c>
    </row>
    <row r="654" spans="1:432" x14ac:dyDescent="0.25">
      <c r="A654" s="7">
        <v>0.26533130432696184</v>
      </c>
      <c r="B654"/>
      <c r="C654"/>
      <c r="D654"/>
      <c r="E654"/>
      <c r="F654" s="27" t="s">
        <v>7</v>
      </c>
      <c r="FE654" s="27" t="s">
        <v>8</v>
      </c>
      <c r="FF654" s="27" t="s">
        <v>7</v>
      </c>
      <c r="FG654" s="27" t="s">
        <v>8</v>
      </c>
      <c r="FH654" s="27" t="s">
        <v>7</v>
      </c>
      <c r="FI654" s="27" t="s">
        <v>8</v>
      </c>
      <c r="FT654" s="27" t="s">
        <v>7</v>
      </c>
      <c r="FU654" s="27" t="s">
        <v>8</v>
      </c>
      <c r="FV654" s="27" t="s">
        <v>7</v>
      </c>
      <c r="FZ654" s="27" t="s">
        <v>7</v>
      </c>
      <c r="GA654" s="27" t="s">
        <v>8</v>
      </c>
      <c r="GG654" s="27" t="s">
        <v>8</v>
      </c>
      <c r="GH654" s="27" t="s">
        <v>7</v>
      </c>
      <c r="GI654" s="27" t="s">
        <v>8</v>
      </c>
      <c r="GJ654" s="27" t="s">
        <v>7</v>
      </c>
      <c r="GK654" s="27" t="s">
        <v>8</v>
      </c>
      <c r="GV654" s="27" t="s">
        <v>7</v>
      </c>
      <c r="GW654" s="27" t="s">
        <v>8</v>
      </c>
      <c r="GX654" s="27" t="s">
        <v>7</v>
      </c>
      <c r="GY654" s="27" t="s">
        <v>8</v>
      </c>
      <c r="HR654" s="27" t="s">
        <v>7</v>
      </c>
      <c r="HS654" s="27" t="s">
        <v>8</v>
      </c>
      <c r="HX654" s="27" t="s">
        <v>7</v>
      </c>
      <c r="HY654" s="27" t="s">
        <v>8</v>
      </c>
      <c r="HZ654" s="27" t="s">
        <v>7</v>
      </c>
      <c r="IA654" s="27" t="s">
        <v>8</v>
      </c>
      <c r="IB654" s="27" t="s">
        <v>7</v>
      </c>
      <c r="IC654" s="27" t="s">
        <v>8</v>
      </c>
      <c r="KD654" s="27" t="s">
        <v>7</v>
      </c>
      <c r="KE654" s="27" t="s">
        <v>8</v>
      </c>
      <c r="PL654" s="27" t="s">
        <v>7</v>
      </c>
      <c r="PM654" s="27" t="s">
        <v>8</v>
      </c>
      <c r="PN654" s="27" t="s">
        <v>7</v>
      </c>
      <c r="PO654" s="27" t="s">
        <v>8</v>
      </c>
    </row>
    <row r="655" spans="1:432" x14ac:dyDescent="0.25">
      <c r="A655" s="7">
        <v>0.26012872973231554</v>
      </c>
      <c r="B655"/>
      <c r="C655"/>
      <c r="D655"/>
      <c r="E655"/>
      <c r="F655" s="27" t="s">
        <v>7</v>
      </c>
      <c r="FE655" s="27" t="s">
        <v>8</v>
      </c>
      <c r="FF655" s="27" t="s">
        <v>7</v>
      </c>
      <c r="FG655" s="27" t="s">
        <v>8</v>
      </c>
      <c r="FH655" s="27" t="s">
        <v>7</v>
      </c>
      <c r="FT655" s="27" t="s">
        <v>7</v>
      </c>
      <c r="FU655" s="27" t="s">
        <v>8</v>
      </c>
      <c r="FZ655" s="27" t="s">
        <v>7</v>
      </c>
      <c r="GA655" s="27" t="s">
        <v>8</v>
      </c>
      <c r="GB655" s="27" t="s">
        <v>7</v>
      </c>
      <c r="GG655" s="27" t="s">
        <v>8</v>
      </c>
      <c r="GH655" s="27" t="s">
        <v>7</v>
      </c>
      <c r="GI655" s="27" t="s">
        <v>8</v>
      </c>
      <c r="GJ655" s="27" t="s">
        <v>7</v>
      </c>
      <c r="GK655" s="27" t="s">
        <v>8</v>
      </c>
      <c r="GV655" s="27" t="s">
        <v>7</v>
      </c>
      <c r="GW655" s="27" t="s">
        <v>8</v>
      </c>
      <c r="GX655" s="27" t="s">
        <v>7</v>
      </c>
      <c r="GY655" s="27" t="s">
        <v>8</v>
      </c>
      <c r="HR655" s="27" t="s">
        <v>7</v>
      </c>
      <c r="HS655" s="27" t="s">
        <v>8</v>
      </c>
      <c r="HX655" s="27" t="s">
        <v>7</v>
      </c>
      <c r="HZ655" s="27" t="s">
        <v>7</v>
      </c>
      <c r="IA655" s="27" t="s">
        <v>8</v>
      </c>
      <c r="IB655" s="27" t="s">
        <v>7</v>
      </c>
      <c r="IC655" s="27" t="s">
        <v>8</v>
      </c>
      <c r="KD655" s="27" t="s">
        <v>7</v>
      </c>
      <c r="KE655" s="27" t="s">
        <v>8</v>
      </c>
      <c r="PL655" s="27" t="s">
        <v>7</v>
      </c>
      <c r="PN655" s="27" t="s">
        <v>7</v>
      </c>
      <c r="PO655" s="27" t="s">
        <v>8</v>
      </c>
    </row>
    <row r="656" spans="1:432" x14ac:dyDescent="0.25">
      <c r="A656" s="7">
        <v>0.25502816640423093</v>
      </c>
      <c r="B656"/>
      <c r="C656"/>
      <c r="D656"/>
      <c r="E656"/>
      <c r="F656" s="27" t="s">
        <v>7</v>
      </c>
      <c r="FE656" s="27" t="s">
        <v>8</v>
      </c>
      <c r="FF656" s="27" t="s">
        <v>7</v>
      </c>
      <c r="FG656" s="27" t="s">
        <v>8</v>
      </c>
      <c r="FT656" s="27" t="s">
        <v>7</v>
      </c>
      <c r="FU656" s="27" t="s">
        <v>8</v>
      </c>
      <c r="FZ656" s="27" t="s">
        <v>7</v>
      </c>
      <c r="GA656" s="27" t="s">
        <v>8</v>
      </c>
      <c r="GB656" s="27" t="s">
        <v>7</v>
      </c>
      <c r="GE656" s="27" t="s">
        <v>8</v>
      </c>
      <c r="GG656" s="27" t="s">
        <v>8</v>
      </c>
      <c r="GH656" s="27" t="s">
        <v>7</v>
      </c>
      <c r="GI656" s="27" t="s">
        <v>8</v>
      </c>
      <c r="GJ656" s="27" t="s">
        <v>7</v>
      </c>
      <c r="GK656" s="27" t="s">
        <v>8</v>
      </c>
      <c r="GV656" s="27" t="s">
        <v>7</v>
      </c>
      <c r="GW656" s="27" t="s">
        <v>8</v>
      </c>
      <c r="GX656" s="27" t="s">
        <v>7</v>
      </c>
      <c r="GY656" s="27" t="s">
        <v>8</v>
      </c>
      <c r="HR656" s="27" t="s">
        <v>7</v>
      </c>
      <c r="HZ656" s="27" t="s">
        <v>7</v>
      </c>
      <c r="IA656" s="27" t="s">
        <v>8</v>
      </c>
      <c r="IB656" s="27" t="s">
        <v>7</v>
      </c>
      <c r="IC656" s="27" t="s">
        <v>8</v>
      </c>
      <c r="KD656" s="27" t="s">
        <v>7</v>
      </c>
      <c r="KE656" s="27" t="s">
        <v>8</v>
      </c>
      <c r="PN656" s="27" t="s">
        <v>7</v>
      </c>
      <c r="PO656" s="27" t="s">
        <v>8</v>
      </c>
    </row>
    <row r="657" spans="1:431" x14ac:dyDescent="0.25">
      <c r="A657" s="7">
        <v>0.25002761412179503</v>
      </c>
      <c r="B657"/>
      <c r="C657"/>
      <c r="D657"/>
      <c r="E657"/>
      <c r="F657" s="27" t="s">
        <v>7</v>
      </c>
      <c r="FE657" s="27" t="s">
        <v>8</v>
      </c>
      <c r="FF657" s="27" t="s">
        <v>7</v>
      </c>
      <c r="FG657" s="27" t="s">
        <v>8</v>
      </c>
      <c r="FT657" s="27" t="s">
        <v>7</v>
      </c>
      <c r="FU657" s="27" t="s">
        <v>8</v>
      </c>
      <c r="FZ657" s="27" t="s">
        <v>7</v>
      </c>
      <c r="GA657" s="27" t="s">
        <v>8</v>
      </c>
      <c r="GB657" s="27" t="s">
        <v>7</v>
      </c>
      <c r="GE657" s="27" t="s">
        <v>8</v>
      </c>
      <c r="GF657" s="27" t="s">
        <v>7</v>
      </c>
      <c r="GG657" s="27" t="s">
        <v>8</v>
      </c>
      <c r="GH657" s="27" t="s">
        <v>7</v>
      </c>
      <c r="GJ657" s="27" t="s">
        <v>7</v>
      </c>
      <c r="GK657" s="27" t="s">
        <v>8</v>
      </c>
      <c r="GV657" s="27" t="s">
        <v>7</v>
      </c>
      <c r="GW657" s="27" t="s">
        <v>8</v>
      </c>
      <c r="GX657" s="27" t="s">
        <v>7</v>
      </c>
      <c r="GY657" s="27" t="s">
        <v>8</v>
      </c>
      <c r="HZ657" s="27" t="s">
        <v>7</v>
      </c>
      <c r="IA657" s="27" t="s">
        <v>8</v>
      </c>
      <c r="IB657" s="27" t="s">
        <v>7</v>
      </c>
      <c r="KD657" s="27" t="s">
        <v>7</v>
      </c>
      <c r="KE657" s="27" t="s">
        <v>8</v>
      </c>
      <c r="PN657" s="27" t="s">
        <v>7</v>
      </c>
      <c r="PO657" s="27" t="s">
        <v>8</v>
      </c>
    </row>
    <row r="658" spans="1:431" x14ac:dyDescent="0.25">
      <c r="A658" s="7">
        <v>0.24512511188411276</v>
      </c>
      <c r="B658"/>
      <c r="C658"/>
      <c r="D658"/>
      <c r="E658"/>
      <c r="F658" s="27" t="s">
        <v>7</v>
      </c>
      <c r="FE658" s="27" t="s">
        <v>8</v>
      </c>
      <c r="FF658" s="27" t="s">
        <v>7</v>
      </c>
      <c r="FG658" s="27" t="s">
        <v>8</v>
      </c>
      <c r="FT658" s="27" t="s">
        <v>7</v>
      </c>
      <c r="FU658" s="27" t="s">
        <v>8</v>
      </c>
      <c r="FZ658" s="27" t="s">
        <v>7</v>
      </c>
      <c r="GA658" s="27" t="s">
        <v>8</v>
      </c>
      <c r="GB658" s="27" t="s">
        <v>7</v>
      </c>
      <c r="GE658" s="27" t="s">
        <v>8</v>
      </c>
      <c r="GF658" s="27" t="s">
        <v>7</v>
      </c>
      <c r="GG658" s="27" t="s">
        <v>8</v>
      </c>
      <c r="GJ658" s="27" t="s">
        <v>7</v>
      </c>
      <c r="GK658" s="27" t="s">
        <v>8</v>
      </c>
      <c r="GV658" s="27" t="s">
        <v>7</v>
      </c>
      <c r="GW658" s="27" t="s">
        <v>8</v>
      </c>
      <c r="GX658" s="27" t="s">
        <v>7</v>
      </c>
      <c r="GY658" s="27" t="s">
        <v>8</v>
      </c>
      <c r="HZ658" s="27" t="s">
        <v>7</v>
      </c>
      <c r="IA658" s="27" t="s">
        <v>8</v>
      </c>
      <c r="KD658" s="27" t="s">
        <v>7</v>
      </c>
      <c r="KE658" s="27" t="s">
        <v>8</v>
      </c>
      <c r="PN658" s="27" t="s">
        <v>7</v>
      </c>
    </row>
    <row r="659" spans="1:431" x14ac:dyDescent="0.25">
      <c r="A659" s="7">
        <v>0.24031873714128701</v>
      </c>
      <c r="B659"/>
      <c r="C659"/>
      <c r="D659"/>
      <c r="E659"/>
      <c r="F659" s="27" t="s">
        <v>7</v>
      </c>
      <c r="FE659" s="27" t="s">
        <v>8</v>
      </c>
      <c r="FF659" s="27" t="s">
        <v>7</v>
      </c>
      <c r="FT659" s="27" t="s">
        <v>7</v>
      </c>
      <c r="FU659" s="27" t="s">
        <v>8</v>
      </c>
      <c r="FZ659" s="27" t="s">
        <v>7</v>
      </c>
      <c r="GA659" s="27" t="s">
        <v>8</v>
      </c>
      <c r="GB659" s="27" t="s">
        <v>7</v>
      </c>
      <c r="GE659" s="27" t="s">
        <v>8</v>
      </c>
      <c r="GF659" s="27" t="s">
        <v>7</v>
      </c>
      <c r="GG659" s="27" t="s">
        <v>8</v>
      </c>
      <c r="GJ659" s="27" t="s">
        <v>7</v>
      </c>
      <c r="GK659" s="27" t="s">
        <v>8</v>
      </c>
      <c r="GV659" s="27" t="s">
        <v>7</v>
      </c>
      <c r="GW659" s="27" t="s">
        <v>8</v>
      </c>
      <c r="GX659" s="27" t="s">
        <v>7</v>
      </c>
      <c r="GY659" s="27" t="s">
        <v>8</v>
      </c>
      <c r="HZ659" s="27" t="s">
        <v>7</v>
      </c>
      <c r="IA659" s="27" t="s">
        <v>8</v>
      </c>
      <c r="KD659" s="27" t="s">
        <v>7</v>
      </c>
      <c r="KE659" s="27" t="s">
        <v>8</v>
      </c>
    </row>
    <row r="660" spans="1:431" x14ac:dyDescent="0.25">
      <c r="A660" s="7">
        <v>0.23560660504047748</v>
      </c>
      <c r="B660"/>
      <c r="C660"/>
      <c r="D660"/>
      <c r="E660"/>
      <c r="F660" s="27" t="s">
        <v>7</v>
      </c>
      <c r="FA660" s="27" t="s">
        <v>8</v>
      </c>
      <c r="FC660" s="27" t="s">
        <v>8</v>
      </c>
      <c r="FE660" s="27" t="s">
        <v>8</v>
      </c>
      <c r="FT660" s="27" t="s">
        <v>7</v>
      </c>
      <c r="FU660" s="27" t="s">
        <v>8</v>
      </c>
      <c r="FZ660" s="27" t="s">
        <v>7</v>
      </c>
      <c r="GA660" s="27" t="s">
        <v>8</v>
      </c>
      <c r="GB660" s="27" t="s">
        <v>7</v>
      </c>
      <c r="GE660" s="27" t="s">
        <v>8</v>
      </c>
      <c r="GF660" s="27" t="s">
        <v>7</v>
      </c>
      <c r="GG660" s="27" t="s">
        <v>8</v>
      </c>
      <c r="GJ660" s="27" t="s">
        <v>7</v>
      </c>
      <c r="GK660" s="27" t="s">
        <v>8</v>
      </c>
      <c r="GV660" s="27" t="s">
        <v>7</v>
      </c>
      <c r="GW660" s="27" t="s">
        <v>8</v>
      </c>
      <c r="GX660" s="27" t="s">
        <v>7</v>
      </c>
      <c r="HZ660" s="27" t="s">
        <v>7</v>
      </c>
      <c r="KD660" s="27" t="s">
        <v>7</v>
      </c>
      <c r="KE660" s="27" t="s">
        <v>8</v>
      </c>
    </row>
    <row r="661" spans="1:431" x14ac:dyDescent="0.25">
      <c r="A661" s="7">
        <v>0.23098686768674265</v>
      </c>
      <c r="B661"/>
      <c r="C661"/>
      <c r="D661"/>
      <c r="E661"/>
      <c r="F661" s="27" t="s">
        <v>7</v>
      </c>
      <c r="FA661" s="27" t="s">
        <v>8</v>
      </c>
      <c r="FB661" s="27" t="s">
        <v>7</v>
      </c>
      <c r="FC661" s="27" t="s">
        <v>8</v>
      </c>
      <c r="FD661" s="27" t="s">
        <v>7</v>
      </c>
      <c r="FE661" s="27" t="s">
        <v>8</v>
      </c>
      <c r="FT661" s="27" t="s">
        <v>7</v>
      </c>
      <c r="FU661" s="27" t="s">
        <v>8</v>
      </c>
      <c r="FZ661" s="27" t="s">
        <v>7</v>
      </c>
      <c r="GA661" s="27" t="s">
        <v>8</v>
      </c>
      <c r="GB661" s="27" t="s">
        <v>7</v>
      </c>
      <c r="GE661" s="27" t="s">
        <v>8</v>
      </c>
      <c r="GF661" s="27" t="s">
        <v>7</v>
      </c>
      <c r="GG661" s="27" t="s">
        <v>8</v>
      </c>
      <c r="GJ661" s="27" t="s">
        <v>7</v>
      </c>
      <c r="GK661" s="27" t="s">
        <v>8</v>
      </c>
      <c r="GV661" s="27" t="s">
        <v>7</v>
      </c>
      <c r="KD661" s="27" t="s">
        <v>7</v>
      </c>
      <c r="KE661" s="27" t="s">
        <v>8</v>
      </c>
    </row>
    <row r="662" spans="1:431" x14ac:dyDescent="0.25">
      <c r="A662" s="7">
        <v>0.22645771341837515</v>
      </c>
      <c r="B662"/>
      <c r="C662"/>
      <c r="D662"/>
      <c r="E662"/>
      <c r="F662" s="27" t="s">
        <v>7</v>
      </c>
      <c r="FA662" s="27" t="s">
        <v>8</v>
      </c>
      <c r="FB662" s="27" t="s">
        <v>7</v>
      </c>
      <c r="FC662" s="27" t="s">
        <v>8</v>
      </c>
      <c r="FD662" s="27" t="s">
        <v>7</v>
      </c>
      <c r="FE662" s="27" t="s">
        <v>8</v>
      </c>
      <c r="FT662" s="27" t="s">
        <v>7</v>
      </c>
      <c r="FZ662" s="27" t="s">
        <v>7</v>
      </c>
      <c r="GB662" s="27" t="s">
        <v>7</v>
      </c>
      <c r="GE662" s="27" t="s">
        <v>8</v>
      </c>
      <c r="GF662" s="27" t="s">
        <v>7</v>
      </c>
      <c r="GG662" s="27" t="s">
        <v>8</v>
      </c>
      <c r="GJ662" s="27" t="s">
        <v>7</v>
      </c>
      <c r="GK662" s="27" t="s">
        <v>8</v>
      </c>
      <c r="KD662" s="27" t="s">
        <v>7</v>
      </c>
      <c r="KE662" s="27" t="s">
        <v>8</v>
      </c>
    </row>
    <row r="663" spans="1:431" x14ac:dyDescent="0.25">
      <c r="A663" s="7">
        <v>0.22201736609644623</v>
      </c>
      <c r="B663"/>
      <c r="C663"/>
      <c r="D663"/>
      <c r="E663"/>
      <c r="F663" s="27" t="s">
        <v>7</v>
      </c>
      <c r="FA663" s="27" t="s">
        <v>8</v>
      </c>
      <c r="FB663" s="27" t="s">
        <v>7</v>
      </c>
      <c r="FC663" s="27" t="s">
        <v>8</v>
      </c>
      <c r="FD663" s="27" t="s">
        <v>7</v>
      </c>
      <c r="FE663" s="27" t="s">
        <v>8</v>
      </c>
      <c r="GB663" s="27" t="s">
        <v>7</v>
      </c>
      <c r="GE663" s="27" t="s">
        <v>8</v>
      </c>
      <c r="GF663" s="27" t="s">
        <v>7</v>
      </c>
      <c r="GG663" s="27" t="s">
        <v>8</v>
      </c>
      <c r="GJ663" s="27" t="s">
        <v>7</v>
      </c>
      <c r="GK663" s="27" t="s">
        <v>8</v>
      </c>
      <c r="KD663" s="27" t="s">
        <v>7</v>
      </c>
      <c r="KE663" s="27" t="s">
        <v>8</v>
      </c>
    </row>
    <row r="664" spans="1:431" x14ac:dyDescent="0.25">
      <c r="A664" s="7">
        <v>0.21766408440828061</v>
      </c>
      <c r="B664"/>
      <c r="C664"/>
      <c r="D664"/>
      <c r="E664"/>
      <c r="F664" s="27" t="s">
        <v>7</v>
      </c>
      <c r="FA664" s="27" t="s">
        <v>8</v>
      </c>
      <c r="FB664" s="27" t="s">
        <v>7</v>
      </c>
      <c r="FC664" s="27" t="s">
        <v>8</v>
      </c>
      <c r="FD664" s="27" t="s">
        <v>7</v>
      </c>
      <c r="GB664" s="27" t="s">
        <v>7</v>
      </c>
      <c r="GE664" s="27" t="s">
        <v>8</v>
      </c>
      <c r="GF664" s="27" t="s">
        <v>7</v>
      </c>
      <c r="GG664" s="27" t="s">
        <v>8</v>
      </c>
      <c r="GJ664" s="27" t="s">
        <v>7</v>
      </c>
      <c r="GK664" s="27" t="s">
        <v>8</v>
      </c>
      <c r="KD664" s="27" t="s">
        <v>7</v>
      </c>
      <c r="KE664" s="27" t="s">
        <v>8</v>
      </c>
    </row>
    <row r="665" spans="1:431" x14ac:dyDescent="0.25">
      <c r="A665" s="7">
        <v>0.21339616118458882</v>
      </c>
      <c r="B665"/>
      <c r="C665"/>
      <c r="D665"/>
      <c r="E665"/>
      <c r="F665" s="27" t="s">
        <v>7</v>
      </c>
      <c r="FA665" s="27" t="s">
        <v>8</v>
      </c>
      <c r="FB665" s="27" t="s">
        <v>7</v>
      </c>
      <c r="FC665" s="27" t="s">
        <v>8</v>
      </c>
      <c r="GB665" s="27" t="s">
        <v>7</v>
      </c>
      <c r="GC665" s="27" t="s">
        <v>8</v>
      </c>
      <c r="GE665" s="27" t="s">
        <v>8</v>
      </c>
      <c r="GF665" s="27" t="s">
        <v>7</v>
      </c>
      <c r="GG665" s="27" t="s">
        <v>8</v>
      </c>
      <c r="GJ665" s="27" t="s">
        <v>7</v>
      </c>
      <c r="GK665" s="27" t="s">
        <v>8</v>
      </c>
      <c r="KD665" s="27" t="s">
        <v>7</v>
      </c>
      <c r="KE665" s="27" t="s">
        <v>8</v>
      </c>
    </row>
    <row r="666" spans="1:431" x14ac:dyDescent="0.25">
      <c r="A666" s="7">
        <v>0.20921192272998904</v>
      </c>
      <c r="B666"/>
      <c r="C666"/>
      <c r="D666"/>
      <c r="E666"/>
      <c r="F666" s="27" t="s">
        <v>7</v>
      </c>
      <c r="FA666" s="27" t="s">
        <v>8</v>
      </c>
      <c r="FB666" s="27" t="s">
        <v>7</v>
      </c>
      <c r="FC666" s="27" t="s">
        <v>8</v>
      </c>
      <c r="GB666" s="27" t="s">
        <v>7</v>
      </c>
      <c r="GC666" s="27" t="s">
        <v>8</v>
      </c>
      <c r="GD666" s="27" t="s">
        <v>7</v>
      </c>
      <c r="GE666" s="27" t="s">
        <v>8</v>
      </c>
      <c r="GF666" s="27" t="s">
        <v>7</v>
      </c>
      <c r="GG666" s="27" t="s">
        <v>8</v>
      </c>
      <c r="GJ666" s="27" t="s">
        <v>7</v>
      </c>
      <c r="KD666" s="27" t="s">
        <v>7</v>
      </c>
      <c r="KE666" s="27" t="s">
        <v>8</v>
      </c>
    </row>
    <row r="667" spans="1:431" x14ac:dyDescent="0.25">
      <c r="A667" s="7">
        <v>0.20510972816665593</v>
      </c>
      <c r="B667"/>
      <c r="C667"/>
      <c r="D667"/>
      <c r="E667"/>
      <c r="F667" s="27" t="s">
        <v>7</v>
      </c>
      <c r="FA667" s="27" t="s">
        <v>8</v>
      </c>
      <c r="FB667" s="27" t="s">
        <v>7</v>
      </c>
      <c r="GB667" s="27" t="s">
        <v>7</v>
      </c>
      <c r="GC667" s="27" t="s">
        <v>8</v>
      </c>
      <c r="GD667" s="27" t="s">
        <v>7</v>
      </c>
      <c r="GE667" s="27" t="s">
        <v>8</v>
      </c>
      <c r="GF667" s="27" t="s">
        <v>7</v>
      </c>
      <c r="GG667" s="27" t="s">
        <v>8</v>
      </c>
      <c r="KD667" s="27" t="s">
        <v>7</v>
      </c>
      <c r="KE667" s="27" t="s">
        <v>8</v>
      </c>
    </row>
    <row r="668" spans="1:431" x14ac:dyDescent="0.25">
      <c r="A668" s="7">
        <v>0.20108796879083912</v>
      </c>
      <c r="B668"/>
      <c r="C668"/>
      <c r="D668"/>
      <c r="E668"/>
      <c r="F668" s="27" t="s">
        <v>7</v>
      </c>
      <c r="FA668" s="27" t="s">
        <v>8</v>
      </c>
      <c r="GB668" s="27" t="s">
        <v>7</v>
      </c>
      <c r="GC668" s="27" t="s">
        <v>8</v>
      </c>
      <c r="GD668" s="27" t="s">
        <v>7</v>
      </c>
      <c r="GE668" s="27" t="s">
        <v>8</v>
      </c>
      <c r="GF668" s="27" t="s">
        <v>7</v>
      </c>
      <c r="KD668" s="27" t="s">
        <v>7</v>
      </c>
      <c r="KE668" s="27" t="s">
        <v>8</v>
      </c>
    </row>
    <row r="669" spans="1:431" x14ac:dyDescent="0.25">
      <c r="A669" s="7">
        <v>0.19714506744199917</v>
      </c>
      <c r="B669"/>
      <c r="C669"/>
      <c r="D669"/>
      <c r="E669"/>
      <c r="F669" s="27" t="s">
        <v>7</v>
      </c>
      <c r="EO669" s="27" t="s">
        <v>8</v>
      </c>
      <c r="FA669" s="27" t="s">
        <v>8</v>
      </c>
      <c r="GB669" s="27" t="s">
        <v>7</v>
      </c>
      <c r="GC669" s="27" t="s">
        <v>8</v>
      </c>
      <c r="GD669" s="27" t="s">
        <v>7</v>
      </c>
      <c r="GE669" s="27" t="s">
        <v>8</v>
      </c>
      <c r="KD669" s="27" t="s">
        <v>7</v>
      </c>
      <c r="KE669" s="27" t="s">
        <v>8</v>
      </c>
    </row>
    <row r="670" spans="1:431" x14ac:dyDescent="0.25">
      <c r="A670" s="7">
        <v>0.19327947788431293</v>
      </c>
      <c r="B670"/>
      <c r="C670"/>
      <c r="D670"/>
      <c r="E670"/>
      <c r="F670" s="27" t="s">
        <v>7</v>
      </c>
      <c r="EO670" s="27" t="s">
        <v>8</v>
      </c>
      <c r="EP670" s="27" t="s">
        <v>7</v>
      </c>
      <c r="EQ670" s="27" t="s">
        <v>8</v>
      </c>
      <c r="FA670" s="27" t="s">
        <v>8</v>
      </c>
      <c r="GB670" s="27" t="s">
        <v>7</v>
      </c>
      <c r="GD670" s="27" t="s">
        <v>7</v>
      </c>
      <c r="GE670" s="27" t="s">
        <v>8</v>
      </c>
      <c r="KD670" s="27" t="s">
        <v>7</v>
      </c>
      <c r="KE670" s="27" t="s">
        <v>8</v>
      </c>
    </row>
    <row r="671" spans="1:431" x14ac:dyDescent="0.25">
      <c r="A671" s="7">
        <v>0.18948968420030682</v>
      </c>
      <c r="B671"/>
      <c r="C671"/>
      <c r="D671"/>
      <c r="E671"/>
      <c r="F671" s="27" t="s">
        <v>7</v>
      </c>
      <c r="EO671" s="27" t="s">
        <v>8</v>
      </c>
      <c r="EP671" s="27" t="s">
        <v>7</v>
      </c>
      <c r="EQ671" s="27" t="s">
        <v>8</v>
      </c>
      <c r="ER671" s="27" t="s">
        <v>7</v>
      </c>
      <c r="FA671" s="27" t="s">
        <v>8</v>
      </c>
      <c r="GD671" s="27" t="s">
        <v>7</v>
      </c>
      <c r="GE671" s="27" t="s">
        <v>8</v>
      </c>
      <c r="KD671" s="27" t="s">
        <v>7</v>
      </c>
      <c r="KE671" s="27" t="s">
        <v>8</v>
      </c>
    </row>
    <row r="672" spans="1:431" x14ac:dyDescent="0.25">
      <c r="A672" s="7">
        <v>0.18577420019637925</v>
      </c>
      <c r="B672"/>
      <c r="C672"/>
      <c r="D672"/>
      <c r="E672"/>
      <c r="F672" s="27" t="s">
        <v>7</v>
      </c>
      <c r="EO672" s="27" t="s">
        <v>8</v>
      </c>
      <c r="EP672" s="27" t="s">
        <v>7</v>
      </c>
      <c r="EQ672" s="27" t="s">
        <v>8</v>
      </c>
      <c r="ER672" s="27" t="s">
        <v>7</v>
      </c>
      <c r="FA672" s="27" t="s">
        <v>8</v>
      </c>
      <c r="GD672" s="27" t="s">
        <v>7</v>
      </c>
      <c r="GE672" s="27" t="s">
        <v>8</v>
      </c>
      <c r="KD672" s="27" t="s">
        <v>7</v>
      </c>
      <c r="KE672" s="27" t="s">
        <v>8</v>
      </c>
    </row>
    <row r="673" spans="1:291" x14ac:dyDescent="0.25">
      <c r="A673" s="7">
        <v>0.18213156881997963</v>
      </c>
      <c r="B673"/>
      <c r="C673"/>
      <c r="D673"/>
      <c r="E673"/>
      <c r="F673" s="27" t="s">
        <v>7</v>
      </c>
      <c r="EM673" s="27" t="s">
        <v>8</v>
      </c>
      <c r="EO673" s="27" t="s">
        <v>8</v>
      </c>
      <c r="EP673" s="27" t="s">
        <v>7</v>
      </c>
      <c r="EQ673" s="27" t="s">
        <v>8</v>
      </c>
      <c r="ER673" s="27" t="s">
        <v>7</v>
      </c>
      <c r="EU673" s="27" t="s">
        <v>8</v>
      </c>
      <c r="FA673" s="27" t="s">
        <v>8</v>
      </c>
      <c r="GD673" s="27" t="s">
        <v>7</v>
      </c>
      <c r="GE673" s="27" t="s">
        <v>8</v>
      </c>
      <c r="KD673" s="27" t="s">
        <v>7</v>
      </c>
      <c r="KE673" s="27" t="s">
        <v>8</v>
      </c>
    </row>
    <row r="674" spans="1:291" x14ac:dyDescent="0.25">
      <c r="A674" s="7">
        <v>0.17856036158821534</v>
      </c>
      <c r="B674"/>
      <c r="C674"/>
      <c r="D674"/>
      <c r="E674"/>
      <c r="F674" s="27" t="s">
        <v>7</v>
      </c>
      <c r="EM674" s="27" t="s">
        <v>8</v>
      </c>
      <c r="EN674" s="27" t="s">
        <v>7</v>
      </c>
      <c r="EO674" s="27" t="s">
        <v>8</v>
      </c>
      <c r="EP674" s="27" t="s">
        <v>7</v>
      </c>
      <c r="EQ674" s="27" t="s">
        <v>8</v>
      </c>
      <c r="ER674" s="27" t="s">
        <v>7</v>
      </c>
      <c r="ES674" s="27" t="s">
        <v>8</v>
      </c>
      <c r="EU674" s="27" t="s">
        <v>8</v>
      </c>
      <c r="EV674" s="27" t="s">
        <v>7</v>
      </c>
      <c r="FA674" s="27" t="s">
        <v>8</v>
      </c>
      <c r="GD674" s="27" t="s">
        <v>7</v>
      </c>
      <c r="GE674" s="27" t="s">
        <v>8</v>
      </c>
      <c r="KD674" s="27" t="s">
        <v>7</v>
      </c>
      <c r="KE674" s="27" t="s">
        <v>8</v>
      </c>
    </row>
    <row r="675" spans="1:291" x14ac:dyDescent="0.25">
      <c r="A675" s="7">
        <v>0.17505917802766208</v>
      </c>
      <c r="B675"/>
      <c r="C675"/>
      <c r="D675"/>
      <c r="E675"/>
      <c r="F675" s="27" t="s">
        <v>7</v>
      </c>
      <c r="EG675" s="27" t="s">
        <v>8</v>
      </c>
      <c r="EM675" s="27" t="s">
        <v>8</v>
      </c>
      <c r="EN675" s="27" t="s">
        <v>7</v>
      </c>
      <c r="EO675" s="27" t="s">
        <v>8</v>
      </c>
      <c r="EP675" s="27" t="s">
        <v>7</v>
      </c>
      <c r="EQ675" s="27" t="s">
        <v>8</v>
      </c>
      <c r="ER675" s="27" t="s">
        <v>7</v>
      </c>
      <c r="ES675" s="27" t="s">
        <v>8</v>
      </c>
      <c r="ET675" s="27" t="s">
        <v>7</v>
      </c>
      <c r="EU675" s="27" t="s">
        <v>8</v>
      </c>
      <c r="EV675" s="27" t="s">
        <v>7</v>
      </c>
      <c r="FA675" s="27" t="s">
        <v>8</v>
      </c>
      <c r="GD675" s="27" t="s">
        <v>7</v>
      </c>
      <c r="GE675" s="27" t="s">
        <v>8</v>
      </c>
      <c r="KD675" s="27" t="s">
        <v>7</v>
      </c>
      <c r="KE675" s="27" t="s">
        <v>8</v>
      </c>
    </row>
    <row r="676" spans="1:291" x14ac:dyDescent="0.25">
      <c r="A676" s="7">
        <v>0.17162664512515888</v>
      </c>
      <c r="B676"/>
      <c r="C676"/>
      <c r="D676"/>
      <c r="E676"/>
      <c r="F676" s="27" t="s">
        <v>7</v>
      </c>
      <c r="EG676" s="27" t="s">
        <v>8</v>
      </c>
      <c r="EH676" s="27" t="s">
        <v>7</v>
      </c>
      <c r="EM676" s="27" t="s">
        <v>8</v>
      </c>
      <c r="EN676" s="27" t="s">
        <v>7</v>
      </c>
      <c r="EO676" s="27" t="s">
        <v>8</v>
      </c>
      <c r="EP676" s="27" t="s">
        <v>7</v>
      </c>
      <c r="EQ676" s="27" t="s">
        <v>8</v>
      </c>
      <c r="ER676" s="27" t="s">
        <v>7</v>
      </c>
      <c r="ES676" s="27" t="s">
        <v>8</v>
      </c>
      <c r="ET676" s="27" t="s">
        <v>7</v>
      </c>
      <c r="EU676" s="27" t="s">
        <v>8</v>
      </c>
      <c r="EV676" s="27" t="s">
        <v>7</v>
      </c>
      <c r="EW676" s="27" t="s">
        <v>8</v>
      </c>
      <c r="EY676" s="27" t="s">
        <v>8</v>
      </c>
      <c r="FA676" s="27" t="s">
        <v>8</v>
      </c>
      <c r="GD676" s="27" t="s">
        <v>7</v>
      </c>
      <c r="GE676" s="27" t="s">
        <v>8</v>
      </c>
      <c r="KD676" s="27" t="s">
        <v>7</v>
      </c>
      <c r="KE676" s="27" t="s">
        <v>8</v>
      </c>
    </row>
    <row r="677" spans="1:291" x14ac:dyDescent="0.25">
      <c r="A677" s="7">
        <v>0.16826141678937145</v>
      </c>
      <c r="B677"/>
      <c r="C677"/>
      <c r="D677"/>
      <c r="E677"/>
      <c r="F677" s="27" t="s">
        <v>7</v>
      </c>
      <c r="EG677" s="27" t="s">
        <v>8</v>
      </c>
      <c r="EH677" s="27" t="s">
        <v>7</v>
      </c>
      <c r="EI677" s="27" t="s">
        <v>8</v>
      </c>
      <c r="EM677" s="27" t="s">
        <v>8</v>
      </c>
      <c r="EN677" s="27" t="s">
        <v>7</v>
      </c>
      <c r="EO677" s="27" t="s">
        <v>8</v>
      </c>
      <c r="EP677" s="27" t="s">
        <v>7</v>
      </c>
      <c r="ER677" s="27" t="s">
        <v>7</v>
      </c>
      <c r="ET677" s="27" t="s">
        <v>7</v>
      </c>
      <c r="EU677" s="27" t="s">
        <v>8</v>
      </c>
      <c r="EV677" s="27" t="s">
        <v>7</v>
      </c>
      <c r="EW677" s="27" t="s">
        <v>8</v>
      </c>
      <c r="EX677" s="27" t="s">
        <v>7</v>
      </c>
      <c r="EY677" s="27" t="s">
        <v>8</v>
      </c>
      <c r="EZ677" s="27" t="s">
        <v>7</v>
      </c>
      <c r="FA677" s="27" t="s">
        <v>8</v>
      </c>
      <c r="GD677" s="27" t="s">
        <v>7</v>
      </c>
      <c r="GE677" s="27" t="s">
        <v>8</v>
      </c>
      <c r="KD677" s="27" t="s">
        <v>7</v>
      </c>
      <c r="KE677" s="27" t="s">
        <v>8</v>
      </c>
    </row>
    <row r="678" spans="1:291" x14ac:dyDescent="0.25">
      <c r="A678" s="7">
        <v>0.16496217332291319</v>
      </c>
      <c r="B678"/>
      <c r="C678"/>
      <c r="D678"/>
      <c r="E678"/>
      <c r="F678" s="27" t="s">
        <v>7</v>
      </c>
      <c r="EG678" s="27" t="s">
        <v>8</v>
      </c>
      <c r="EH678" s="27" t="s">
        <v>7</v>
      </c>
      <c r="EI678" s="27" t="s">
        <v>8</v>
      </c>
      <c r="EJ678" s="27" t="s">
        <v>7</v>
      </c>
      <c r="EK678" s="27" t="s">
        <v>8</v>
      </c>
      <c r="EM678" s="27" t="s">
        <v>8</v>
      </c>
      <c r="EN678" s="27" t="s">
        <v>7</v>
      </c>
      <c r="EO678" s="27" t="s">
        <v>8</v>
      </c>
      <c r="ET678" s="27" t="s">
        <v>7</v>
      </c>
      <c r="EU678" s="27" t="s">
        <v>8</v>
      </c>
      <c r="EV678" s="27" t="s">
        <v>7</v>
      </c>
      <c r="EW678" s="27" t="s">
        <v>8</v>
      </c>
      <c r="EX678" s="27" t="s">
        <v>7</v>
      </c>
      <c r="EY678" s="27" t="s">
        <v>8</v>
      </c>
      <c r="EZ678" s="27" t="s">
        <v>7</v>
      </c>
      <c r="FA678" s="27" t="s">
        <v>8</v>
      </c>
      <c r="GD678" s="27" t="s">
        <v>7</v>
      </c>
      <c r="GE678" s="27" t="s">
        <v>8</v>
      </c>
      <c r="KD678" s="27" t="s">
        <v>7</v>
      </c>
      <c r="KE678" s="27" t="s">
        <v>8</v>
      </c>
    </row>
    <row r="679" spans="1:291" x14ac:dyDescent="0.25">
      <c r="A679" s="7">
        <v>0.16172762090481685</v>
      </c>
      <c r="B679"/>
      <c r="C679"/>
      <c r="D679"/>
      <c r="E679"/>
      <c r="F679" s="27" t="s">
        <v>7</v>
      </c>
      <c r="EG679" s="27" t="s">
        <v>8</v>
      </c>
      <c r="EH679" s="27" t="s">
        <v>7</v>
      </c>
      <c r="EI679" s="27" t="s">
        <v>8</v>
      </c>
      <c r="EJ679" s="27" t="s">
        <v>7</v>
      </c>
      <c r="EK679" s="27" t="s">
        <v>8</v>
      </c>
      <c r="EL679" s="27" t="s">
        <v>7</v>
      </c>
      <c r="EM679" s="27" t="s">
        <v>8</v>
      </c>
      <c r="EN679" s="27" t="s">
        <v>7</v>
      </c>
      <c r="EO679" s="27" t="s">
        <v>8</v>
      </c>
      <c r="ET679" s="27" t="s">
        <v>7</v>
      </c>
      <c r="EU679" s="27" t="s">
        <v>8</v>
      </c>
      <c r="EV679" s="27" t="s">
        <v>7</v>
      </c>
      <c r="EW679" s="27" t="s">
        <v>8</v>
      </c>
      <c r="EX679" s="27" t="s">
        <v>7</v>
      </c>
      <c r="EY679" s="27" t="s">
        <v>8</v>
      </c>
      <c r="EZ679" s="27" t="s">
        <v>7</v>
      </c>
      <c r="FA679" s="27" t="s">
        <v>8</v>
      </c>
      <c r="GD679" s="27" t="s">
        <v>7</v>
      </c>
      <c r="KD679" s="27" t="s">
        <v>7</v>
      </c>
      <c r="KE679" s="27" t="s">
        <v>8</v>
      </c>
    </row>
    <row r="680" spans="1:291" x14ac:dyDescent="0.25">
      <c r="A680" s="7">
        <v>0.15855649108315376</v>
      </c>
      <c r="B680"/>
      <c r="C680"/>
      <c r="D680"/>
      <c r="E680"/>
      <c r="F680" s="27" t="s">
        <v>7</v>
      </c>
      <c r="EG680" s="27" t="s">
        <v>8</v>
      </c>
      <c r="EH680" s="27" t="s">
        <v>7</v>
      </c>
      <c r="EI680" s="27" t="s">
        <v>8</v>
      </c>
      <c r="EJ680" s="27" t="s">
        <v>7</v>
      </c>
      <c r="EK680" s="27" t="s">
        <v>8</v>
      </c>
      <c r="EL680" s="27" t="s">
        <v>7</v>
      </c>
      <c r="EM680" s="27" t="s">
        <v>8</v>
      </c>
      <c r="EN680" s="27" t="s">
        <v>7</v>
      </c>
      <c r="EO680" s="27" t="s">
        <v>8</v>
      </c>
      <c r="ET680" s="27" t="s">
        <v>7</v>
      </c>
      <c r="EU680" s="27" t="s">
        <v>8</v>
      </c>
      <c r="EV680" s="27" t="s">
        <v>7</v>
      </c>
      <c r="EX680" s="27" t="s">
        <v>7</v>
      </c>
      <c r="EY680" s="27" t="s">
        <v>8</v>
      </c>
      <c r="EZ680" s="27" t="s">
        <v>7</v>
      </c>
      <c r="KD680" s="27" t="s">
        <v>7</v>
      </c>
      <c r="KE680" s="27" t="s">
        <v>8</v>
      </c>
    </row>
    <row r="681" spans="1:291" x14ac:dyDescent="0.25">
      <c r="A681" s="7">
        <v>0.15544754027760171</v>
      </c>
      <c r="B681"/>
      <c r="C681"/>
      <c r="D681"/>
      <c r="E681"/>
      <c r="F681" s="27" t="s">
        <v>7</v>
      </c>
      <c r="EG681" s="27" t="s">
        <v>8</v>
      </c>
      <c r="EH681" s="27" t="s">
        <v>7</v>
      </c>
      <c r="EI681" s="27" t="s">
        <v>8</v>
      </c>
      <c r="EJ681" s="27" t="s">
        <v>7</v>
      </c>
      <c r="EK681" s="27" t="s">
        <v>8</v>
      </c>
      <c r="EL681" s="27" t="s">
        <v>7</v>
      </c>
      <c r="EM681" s="27" t="s">
        <v>8</v>
      </c>
      <c r="EN681" s="27" t="s">
        <v>7</v>
      </c>
      <c r="EO681" s="27" t="s">
        <v>8</v>
      </c>
      <c r="ET681" s="27" t="s">
        <v>7</v>
      </c>
      <c r="EU681" s="27" t="s">
        <v>8</v>
      </c>
      <c r="EX681" s="27" t="s">
        <v>7</v>
      </c>
      <c r="EY681" s="27" t="s">
        <v>8</v>
      </c>
      <c r="KD681" s="27" t="s">
        <v>7</v>
      </c>
      <c r="KE681" s="27" t="s">
        <v>8</v>
      </c>
    </row>
    <row r="682" spans="1:291" x14ac:dyDescent="0.25">
      <c r="A682" s="7">
        <v>0.15239954929176638</v>
      </c>
      <c r="B682"/>
      <c r="C682"/>
      <c r="D682"/>
      <c r="E682"/>
      <c r="F682" s="27" t="s">
        <v>7</v>
      </c>
      <c r="EG682" s="27" t="s">
        <v>8</v>
      </c>
      <c r="EH682" s="27" t="s">
        <v>7</v>
      </c>
      <c r="EI682" s="27" t="s">
        <v>8</v>
      </c>
      <c r="EJ682" s="27" t="s">
        <v>7</v>
      </c>
      <c r="EK682" s="27" t="s">
        <v>8</v>
      </c>
      <c r="EL682" s="27" t="s">
        <v>7</v>
      </c>
      <c r="EM682" s="27" t="s">
        <v>8</v>
      </c>
      <c r="EN682" s="27" t="s">
        <v>7</v>
      </c>
      <c r="EO682" s="27" t="s">
        <v>8</v>
      </c>
      <c r="ET682" s="27" t="s">
        <v>7</v>
      </c>
      <c r="EX682" s="27" t="s">
        <v>7</v>
      </c>
      <c r="EY682" s="27" t="s">
        <v>8</v>
      </c>
      <c r="KD682" s="27" t="s">
        <v>7</v>
      </c>
      <c r="KE682" s="27" t="s">
        <v>8</v>
      </c>
    </row>
    <row r="683" spans="1:291" x14ac:dyDescent="0.25">
      <c r="A683" s="7">
        <v>0.14941132283506509</v>
      </c>
      <c r="B683"/>
      <c r="C683"/>
      <c r="D683"/>
      <c r="E683"/>
      <c r="F683" s="27" t="s">
        <v>7</v>
      </c>
      <c r="EG683" s="27" t="s">
        <v>8</v>
      </c>
      <c r="EH683" s="27" t="s">
        <v>7</v>
      </c>
      <c r="EI683" s="27" t="s">
        <v>8</v>
      </c>
      <c r="EJ683" s="27" t="s">
        <v>7</v>
      </c>
      <c r="EK683" s="27" t="s">
        <v>8</v>
      </c>
      <c r="EL683" s="27" t="s">
        <v>7</v>
      </c>
      <c r="EM683" s="27" t="s">
        <v>8</v>
      </c>
      <c r="EN683" s="27" t="s">
        <v>7</v>
      </c>
      <c r="EX683" s="27" t="s">
        <v>7</v>
      </c>
      <c r="EY683" s="27" t="s">
        <v>8</v>
      </c>
      <c r="KD683" s="27" t="s">
        <v>7</v>
      </c>
      <c r="KE683" s="27" t="s">
        <v>8</v>
      </c>
    </row>
    <row r="684" spans="1:291" x14ac:dyDescent="0.25">
      <c r="A684" s="7">
        <v>0.14648168905398537</v>
      </c>
      <c r="B684"/>
      <c r="C684"/>
      <c r="D684"/>
      <c r="E684"/>
      <c r="F684" s="27" t="s">
        <v>7</v>
      </c>
      <c r="EG684" s="27" t="s">
        <v>8</v>
      </c>
      <c r="EH684" s="27" t="s">
        <v>7</v>
      </c>
      <c r="EI684" s="27" t="s">
        <v>8</v>
      </c>
      <c r="EJ684" s="27" t="s">
        <v>7</v>
      </c>
      <c r="EK684" s="27" t="s">
        <v>8</v>
      </c>
      <c r="EL684" s="27" t="s">
        <v>7</v>
      </c>
      <c r="EM684" s="27" t="s">
        <v>8</v>
      </c>
      <c r="EX684" s="27" t="s">
        <v>7</v>
      </c>
      <c r="EY684" s="27" t="s">
        <v>8</v>
      </c>
      <c r="KD684" s="27" t="s">
        <v>7</v>
      </c>
      <c r="KE684" s="27" t="s">
        <v>8</v>
      </c>
    </row>
    <row r="685" spans="1:291" x14ac:dyDescent="0.25">
      <c r="A685" s="7">
        <v>0.14360949907253467</v>
      </c>
      <c r="B685"/>
      <c r="C685"/>
      <c r="D685"/>
      <c r="E685"/>
      <c r="F685" s="27" t="s">
        <v>7</v>
      </c>
      <c r="EG685" s="27" t="s">
        <v>8</v>
      </c>
      <c r="EH685" s="27" t="s">
        <v>7</v>
      </c>
      <c r="EJ685" s="27" t="s">
        <v>7</v>
      </c>
      <c r="EK685" s="27" t="s">
        <v>8</v>
      </c>
      <c r="EL685" s="27" t="s">
        <v>7</v>
      </c>
      <c r="EX685" s="27" t="s">
        <v>7</v>
      </c>
      <c r="EY685" s="27" t="s">
        <v>8</v>
      </c>
      <c r="KD685" s="27" t="s">
        <v>7</v>
      </c>
      <c r="KE685" s="27" t="s">
        <v>8</v>
      </c>
    </row>
    <row r="686" spans="1:291" x14ac:dyDescent="0.25">
      <c r="A686" s="7">
        <v>0.14079362654170066</v>
      </c>
      <c r="B686"/>
      <c r="C686"/>
      <c r="D686"/>
      <c r="E686"/>
      <c r="F686" s="27" t="s">
        <v>7</v>
      </c>
      <c r="EG686" s="27" t="s">
        <v>8</v>
      </c>
      <c r="EJ686" s="27" t="s">
        <v>7</v>
      </c>
      <c r="EK686" s="27" t="s">
        <v>8</v>
      </c>
      <c r="EX686" s="27" t="s">
        <v>7</v>
      </c>
      <c r="EY686" s="27" t="s">
        <v>8</v>
      </c>
      <c r="KD686" s="27" t="s">
        <v>7</v>
      </c>
      <c r="KE686" s="27" t="s">
        <v>8</v>
      </c>
    </row>
    <row r="687" spans="1:291" x14ac:dyDescent="0.25">
      <c r="A687" s="7">
        <v>0.13803296719774574</v>
      </c>
      <c r="B687"/>
      <c r="C687"/>
      <c r="D687"/>
      <c r="E687"/>
      <c r="F687" s="27" t="s">
        <v>7</v>
      </c>
      <c r="EG687" s="27" t="s">
        <v>8</v>
      </c>
      <c r="EJ687" s="27" t="s">
        <v>7</v>
      </c>
      <c r="EK687" s="27" t="s">
        <v>8</v>
      </c>
      <c r="EX687" s="27" t="s">
        <v>7</v>
      </c>
      <c r="EY687" s="27" t="s">
        <v>8</v>
      </c>
      <c r="KD687" s="27" t="s">
        <v>7</v>
      </c>
      <c r="KE687" s="27" t="s">
        <v>8</v>
      </c>
    </row>
    <row r="688" spans="1:291" x14ac:dyDescent="0.25">
      <c r="A688" s="7">
        <v>0.1353264384291625</v>
      </c>
      <c r="B688"/>
      <c r="C688"/>
      <c r="D688"/>
      <c r="E688"/>
      <c r="F688" s="27" t="s">
        <v>7</v>
      </c>
      <c r="EG688" s="27" t="s">
        <v>8</v>
      </c>
      <c r="EJ688" s="27" t="s">
        <v>7</v>
      </c>
      <c r="EK688" s="27" t="s">
        <v>8</v>
      </c>
      <c r="EX688" s="27" t="s">
        <v>7</v>
      </c>
      <c r="KD688" s="27" t="s">
        <v>7</v>
      </c>
      <c r="KE688" s="27" t="s">
        <v>8</v>
      </c>
    </row>
    <row r="689" spans="1:291" x14ac:dyDescent="0.25">
      <c r="A689" s="7">
        <v>0.13267297885212009</v>
      </c>
      <c r="B689"/>
      <c r="C689"/>
      <c r="D689"/>
      <c r="E689"/>
      <c r="F689" s="27" t="s">
        <v>7</v>
      </c>
      <c r="EG689" s="27" t="s">
        <v>8</v>
      </c>
      <c r="EJ689" s="27" t="s">
        <v>7</v>
      </c>
      <c r="KD689" s="27" t="s">
        <v>7</v>
      </c>
      <c r="KE689" s="27" t="s">
        <v>8</v>
      </c>
    </row>
    <row r="690" spans="1:291" x14ac:dyDescent="0.25">
      <c r="A690" s="7">
        <v>0.13007154789423539</v>
      </c>
      <c r="B690"/>
      <c r="C690"/>
      <c r="D690"/>
      <c r="E690"/>
      <c r="F690" s="27" t="s">
        <v>7</v>
      </c>
      <c r="EG690" s="27" t="s">
        <v>8</v>
      </c>
      <c r="KD690" s="27" t="s">
        <v>7</v>
      </c>
      <c r="KE690" s="27" t="s">
        <v>8</v>
      </c>
    </row>
    <row r="691" spans="1:291" x14ac:dyDescent="0.25">
      <c r="A691" s="7">
        <v>0.12752112538650529</v>
      </c>
      <c r="B691"/>
      <c r="C691"/>
      <c r="D691"/>
      <c r="E691"/>
      <c r="F691" s="27" t="s">
        <v>7</v>
      </c>
      <c r="EE691" s="27" t="s">
        <v>8</v>
      </c>
      <c r="EG691" s="27" t="s">
        <v>8</v>
      </c>
      <c r="KD691" s="27" t="s">
        <v>7</v>
      </c>
      <c r="KE691" s="27" t="s">
        <v>8</v>
      </c>
    </row>
    <row r="692" spans="1:291" x14ac:dyDescent="0.25">
      <c r="A692" s="7">
        <v>0.12502071116324048</v>
      </c>
      <c r="B692"/>
      <c r="C692"/>
      <c r="D692"/>
      <c r="E692"/>
      <c r="F692" s="27" t="s">
        <v>7</v>
      </c>
      <c r="EE692" s="27" t="s">
        <v>8</v>
      </c>
      <c r="EF692" s="27" t="s">
        <v>7</v>
      </c>
      <c r="EG692" s="27" t="s">
        <v>8</v>
      </c>
      <c r="KD692" s="27" t="s">
        <v>7</v>
      </c>
      <c r="KE692" s="27" t="s">
        <v>8</v>
      </c>
    </row>
    <row r="693" spans="1:291" x14ac:dyDescent="0.25">
      <c r="A693" s="7">
        <v>0.1225693246698436</v>
      </c>
      <c r="B693"/>
      <c r="C693"/>
      <c r="D693"/>
      <c r="E693"/>
      <c r="F693" s="27" t="s">
        <v>7</v>
      </c>
      <c r="EC693" s="27" t="s">
        <v>8</v>
      </c>
      <c r="EE693" s="27" t="s">
        <v>8</v>
      </c>
      <c r="EF693" s="27" t="s">
        <v>7</v>
      </c>
      <c r="EG693" s="27" t="s">
        <v>8</v>
      </c>
      <c r="KD693" s="27" t="s">
        <v>7</v>
      </c>
      <c r="KE693" s="27" t="s">
        <v>8</v>
      </c>
    </row>
    <row r="694" spans="1:291" x14ac:dyDescent="0.25">
      <c r="A694" s="7">
        <v>0.12016600457827803</v>
      </c>
      <c r="B694"/>
      <c r="C694"/>
      <c r="D694"/>
      <c r="E694"/>
      <c r="F694" s="27" t="s">
        <v>7</v>
      </c>
      <c r="EC694" s="27" t="s">
        <v>8</v>
      </c>
      <c r="ED694" s="27" t="s">
        <v>7</v>
      </c>
      <c r="EE694" s="27" t="s">
        <v>8</v>
      </c>
      <c r="EF694" s="27" t="s">
        <v>7</v>
      </c>
      <c r="EG694" s="27" t="s">
        <v>8</v>
      </c>
      <c r="KD694" s="27" t="s">
        <v>7</v>
      </c>
      <c r="KE694" s="27" t="s">
        <v>8</v>
      </c>
    </row>
    <row r="695" spans="1:291" x14ac:dyDescent="0.25">
      <c r="A695" s="7">
        <v>0.1178098084100765</v>
      </c>
      <c r="B695"/>
      <c r="C695"/>
      <c r="D695"/>
      <c r="E695"/>
      <c r="F695" s="27" t="s">
        <v>7</v>
      </c>
      <c r="EC695" s="27" t="s">
        <v>8</v>
      </c>
      <c r="ED695" s="27" t="s">
        <v>7</v>
      </c>
      <c r="EE695" s="27" t="s">
        <v>8</v>
      </c>
      <c r="EF695" s="27" t="s">
        <v>7</v>
      </c>
      <c r="EG695" s="27" t="s">
        <v>8</v>
      </c>
      <c r="KD695" s="27" t="s">
        <v>7</v>
      </c>
      <c r="KE695" s="27" t="s">
        <v>8</v>
      </c>
    </row>
    <row r="696" spans="1:291" x14ac:dyDescent="0.25">
      <c r="A696" s="7">
        <v>0.11549981216674166</v>
      </c>
      <c r="B696"/>
      <c r="C696"/>
      <c r="D696"/>
      <c r="E696"/>
      <c r="F696" s="27" t="s">
        <v>7</v>
      </c>
      <c r="EC696" s="27" t="s">
        <v>8</v>
      </c>
      <c r="ED696" s="27" t="s">
        <v>7</v>
      </c>
      <c r="EE696" s="27" t="s">
        <v>8</v>
      </c>
      <c r="EF696" s="27" t="s">
        <v>7</v>
      </c>
      <c r="KD696" s="27" t="s">
        <v>7</v>
      </c>
      <c r="KE696" s="27" t="s">
        <v>8</v>
      </c>
    </row>
    <row r="697" spans="1:291" x14ac:dyDescent="0.25">
      <c r="A697" s="7">
        <v>0.11323510996739378</v>
      </c>
      <c r="B697"/>
      <c r="C697"/>
      <c r="D697"/>
      <c r="E697"/>
      <c r="F697" s="27" t="s">
        <v>7</v>
      </c>
      <c r="EC697" s="27" t="s">
        <v>8</v>
      </c>
      <c r="ED697" s="27" t="s">
        <v>7</v>
      </c>
      <c r="KD697" s="27" t="s">
        <v>7</v>
      </c>
      <c r="KE697" s="27" t="s">
        <v>8</v>
      </c>
    </row>
    <row r="698" spans="1:291" x14ac:dyDescent="0.25">
      <c r="A698" s="7">
        <v>0.11101481369352331</v>
      </c>
      <c r="B698"/>
      <c r="C698"/>
      <c r="D698"/>
      <c r="E698"/>
      <c r="F698" s="27" t="s">
        <v>7</v>
      </c>
      <c r="EC698" s="27" t="s">
        <v>8</v>
      </c>
      <c r="KD698" s="27" t="s">
        <v>7</v>
      </c>
      <c r="KE698" s="27" t="s">
        <v>8</v>
      </c>
    </row>
    <row r="699" spans="1:291" x14ac:dyDescent="0.25">
      <c r="A699" s="7">
        <v>0.10883805264070913</v>
      </c>
      <c r="B699"/>
      <c r="C699"/>
      <c r="D699"/>
      <c r="E699"/>
      <c r="F699" s="27" t="s">
        <v>7</v>
      </c>
      <c r="DS699" s="27" t="s">
        <v>8</v>
      </c>
      <c r="EC699" s="27" t="s">
        <v>8</v>
      </c>
      <c r="KD699" s="27" t="s">
        <v>7</v>
      </c>
      <c r="KE699" s="27" t="s">
        <v>8</v>
      </c>
    </row>
    <row r="700" spans="1:291" x14ac:dyDescent="0.25">
      <c r="A700" s="7">
        <v>0.10670397317716582</v>
      </c>
      <c r="B700"/>
      <c r="C700"/>
      <c r="D700"/>
      <c r="E700"/>
      <c r="F700" s="27" t="s">
        <v>7</v>
      </c>
      <c r="DS700" s="27" t="s">
        <v>8</v>
      </c>
      <c r="DT700" s="27" t="s">
        <v>7</v>
      </c>
      <c r="EA700" s="27" t="s">
        <v>8</v>
      </c>
      <c r="EC700" s="27" t="s">
        <v>8</v>
      </c>
      <c r="KD700" s="27" t="s">
        <v>7</v>
      </c>
      <c r="KE700" s="27" t="s">
        <v>8</v>
      </c>
    </row>
    <row r="701" spans="1:291" x14ac:dyDescent="0.25">
      <c r="A701" s="7">
        <v>0.1046117384089861</v>
      </c>
      <c r="B701"/>
      <c r="C701"/>
      <c r="D701"/>
      <c r="E701"/>
      <c r="F701" s="27" t="s">
        <v>7</v>
      </c>
      <c r="DS701" s="27" t="s">
        <v>8</v>
      </c>
      <c r="DT701" s="27" t="s">
        <v>7</v>
      </c>
      <c r="EA701" s="27" t="s">
        <v>8</v>
      </c>
      <c r="EB701" s="27" t="s">
        <v>7</v>
      </c>
      <c r="EC701" s="27" t="s">
        <v>8</v>
      </c>
      <c r="KD701" s="27" t="s">
        <v>7</v>
      </c>
      <c r="KE701" s="27" t="s">
        <v>8</v>
      </c>
    </row>
    <row r="702" spans="1:291" x14ac:dyDescent="0.25">
      <c r="A702" s="7">
        <v>0.10256052785194716</v>
      </c>
      <c r="B702"/>
      <c r="C702"/>
      <c r="D702"/>
      <c r="E702"/>
      <c r="F702" s="27" t="s">
        <v>7</v>
      </c>
      <c r="DS702" s="27" t="s">
        <v>8</v>
      </c>
      <c r="DT702" s="27" t="s">
        <v>7</v>
      </c>
      <c r="EA702" s="27" t="s">
        <v>8</v>
      </c>
      <c r="EB702" s="27" t="s">
        <v>7</v>
      </c>
      <c r="EC702" s="27" t="s">
        <v>8</v>
      </c>
      <c r="KD702" s="27" t="s">
        <v>7</v>
      </c>
      <c r="KE702" s="27" t="s">
        <v>8</v>
      </c>
    </row>
    <row r="703" spans="1:291" x14ac:dyDescent="0.25">
      <c r="A703" s="7">
        <v>0.10054953710975212</v>
      </c>
      <c r="B703"/>
      <c r="C703"/>
      <c r="D703"/>
      <c r="E703"/>
      <c r="F703" s="27" t="s">
        <v>7</v>
      </c>
      <c r="DS703" s="27" t="s">
        <v>8</v>
      </c>
      <c r="DT703" s="27" t="s">
        <v>7</v>
      </c>
      <c r="EA703" s="27" t="s">
        <v>8</v>
      </c>
      <c r="EB703" s="27" t="s">
        <v>7</v>
      </c>
      <c r="EC703" s="27" t="s">
        <v>8</v>
      </c>
      <c r="KD703" s="27" t="s">
        <v>7</v>
      </c>
      <c r="KE703" s="27" t="s">
        <v>8</v>
      </c>
    </row>
    <row r="704" spans="1:291" x14ac:dyDescent="0.25">
      <c r="A704" s="7">
        <v>9.8577977558580512E-2</v>
      </c>
      <c r="B704"/>
      <c r="C704"/>
      <c r="D704"/>
      <c r="E704"/>
      <c r="F704" s="27" t="s">
        <v>7</v>
      </c>
      <c r="DS704" s="27" t="s">
        <v>8</v>
      </c>
      <c r="DT704" s="27" t="s">
        <v>7</v>
      </c>
      <c r="DW704" s="27" t="s">
        <v>8</v>
      </c>
      <c r="EA704" s="27" t="s">
        <v>8</v>
      </c>
      <c r="EB704" s="27" t="s">
        <v>7</v>
      </c>
      <c r="EC704" s="27" t="s">
        <v>8</v>
      </c>
      <c r="KD704" s="27" t="s">
        <v>7</v>
      </c>
      <c r="KE704" s="27" t="s">
        <v>8</v>
      </c>
    </row>
    <row r="705" spans="1:291" x14ac:dyDescent="0.25">
      <c r="A705" s="7">
        <v>9.6645076037824032E-2</v>
      </c>
      <c r="B705"/>
      <c r="C705"/>
      <c r="D705"/>
      <c r="E705"/>
      <c r="F705" s="27" t="s">
        <v>7</v>
      </c>
      <c r="DS705" s="27" t="s">
        <v>8</v>
      </c>
      <c r="DT705" s="27" t="s">
        <v>7</v>
      </c>
      <c r="DU705" s="27" t="s">
        <v>8</v>
      </c>
      <c r="DW705" s="27" t="s">
        <v>8</v>
      </c>
      <c r="DX705" s="27" t="s">
        <v>7</v>
      </c>
      <c r="DY705" s="27" t="s">
        <v>8</v>
      </c>
      <c r="EA705" s="27" t="s">
        <v>8</v>
      </c>
      <c r="EB705" s="27" t="s">
        <v>7</v>
      </c>
      <c r="EC705" s="27" t="s">
        <v>8</v>
      </c>
      <c r="KD705" s="27" t="s">
        <v>7</v>
      </c>
      <c r="KE705" s="27" t="s">
        <v>8</v>
      </c>
    </row>
    <row r="706" spans="1:291" x14ac:dyDescent="0.25">
      <c r="A706" s="7">
        <v>9.4750074546886304E-2</v>
      </c>
      <c r="B706"/>
      <c r="C706"/>
      <c r="D706"/>
      <c r="E706"/>
      <c r="F706" s="27" t="s">
        <v>7</v>
      </c>
      <c r="DQ706" s="27" t="s">
        <v>8</v>
      </c>
      <c r="DS706" s="27" t="s">
        <v>8</v>
      </c>
      <c r="DT706" s="27" t="s">
        <v>7</v>
      </c>
      <c r="DU706" s="27" t="s">
        <v>8</v>
      </c>
      <c r="DV706" s="27" t="s">
        <v>7</v>
      </c>
      <c r="DW706" s="27" t="s">
        <v>8</v>
      </c>
      <c r="DX706" s="27" t="s">
        <v>7</v>
      </c>
      <c r="DY706" s="27" t="s">
        <v>8</v>
      </c>
      <c r="DZ706" s="27" t="s">
        <v>7</v>
      </c>
      <c r="EA706" s="27" t="s">
        <v>8</v>
      </c>
      <c r="EB706" s="27" t="s">
        <v>7</v>
      </c>
      <c r="EC706" s="27" t="s">
        <v>8</v>
      </c>
      <c r="KD706" s="27" t="s">
        <v>7</v>
      </c>
      <c r="KE706" s="27" t="s">
        <v>8</v>
      </c>
    </row>
    <row r="707" spans="1:291" x14ac:dyDescent="0.25">
      <c r="A707" s="7">
        <v>9.2892229947927743E-2</v>
      </c>
      <c r="B707"/>
      <c r="C707"/>
      <c r="D707"/>
      <c r="E707"/>
      <c r="F707" s="27" t="s">
        <v>7</v>
      </c>
      <c r="DQ707" s="27" t="s">
        <v>8</v>
      </c>
      <c r="DR707" s="27" t="s">
        <v>7</v>
      </c>
      <c r="DS707" s="27" t="s">
        <v>8</v>
      </c>
      <c r="DT707" s="27" t="s">
        <v>7</v>
      </c>
      <c r="DU707" s="27" t="s">
        <v>8</v>
      </c>
      <c r="DV707" s="27" t="s">
        <v>7</v>
      </c>
      <c r="DW707" s="27" t="s">
        <v>8</v>
      </c>
      <c r="DX707" s="27" t="s">
        <v>7</v>
      </c>
      <c r="DY707" s="27" t="s">
        <v>8</v>
      </c>
      <c r="DZ707" s="27" t="s">
        <v>7</v>
      </c>
      <c r="EA707" s="27" t="s">
        <v>8</v>
      </c>
      <c r="EB707" s="27" t="s">
        <v>7</v>
      </c>
      <c r="EC707" s="27" t="s">
        <v>8</v>
      </c>
      <c r="KD707" s="27" t="s">
        <v>7</v>
      </c>
      <c r="KE707" s="27" t="s">
        <v>8</v>
      </c>
    </row>
    <row r="708" spans="1:291" x14ac:dyDescent="0.25">
      <c r="A708" s="7">
        <v>9.1070813674438963E-2</v>
      </c>
      <c r="B708"/>
      <c r="C708"/>
      <c r="D708"/>
      <c r="E708"/>
      <c r="F708" s="27" t="s">
        <v>7</v>
      </c>
      <c r="DQ708" s="27" t="s">
        <v>8</v>
      </c>
      <c r="DR708" s="27" t="s">
        <v>7</v>
      </c>
      <c r="DS708" s="27" t="s">
        <v>8</v>
      </c>
      <c r="DT708" s="27" t="s">
        <v>7</v>
      </c>
      <c r="DU708" s="27" t="s">
        <v>8</v>
      </c>
      <c r="DV708" s="27" t="s">
        <v>7</v>
      </c>
      <c r="DW708" s="27" t="s">
        <v>8</v>
      </c>
      <c r="DX708" s="27" t="s">
        <v>7</v>
      </c>
      <c r="DY708" s="27" t="s">
        <v>8</v>
      </c>
      <c r="DZ708" s="27" t="s">
        <v>7</v>
      </c>
      <c r="EA708" s="27" t="s">
        <v>8</v>
      </c>
      <c r="EB708" s="27" t="s">
        <v>7</v>
      </c>
      <c r="EC708" s="27" t="s">
        <v>8</v>
      </c>
      <c r="KD708" s="27" t="s">
        <v>7</v>
      </c>
      <c r="KE708" s="27" t="s">
        <v>8</v>
      </c>
    </row>
    <row r="709" spans="1:291" x14ac:dyDescent="0.25">
      <c r="A709" s="7">
        <v>8.9285111445528392E-2</v>
      </c>
      <c r="B709"/>
      <c r="C709"/>
      <c r="D709"/>
      <c r="E709"/>
      <c r="F709" s="27" t="s">
        <v>7</v>
      </c>
      <c r="DO709" s="27" t="s">
        <v>8</v>
      </c>
      <c r="DQ709" s="27" t="s">
        <v>8</v>
      </c>
      <c r="DR709" s="27" t="s">
        <v>7</v>
      </c>
      <c r="DS709" s="27" t="s">
        <v>8</v>
      </c>
      <c r="DT709" s="27" t="s">
        <v>7</v>
      </c>
      <c r="DU709" s="27" t="s">
        <v>8</v>
      </c>
      <c r="DV709" s="27" t="s">
        <v>7</v>
      </c>
      <c r="DW709" s="27" t="s">
        <v>8</v>
      </c>
      <c r="DX709" s="27" t="s">
        <v>7</v>
      </c>
      <c r="DY709" s="27" t="s">
        <v>8</v>
      </c>
      <c r="DZ709" s="27" t="s">
        <v>7</v>
      </c>
      <c r="EA709" s="27" t="s">
        <v>8</v>
      </c>
      <c r="EB709" s="27" t="s">
        <v>7</v>
      </c>
      <c r="EC709" s="27" t="s">
        <v>8</v>
      </c>
      <c r="KD709" s="27" t="s">
        <v>7</v>
      </c>
      <c r="KE709" s="27" t="s">
        <v>8</v>
      </c>
    </row>
    <row r="710" spans="1:291" x14ac:dyDescent="0.25">
      <c r="A710" s="7">
        <v>8.7534422985812155E-2</v>
      </c>
      <c r="B710"/>
      <c r="C710"/>
      <c r="D710"/>
      <c r="E710"/>
      <c r="F710" s="27" t="s">
        <v>7</v>
      </c>
      <c r="DO710" s="27" t="s">
        <v>8</v>
      </c>
      <c r="DP710" s="27" t="s">
        <v>7</v>
      </c>
      <c r="DQ710" s="27" t="s">
        <v>8</v>
      </c>
      <c r="DR710" s="27" t="s">
        <v>7</v>
      </c>
      <c r="DS710" s="27" t="s">
        <v>8</v>
      </c>
      <c r="DT710" s="27" t="s">
        <v>7</v>
      </c>
      <c r="DV710" s="27" t="s">
        <v>7</v>
      </c>
      <c r="DX710" s="27" t="s">
        <v>7</v>
      </c>
      <c r="DY710" s="27" t="s">
        <v>8</v>
      </c>
      <c r="DZ710" s="27" t="s">
        <v>7</v>
      </c>
      <c r="EA710" s="27" t="s">
        <v>8</v>
      </c>
      <c r="EB710" s="27" t="s">
        <v>7</v>
      </c>
      <c r="KD710" s="27" t="s">
        <v>7</v>
      </c>
      <c r="KE710" s="27" t="s">
        <v>8</v>
      </c>
    </row>
    <row r="711" spans="1:291" x14ac:dyDescent="0.25">
      <c r="A711" s="7">
        <v>8.5818061750796232E-2</v>
      </c>
      <c r="B711"/>
      <c r="C711"/>
      <c r="D711"/>
      <c r="E711"/>
      <c r="F711" s="27" t="s">
        <v>7</v>
      </c>
      <c r="CE711" s="27" t="s">
        <v>8</v>
      </c>
      <c r="CG711" s="27" t="s">
        <v>8</v>
      </c>
      <c r="DO711" s="27" t="s">
        <v>8</v>
      </c>
      <c r="DP711" s="27" t="s">
        <v>7</v>
      </c>
      <c r="DQ711" s="27" t="s">
        <v>8</v>
      </c>
      <c r="DR711" s="27" t="s">
        <v>7</v>
      </c>
      <c r="DS711" s="27" t="s">
        <v>8</v>
      </c>
      <c r="DX711" s="27" t="s">
        <v>7</v>
      </c>
      <c r="DY711" s="27" t="s">
        <v>8</v>
      </c>
      <c r="DZ711" s="27" t="s">
        <v>7</v>
      </c>
      <c r="EA711" s="27" t="s">
        <v>8</v>
      </c>
      <c r="KD711" s="27" t="s">
        <v>7</v>
      </c>
      <c r="KE711" s="27" t="s">
        <v>8</v>
      </c>
    </row>
    <row r="712" spans="1:291" x14ac:dyDescent="0.25">
      <c r="A712" s="7">
        <v>8.4135354657643366E-2</v>
      </c>
      <c r="B712"/>
      <c r="C712"/>
      <c r="D712"/>
      <c r="E712"/>
      <c r="F712" s="27" t="s">
        <v>7</v>
      </c>
      <c r="CE712" s="27" t="s">
        <v>8</v>
      </c>
      <c r="CF712" s="27" t="s">
        <v>7</v>
      </c>
      <c r="CG712" s="27" t="s">
        <v>8</v>
      </c>
      <c r="CH712" s="27" t="s">
        <v>7</v>
      </c>
      <c r="DO712" s="27" t="s">
        <v>8</v>
      </c>
      <c r="DP712" s="27" t="s">
        <v>7</v>
      </c>
      <c r="DQ712" s="27" t="s">
        <v>8</v>
      </c>
      <c r="DR712" s="27" t="s">
        <v>7</v>
      </c>
      <c r="DX712" s="27" t="s">
        <v>7</v>
      </c>
      <c r="DY712" s="27" t="s">
        <v>8</v>
      </c>
      <c r="DZ712" s="27" t="s">
        <v>7</v>
      </c>
      <c r="EA712" s="27" t="s">
        <v>8</v>
      </c>
      <c r="KD712" s="27" t="s">
        <v>7</v>
      </c>
      <c r="KE712" s="27" t="s">
        <v>8</v>
      </c>
    </row>
    <row r="713" spans="1:291" x14ac:dyDescent="0.25">
      <c r="A713" s="7">
        <v>8.248564182121898E-2</v>
      </c>
      <c r="B713"/>
      <c r="C713"/>
      <c r="D713"/>
      <c r="E713"/>
      <c r="F713" s="27" t="s">
        <v>7</v>
      </c>
      <c r="CE713" s="27" t="s">
        <v>8</v>
      </c>
      <c r="CF713" s="27" t="s">
        <v>7</v>
      </c>
      <c r="CG713" s="27" t="s">
        <v>8</v>
      </c>
      <c r="CH713" s="27" t="s">
        <v>7</v>
      </c>
      <c r="DO713" s="27" t="s">
        <v>8</v>
      </c>
      <c r="DP713" s="27" t="s">
        <v>7</v>
      </c>
      <c r="DX713" s="27" t="s">
        <v>7</v>
      </c>
      <c r="DY713" s="27" t="s">
        <v>8</v>
      </c>
      <c r="DZ713" s="27" t="s">
        <v>7</v>
      </c>
      <c r="KD713" s="27" t="s">
        <v>7</v>
      </c>
      <c r="KE713" s="27" t="s">
        <v>8</v>
      </c>
    </row>
    <row r="714" spans="1:291" x14ac:dyDescent="0.25">
      <c r="A714" s="7">
        <v>8.0868276295312735E-2</v>
      </c>
      <c r="B714"/>
      <c r="C714"/>
      <c r="D714"/>
      <c r="E714"/>
      <c r="F714" s="27" t="s">
        <v>7</v>
      </c>
      <c r="CE714" s="27" t="s">
        <v>8</v>
      </c>
      <c r="CF714" s="27" t="s">
        <v>7</v>
      </c>
      <c r="CG714" s="27" t="s">
        <v>8</v>
      </c>
      <c r="CH714" s="27" t="s">
        <v>7</v>
      </c>
      <c r="DI714" s="27" t="s">
        <v>8</v>
      </c>
      <c r="DK714" s="27" t="s">
        <v>8</v>
      </c>
      <c r="DO714" s="27" t="s">
        <v>8</v>
      </c>
      <c r="DX714" s="27" t="s">
        <v>7</v>
      </c>
      <c r="KD714" s="27" t="s">
        <v>7</v>
      </c>
      <c r="KE714" s="27" t="s">
        <v>8</v>
      </c>
    </row>
    <row r="715" spans="1:291" x14ac:dyDescent="0.25">
      <c r="A715" s="7">
        <v>7.9282623818934056E-2</v>
      </c>
      <c r="B715"/>
      <c r="C715"/>
      <c r="D715"/>
      <c r="E715"/>
      <c r="F715" s="27" t="s">
        <v>7</v>
      </c>
      <c r="CE715" s="27" t="s">
        <v>8</v>
      </c>
      <c r="CF715" s="27" t="s">
        <v>7</v>
      </c>
      <c r="CG715" s="27" t="s">
        <v>8</v>
      </c>
      <c r="CH715" s="27" t="s">
        <v>7</v>
      </c>
      <c r="DI715" s="27" t="s">
        <v>8</v>
      </c>
      <c r="DJ715" s="27" t="s">
        <v>7</v>
      </c>
      <c r="DK715" s="27" t="s">
        <v>8</v>
      </c>
      <c r="DL715" s="27" t="s">
        <v>7</v>
      </c>
      <c r="DM715" s="27" t="s">
        <v>8</v>
      </c>
      <c r="DO715" s="27" t="s">
        <v>8</v>
      </c>
      <c r="KD715" s="27" t="s">
        <v>7</v>
      </c>
      <c r="KE715" s="27" t="s">
        <v>8</v>
      </c>
    </row>
    <row r="716" spans="1:291" x14ac:dyDescent="0.25">
      <c r="A716" s="7">
        <v>7.7728062567582412E-2</v>
      </c>
      <c r="B716"/>
      <c r="C716"/>
      <c r="D716"/>
      <c r="E716"/>
      <c r="F716" s="27" t="s">
        <v>7</v>
      </c>
      <c r="CE716" s="27" t="s">
        <v>8</v>
      </c>
      <c r="CF716" s="27" t="s">
        <v>7</v>
      </c>
      <c r="CG716" s="27" t="s">
        <v>8</v>
      </c>
      <c r="CH716" s="27" t="s">
        <v>7</v>
      </c>
      <c r="DI716" s="27" t="s">
        <v>8</v>
      </c>
      <c r="DJ716" s="27" t="s">
        <v>7</v>
      </c>
      <c r="DK716" s="27" t="s">
        <v>8</v>
      </c>
      <c r="DL716" s="27" t="s">
        <v>7</v>
      </c>
      <c r="DM716" s="27" t="s">
        <v>8</v>
      </c>
      <c r="DN716" s="27" t="s">
        <v>7</v>
      </c>
      <c r="DO716" s="27" t="s">
        <v>8</v>
      </c>
      <c r="KD716" s="27" t="s">
        <v>7</v>
      </c>
      <c r="KE716" s="27" t="s">
        <v>8</v>
      </c>
    </row>
    <row r="717" spans="1:291" x14ac:dyDescent="0.25">
      <c r="A717" s="7">
        <v>7.6203982909394521E-2</v>
      </c>
      <c r="B717"/>
      <c r="C717"/>
      <c r="D717"/>
      <c r="E717"/>
      <c r="F717" s="27" t="s">
        <v>7</v>
      </c>
      <c r="CE717" s="27" t="s">
        <v>8</v>
      </c>
      <c r="CF717" s="27" t="s">
        <v>7</v>
      </c>
      <c r="CG717" s="27" t="s">
        <v>8</v>
      </c>
      <c r="CH717" s="27" t="s">
        <v>7</v>
      </c>
      <c r="DI717" s="27" t="s">
        <v>8</v>
      </c>
      <c r="DJ717" s="27" t="s">
        <v>7</v>
      </c>
      <c r="DK717" s="27" t="s">
        <v>8</v>
      </c>
      <c r="DL717" s="27" t="s">
        <v>7</v>
      </c>
      <c r="DM717" s="27" t="s">
        <v>8</v>
      </c>
      <c r="DN717" s="27" t="s">
        <v>7</v>
      </c>
      <c r="DO717" s="27" t="s">
        <v>8</v>
      </c>
      <c r="KD717" s="27" t="s">
        <v>7</v>
      </c>
      <c r="KE717" s="27" t="s">
        <v>8</v>
      </c>
    </row>
    <row r="718" spans="1:291" x14ac:dyDescent="0.25">
      <c r="A718" s="7">
        <v>7.4709787166073058E-2</v>
      </c>
      <c r="B718"/>
      <c r="C718"/>
      <c r="D718"/>
      <c r="E718"/>
      <c r="F718" s="27" t="s">
        <v>7</v>
      </c>
      <c r="CE718" s="27" t="s">
        <v>8</v>
      </c>
      <c r="CF718" s="27" t="s">
        <v>7</v>
      </c>
      <c r="CG718" s="27" t="s">
        <v>8</v>
      </c>
      <c r="CH718" s="27" t="s">
        <v>7</v>
      </c>
      <c r="DI718" s="27" t="s">
        <v>8</v>
      </c>
      <c r="DJ718" s="27" t="s">
        <v>7</v>
      </c>
      <c r="DK718" s="27" t="s">
        <v>8</v>
      </c>
      <c r="DL718" s="27" t="s">
        <v>7</v>
      </c>
      <c r="DM718" s="27" t="s">
        <v>8</v>
      </c>
      <c r="DN718" s="27" t="s">
        <v>7</v>
      </c>
      <c r="DO718" s="27" t="s">
        <v>8</v>
      </c>
      <c r="KD718" s="27" t="s">
        <v>7</v>
      </c>
      <c r="KE718" s="27" t="s">
        <v>8</v>
      </c>
    </row>
    <row r="719" spans="1:291" x14ac:dyDescent="0.25">
      <c r="A719" s="7">
        <v>7.3244889378503E-2</v>
      </c>
      <c r="B719"/>
      <c r="C719"/>
      <c r="D719"/>
      <c r="E719"/>
      <c r="F719" s="27" t="s">
        <v>7</v>
      </c>
      <c r="CE719" s="27" t="s">
        <v>8</v>
      </c>
      <c r="CF719" s="27" t="s">
        <v>7</v>
      </c>
      <c r="CG719" s="27" t="s">
        <v>8</v>
      </c>
      <c r="CH719" s="27" t="s">
        <v>7</v>
      </c>
      <c r="DC719" s="27" t="s">
        <v>8</v>
      </c>
      <c r="DI719" s="27" t="s">
        <v>8</v>
      </c>
      <c r="DJ719" s="27" t="s">
        <v>7</v>
      </c>
      <c r="DK719" s="27" t="s">
        <v>8</v>
      </c>
      <c r="DL719" s="27" t="s">
        <v>7</v>
      </c>
      <c r="DN719" s="27" t="s">
        <v>7</v>
      </c>
      <c r="KD719" s="27" t="s">
        <v>7</v>
      </c>
      <c r="KE719" s="27" t="s">
        <v>8</v>
      </c>
    </row>
    <row r="720" spans="1:291" x14ac:dyDescent="0.25">
      <c r="A720" s="7">
        <v>7.1808715076963722E-2</v>
      </c>
      <c r="B720"/>
      <c r="C720"/>
      <c r="D720"/>
      <c r="E720"/>
      <c r="F720" s="27" t="s">
        <v>7</v>
      </c>
      <c r="CE720" s="27" t="s">
        <v>8</v>
      </c>
      <c r="CF720" s="27" t="s">
        <v>7</v>
      </c>
      <c r="CG720" s="27" t="s">
        <v>8</v>
      </c>
      <c r="CH720" s="27" t="s">
        <v>7</v>
      </c>
      <c r="DC720" s="27" t="s">
        <v>8</v>
      </c>
      <c r="DD720" s="27" t="s">
        <v>7</v>
      </c>
      <c r="DI720" s="27" t="s">
        <v>8</v>
      </c>
      <c r="DJ720" s="27" t="s">
        <v>7</v>
      </c>
      <c r="DK720" s="27" t="s">
        <v>8</v>
      </c>
      <c r="KD720" s="27" t="s">
        <v>7</v>
      </c>
      <c r="KE720" s="27" t="s">
        <v>8</v>
      </c>
    </row>
    <row r="721" spans="1:291" x14ac:dyDescent="0.25">
      <c r="A721" s="7">
        <v>7.0400701055846782E-2</v>
      </c>
      <c r="B721"/>
      <c r="C721"/>
      <c r="D721"/>
      <c r="E721"/>
      <c r="F721" s="27" t="s">
        <v>7</v>
      </c>
      <c r="CE721" s="27" t="s">
        <v>8</v>
      </c>
      <c r="CF721" s="27" t="s">
        <v>7</v>
      </c>
      <c r="CG721" s="27" t="s">
        <v>8</v>
      </c>
      <c r="CH721" s="27" t="s">
        <v>7</v>
      </c>
      <c r="DC721" s="27" t="s">
        <v>8</v>
      </c>
      <c r="DD721" s="27" t="s">
        <v>7</v>
      </c>
      <c r="DG721" s="27" t="s">
        <v>8</v>
      </c>
      <c r="DI721" s="27" t="s">
        <v>8</v>
      </c>
      <c r="DJ721" s="27" t="s">
        <v>7</v>
      </c>
      <c r="DK721" s="27" t="s">
        <v>8</v>
      </c>
      <c r="KD721" s="27" t="s">
        <v>7</v>
      </c>
      <c r="KE721" s="27" t="s">
        <v>8</v>
      </c>
    </row>
    <row r="722" spans="1:291" x14ac:dyDescent="0.25">
      <c r="A722" s="7">
        <v>6.9020295152790956E-2</v>
      </c>
      <c r="B722"/>
      <c r="C722"/>
      <c r="D722"/>
      <c r="E722"/>
      <c r="F722" s="27" t="s">
        <v>7</v>
      </c>
      <c r="M722" s="27" t="s">
        <v>8</v>
      </c>
      <c r="O722" s="27" t="s">
        <v>8</v>
      </c>
      <c r="BS722" s="27" t="s">
        <v>8</v>
      </c>
      <c r="BU722" s="27" t="s">
        <v>8</v>
      </c>
      <c r="CE722" s="27" t="s">
        <v>8</v>
      </c>
      <c r="CF722" s="27" t="s">
        <v>7</v>
      </c>
      <c r="CG722" s="27" t="s">
        <v>8</v>
      </c>
      <c r="CH722" s="27" t="s">
        <v>7</v>
      </c>
      <c r="DC722" s="27" t="s">
        <v>8</v>
      </c>
      <c r="DD722" s="27" t="s">
        <v>7</v>
      </c>
      <c r="DE722" s="27" t="s">
        <v>8</v>
      </c>
      <c r="DG722" s="27" t="s">
        <v>8</v>
      </c>
      <c r="DH722" s="27" t="s">
        <v>7</v>
      </c>
      <c r="DI722" s="27" t="s">
        <v>8</v>
      </c>
      <c r="DJ722" s="27" t="s">
        <v>7</v>
      </c>
      <c r="DK722" s="27" t="s">
        <v>8</v>
      </c>
      <c r="KD722" s="27" t="s">
        <v>7</v>
      </c>
      <c r="KE722" s="27" t="s">
        <v>8</v>
      </c>
    </row>
    <row r="723" spans="1:291" x14ac:dyDescent="0.25">
      <c r="A723" s="7">
        <v>6.7666956032147993E-2</v>
      </c>
      <c r="B723"/>
      <c r="C723"/>
      <c r="D723"/>
      <c r="E723"/>
      <c r="F723" s="27" t="s">
        <v>7</v>
      </c>
      <c r="M723" s="27" t="s">
        <v>8</v>
      </c>
      <c r="N723" s="27" t="s">
        <v>7</v>
      </c>
      <c r="O723" s="27" t="s">
        <v>8</v>
      </c>
      <c r="P723" s="27" t="s">
        <v>7</v>
      </c>
      <c r="BS723" s="27" t="s">
        <v>8</v>
      </c>
      <c r="BT723" s="27" t="s">
        <v>7</v>
      </c>
      <c r="BU723" s="27" t="s">
        <v>8</v>
      </c>
      <c r="BV723" s="27" t="s">
        <v>7</v>
      </c>
      <c r="CE723" s="27" t="s">
        <v>8</v>
      </c>
      <c r="CF723" s="27" t="s">
        <v>7</v>
      </c>
      <c r="CG723" s="27" t="s">
        <v>8</v>
      </c>
      <c r="CH723" s="27" t="s">
        <v>7</v>
      </c>
      <c r="DC723" s="27" t="s">
        <v>8</v>
      </c>
      <c r="DD723" s="27" t="s">
        <v>7</v>
      </c>
      <c r="DE723" s="27" t="s">
        <v>8</v>
      </c>
      <c r="DF723" s="27" t="s">
        <v>7</v>
      </c>
      <c r="DG723" s="27" t="s">
        <v>8</v>
      </c>
      <c r="DH723" s="27" t="s">
        <v>7</v>
      </c>
      <c r="DI723" s="27" t="s">
        <v>8</v>
      </c>
      <c r="DJ723" s="27" t="s">
        <v>7</v>
      </c>
      <c r="DK723" s="27" t="s">
        <v>8</v>
      </c>
      <c r="KD723" s="27" t="s">
        <v>7</v>
      </c>
      <c r="KE723" s="27" t="s">
        <v>8</v>
      </c>
    </row>
    <row r="724" spans="1:291" x14ac:dyDescent="0.25">
      <c r="A724" s="7">
        <v>6.6340152972694105E-2</v>
      </c>
      <c r="B724"/>
      <c r="C724"/>
      <c r="D724"/>
      <c r="E724"/>
      <c r="F724" s="27" t="s">
        <v>7</v>
      </c>
      <c r="M724" s="27" t="s">
        <v>8</v>
      </c>
      <c r="N724" s="27" t="s">
        <v>7</v>
      </c>
      <c r="O724" s="27" t="s">
        <v>8</v>
      </c>
      <c r="P724" s="27" t="s">
        <v>7</v>
      </c>
      <c r="BS724" s="27" t="s">
        <v>8</v>
      </c>
      <c r="BT724" s="27" t="s">
        <v>7</v>
      </c>
      <c r="BU724" s="27" t="s">
        <v>8</v>
      </c>
      <c r="BV724" s="27" t="s">
        <v>7</v>
      </c>
      <c r="BW724" s="27" t="s">
        <v>8</v>
      </c>
      <c r="CC724" s="27" t="s">
        <v>8</v>
      </c>
      <c r="CE724" s="27" t="s">
        <v>8</v>
      </c>
      <c r="CF724" s="27" t="s">
        <v>7</v>
      </c>
      <c r="CG724" s="27" t="s">
        <v>8</v>
      </c>
      <c r="CH724" s="27" t="s">
        <v>7</v>
      </c>
      <c r="DC724" s="27" t="s">
        <v>8</v>
      </c>
      <c r="DD724" s="27" t="s">
        <v>7</v>
      </c>
      <c r="DE724" s="27" t="s">
        <v>8</v>
      </c>
      <c r="DF724" s="27" t="s">
        <v>7</v>
      </c>
      <c r="DG724" s="27" t="s">
        <v>8</v>
      </c>
      <c r="DH724" s="27" t="s">
        <v>7</v>
      </c>
      <c r="DI724" s="27" t="s">
        <v>8</v>
      </c>
      <c r="DJ724" s="27" t="s">
        <v>7</v>
      </c>
      <c r="DK724" s="27" t="s">
        <v>8</v>
      </c>
      <c r="KD724" s="27" t="s">
        <v>7</v>
      </c>
      <c r="KE724" s="27" t="s">
        <v>8</v>
      </c>
    </row>
    <row r="725" spans="1:291" x14ac:dyDescent="0.25">
      <c r="A725" s="7">
        <v>6.5039365659504023E-2</v>
      </c>
      <c r="B725"/>
      <c r="C725"/>
      <c r="D725"/>
      <c r="E725"/>
      <c r="F725" s="27" t="s">
        <v>7</v>
      </c>
      <c r="M725" s="27" t="s">
        <v>8</v>
      </c>
      <c r="N725" s="27" t="s">
        <v>7</v>
      </c>
      <c r="O725" s="27" t="s">
        <v>8</v>
      </c>
      <c r="P725" s="27" t="s">
        <v>7</v>
      </c>
      <c r="Q725" s="27" t="s">
        <v>8</v>
      </c>
      <c r="BS725" s="27" t="s">
        <v>8</v>
      </c>
      <c r="BT725" s="27" t="s">
        <v>7</v>
      </c>
      <c r="BU725" s="27" t="s">
        <v>8</v>
      </c>
      <c r="BV725" s="27" t="s">
        <v>7</v>
      </c>
      <c r="BW725" s="27" t="s">
        <v>8</v>
      </c>
      <c r="BX725" s="27" t="s">
        <v>7</v>
      </c>
      <c r="BY725" s="27" t="s">
        <v>8</v>
      </c>
      <c r="CC725" s="27" t="s">
        <v>8</v>
      </c>
      <c r="CD725" s="27" t="s">
        <v>7</v>
      </c>
      <c r="CE725" s="27" t="s">
        <v>8</v>
      </c>
      <c r="CF725" s="27" t="s">
        <v>7</v>
      </c>
      <c r="CH725" s="27" t="s">
        <v>7</v>
      </c>
      <c r="DC725" s="27" t="s">
        <v>8</v>
      </c>
      <c r="DD725" s="27" t="s">
        <v>7</v>
      </c>
      <c r="DF725" s="27" t="s">
        <v>7</v>
      </c>
      <c r="DG725" s="27" t="s">
        <v>8</v>
      </c>
      <c r="DH725" s="27" t="s">
        <v>7</v>
      </c>
      <c r="DI725" s="27" t="s">
        <v>8</v>
      </c>
      <c r="DJ725" s="27" t="s">
        <v>7</v>
      </c>
      <c r="DK725" s="27" t="s">
        <v>8</v>
      </c>
      <c r="KD725" s="27" t="s">
        <v>7</v>
      </c>
      <c r="KE725" s="27" t="s">
        <v>8</v>
      </c>
    </row>
    <row r="726" spans="1:291" x14ac:dyDescent="0.25">
      <c r="A726" s="7">
        <v>6.3764083979905906E-2</v>
      </c>
      <c r="B726"/>
      <c r="C726"/>
      <c r="D726"/>
      <c r="E726"/>
      <c r="F726" s="27" t="s">
        <v>7</v>
      </c>
      <c r="M726" s="27" t="s">
        <v>8</v>
      </c>
      <c r="N726" s="27" t="s">
        <v>7</v>
      </c>
      <c r="O726" s="27" t="s">
        <v>8</v>
      </c>
      <c r="P726" s="27" t="s">
        <v>7</v>
      </c>
      <c r="Q726" s="27" t="s">
        <v>8</v>
      </c>
      <c r="R726" s="27" t="s">
        <v>7</v>
      </c>
      <c r="AC726" s="27" t="s">
        <v>8</v>
      </c>
      <c r="BQ726" s="27" t="s">
        <v>8</v>
      </c>
      <c r="BS726" s="27" t="s">
        <v>8</v>
      </c>
      <c r="BT726" s="27" t="s">
        <v>7</v>
      </c>
      <c r="BU726" s="27" t="s">
        <v>8</v>
      </c>
      <c r="BV726" s="27" t="s">
        <v>7</v>
      </c>
      <c r="BW726" s="27" t="s">
        <v>8</v>
      </c>
      <c r="BX726" s="27" t="s">
        <v>7</v>
      </c>
      <c r="BY726" s="27" t="s">
        <v>8</v>
      </c>
      <c r="BZ726" s="27" t="s">
        <v>7</v>
      </c>
      <c r="CC726" s="27" t="s">
        <v>8</v>
      </c>
      <c r="CD726" s="27" t="s">
        <v>7</v>
      </c>
      <c r="CE726" s="27" t="s">
        <v>8</v>
      </c>
      <c r="CH726" s="27" t="s">
        <v>7</v>
      </c>
      <c r="DA726" s="27" t="s">
        <v>8</v>
      </c>
      <c r="DC726" s="27" t="s">
        <v>8</v>
      </c>
      <c r="DF726" s="27" t="s">
        <v>7</v>
      </c>
      <c r="DG726" s="27" t="s">
        <v>8</v>
      </c>
      <c r="DH726" s="27" t="s">
        <v>7</v>
      </c>
      <c r="DI726" s="27" t="s">
        <v>8</v>
      </c>
      <c r="DJ726" s="27" t="s">
        <v>7</v>
      </c>
      <c r="KD726" s="27" t="s">
        <v>7</v>
      </c>
      <c r="KE726" s="27" t="s">
        <v>8</v>
      </c>
    </row>
    <row r="727" spans="1:291" x14ac:dyDescent="0.25">
      <c r="A727" s="7">
        <v>6.251380782343717E-2</v>
      </c>
      <c r="B727"/>
      <c r="C727"/>
      <c r="D727"/>
      <c r="E727"/>
      <c r="F727" s="27" t="s">
        <v>7</v>
      </c>
      <c r="M727" s="27" t="s">
        <v>8</v>
      </c>
      <c r="N727" s="27" t="s">
        <v>7</v>
      </c>
      <c r="O727" s="27" t="s">
        <v>8</v>
      </c>
      <c r="P727" s="27" t="s">
        <v>7</v>
      </c>
      <c r="Q727" s="27" t="s">
        <v>8</v>
      </c>
      <c r="R727" s="27" t="s">
        <v>7</v>
      </c>
      <c r="AC727" s="27" t="s">
        <v>8</v>
      </c>
      <c r="AD727" s="27" t="s">
        <v>7</v>
      </c>
      <c r="BQ727" s="27" t="s">
        <v>8</v>
      </c>
      <c r="BR727" s="27" t="s">
        <v>7</v>
      </c>
      <c r="BS727" s="27" t="s">
        <v>8</v>
      </c>
      <c r="BT727" s="27" t="s">
        <v>7</v>
      </c>
      <c r="BU727" s="27" t="s">
        <v>8</v>
      </c>
      <c r="BV727" s="27" t="s">
        <v>7</v>
      </c>
      <c r="BW727" s="27" t="s">
        <v>8</v>
      </c>
      <c r="BX727" s="27" t="s">
        <v>7</v>
      </c>
      <c r="BY727" s="27" t="s">
        <v>8</v>
      </c>
      <c r="BZ727" s="27" t="s">
        <v>7</v>
      </c>
      <c r="CC727" s="27" t="s">
        <v>8</v>
      </c>
      <c r="CD727" s="27" t="s">
        <v>7</v>
      </c>
      <c r="CE727" s="27" t="s">
        <v>8</v>
      </c>
      <c r="CH727" s="27" t="s">
        <v>7</v>
      </c>
      <c r="DA727" s="27" t="s">
        <v>8</v>
      </c>
      <c r="DB727" s="27" t="s">
        <v>7</v>
      </c>
      <c r="DC727" s="27" t="s">
        <v>8</v>
      </c>
      <c r="DF727" s="27" t="s">
        <v>7</v>
      </c>
      <c r="DG727" s="27" t="s">
        <v>8</v>
      </c>
      <c r="DH727" s="27" t="s">
        <v>7</v>
      </c>
      <c r="KD727" s="27" t="s">
        <v>7</v>
      </c>
      <c r="KE727" s="27" t="s">
        <v>8</v>
      </c>
    </row>
    <row r="728" spans="1:291" x14ac:dyDescent="0.25">
      <c r="A728" s="7">
        <v>6.1288046885722716E-2</v>
      </c>
      <c r="B728"/>
      <c r="C728"/>
      <c r="D728"/>
      <c r="E728"/>
      <c r="F728" s="27" t="s">
        <v>7</v>
      </c>
      <c r="M728" s="27" t="s">
        <v>8</v>
      </c>
      <c r="N728" s="27" t="s">
        <v>7</v>
      </c>
      <c r="O728" s="27" t="s">
        <v>8</v>
      </c>
      <c r="P728" s="27" t="s">
        <v>7</v>
      </c>
      <c r="Q728" s="27" t="s">
        <v>8</v>
      </c>
      <c r="R728" s="27" t="s">
        <v>7</v>
      </c>
      <c r="AC728" s="27" t="s">
        <v>8</v>
      </c>
      <c r="AD728" s="27" t="s">
        <v>7</v>
      </c>
      <c r="AI728" s="27" t="s">
        <v>8</v>
      </c>
      <c r="AK728" s="27" t="s">
        <v>8</v>
      </c>
      <c r="BO728" s="27" t="s">
        <v>8</v>
      </c>
      <c r="BQ728" s="27" t="s">
        <v>8</v>
      </c>
      <c r="BR728" s="27" t="s">
        <v>7</v>
      </c>
      <c r="BS728" s="27" t="s">
        <v>8</v>
      </c>
      <c r="BT728" s="27" t="s">
        <v>7</v>
      </c>
      <c r="BU728" s="27" t="s">
        <v>8</v>
      </c>
      <c r="BV728" s="27" t="s">
        <v>7</v>
      </c>
      <c r="BW728" s="27" t="s">
        <v>8</v>
      </c>
      <c r="BX728" s="27" t="s">
        <v>7</v>
      </c>
      <c r="BY728" s="27" t="s">
        <v>8</v>
      </c>
      <c r="BZ728" s="27" t="s">
        <v>7</v>
      </c>
      <c r="CC728" s="27" t="s">
        <v>8</v>
      </c>
      <c r="CD728" s="27" t="s">
        <v>7</v>
      </c>
      <c r="CH728" s="27" t="s">
        <v>7</v>
      </c>
      <c r="DA728" s="27" t="s">
        <v>8</v>
      </c>
      <c r="DB728" s="27" t="s">
        <v>7</v>
      </c>
      <c r="DC728" s="27" t="s">
        <v>8</v>
      </c>
      <c r="DF728" s="27" t="s">
        <v>7</v>
      </c>
      <c r="DG728" s="27" t="s">
        <v>8</v>
      </c>
      <c r="KD728" s="27" t="s">
        <v>7</v>
      </c>
      <c r="KE728" s="27" t="s">
        <v>8</v>
      </c>
    </row>
    <row r="729" spans="1:291" x14ac:dyDescent="0.25">
      <c r="A729" s="7">
        <v>6.0086320476198739E-2</v>
      </c>
      <c r="B729"/>
      <c r="C729"/>
      <c r="D729"/>
      <c r="E729"/>
      <c r="F729" s="27" t="s">
        <v>7</v>
      </c>
      <c r="M729" s="27" t="s">
        <v>8</v>
      </c>
      <c r="N729" s="27" t="s">
        <v>7</v>
      </c>
      <c r="O729" s="27" t="s">
        <v>8</v>
      </c>
      <c r="P729" s="27" t="s">
        <v>7</v>
      </c>
      <c r="Q729" s="27" t="s">
        <v>8</v>
      </c>
      <c r="R729" s="27" t="s">
        <v>7</v>
      </c>
      <c r="W729" s="27" t="s">
        <v>8</v>
      </c>
      <c r="AC729" s="27" t="s">
        <v>8</v>
      </c>
      <c r="AD729" s="27" t="s">
        <v>7</v>
      </c>
      <c r="AG729" s="27" t="s">
        <v>8</v>
      </c>
      <c r="AI729" s="27" t="s">
        <v>8</v>
      </c>
      <c r="AJ729" s="27" t="s">
        <v>7</v>
      </c>
      <c r="AK729" s="27" t="s">
        <v>8</v>
      </c>
      <c r="AL729" s="27" t="s">
        <v>7</v>
      </c>
      <c r="BO729" s="27" t="s">
        <v>8</v>
      </c>
      <c r="BP729" s="27" t="s">
        <v>7</v>
      </c>
      <c r="BQ729" s="27" t="s">
        <v>8</v>
      </c>
      <c r="BR729" s="27" t="s">
        <v>7</v>
      </c>
      <c r="BS729" s="27" t="s">
        <v>8</v>
      </c>
      <c r="BT729" s="27" t="s">
        <v>7</v>
      </c>
      <c r="BU729" s="27" t="s">
        <v>8</v>
      </c>
      <c r="BV729" s="27" t="s">
        <v>7</v>
      </c>
      <c r="BW729" s="27" t="s">
        <v>8</v>
      </c>
      <c r="BX729" s="27" t="s">
        <v>7</v>
      </c>
      <c r="BZ729" s="27" t="s">
        <v>7</v>
      </c>
      <c r="CC729" s="27" t="s">
        <v>8</v>
      </c>
      <c r="CH729" s="27" t="s">
        <v>7</v>
      </c>
      <c r="DA729" s="27" t="s">
        <v>8</v>
      </c>
      <c r="DB729" s="27" t="s">
        <v>7</v>
      </c>
      <c r="DC729" s="27" t="s">
        <v>8</v>
      </c>
      <c r="DF729" s="27" t="s">
        <v>7</v>
      </c>
      <c r="KD729" s="27" t="s">
        <v>7</v>
      </c>
      <c r="KE729" s="27" t="s">
        <v>8</v>
      </c>
    </row>
    <row r="730" spans="1:291" x14ac:dyDescent="0.25">
      <c r="A730" s="7">
        <v>5.8908157329606609E-2</v>
      </c>
      <c r="B730"/>
      <c r="C730"/>
      <c r="D730"/>
      <c r="E730"/>
      <c r="F730" s="27" t="s">
        <v>7</v>
      </c>
      <c r="M730" s="27" t="s">
        <v>8</v>
      </c>
      <c r="N730" s="27" t="s">
        <v>7</v>
      </c>
      <c r="O730" s="27" t="s">
        <v>8</v>
      </c>
      <c r="P730" s="27" t="s">
        <v>7</v>
      </c>
      <c r="Q730" s="27" t="s">
        <v>8</v>
      </c>
      <c r="R730" s="27" t="s">
        <v>7</v>
      </c>
      <c r="S730" s="27" t="s">
        <v>8</v>
      </c>
      <c r="U730" s="27" t="s">
        <v>8</v>
      </c>
      <c r="W730" s="27" t="s">
        <v>8</v>
      </c>
      <c r="X730" s="27" t="s">
        <v>7</v>
      </c>
      <c r="AC730" s="27" t="s">
        <v>8</v>
      </c>
      <c r="AD730" s="27" t="s">
        <v>7</v>
      </c>
      <c r="AE730" s="27" t="s">
        <v>8</v>
      </c>
      <c r="AG730" s="27" t="s">
        <v>8</v>
      </c>
      <c r="AH730" s="27" t="s">
        <v>7</v>
      </c>
      <c r="AI730" s="27" t="s">
        <v>8</v>
      </c>
      <c r="AJ730" s="27" t="s">
        <v>7</v>
      </c>
      <c r="AK730" s="27" t="s">
        <v>8</v>
      </c>
      <c r="AL730" s="27" t="s">
        <v>7</v>
      </c>
      <c r="BO730" s="27" t="s">
        <v>8</v>
      </c>
      <c r="BP730" s="27" t="s">
        <v>7</v>
      </c>
      <c r="BQ730" s="27" t="s">
        <v>8</v>
      </c>
      <c r="BR730" s="27" t="s">
        <v>7</v>
      </c>
      <c r="BS730" s="27" t="s">
        <v>8</v>
      </c>
      <c r="BT730" s="27" t="s">
        <v>7</v>
      </c>
      <c r="BU730" s="27" t="s">
        <v>8</v>
      </c>
      <c r="BV730" s="27" t="s">
        <v>7</v>
      </c>
      <c r="BW730" s="27" t="s">
        <v>8</v>
      </c>
      <c r="BZ730" s="27" t="s">
        <v>7</v>
      </c>
      <c r="CC730" s="27" t="s">
        <v>8</v>
      </c>
      <c r="CH730" s="27" t="s">
        <v>7</v>
      </c>
      <c r="DA730" s="27" t="s">
        <v>8</v>
      </c>
      <c r="DB730" s="27" t="s">
        <v>7</v>
      </c>
      <c r="DC730" s="27" t="s">
        <v>8</v>
      </c>
      <c r="KD730" s="27" t="s">
        <v>7</v>
      </c>
      <c r="KE730" s="27" t="s">
        <v>8</v>
      </c>
    </row>
    <row r="731" spans="1:291" x14ac:dyDescent="0.25">
      <c r="A731" s="7">
        <v>5.7753095421182947E-2</v>
      </c>
      <c r="B731"/>
      <c r="C731"/>
      <c r="D731"/>
      <c r="E731"/>
      <c r="F731" s="27" t="s">
        <v>7</v>
      </c>
      <c r="M731" s="27" t="s">
        <v>8</v>
      </c>
      <c r="N731" s="27" t="s">
        <v>7</v>
      </c>
      <c r="O731" s="27" t="s">
        <v>8</v>
      </c>
      <c r="P731" s="27" t="s">
        <v>7</v>
      </c>
      <c r="Q731" s="27" t="s">
        <v>8</v>
      </c>
      <c r="R731" s="27" t="s">
        <v>7</v>
      </c>
      <c r="S731" s="27" t="s">
        <v>8</v>
      </c>
      <c r="T731" s="27" t="s">
        <v>7</v>
      </c>
      <c r="U731" s="27" t="s">
        <v>8</v>
      </c>
      <c r="V731" s="27" t="s">
        <v>7</v>
      </c>
      <c r="W731" s="27" t="s">
        <v>8</v>
      </c>
      <c r="X731" s="27" t="s">
        <v>7</v>
      </c>
      <c r="AC731" s="27" t="s">
        <v>8</v>
      </c>
      <c r="AD731" s="27" t="s">
        <v>7</v>
      </c>
      <c r="AE731" s="27" t="s">
        <v>8</v>
      </c>
      <c r="AF731" s="27" t="s">
        <v>7</v>
      </c>
      <c r="AG731" s="27" t="s">
        <v>8</v>
      </c>
      <c r="AH731" s="27" t="s">
        <v>7</v>
      </c>
      <c r="AI731" s="27" t="s">
        <v>8</v>
      </c>
      <c r="AJ731" s="27" t="s">
        <v>7</v>
      </c>
      <c r="AK731" s="27" t="s">
        <v>8</v>
      </c>
      <c r="AL731" s="27" t="s">
        <v>7</v>
      </c>
      <c r="BO731" s="27" t="s">
        <v>8</v>
      </c>
      <c r="BP731" s="27" t="s">
        <v>7</v>
      </c>
      <c r="BQ731" s="27" t="s">
        <v>8</v>
      </c>
      <c r="BR731" s="27" t="s">
        <v>7</v>
      </c>
      <c r="BS731" s="27" t="s">
        <v>8</v>
      </c>
      <c r="BT731" s="27" t="s">
        <v>7</v>
      </c>
      <c r="BU731" s="27" t="s">
        <v>8</v>
      </c>
      <c r="BV731" s="27" t="s">
        <v>7</v>
      </c>
      <c r="BW731" s="27" t="s">
        <v>8</v>
      </c>
      <c r="BZ731" s="27" t="s">
        <v>7</v>
      </c>
      <c r="CA731" s="27" t="s">
        <v>8</v>
      </c>
      <c r="CC731" s="27" t="s">
        <v>8</v>
      </c>
      <c r="CH731" s="27" t="s">
        <v>7</v>
      </c>
      <c r="DA731" s="27" t="s">
        <v>8</v>
      </c>
      <c r="DB731" s="27" t="s">
        <v>7</v>
      </c>
      <c r="DC731" s="27" t="s">
        <v>8</v>
      </c>
      <c r="KD731" s="27" t="s">
        <v>7</v>
      </c>
      <c r="KE731" s="27" t="s">
        <v>8</v>
      </c>
    </row>
    <row r="732" spans="1:291" x14ac:dyDescent="0.25">
      <c r="A732" s="7">
        <v>5.6620681785473484E-2</v>
      </c>
      <c r="B732"/>
      <c r="C732"/>
      <c r="D732"/>
      <c r="E732"/>
      <c r="F732" s="27" t="s">
        <v>7</v>
      </c>
      <c r="M732" s="27" t="s">
        <v>8</v>
      </c>
      <c r="N732" s="27" t="s">
        <v>7</v>
      </c>
      <c r="O732" s="27" t="s">
        <v>8</v>
      </c>
      <c r="P732" s="27" t="s">
        <v>7</v>
      </c>
      <c r="Q732" s="27" t="s">
        <v>8</v>
      </c>
      <c r="R732" s="27" t="s">
        <v>7</v>
      </c>
      <c r="S732" s="27" t="s">
        <v>8</v>
      </c>
      <c r="T732" s="27" t="s">
        <v>7</v>
      </c>
      <c r="U732" s="27" t="s">
        <v>8</v>
      </c>
      <c r="V732" s="27" t="s">
        <v>7</v>
      </c>
      <c r="W732" s="27" t="s">
        <v>8</v>
      </c>
      <c r="X732" s="27" t="s">
        <v>7</v>
      </c>
      <c r="AC732" s="27" t="s">
        <v>8</v>
      </c>
      <c r="AD732" s="27" t="s">
        <v>7</v>
      </c>
      <c r="AE732" s="27" t="s">
        <v>8</v>
      </c>
      <c r="AF732" s="27" t="s">
        <v>7</v>
      </c>
      <c r="AG732" s="27" t="s">
        <v>8</v>
      </c>
      <c r="AH732" s="27" t="s">
        <v>7</v>
      </c>
      <c r="AJ732" s="27" t="s">
        <v>7</v>
      </c>
      <c r="AK732" s="27" t="s">
        <v>8</v>
      </c>
      <c r="AL732" s="27" t="s">
        <v>7</v>
      </c>
      <c r="BO732" s="27" t="s">
        <v>8</v>
      </c>
      <c r="BP732" s="27" t="s">
        <v>7</v>
      </c>
      <c r="BQ732" s="27" t="s">
        <v>8</v>
      </c>
      <c r="BR732" s="27" t="s">
        <v>7</v>
      </c>
      <c r="BS732" s="27" t="s">
        <v>8</v>
      </c>
      <c r="BT732" s="27" t="s">
        <v>7</v>
      </c>
      <c r="BU732" s="27" t="s">
        <v>8</v>
      </c>
      <c r="BV732" s="27" t="s">
        <v>7</v>
      </c>
      <c r="BW732" s="27" t="s">
        <v>8</v>
      </c>
      <c r="BZ732" s="27" t="s">
        <v>7</v>
      </c>
      <c r="CA732" s="27" t="s">
        <v>8</v>
      </c>
      <c r="CB732" s="27" t="s">
        <v>7</v>
      </c>
      <c r="CC732" s="27" t="s">
        <v>8</v>
      </c>
      <c r="CH732" s="27" t="s">
        <v>7</v>
      </c>
      <c r="DA732" s="27" t="s">
        <v>8</v>
      </c>
      <c r="DB732" s="27" t="s">
        <v>7</v>
      </c>
      <c r="DC732" s="27" t="s">
        <v>8</v>
      </c>
      <c r="KD732" s="27" t="s">
        <v>7</v>
      </c>
      <c r="KE732" s="27" t="s">
        <v>8</v>
      </c>
    </row>
    <row r="733" spans="1:291" x14ac:dyDescent="0.25">
      <c r="A733" s="7">
        <v>5.5510472338699497E-2</v>
      </c>
      <c r="B733"/>
      <c r="C733"/>
      <c r="D733"/>
      <c r="E733"/>
      <c r="F733" s="27" t="s">
        <v>7</v>
      </c>
      <c r="M733" s="27" t="s">
        <v>8</v>
      </c>
      <c r="N733" s="27" t="s">
        <v>7</v>
      </c>
      <c r="P733" s="27" t="s">
        <v>7</v>
      </c>
      <c r="Q733" s="27" t="s">
        <v>8</v>
      </c>
      <c r="R733" s="27" t="s">
        <v>7</v>
      </c>
      <c r="S733" s="27" t="s">
        <v>8</v>
      </c>
      <c r="T733" s="27" t="s">
        <v>7</v>
      </c>
      <c r="U733" s="27" t="s">
        <v>8</v>
      </c>
      <c r="V733" s="27" t="s">
        <v>7</v>
      </c>
      <c r="W733" s="27" t="s">
        <v>8</v>
      </c>
      <c r="X733" s="27" t="s">
        <v>7</v>
      </c>
      <c r="Y733" s="27" t="s">
        <v>8</v>
      </c>
      <c r="AA733" s="27" t="s">
        <v>8</v>
      </c>
      <c r="AC733" s="27" t="s">
        <v>8</v>
      </c>
      <c r="AD733" s="27" t="s">
        <v>7</v>
      </c>
      <c r="AE733" s="27" t="s">
        <v>8</v>
      </c>
      <c r="AF733" s="27" t="s">
        <v>7</v>
      </c>
      <c r="AG733" s="27" t="s">
        <v>8</v>
      </c>
      <c r="AJ733" s="27" t="s">
        <v>7</v>
      </c>
      <c r="AK733" s="27" t="s">
        <v>8</v>
      </c>
      <c r="AL733" s="27" t="s">
        <v>7</v>
      </c>
      <c r="BO733" s="27" t="s">
        <v>8</v>
      </c>
      <c r="BP733" s="27" t="s">
        <v>7</v>
      </c>
      <c r="BQ733" s="27" t="s">
        <v>8</v>
      </c>
      <c r="BR733" s="27" t="s">
        <v>7</v>
      </c>
      <c r="BS733" s="27" t="s">
        <v>8</v>
      </c>
      <c r="BT733" s="27" t="s">
        <v>7</v>
      </c>
      <c r="BV733" s="27" t="s">
        <v>7</v>
      </c>
      <c r="BW733" s="27" t="s">
        <v>8</v>
      </c>
      <c r="BZ733" s="27" t="s">
        <v>7</v>
      </c>
      <c r="CA733" s="27" t="s">
        <v>8</v>
      </c>
      <c r="CB733" s="27" t="s">
        <v>7</v>
      </c>
      <c r="CC733" s="27" t="s">
        <v>8</v>
      </c>
      <c r="CH733" s="27" t="s">
        <v>7</v>
      </c>
      <c r="CU733" s="27" t="s">
        <v>8</v>
      </c>
      <c r="DA733" s="27" t="s">
        <v>8</v>
      </c>
      <c r="DB733" s="27" t="s">
        <v>7</v>
      </c>
      <c r="DC733" s="27" t="s">
        <v>8</v>
      </c>
      <c r="KD733" s="27" t="s">
        <v>7</v>
      </c>
      <c r="KE733" s="27" t="s">
        <v>8</v>
      </c>
    </row>
    <row r="734" spans="1:291" x14ac:dyDescent="0.25">
      <c r="A734" s="7">
        <v>5.4422031704607354E-2</v>
      </c>
      <c r="B734"/>
      <c r="C734"/>
      <c r="D734"/>
      <c r="E734"/>
      <c r="F734" s="27" t="s">
        <v>7</v>
      </c>
      <c r="M734" s="27" t="s">
        <v>8</v>
      </c>
      <c r="P734" s="27" t="s">
        <v>7</v>
      </c>
      <c r="Q734" s="27" t="s">
        <v>8</v>
      </c>
      <c r="R734" s="27" t="s">
        <v>7</v>
      </c>
      <c r="S734" s="27" t="s">
        <v>8</v>
      </c>
      <c r="T734" s="27" t="s">
        <v>7</v>
      </c>
      <c r="V734" s="27" t="s">
        <v>7</v>
      </c>
      <c r="W734" s="27" t="s">
        <v>8</v>
      </c>
      <c r="X734" s="27" t="s">
        <v>7</v>
      </c>
      <c r="Y734" s="27" t="s">
        <v>8</v>
      </c>
      <c r="Z734" s="27" t="s">
        <v>7</v>
      </c>
      <c r="AA734" s="27" t="s">
        <v>8</v>
      </c>
      <c r="AB734" s="27" t="s">
        <v>7</v>
      </c>
      <c r="AC734" s="27" t="s">
        <v>8</v>
      </c>
      <c r="AD734" s="27" t="s">
        <v>7</v>
      </c>
      <c r="AE734" s="27" t="s">
        <v>8</v>
      </c>
      <c r="AF734" s="27" t="s">
        <v>7</v>
      </c>
      <c r="AG734" s="27" t="s">
        <v>8</v>
      </c>
      <c r="AJ734" s="27" t="s">
        <v>7</v>
      </c>
      <c r="AK734" s="27" t="s">
        <v>8</v>
      </c>
      <c r="AL734" s="27" t="s">
        <v>7</v>
      </c>
      <c r="BO734" s="27" t="s">
        <v>8</v>
      </c>
      <c r="BP734" s="27" t="s">
        <v>7</v>
      </c>
      <c r="BQ734" s="27" t="s">
        <v>8</v>
      </c>
      <c r="BR734" s="27" t="s">
        <v>7</v>
      </c>
      <c r="BV734" s="27" t="s">
        <v>7</v>
      </c>
      <c r="BZ734" s="27" t="s">
        <v>7</v>
      </c>
      <c r="CA734" s="27" t="s">
        <v>8</v>
      </c>
      <c r="CB734" s="27" t="s">
        <v>7</v>
      </c>
      <c r="CC734" s="27" t="s">
        <v>8</v>
      </c>
      <c r="CH734" s="27" t="s">
        <v>7</v>
      </c>
      <c r="CU734" s="27" t="s">
        <v>8</v>
      </c>
      <c r="CV734" s="27" t="s">
        <v>7</v>
      </c>
      <c r="CW734" s="27" t="s">
        <v>8</v>
      </c>
      <c r="DA734" s="27" t="s">
        <v>8</v>
      </c>
      <c r="DB734" s="27" t="s">
        <v>7</v>
      </c>
      <c r="KD734" s="27" t="s">
        <v>7</v>
      </c>
      <c r="KE734" s="27" t="s">
        <v>8</v>
      </c>
    </row>
    <row r="735" spans="1:291" x14ac:dyDescent="0.25">
      <c r="A735" s="7">
        <v>5.3354933043732705E-2</v>
      </c>
      <c r="B735"/>
      <c r="C735"/>
      <c r="D735"/>
      <c r="E735"/>
      <c r="F735" s="27" t="s">
        <v>7</v>
      </c>
      <c r="M735" s="27" t="s">
        <v>8</v>
      </c>
      <c r="P735" s="27" t="s">
        <v>7</v>
      </c>
      <c r="Q735" s="27" t="s">
        <v>8</v>
      </c>
      <c r="R735" s="27" t="s">
        <v>7</v>
      </c>
      <c r="S735" s="27" t="s">
        <v>8</v>
      </c>
      <c r="V735" s="27" t="s">
        <v>7</v>
      </c>
      <c r="W735" s="27" t="s">
        <v>8</v>
      </c>
      <c r="X735" s="27" t="s">
        <v>7</v>
      </c>
      <c r="Y735" s="27" t="s">
        <v>8</v>
      </c>
      <c r="Z735" s="27" t="s">
        <v>7</v>
      </c>
      <c r="AA735" s="27" t="s">
        <v>8</v>
      </c>
      <c r="AB735" s="27" t="s">
        <v>7</v>
      </c>
      <c r="AC735" s="27" t="s">
        <v>8</v>
      </c>
      <c r="AD735" s="27" t="s">
        <v>7</v>
      </c>
      <c r="AF735" s="27" t="s">
        <v>7</v>
      </c>
      <c r="AJ735" s="27" t="s">
        <v>7</v>
      </c>
      <c r="AK735" s="27" t="s">
        <v>8</v>
      </c>
      <c r="AL735" s="27" t="s">
        <v>7</v>
      </c>
      <c r="BO735" s="27" t="s">
        <v>8</v>
      </c>
      <c r="BP735" s="27" t="s">
        <v>7</v>
      </c>
      <c r="BQ735" s="27" t="s">
        <v>8</v>
      </c>
      <c r="BZ735" s="27" t="s">
        <v>7</v>
      </c>
      <c r="CA735" s="27" t="s">
        <v>8</v>
      </c>
      <c r="CB735" s="27" t="s">
        <v>7</v>
      </c>
      <c r="CC735" s="27" t="s">
        <v>8</v>
      </c>
      <c r="CH735" s="27" t="s">
        <v>7</v>
      </c>
      <c r="CS735" s="27" t="s">
        <v>8</v>
      </c>
      <c r="CU735" s="27" t="s">
        <v>8</v>
      </c>
      <c r="CV735" s="27" t="s">
        <v>7</v>
      </c>
      <c r="CW735" s="27" t="s">
        <v>8</v>
      </c>
      <c r="CX735" s="27" t="s">
        <v>7</v>
      </c>
      <c r="CY735" s="27" t="s">
        <v>8</v>
      </c>
      <c r="DA735" s="27" t="s">
        <v>8</v>
      </c>
      <c r="KD735" s="27" t="s">
        <v>7</v>
      </c>
      <c r="KE735" s="27" t="s">
        <v>8</v>
      </c>
    </row>
    <row r="736" spans="1:291" x14ac:dyDescent="0.25">
      <c r="A736" s="7">
        <v>5.2308757886012455E-2</v>
      </c>
      <c r="B736"/>
      <c r="C736"/>
      <c r="D736"/>
      <c r="E736"/>
      <c r="F736" s="27" t="s">
        <v>7</v>
      </c>
      <c r="M736" s="27" t="s">
        <v>8</v>
      </c>
      <c r="P736" s="27" t="s">
        <v>7</v>
      </c>
      <c r="Q736" s="27" t="s">
        <v>8</v>
      </c>
      <c r="R736" s="27" t="s">
        <v>7</v>
      </c>
      <c r="V736" s="27" t="s">
        <v>7</v>
      </c>
      <c r="W736" s="27" t="s">
        <v>8</v>
      </c>
      <c r="X736" s="27" t="s">
        <v>7</v>
      </c>
      <c r="Y736" s="27" t="s">
        <v>8</v>
      </c>
      <c r="Z736" s="27" t="s">
        <v>7</v>
      </c>
      <c r="AA736" s="27" t="s">
        <v>8</v>
      </c>
      <c r="AB736" s="27" t="s">
        <v>7</v>
      </c>
      <c r="AC736" s="27" t="s">
        <v>8</v>
      </c>
      <c r="AJ736" s="27" t="s">
        <v>7</v>
      </c>
      <c r="AK736" s="27" t="s">
        <v>8</v>
      </c>
      <c r="AL736" s="27" t="s">
        <v>7</v>
      </c>
      <c r="BO736" s="27" t="s">
        <v>8</v>
      </c>
      <c r="BP736" s="27" t="s">
        <v>7</v>
      </c>
      <c r="BQ736" s="27" t="s">
        <v>8</v>
      </c>
      <c r="BZ736" s="27" t="s">
        <v>7</v>
      </c>
      <c r="CA736" s="27" t="s">
        <v>8</v>
      </c>
      <c r="CB736" s="27" t="s">
        <v>7</v>
      </c>
      <c r="CC736" s="27" t="s">
        <v>8</v>
      </c>
      <c r="CH736" s="27" t="s">
        <v>7</v>
      </c>
      <c r="CS736" s="27" t="s">
        <v>8</v>
      </c>
      <c r="CT736" s="27" t="s">
        <v>7</v>
      </c>
      <c r="CU736" s="27" t="s">
        <v>8</v>
      </c>
      <c r="CV736" s="27" t="s">
        <v>7</v>
      </c>
      <c r="CW736" s="27" t="s">
        <v>8</v>
      </c>
      <c r="CX736" s="27" t="s">
        <v>7</v>
      </c>
      <c r="CY736" s="27" t="s">
        <v>8</v>
      </c>
      <c r="CZ736" s="27" t="s">
        <v>7</v>
      </c>
      <c r="DA736" s="27" t="s">
        <v>8</v>
      </c>
      <c r="KD736" s="27" t="s">
        <v>7</v>
      </c>
      <c r="KE736" s="27" t="s">
        <v>8</v>
      </c>
    </row>
    <row r="737" spans="1:291" x14ac:dyDescent="0.25">
      <c r="A737" s="7">
        <v>5.1283095966678877E-2</v>
      </c>
      <c r="B737"/>
      <c r="C737"/>
      <c r="D737"/>
      <c r="E737"/>
      <c r="F737" s="27" t="s">
        <v>7</v>
      </c>
      <c r="M737" s="27" t="s">
        <v>8</v>
      </c>
      <c r="P737" s="27" t="s">
        <v>7</v>
      </c>
      <c r="Q737" s="27" t="s">
        <v>8</v>
      </c>
      <c r="V737" s="27" t="s">
        <v>7</v>
      </c>
      <c r="W737" s="27" t="s">
        <v>8</v>
      </c>
      <c r="X737" s="27" t="s">
        <v>7</v>
      </c>
      <c r="Y737" s="27" t="s">
        <v>8</v>
      </c>
      <c r="Z737" s="27" t="s">
        <v>7</v>
      </c>
      <c r="AA737" s="27" t="s">
        <v>8</v>
      </c>
      <c r="AB737" s="27" t="s">
        <v>7</v>
      </c>
      <c r="AJ737" s="27" t="s">
        <v>7</v>
      </c>
      <c r="AK737" s="27" t="s">
        <v>8</v>
      </c>
      <c r="AL737" s="27" t="s">
        <v>7</v>
      </c>
      <c r="BO737" s="27" t="s">
        <v>8</v>
      </c>
      <c r="BP737" s="27" t="s">
        <v>7</v>
      </c>
      <c r="BZ737" s="27" t="s">
        <v>7</v>
      </c>
      <c r="CA737" s="27" t="s">
        <v>8</v>
      </c>
      <c r="CB737" s="27" t="s">
        <v>7</v>
      </c>
      <c r="CH737" s="27" t="s">
        <v>7</v>
      </c>
      <c r="CS737" s="27" t="s">
        <v>8</v>
      </c>
      <c r="CT737" s="27" t="s">
        <v>7</v>
      </c>
      <c r="CU737" s="27" t="s">
        <v>8</v>
      </c>
      <c r="CV737" s="27" t="s">
        <v>7</v>
      </c>
      <c r="CW737" s="27" t="s">
        <v>8</v>
      </c>
      <c r="CX737" s="27" t="s">
        <v>7</v>
      </c>
      <c r="CY737" s="27" t="s">
        <v>8</v>
      </c>
      <c r="CZ737" s="27" t="s">
        <v>7</v>
      </c>
      <c r="DA737" s="27" t="s">
        <v>8</v>
      </c>
      <c r="KD737" s="27" t="s">
        <v>7</v>
      </c>
      <c r="KE737" s="27" t="s">
        <v>8</v>
      </c>
    </row>
    <row r="738" spans="1:291" x14ac:dyDescent="0.25">
      <c r="A738" s="7">
        <v>5.0277545065371444E-2</v>
      </c>
      <c r="B738"/>
      <c r="C738"/>
      <c r="D738"/>
      <c r="E738"/>
      <c r="F738" s="27" t="s">
        <v>7</v>
      </c>
      <c r="M738" s="27" t="s">
        <v>8</v>
      </c>
      <c r="P738" s="27" t="s">
        <v>7</v>
      </c>
      <c r="V738" s="27" t="s">
        <v>7</v>
      </c>
      <c r="W738" s="27" t="s">
        <v>8</v>
      </c>
      <c r="X738" s="27" t="s">
        <v>7</v>
      </c>
      <c r="Y738" s="27" t="s">
        <v>8</v>
      </c>
      <c r="Z738" s="27" t="s">
        <v>7</v>
      </c>
      <c r="AA738" s="27" t="s">
        <v>8</v>
      </c>
      <c r="AJ738" s="27" t="s">
        <v>7</v>
      </c>
      <c r="AK738" s="27" t="s">
        <v>8</v>
      </c>
      <c r="AL738" s="27" t="s">
        <v>7</v>
      </c>
      <c r="BO738" s="27" t="s">
        <v>8</v>
      </c>
      <c r="BZ738" s="27" t="s">
        <v>7</v>
      </c>
      <c r="CA738" s="27" t="s">
        <v>8</v>
      </c>
      <c r="CH738" s="27" t="s">
        <v>7</v>
      </c>
      <c r="CO738" s="27" t="s">
        <v>8</v>
      </c>
      <c r="CS738" s="27" t="s">
        <v>8</v>
      </c>
      <c r="CT738" s="27" t="s">
        <v>7</v>
      </c>
      <c r="CU738" s="27" t="s">
        <v>8</v>
      </c>
      <c r="CV738" s="27" t="s">
        <v>7</v>
      </c>
      <c r="CW738" s="27" t="s">
        <v>8</v>
      </c>
      <c r="CX738" s="27" t="s">
        <v>7</v>
      </c>
      <c r="CY738" s="27" t="s">
        <v>8</v>
      </c>
      <c r="CZ738" s="27" t="s">
        <v>7</v>
      </c>
      <c r="DA738" s="27" t="s">
        <v>8</v>
      </c>
      <c r="KD738" s="27" t="s">
        <v>7</v>
      </c>
      <c r="KE738" s="27" t="s">
        <v>8</v>
      </c>
    </row>
    <row r="739" spans="1:291" x14ac:dyDescent="0.25">
      <c r="A739" s="7">
        <v>4.9291710848403378E-2</v>
      </c>
      <c r="B739"/>
      <c r="C739"/>
      <c r="D739"/>
      <c r="E739"/>
      <c r="F739" s="27" t="s">
        <v>7</v>
      </c>
      <c r="M739" s="27" t="s">
        <v>8</v>
      </c>
      <c r="V739" s="27" t="s">
        <v>7</v>
      </c>
      <c r="X739" s="27" t="s">
        <v>7</v>
      </c>
      <c r="Y739" s="27" t="s">
        <v>8</v>
      </c>
      <c r="Z739" s="27" t="s">
        <v>7</v>
      </c>
      <c r="AJ739" s="27" t="s">
        <v>7</v>
      </c>
      <c r="AK739" s="27" t="s">
        <v>8</v>
      </c>
      <c r="AL739" s="27" t="s">
        <v>7</v>
      </c>
      <c r="BO739" s="27" t="s">
        <v>8</v>
      </c>
      <c r="BZ739" s="27" t="s">
        <v>7</v>
      </c>
      <c r="CA739" s="27" t="s">
        <v>8</v>
      </c>
      <c r="CH739" s="27" t="s">
        <v>7</v>
      </c>
      <c r="CO739" s="27" t="s">
        <v>8</v>
      </c>
      <c r="CP739" s="27" t="s">
        <v>7</v>
      </c>
      <c r="CS739" s="27" t="s">
        <v>8</v>
      </c>
      <c r="CT739" s="27" t="s">
        <v>7</v>
      </c>
      <c r="CV739" s="27" t="s">
        <v>7</v>
      </c>
      <c r="CW739" s="27" t="s">
        <v>8</v>
      </c>
      <c r="CX739" s="27" t="s">
        <v>7</v>
      </c>
      <c r="CZ739" s="27" t="s">
        <v>7</v>
      </c>
      <c r="KD739" s="27" t="s">
        <v>7</v>
      </c>
      <c r="KE739" s="27" t="s">
        <v>8</v>
      </c>
    </row>
    <row r="740" spans="1:291" x14ac:dyDescent="0.25">
      <c r="A740" s="7">
        <v>4.8325206714120959E-2</v>
      </c>
      <c r="B740"/>
      <c r="C740"/>
      <c r="D740"/>
      <c r="E740"/>
      <c r="F740" s="27" t="s">
        <v>7</v>
      </c>
      <c r="M740" s="27" t="s">
        <v>8</v>
      </c>
      <c r="X740" s="27" t="s">
        <v>7</v>
      </c>
      <c r="AJ740" s="27" t="s">
        <v>7</v>
      </c>
      <c r="AL740" s="27" t="s">
        <v>7</v>
      </c>
      <c r="AS740" s="27" t="s">
        <v>8</v>
      </c>
      <c r="BO740" s="27" t="s">
        <v>8</v>
      </c>
      <c r="BZ740" s="27" t="s">
        <v>7</v>
      </c>
      <c r="CH740" s="27" t="s">
        <v>7</v>
      </c>
      <c r="CO740" s="27" t="s">
        <v>8</v>
      </c>
      <c r="CP740" s="27" t="s">
        <v>7</v>
      </c>
      <c r="CS740" s="27" t="s">
        <v>8</v>
      </c>
      <c r="CV740" s="27" t="s">
        <v>7</v>
      </c>
      <c r="KD740" s="27" t="s">
        <v>7</v>
      </c>
      <c r="KE740" s="27" t="s">
        <v>8</v>
      </c>
    </row>
    <row r="741" spans="1:291" x14ac:dyDescent="0.25">
      <c r="A741" s="7">
        <v>4.7377653641295057E-2</v>
      </c>
      <c r="B741"/>
      <c r="C741"/>
      <c r="D741"/>
      <c r="E741"/>
      <c r="F741" s="27" t="s">
        <v>7</v>
      </c>
      <c r="M741" s="27" t="s">
        <v>8</v>
      </c>
      <c r="AL741" s="27" t="s">
        <v>7</v>
      </c>
      <c r="AS741" s="27" t="s">
        <v>8</v>
      </c>
      <c r="AT741" s="27" t="s">
        <v>7</v>
      </c>
      <c r="BG741" s="27" t="s">
        <v>8</v>
      </c>
      <c r="BI741" s="27" t="s">
        <v>8</v>
      </c>
      <c r="BO741" s="27" t="s">
        <v>8</v>
      </c>
      <c r="CH741" s="27" t="s">
        <v>7</v>
      </c>
      <c r="CM741" s="27" t="s">
        <v>8</v>
      </c>
      <c r="CO741" s="27" t="s">
        <v>8</v>
      </c>
      <c r="CP741" s="27" t="s">
        <v>7</v>
      </c>
      <c r="CQ741" s="27" t="s">
        <v>8</v>
      </c>
      <c r="CS741" s="27" t="s">
        <v>8</v>
      </c>
      <c r="KD741" s="27" t="s">
        <v>7</v>
      </c>
      <c r="KE741" s="27" t="s">
        <v>8</v>
      </c>
    </row>
    <row r="742" spans="1:291" x14ac:dyDescent="0.25">
      <c r="A742" s="7">
        <v>4.644868004048535E-2</v>
      </c>
      <c r="B742"/>
      <c r="C742"/>
      <c r="D742"/>
      <c r="E742"/>
      <c r="F742" s="27" t="s">
        <v>7</v>
      </c>
      <c r="M742" s="27" t="s">
        <v>8</v>
      </c>
      <c r="AL742" s="27" t="s">
        <v>7</v>
      </c>
      <c r="AM742" s="27" t="s">
        <v>8</v>
      </c>
      <c r="AS742" s="27" t="s">
        <v>8</v>
      </c>
      <c r="AT742" s="27" t="s">
        <v>7</v>
      </c>
      <c r="BG742" s="27" t="s">
        <v>8</v>
      </c>
      <c r="BH742" s="27" t="s">
        <v>7</v>
      </c>
      <c r="BI742" s="27" t="s">
        <v>8</v>
      </c>
      <c r="BJ742" s="27" t="s">
        <v>7</v>
      </c>
      <c r="BK742" s="27" t="s">
        <v>8</v>
      </c>
      <c r="BO742" s="27" t="s">
        <v>8</v>
      </c>
      <c r="CH742" s="27" t="s">
        <v>7</v>
      </c>
      <c r="CM742" s="27" t="s">
        <v>8</v>
      </c>
      <c r="CN742" s="27" t="s">
        <v>7</v>
      </c>
      <c r="CO742" s="27" t="s">
        <v>8</v>
      </c>
      <c r="CP742" s="27" t="s">
        <v>7</v>
      </c>
      <c r="CQ742" s="27" t="s">
        <v>8</v>
      </c>
      <c r="CR742" s="27" t="s">
        <v>7</v>
      </c>
      <c r="CS742" s="27" t="s">
        <v>8</v>
      </c>
      <c r="KD742" s="27" t="s">
        <v>7</v>
      </c>
      <c r="KE742" s="27" t="s">
        <v>8</v>
      </c>
    </row>
    <row r="743" spans="1:291" x14ac:dyDescent="0.25">
      <c r="A743" s="7">
        <v>4.5537921608318974E-2</v>
      </c>
      <c r="B743"/>
      <c r="C743"/>
      <c r="D743"/>
      <c r="E743"/>
      <c r="F743" s="27" t="s">
        <v>7</v>
      </c>
      <c r="M743" s="27" t="s">
        <v>8</v>
      </c>
      <c r="AL743" s="27" t="s">
        <v>7</v>
      </c>
      <c r="AM743" s="27" t="s">
        <v>8</v>
      </c>
      <c r="AN743" s="27" t="s">
        <v>7</v>
      </c>
      <c r="AS743" s="27" t="s">
        <v>8</v>
      </c>
      <c r="AT743" s="27" t="s">
        <v>7</v>
      </c>
      <c r="BG743" s="27" t="s">
        <v>8</v>
      </c>
      <c r="BH743" s="27" t="s">
        <v>7</v>
      </c>
      <c r="BI743" s="27" t="s">
        <v>8</v>
      </c>
      <c r="BJ743" s="27" t="s">
        <v>7</v>
      </c>
      <c r="BK743" s="27" t="s">
        <v>8</v>
      </c>
      <c r="BL743" s="27" t="s">
        <v>7</v>
      </c>
      <c r="BO743" s="27" t="s">
        <v>8</v>
      </c>
      <c r="CH743" s="27" t="s">
        <v>7</v>
      </c>
      <c r="CM743" s="27" t="s">
        <v>8</v>
      </c>
      <c r="CN743" s="27" t="s">
        <v>7</v>
      </c>
      <c r="CO743" s="27" t="s">
        <v>8</v>
      </c>
      <c r="CP743" s="27" t="s">
        <v>7</v>
      </c>
      <c r="CQ743" s="27" t="s">
        <v>8</v>
      </c>
      <c r="CR743" s="27" t="s">
        <v>7</v>
      </c>
      <c r="CS743" s="27" t="s">
        <v>8</v>
      </c>
      <c r="KD743" s="27" t="s">
        <v>7</v>
      </c>
      <c r="KE743" s="27" t="s">
        <v>8</v>
      </c>
    </row>
    <row r="744" spans="1:291" x14ac:dyDescent="0.25">
      <c r="A744" s="7">
        <v>4.4645021184626446E-2</v>
      </c>
      <c r="B744"/>
      <c r="C744"/>
      <c r="D744"/>
      <c r="E744"/>
      <c r="F744" s="27" t="s">
        <v>7</v>
      </c>
      <c r="M744" s="27" t="s">
        <v>8</v>
      </c>
      <c r="AL744" s="27" t="s">
        <v>7</v>
      </c>
      <c r="AM744" s="27" t="s">
        <v>8</v>
      </c>
      <c r="AN744" s="27" t="s">
        <v>7</v>
      </c>
      <c r="AS744" s="27" t="s">
        <v>8</v>
      </c>
      <c r="AT744" s="27" t="s">
        <v>7</v>
      </c>
      <c r="BG744" s="27" t="s">
        <v>8</v>
      </c>
      <c r="BH744" s="27" t="s">
        <v>7</v>
      </c>
      <c r="BI744" s="27" t="s">
        <v>8</v>
      </c>
      <c r="BJ744" s="27" t="s">
        <v>7</v>
      </c>
      <c r="BK744" s="27" t="s">
        <v>8</v>
      </c>
      <c r="BL744" s="27" t="s">
        <v>7</v>
      </c>
      <c r="BO744" s="27" t="s">
        <v>8</v>
      </c>
      <c r="CH744" s="27" t="s">
        <v>7</v>
      </c>
      <c r="CI744" s="27" t="s">
        <v>8</v>
      </c>
      <c r="CM744" s="27" t="s">
        <v>8</v>
      </c>
      <c r="CN744" s="27" t="s">
        <v>7</v>
      </c>
      <c r="CO744" s="27" t="s">
        <v>8</v>
      </c>
      <c r="CP744" s="27" t="s">
        <v>7</v>
      </c>
      <c r="CQ744" s="27" t="s">
        <v>8</v>
      </c>
      <c r="CR744" s="27" t="s">
        <v>7</v>
      </c>
      <c r="CS744" s="27" t="s">
        <v>8</v>
      </c>
      <c r="KD744" s="27" t="s">
        <v>7</v>
      </c>
      <c r="KE744" s="27" t="s">
        <v>8</v>
      </c>
    </row>
    <row r="745" spans="1:291" x14ac:dyDescent="0.25">
      <c r="A745" s="7">
        <v>4.3769628612378868E-2</v>
      </c>
      <c r="B745"/>
      <c r="C745"/>
      <c r="D745"/>
      <c r="E745"/>
      <c r="F745" s="27" t="s">
        <v>7</v>
      </c>
      <c r="M745" s="27" t="s">
        <v>8</v>
      </c>
      <c r="AL745" s="27" t="s">
        <v>7</v>
      </c>
      <c r="AM745" s="27" t="s">
        <v>8</v>
      </c>
      <c r="AN745" s="27" t="s">
        <v>7</v>
      </c>
      <c r="AS745" s="27" t="s">
        <v>8</v>
      </c>
      <c r="AT745" s="27" t="s">
        <v>7</v>
      </c>
      <c r="BG745" s="27" t="s">
        <v>8</v>
      </c>
      <c r="BH745" s="27" t="s">
        <v>7</v>
      </c>
      <c r="BI745" s="27" t="s">
        <v>8</v>
      </c>
      <c r="BJ745" s="27" t="s">
        <v>7</v>
      </c>
      <c r="BK745" s="27" t="s">
        <v>8</v>
      </c>
      <c r="BL745" s="27" t="s">
        <v>7</v>
      </c>
      <c r="BO745" s="27" t="s">
        <v>8</v>
      </c>
      <c r="CH745" s="27" t="s">
        <v>7</v>
      </c>
      <c r="CI745" s="27" t="s">
        <v>8</v>
      </c>
      <c r="CJ745" s="27" t="s">
        <v>7</v>
      </c>
      <c r="CM745" s="27" t="s">
        <v>8</v>
      </c>
      <c r="CN745" s="27" t="s">
        <v>7</v>
      </c>
      <c r="CO745" s="27" t="s">
        <v>8</v>
      </c>
      <c r="CP745" s="27" t="s">
        <v>7</v>
      </c>
      <c r="CQ745" s="27" t="s">
        <v>8</v>
      </c>
      <c r="CR745" s="27" t="s">
        <v>7</v>
      </c>
      <c r="KD745" s="27" t="s">
        <v>7</v>
      </c>
      <c r="KE745" s="27" t="s">
        <v>8</v>
      </c>
    </row>
    <row r="746" spans="1:291" x14ac:dyDescent="0.25">
      <c r="A746" s="7">
        <v>4.2911400600371442E-2</v>
      </c>
      <c r="B746"/>
      <c r="C746"/>
      <c r="D746"/>
      <c r="E746"/>
      <c r="F746" s="27" t="s">
        <v>7</v>
      </c>
      <c r="I746" s="27" t="s">
        <v>8</v>
      </c>
      <c r="K746" s="27" t="s">
        <v>8</v>
      </c>
      <c r="M746" s="27" t="s">
        <v>8</v>
      </c>
      <c r="AL746" s="27" t="s">
        <v>7</v>
      </c>
      <c r="AM746" s="27" t="s">
        <v>8</v>
      </c>
      <c r="AN746" s="27" t="s">
        <v>7</v>
      </c>
      <c r="AQ746" s="27" t="s">
        <v>8</v>
      </c>
      <c r="AS746" s="27" t="s">
        <v>8</v>
      </c>
      <c r="AT746" s="27" t="s">
        <v>7</v>
      </c>
      <c r="BE746" s="27" t="s">
        <v>8</v>
      </c>
      <c r="BG746" s="27" t="s">
        <v>8</v>
      </c>
      <c r="BH746" s="27" t="s">
        <v>7</v>
      </c>
      <c r="BI746" s="27" t="s">
        <v>8</v>
      </c>
      <c r="BJ746" s="27" t="s">
        <v>7</v>
      </c>
      <c r="BL746" s="27" t="s">
        <v>7</v>
      </c>
      <c r="BM746" s="27" t="s">
        <v>8</v>
      </c>
      <c r="BO746" s="27" t="s">
        <v>8</v>
      </c>
      <c r="CH746" s="27" t="s">
        <v>7</v>
      </c>
      <c r="CI746" s="27" t="s">
        <v>8</v>
      </c>
      <c r="CJ746" s="27" t="s">
        <v>7</v>
      </c>
      <c r="CM746" s="27" t="s">
        <v>8</v>
      </c>
      <c r="CN746" s="27" t="s">
        <v>7</v>
      </c>
      <c r="CO746" s="27" t="s">
        <v>8</v>
      </c>
      <c r="CP746" s="27" t="s">
        <v>7</v>
      </c>
      <c r="CQ746" s="27" t="s">
        <v>8</v>
      </c>
      <c r="KD746" s="27" t="s">
        <v>7</v>
      </c>
      <c r="KE746" s="27" t="s">
        <v>8</v>
      </c>
    </row>
    <row r="747" spans="1:291" x14ac:dyDescent="0.25">
      <c r="A747" s="7">
        <v>4.2070000588599457E-2</v>
      </c>
      <c r="B747"/>
      <c r="C747"/>
      <c r="D747"/>
      <c r="E747"/>
      <c r="F747" s="27" t="s">
        <v>7</v>
      </c>
      <c r="I747" s="27" t="s">
        <v>8</v>
      </c>
      <c r="J747" s="27" t="s">
        <v>7</v>
      </c>
      <c r="K747" s="27" t="s">
        <v>8</v>
      </c>
      <c r="L747" s="27" t="s">
        <v>7</v>
      </c>
      <c r="M747" s="27" t="s">
        <v>8</v>
      </c>
      <c r="AL747" s="27" t="s">
        <v>7</v>
      </c>
      <c r="AN747" s="27" t="s">
        <v>7</v>
      </c>
      <c r="AO747" s="27" t="s">
        <v>8</v>
      </c>
      <c r="AQ747" s="27" t="s">
        <v>8</v>
      </c>
      <c r="AR747" s="27" t="s">
        <v>7</v>
      </c>
      <c r="AS747" s="27" t="s">
        <v>8</v>
      </c>
      <c r="AT747" s="27" t="s">
        <v>7</v>
      </c>
      <c r="BE747" s="27" t="s">
        <v>8</v>
      </c>
      <c r="BF747" s="27" t="s">
        <v>7</v>
      </c>
      <c r="BG747" s="27" t="s">
        <v>8</v>
      </c>
      <c r="BH747" s="27" t="s">
        <v>7</v>
      </c>
      <c r="BL747" s="27" t="s">
        <v>7</v>
      </c>
      <c r="BM747" s="27" t="s">
        <v>8</v>
      </c>
      <c r="BN747" s="27" t="s">
        <v>7</v>
      </c>
      <c r="BO747" s="27" t="s">
        <v>8</v>
      </c>
      <c r="CH747" s="27" t="s">
        <v>7</v>
      </c>
      <c r="CI747" s="27" t="s">
        <v>8</v>
      </c>
      <c r="CJ747" s="27" t="s">
        <v>7</v>
      </c>
      <c r="CM747" s="27" t="s">
        <v>8</v>
      </c>
      <c r="CN747" s="27" t="s">
        <v>7</v>
      </c>
      <c r="CO747" s="27" t="s">
        <v>8</v>
      </c>
      <c r="CP747" s="27" t="s">
        <v>7</v>
      </c>
      <c r="CQ747" s="27" t="s">
        <v>8</v>
      </c>
      <c r="KD747" s="27" t="s">
        <v>7</v>
      </c>
      <c r="KE747" s="27" t="s">
        <v>8</v>
      </c>
    </row>
    <row r="748" spans="1:291" x14ac:dyDescent="0.25">
      <c r="A748" s="7">
        <v>4.1245098616273977E-2</v>
      </c>
      <c r="B748"/>
      <c r="C748"/>
      <c r="D748"/>
      <c r="E748"/>
      <c r="F748" s="27" t="s">
        <v>7</v>
      </c>
      <c r="I748" s="27" t="s">
        <v>8</v>
      </c>
      <c r="J748" s="27" t="s">
        <v>7</v>
      </c>
      <c r="K748" s="27" t="s">
        <v>8</v>
      </c>
      <c r="L748" s="27" t="s">
        <v>7</v>
      </c>
      <c r="M748" s="27" t="s">
        <v>8</v>
      </c>
      <c r="AN748" s="27" t="s">
        <v>7</v>
      </c>
      <c r="AO748" s="27" t="s">
        <v>8</v>
      </c>
      <c r="AP748" s="27" t="s">
        <v>7</v>
      </c>
      <c r="AQ748" s="27" t="s">
        <v>8</v>
      </c>
      <c r="AR748" s="27" t="s">
        <v>7</v>
      </c>
      <c r="AS748" s="27" t="s">
        <v>8</v>
      </c>
      <c r="AT748" s="27" t="s">
        <v>7</v>
      </c>
      <c r="BE748" s="27" t="s">
        <v>8</v>
      </c>
      <c r="BF748" s="27" t="s">
        <v>7</v>
      </c>
      <c r="BG748" s="27" t="s">
        <v>8</v>
      </c>
      <c r="BL748" s="27" t="s">
        <v>7</v>
      </c>
      <c r="BM748" s="27" t="s">
        <v>8</v>
      </c>
      <c r="BN748" s="27" t="s">
        <v>7</v>
      </c>
      <c r="BO748" s="27" t="s">
        <v>8</v>
      </c>
      <c r="CH748" s="27" t="s">
        <v>7</v>
      </c>
      <c r="CI748" s="27" t="s">
        <v>8</v>
      </c>
      <c r="CJ748" s="27" t="s">
        <v>7</v>
      </c>
      <c r="CM748" s="27" t="s">
        <v>8</v>
      </c>
      <c r="CN748" s="27" t="s">
        <v>7</v>
      </c>
      <c r="CO748" s="27" t="s">
        <v>8</v>
      </c>
      <c r="CP748" s="27" t="s">
        <v>7</v>
      </c>
      <c r="CQ748" s="27" t="s">
        <v>8</v>
      </c>
      <c r="KD748" s="27" t="s">
        <v>7</v>
      </c>
      <c r="KE748" s="27" t="s">
        <v>8</v>
      </c>
    </row>
    <row r="749" spans="1:291" x14ac:dyDescent="0.25">
      <c r="A749" s="7">
        <v>4.043637119242547E-2</v>
      </c>
      <c r="B749"/>
      <c r="C749"/>
      <c r="D749"/>
      <c r="E749"/>
      <c r="F749" s="27" t="s">
        <v>7</v>
      </c>
      <c r="G749" s="27" t="s">
        <v>8</v>
      </c>
      <c r="I749" s="27" t="s">
        <v>8</v>
      </c>
      <c r="J749" s="27" t="s">
        <v>7</v>
      </c>
      <c r="K749" s="27" t="s">
        <v>8</v>
      </c>
      <c r="L749" s="27" t="s">
        <v>7</v>
      </c>
      <c r="M749" s="27" t="s">
        <v>8</v>
      </c>
      <c r="AN749" s="27" t="s">
        <v>7</v>
      </c>
      <c r="AO749" s="27" t="s">
        <v>8</v>
      </c>
      <c r="AP749" s="27" t="s">
        <v>7</v>
      </c>
      <c r="AQ749" s="27" t="s">
        <v>8</v>
      </c>
      <c r="AR749" s="27" t="s">
        <v>7</v>
      </c>
      <c r="AS749" s="27" t="s">
        <v>8</v>
      </c>
      <c r="AT749" s="27" t="s">
        <v>7</v>
      </c>
      <c r="BE749" s="27" t="s">
        <v>8</v>
      </c>
      <c r="BF749" s="27" t="s">
        <v>7</v>
      </c>
      <c r="BG749" s="27" t="s">
        <v>8</v>
      </c>
      <c r="BL749" s="27" t="s">
        <v>7</v>
      </c>
      <c r="BN749" s="27" t="s">
        <v>7</v>
      </c>
      <c r="BO749" s="27" t="s">
        <v>8</v>
      </c>
      <c r="CH749" s="27" t="s">
        <v>7</v>
      </c>
      <c r="CI749" s="27" t="s">
        <v>8</v>
      </c>
      <c r="CJ749" s="27" t="s">
        <v>7</v>
      </c>
      <c r="CM749" s="27" t="s">
        <v>8</v>
      </c>
      <c r="CN749" s="27" t="s">
        <v>7</v>
      </c>
      <c r="CO749" s="27" t="s">
        <v>8</v>
      </c>
      <c r="CP749" s="27" t="s">
        <v>7</v>
      </c>
      <c r="CQ749" s="27" t="s">
        <v>8</v>
      </c>
      <c r="KD749" s="27" t="s">
        <v>7</v>
      </c>
      <c r="KE749" s="27" t="s">
        <v>8</v>
      </c>
    </row>
    <row r="750" spans="1:291" x14ac:dyDescent="0.25">
      <c r="A750" s="7">
        <v>3.9643501169044582E-2</v>
      </c>
      <c r="B750"/>
      <c r="C750"/>
      <c r="D750"/>
      <c r="E750"/>
      <c r="F750" s="27" t="s">
        <v>7</v>
      </c>
      <c r="G750" s="27" t="s">
        <v>8</v>
      </c>
      <c r="H750" s="27" t="s">
        <v>7</v>
      </c>
      <c r="I750" s="27" t="s">
        <v>8</v>
      </c>
      <c r="J750" s="27" t="s">
        <v>7</v>
      </c>
      <c r="K750" s="27" t="s">
        <v>8</v>
      </c>
      <c r="L750" s="27" t="s">
        <v>7</v>
      </c>
      <c r="M750" s="27" t="s">
        <v>8</v>
      </c>
      <c r="AN750" s="27" t="s">
        <v>7</v>
      </c>
      <c r="AO750" s="27" t="s">
        <v>8</v>
      </c>
      <c r="AP750" s="27" t="s">
        <v>7</v>
      </c>
      <c r="AR750" s="27" t="s">
        <v>7</v>
      </c>
      <c r="AS750" s="27" t="s">
        <v>8</v>
      </c>
      <c r="AT750" s="27" t="s">
        <v>7</v>
      </c>
      <c r="BE750" s="27" t="s">
        <v>8</v>
      </c>
      <c r="BF750" s="27" t="s">
        <v>7</v>
      </c>
      <c r="BG750" s="27" t="s">
        <v>8</v>
      </c>
      <c r="BN750" s="27" t="s">
        <v>7</v>
      </c>
      <c r="BO750" s="27" t="s">
        <v>8</v>
      </c>
      <c r="CH750" s="27" t="s">
        <v>7</v>
      </c>
      <c r="CI750" s="27" t="s">
        <v>8</v>
      </c>
      <c r="CJ750" s="27" t="s">
        <v>7</v>
      </c>
      <c r="CM750" s="27" t="s">
        <v>8</v>
      </c>
      <c r="CN750" s="27" t="s">
        <v>7</v>
      </c>
      <c r="CO750" s="27" t="s">
        <v>8</v>
      </c>
      <c r="CP750" s="27" t="s">
        <v>7</v>
      </c>
      <c r="CQ750" s="27" t="s">
        <v>8</v>
      </c>
      <c r="KD750" s="27" t="s">
        <v>7</v>
      </c>
      <c r="KE750" s="27" t="s">
        <v>8</v>
      </c>
    </row>
    <row r="751" spans="1:291" x14ac:dyDescent="0.25">
      <c r="A751" s="7">
        <v>3.8866177616710372E-2</v>
      </c>
      <c r="B751"/>
      <c r="C751"/>
      <c r="D751"/>
      <c r="E751"/>
      <c r="F751" s="27" t="s">
        <v>7</v>
      </c>
      <c r="G751" s="27" t="s">
        <v>8</v>
      </c>
      <c r="H751" s="27" t="s">
        <v>7</v>
      </c>
      <c r="I751" s="27" t="s">
        <v>8</v>
      </c>
      <c r="J751" s="27" t="s">
        <v>7</v>
      </c>
      <c r="K751" s="27" t="s">
        <v>8</v>
      </c>
      <c r="L751" s="27" t="s">
        <v>7</v>
      </c>
      <c r="AN751" s="27" t="s">
        <v>7</v>
      </c>
      <c r="AO751" s="27" t="s">
        <v>8</v>
      </c>
      <c r="AR751" s="27" t="s">
        <v>7</v>
      </c>
      <c r="AS751" s="27" t="s">
        <v>8</v>
      </c>
      <c r="AT751" s="27" t="s">
        <v>7</v>
      </c>
      <c r="BE751" s="27" t="s">
        <v>8</v>
      </c>
      <c r="BF751" s="27" t="s">
        <v>7</v>
      </c>
      <c r="BG751" s="27" t="s">
        <v>8</v>
      </c>
      <c r="BN751" s="27" t="s">
        <v>7</v>
      </c>
      <c r="CH751" s="27" t="s">
        <v>7</v>
      </c>
      <c r="CI751" s="27" t="s">
        <v>8</v>
      </c>
      <c r="CJ751" s="27" t="s">
        <v>7</v>
      </c>
      <c r="CM751" s="27" t="s">
        <v>8</v>
      </c>
      <c r="CN751" s="27" t="s">
        <v>7</v>
      </c>
      <c r="CO751" s="27" t="s">
        <v>8</v>
      </c>
      <c r="CP751" s="27" t="s">
        <v>7</v>
      </c>
      <c r="KD751" s="27" t="s">
        <v>7</v>
      </c>
      <c r="KE751" s="27" t="s">
        <v>8</v>
      </c>
    </row>
    <row r="752" spans="1:291" x14ac:dyDescent="0.25">
      <c r="A752" s="7">
        <v>3.8104095702657229E-2</v>
      </c>
      <c r="B752"/>
      <c r="C752"/>
      <c r="D752"/>
      <c r="E752"/>
      <c r="F752" s="27" t="s">
        <v>7</v>
      </c>
      <c r="G752" s="27" t="s">
        <v>8</v>
      </c>
      <c r="H752" s="27" t="s">
        <v>7</v>
      </c>
      <c r="I752" s="27" t="s">
        <v>8</v>
      </c>
      <c r="J752" s="27" t="s">
        <v>7</v>
      </c>
      <c r="K752" s="27" t="s">
        <v>8</v>
      </c>
      <c r="AN752" s="27" t="s">
        <v>7</v>
      </c>
      <c r="AO752" s="27" t="s">
        <v>8</v>
      </c>
      <c r="AR752" s="27" t="s">
        <v>7</v>
      </c>
      <c r="AS752" s="27" t="s">
        <v>8</v>
      </c>
      <c r="AT752" s="27" t="s">
        <v>7</v>
      </c>
      <c r="AU752" s="27" t="s">
        <v>8</v>
      </c>
      <c r="BC752" s="27" t="s">
        <v>8</v>
      </c>
      <c r="BE752" s="27" t="s">
        <v>8</v>
      </c>
      <c r="BF752" s="27" t="s">
        <v>7</v>
      </c>
      <c r="BG752" s="27" t="s">
        <v>8</v>
      </c>
      <c r="CH752" s="27" t="s">
        <v>7</v>
      </c>
      <c r="CI752" s="27" t="s">
        <v>8</v>
      </c>
      <c r="CJ752" s="27" t="s">
        <v>7</v>
      </c>
      <c r="CM752" s="27" t="s">
        <v>8</v>
      </c>
      <c r="CN752" s="27" t="s">
        <v>7</v>
      </c>
      <c r="CO752" s="27" t="s">
        <v>8</v>
      </c>
      <c r="KD752" s="27" t="s">
        <v>7</v>
      </c>
      <c r="KE752" s="27" t="s">
        <v>8</v>
      </c>
    </row>
    <row r="753" spans="1:291" x14ac:dyDescent="0.25">
      <c r="A753" s="7">
        <v>3.7356956571232579E-2</v>
      </c>
      <c r="B753"/>
      <c r="C753"/>
      <c r="D753"/>
      <c r="E753"/>
      <c r="F753" s="27" t="s">
        <v>7</v>
      </c>
      <c r="G753" s="27" t="s">
        <v>8</v>
      </c>
      <c r="H753" s="27" t="s">
        <v>7</v>
      </c>
      <c r="I753" s="27" t="s">
        <v>8</v>
      </c>
      <c r="J753" s="27" t="s">
        <v>7</v>
      </c>
      <c r="K753" s="27" t="s">
        <v>8</v>
      </c>
      <c r="AN753" s="27" t="s">
        <v>7</v>
      </c>
      <c r="AR753" s="27" t="s">
        <v>7</v>
      </c>
      <c r="AS753" s="27" t="s">
        <v>8</v>
      </c>
      <c r="AT753" s="27" t="s">
        <v>7</v>
      </c>
      <c r="AU753" s="27" t="s">
        <v>8</v>
      </c>
      <c r="AV753" s="27" t="s">
        <v>7</v>
      </c>
      <c r="AW753" s="27" t="s">
        <v>8</v>
      </c>
      <c r="AY753" s="27" t="s">
        <v>8</v>
      </c>
      <c r="BC753" s="27" t="s">
        <v>8</v>
      </c>
      <c r="BD753" s="27" t="s">
        <v>7</v>
      </c>
      <c r="BE753" s="27" t="s">
        <v>8</v>
      </c>
      <c r="BF753" s="27" t="s">
        <v>7</v>
      </c>
      <c r="CH753" s="27" t="s">
        <v>7</v>
      </c>
      <c r="CI753" s="27" t="s">
        <v>8</v>
      </c>
      <c r="CJ753" s="27" t="s">
        <v>7</v>
      </c>
      <c r="CM753" s="27" t="s">
        <v>8</v>
      </c>
      <c r="CN753" s="27" t="s">
        <v>7</v>
      </c>
      <c r="CO753" s="27" t="s">
        <v>8</v>
      </c>
      <c r="KD753" s="27" t="s">
        <v>7</v>
      </c>
      <c r="KE753" s="27" t="s">
        <v>8</v>
      </c>
    </row>
    <row r="754" spans="1:291" x14ac:dyDescent="0.25">
      <c r="A754" s="7">
        <v>3.6624467226698605E-2</v>
      </c>
      <c r="B754"/>
      <c r="C754"/>
      <c r="D754"/>
      <c r="E754"/>
      <c r="F754" s="27" t="s">
        <v>7</v>
      </c>
      <c r="G754" s="27" t="s">
        <v>8</v>
      </c>
      <c r="H754" s="27" t="s">
        <v>7</v>
      </c>
      <c r="J754" s="27" t="s">
        <v>7</v>
      </c>
      <c r="K754" s="27" t="s">
        <v>8</v>
      </c>
      <c r="AR754" s="27" t="s">
        <v>7</v>
      </c>
      <c r="AS754" s="27" t="s">
        <v>8</v>
      </c>
      <c r="AT754" s="27" t="s">
        <v>7</v>
      </c>
      <c r="AU754" s="27" t="s">
        <v>8</v>
      </c>
      <c r="AV754" s="27" t="s">
        <v>7</v>
      </c>
      <c r="AW754" s="27" t="s">
        <v>8</v>
      </c>
      <c r="AX754" s="27" t="s">
        <v>7</v>
      </c>
      <c r="AY754" s="27" t="s">
        <v>8</v>
      </c>
      <c r="AZ754" s="27" t="s">
        <v>7</v>
      </c>
      <c r="BC754" s="27" t="s">
        <v>8</v>
      </c>
      <c r="BD754" s="27" t="s">
        <v>7</v>
      </c>
      <c r="BE754" s="27" t="s">
        <v>8</v>
      </c>
      <c r="CH754" s="27" t="s">
        <v>7</v>
      </c>
      <c r="CI754" s="27" t="s">
        <v>8</v>
      </c>
      <c r="CJ754" s="27" t="s">
        <v>7</v>
      </c>
      <c r="CM754" s="27" t="s">
        <v>8</v>
      </c>
      <c r="CN754" s="27" t="s">
        <v>7</v>
      </c>
      <c r="CO754" s="27" t="s">
        <v>8</v>
      </c>
      <c r="KD754" s="27" t="s">
        <v>7</v>
      </c>
      <c r="KE754" s="27" t="s">
        <v>8</v>
      </c>
    </row>
    <row r="755" spans="1:291" x14ac:dyDescent="0.25">
      <c r="A755" s="7">
        <v>3.5906340418331961E-2</v>
      </c>
      <c r="B755"/>
      <c r="C755"/>
      <c r="D755"/>
      <c r="E755"/>
      <c r="F755" s="27" t="s">
        <v>7</v>
      </c>
      <c r="G755" s="27" t="s">
        <v>8</v>
      </c>
      <c r="J755" s="27" t="s">
        <v>7</v>
      </c>
      <c r="AR755" s="27" t="s">
        <v>7</v>
      </c>
      <c r="AS755" s="27" t="s">
        <v>8</v>
      </c>
      <c r="AT755" s="27" t="s">
        <v>7</v>
      </c>
      <c r="AU755" s="27" t="s">
        <v>8</v>
      </c>
      <c r="AV755" s="27" t="s">
        <v>7</v>
      </c>
      <c r="AW755" s="27" t="s">
        <v>8</v>
      </c>
      <c r="AX755" s="27" t="s">
        <v>7</v>
      </c>
      <c r="AY755" s="27" t="s">
        <v>8</v>
      </c>
      <c r="AZ755" s="27" t="s">
        <v>7</v>
      </c>
      <c r="BC755" s="27" t="s">
        <v>8</v>
      </c>
      <c r="BD755" s="27" t="s">
        <v>7</v>
      </c>
      <c r="BE755" s="27" t="s">
        <v>8</v>
      </c>
      <c r="CH755" s="27" t="s">
        <v>7</v>
      </c>
      <c r="CI755" s="27" t="s">
        <v>8</v>
      </c>
      <c r="CJ755" s="27" t="s">
        <v>7</v>
      </c>
      <c r="CM755" s="27" t="s">
        <v>8</v>
      </c>
      <c r="CN755" s="27" t="s">
        <v>7</v>
      </c>
      <c r="CO755" s="27" t="s">
        <v>8</v>
      </c>
      <c r="KD755" s="27" t="s">
        <v>7</v>
      </c>
      <c r="KE755" s="27" t="s">
        <v>8</v>
      </c>
    </row>
    <row r="756" spans="1:291" x14ac:dyDescent="0.25">
      <c r="A756" s="7">
        <v>3.5202294527776436E-2</v>
      </c>
      <c r="B756"/>
      <c r="C756"/>
      <c r="D756"/>
      <c r="E756"/>
      <c r="F756" s="27" t="s">
        <v>7</v>
      </c>
      <c r="G756" s="27" t="s">
        <v>8</v>
      </c>
      <c r="AR756" s="27" t="s">
        <v>7</v>
      </c>
      <c r="AS756" s="27" t="s">
        <v>8</v>
      </c>
      <c r="AT756" s="27" t="s">
        <v>7</v>
      </c>
      <c r="AU756" s="27" t="s">
        <v>8</v>
      </c>
      <c r="AV756" s="27" t="s">
        <v>7</v>
      </c>
      <c r="AW756" s="27" t="s">
        <v>8</v>
      </c>
      <c r="AX756" s="27" t="s">
        <v>7</v>
      </c>
      <c r="AY756" s="27" t="s">
        <v>8</v>
      </c>
      <c r="AZ756" s="27" t="s">
        <v>7</v>
      </c>
      <c r="BC756" s="27" t="s">
        <v>8</v>
      </c>
      <c r="BD756" s="27" t="s">
        <v>7</v>
      </c>
      <c r="BE756" s="27" t="s">
        <v>8</v>
      </c>
      <c r="CH756" s="27" t="s">
        <v>7</v>
      </c>
      <c r="CI756" s="27" t="s">
        <v>8</v>
      </c>
      <c r="CJ756" s="27" t="s">
        <v>7</v>
      </c>
      <c r="CM756" s="27" t="s">
        <v>8</v>
      </c>
      <c r="CN756" s="27" t="s">
        <v>7</v>
      </c>
      <c r="CO756" s="27" t="s">
        <v>8</v>
      </c>
      <c r="KD756" s="27" t="s">
        <v>7</v>
      </c>
      <c r="KE756" s="27" t="s">
        <v>8</v>
      </c>
    </row>
    <row r="757" spans="1:291" x14ac:dyDescent="0.25">
      <c r="A757" s="7">
        <v>3.451205345860435E-2</v>
      </c>
      <c r="B757"/>
      <c r="C757"/>
      <c r="D757"/>
      <c r="E757"/>
      <c r="F757" s="27" t="s">
        <v>7</v>
      </c>
      <c r="G757" s="27" t="s">
        <v>8</v>
      </c>
      <c r="AR757" s="27" t="s">
        <v>7</v>
      </c>
      <c r="AT757" s="27" t="s">
        <v>7</v>
      </c>
      <c r="AU757" s="27" t="s">
        <v>8</v>
      </c>
      <c r="AV757" s="27" t="s">
        <v>7</v>
      </c>
      <c r="AW757" s="27" t="s">
        <v>8</v>
      </c>
      <c r="AX757" s="27" t="s">
        <v>7</v>
      </c>
      <c r="AY757" s="27" t="s">
        <v>8</v>
      </c>
      <c r="AZ757" s="27" t="s">
        <v>7</v>
      </c>
      <c r="BC757" s="27" t="s">
        <v>8</v>
      </c>
      <c r="BD757" s="27" t="s">
        <v>7</v>
      </c>
      <c r="BE757" s="27" t="s">
        <v>8</v>
      </c>
      <c r="CH757" s="27" t="s">
        <v>7</v>
      </c>
      <c r="CI757" s="27" t="s">
        <v>8</v>
      </c>
      <c r="CJ757" s="27" t="s">
        <v>7</v>
      </c>
      <c r="CK757" s="27" t="s">
        <v>8</v>
      </c>
      <c r="CM757" s="27" t="s">
        <v>8</v>
      </c>
      <c r="CN757" s="27" t="s">
        <v>7</v>
      </c>
      <c r="KD757" s="27" t="s">
        <v>7</v>
      </c>
      <c r="KE757" s="27" t="s">
        <v>8</v>
      </c>
    </row>
    <row r="758" spans="1:291" x14ac:dyDescent="0.25">
      <c r="A758" s="7">
        <v>3.3835346528043479E-2</v>
      </c>
      <c r="B758"/>
      <c r="C758"/>
      <c r="D758"/>
      <c r="E758"/>
      <c r="F758" s="27" t="s">
        <v>7</v>
      </c>
      <c r="AT758" s="27" t="s">
        <v>7</v>
      </c>
      <c r="AU758" s="27" t="s">
        <v>8</v>
      </c>
      <c r="AV758" s="27" t="s">
        <v>7</v>
      </c>
      <c r="AW758" s="27" t="s">
        <v>8</v>
      </c>
      <c r="AX758" s="27" t="s">
        <v>7</v>
      </c>
      <c r="AY758" s="27" t="s">
        <v>8</v>
      </c>
      <c r="AZ758" s="27" t="s">
        <v>7</v>
      </c>
      <c r="BC758" s="27" t="s">
        <v>8</v>
      </c>
      <c r="BD758" s="27" t="s">
        <v>7</v>
      </c>
      <c r="CH758" s="27" t="s">
        <v>7</v>
      </c>
      <c r="CI758" s="27" t="s">
        <v>8</v>
      </c>
      <c r="CJ758" s="27" t="s">
        <v>7</v>
      </c>
      <c r="CK758" s="27" t="s">
        <v>8</v>
      </c>
      <c r="CL758" s="27" t="s">
        <v>7</v>
      </c>
      <c r="CM758" s="27" t="s">
        <v>8</v>
      </c>
      <c r="KD758" s="27" t="s">
        <v>7</v>
      </c>
      <c r="KE758" s="27" t="s">
        <v>8</v>
      </c>
    </row>
    <row r="759" spans="1:291" x14ac:dyDescent="0.25">
      <c r="A759" s="7">
        <v>3.3171908360826938E-2</v>
      </c>
      <c r="B759"/>
      <c r="C759"/>
      <c r="D759"/>
      <c r="E759"/>
      <c r="AT759" s="27" t="s">
        <v>7</v>
      </c>
      <c r="AV759" s="27" t="s">
        <v>7</v>
      </c>
      <c r="AX759" s="27" t="s">
        <v>7</v>
      </c>
      <c r="AY759" s="27" t="s">
        <v>8</v>
      </c>
      <c r="AZ759" s="27" t="s">
        <v>7</v>
      </c>
      <c r="BA759" s="27" t="s">
        <v>8</v>
      </c>
      <c r="BC759" s="27" t="s">
        <v>8</v>
      </c>
      <c r="CH759" s="27" t="s">
        <v>7</v>
      </c>
      <c r="CI759" s="27" t="s">
        <v>8</v>
      </c>
      <c r="CJ759" s="27" t="s">
        <v>7</v>
      </c>
      <c r="CK759" s="27" t="s">
        <v>8</v>
      </c>
      <c r="CL759" s="27" t="s">
        <v>7</v>
      </c>
      <c r="CM759" s="27" t="s">
        <v>8</v>
      </c>
      <c r="KD759" s="27" t="s">
        <v>7</v>
      </c>
      <c r="KE759" s="27" t="s">
        <v>8</v>
      </c>
    </row>
    <row r="760" spans="1:291" x14ac:dyDescent="0.25">
      <c r="A760" s="7">
        <v>3.2521478785124451E-2</v>
      </c>
      <c r="B760"/>
      <c r="C760"/>
      <c r="D760"/>
      <c r="E760"/>
      <c r="AX760" s="27" t="s">
        <v>7</v>
      </c>
      <c r="AY760" s="27" t="s">
        <v>8</v>
      </c>
      <c r="AZ760" s="27" t="s">
        <v>7</v>
      </c>
      <c r="BA760" s="27" t="s">
        <v>8</v>
      </c>
      <c r="BB760" s="27" t="s">
        <v>7</v>
      </c>
      <c r="BC760" s="27" t="s">
        <v>8</v>
      </c>
      <c r="CH760" s="27" t="s">
        <v>7</v>
      </c>
      <c r="CI760" s="27" t="s">
        <v>8</v>
      </c>
      <c r="CJ760" s="27" t="s">
        <v>7</v>
      </c>
      <c r="CK760" s="27" t="s">
        <v>8</v>
      </c>
      <c r="CL760" s="27" t="s">
        <v>7</v>
      </c>
      <c r="CM760" s="27" t="s">
        <v>8</v>
      </c>
      <c r="KD760" s="27" t="s">
        <v>7</v>
      </c>
      <c r="KE760" s="27" t="s">
        <v>8</v>
      </c>
    </row>
    <row r="761" spans="1:291" x14ac:dyDescent="0.25">
      <c r="A761" s="7">
        <v>3.1883802730514173E-2</v>
      </c>
      <c r="B761"/>
      <c r="C761"/>
      <c r="D761"/>
      <c r="E761"/>
      <c r="AX761" s="27" t="s">
        <v>7</v>
      </c>
      <c r="AY761" s="27" t="s">
        <v>8</v>
      </c>
      <c r="AZ761" s="27" t="s">
        <v>7</v>
      </c>
      <c r="BA761" s="27" t="s">
        <v>8</v>
      </c>
      <c r="BB761" s="27" t="s">
        <v>7</v>
      </c>
      <c r="BC761" s="27" t="s">
        <v>8</v>
      </c>
      <c r="CH761" s="27" t="s">
        <v>7</v>
      </c>
      <c r="CI761" s="27" t="s">
        <v>8</v>
      </c>
      <c r="CJ761" s="27" t="s">
        <v>7</v>
      </c>
      <c r="CK761" s="27" t="s">
        <v>8</v>
      </c>
      <c r="CL761" s="27" t="s">
        <v>7</v>
      </c>
      <c r="CM761" s="27" t="s">
        <v>8</v>
      </c>
      <c r="KD761" s="27" t="s">
        <v>7</v>
      </c>
      <c r="KE761" s="27" t="s">
        <v>8</v>
      </c>
    </row>
    <row r="762" spans="1:291" x14ac:dyDescent="0.25">
      <c r="A762" s="7">
        <v>3.1258630127955073E-2</v>
      </c>
      <c r="B762"/>
      <c r="C762"/>
      <c r="D762"/>
      <c r="E762"/>
      <c r="AX762" s="27" t="s">
        <v>7</v>
      </c>
      <c r="AY762" s="27" t="s">
        <v>8</v>
      </c>
      <c r="AZ762" s="27" t="s">
        <v>7</v>
      </c>
      <c r="BA762" s="27" t="s">
        <v>8</v>
      </c>
      <c r="BB762" s="27" t="s">
        <v>7</v>
      </c>
      <c r="BC762" s="27" t="s">
        <v>8</v>
      </c>
      <c r="CH762" s="27" t="s">
        <v>7</v>
      </c>
      <c r="CI762" s="27" t="s">
        <v>8</v>
      </c>
      <c r="CJ762" s="27" t="s">
        <v>7</v>
      </c>
      <c r="CK762" s="27" t="s">
        <v>8</v>
      </c>
      <c r="CL762" s="27" t="s">
        <v>7</v>
      </c>
      <c r="CM762" s="27" t="s">
        <v>8</v>
      </c>
      <c r="KD762" s="27" t="s">
        <v>7</v>
      </c>
      <c r="KE762" s="27" t="s">
        <v>8</v>
      </c>
    </row>
    <row r="763" spans="1:291" x14ac:dyDescent="0.25">
      <c r="A763" s="7">
        <v>3.064571581172066E-2</v>
      </c>
      <c r="B763"/>
      <c r="C763"/>
      <c r="D763"/>
      <c r="E763"/>
      <c r="AX763" s="27" t="s">
        <v>7</v>
      </c>
      <c r="AY763" s="27" t="s">
        <v>8</v>
      </c>
      <c r="AZ763" s="27" t="s">
        <v>7</v>
      </c>
      <c r="BB763" s="27" t="s">
        <v>7</v>
      </c>
      <c r="CH763" s="27" t="s">
        <v>7</v>
      </c>
      <c r="CI763" s="27" t="s">
        <v>8</v>
      </c>
      <c r="CJ763" s="27" t="s">
        <v>7</v>
      </c>
      <c r="CK763" s="27" t="s">
        <v>8</v>
      </c>
      <c r="CL763" s="27" t="s">
        <v>7</v>
      </c>
      <c r="CM763" s="27" t="s">
        <v>8</v>
      </c>
      <c r="KD763" s="27" t="s">
        <v>7</v>
      </c>
      <c r="KE763" s="27" t="s">
        <v>8</v>
      </c>
    </row>
    <row r="764" spans="1:291" x14ac:dyDescent="0.25">
      <c r="A764" s="7">
        <v>3.0044819423255549E-2</v>
      </c>
      <c r="B764"/>
      <c r="C764"/>
      <c r="D764"/>
      <c r="E764"/>
      <c r="AX764" s="27" t="s">
        <v>7</v>
      </c>
      <c r="AY764" s="27" t="s">
        <v>8</v>
      </c>
      <c r="CH764" s="27" t="s">
        <v>7</v>
      </c>
      <c r="CI764" s="27" t="s">
        <v>8</v>
      </c>
      <c r="CJ764" s="27" t="s">
        <v>7</v>
      </c>
      <c r="CK764" s="27" t="s">
        <v>8</v>
      </c>
      <c r="CL764" s="27" t="s">
        <v>7</v>
      </c>
      <c r="CM764" s="27" t="s">
        <v>8</v>
      </c>
      <c r="KD764" s="27" t="s">
        <v>7</v>
      </c>
      <c r="KE764" s="27" t="s">
        <v>8</v>
      </c>
    </row>
    <row r="765" spans="1:291" x14ac:dyDescent="0.25">
      <c r="A765" s="7">
        <v>2.9455705316917203E-2</v>
      </c>
      <c r="B765"/>
      <c r="C765"/>
      <c r="D765"/>
      <c r="E765"/>
      <c r="AX765" s="27" t="s">
        <v>7</v>
      </c>
      <c r="AY765" s="27" t="s">
        <v>8</v>
      </c>
      <c r="CH765" s="27" t="s">
        <v>7</v>
      </c>
      <c r="CI765" s="27" t="s">
        <v>8</v>
      </c>
      <c r="CJ765" s="27" t="s">
        <v>7</v>
      </c>
      <c r="CK765" s="27" t="s">
        <v>8</v>
      </c>
      <c r="CL765" s="27" t="s">
        <v>7</v>
      </c>
      <c r="KD765" s="27" t="s">
        <v>7</v>
      </c>
      <c r="KE765" s="27" t="s">
        <v>8</v>
      </c>
    </row>
    <row r="766" spans="1:291" x14ac:dyDescent="0.25">
      <c r="A766" s="7">
        <v>2.8878142467565884E-2</v>
      </c>
      <c r="B766"/>
      <c r="C766"/>
      <c r="D766"/>
      <c r="E766"/>
      <c r="AX766" s="27" t="s">
        <v>7</v>
      </c>
      <c r="AY766" s="27" t="s">
        <v>8</v>
      </c>
      <c r="CH766" s="27" t="s">
        <v>7</v>
      </c>
      <c r="CI766" s="27" t="s">
        <v>8</v>
      </c>
      <c r="CJ766" s="27" t="s">
        <v>7</v>
      </c>
      <c r="CK766" s="27" t="s">
        <v>8</v>
      </c>
      <c r="KD766" s="27" t="s">
        <v>7</v>
      </c>
      <c r="KE766" s="27" t="s">
        <v>8</v>
      </c>
    </row>
    <row r="767" spans="1:291" x14ac:dyDescent="0.25">
      <c r="A767" s="7">
        <v>2.8311904379966554E-2</v>
      </c>
      <c r="B767"/>
      <c r="C767"/>
      <c r="D767"/>
      <c r="E767"/>
      <c r="AX767" s="27" t="s">
        <v>7</v>
      </c>
      <c r="AY767" s="27" t="s">
        <v>8</v>
      </c>
      <c r="CH767" s="27" t="s">
        <v>7</v>
      </c>
      <c r="CJ767" s="27" t="s">
        <v>7</v>
      </c>
      <c r="CK767" s="27" t="s">
        <v>8</v>
      </c>
      <c r="KD767" s="27" t="s">
        <v>7</v>
      </c>
      <c r="KE767" s="27" t="s">
        <v>8</v>
      </c>
    </row>
    <row r="768" spans="1:291" x14ac:dyDescent="0.25">
      <c r="A768" s="7">
        <v>2.7756768999967207E-2</v>
      </c>
      <c r="B768"/>
      <c r="C768"/>
      <c r="D768"/>
      <c r="E768"/>
      <c r="AX768" s="27" t="s">
        <v>7</v>
      </c>
      <c r="CJ768" s="27" t="s">
        <v>7</v>
      </c>
      <c r="CK768" s="27" t="s">
        <v>8</v>
      </c>
      <c r="KD768" s="27" t="s">
        <v>7</v>
      </c>
      <c r="KE768" s="27" t="s">
        <v>8</v>
      </c>
    </row>
    <row r="769" spans="1:291" x14ac:dyDescent="0.25">
      <c r="A769" s="7">
        <v>2.7212518627418834E-2</v>
      </c>
      <c r="B769"/>
      <c r="C769"/>
      <c r="D769"/>
      <c r="E769"/>
      <c r="CJ769" s="27" t="s">
        <v>7</v>
      </c>
      <c r="CK769" s="27" t="s">
        <v>8</v>
      </c>
      <c r="KD769" s="27" t="s">
        <v>7</v>
      </c>
      <c r="KE769" s="27" t="s">
        <v>8</v>
      </c>
    </row>
    <row r="770" spans="1:291" x14ac:dyDescent="0.25">
      <c r="A770" s="7">
        <v>2.6678939830802779E-2</v>
      </c>
      <c r="B770"/>
      <c r="C770"/>
      <c r="D770"/>
      <c r="E770"/>
      <c r="CJ770" s="27" t="s">
        <v>7</v>
      </c>
      <c r="KD770" s="27" t="s">
        <v>7</v>
      </c>
      <c r="KE770" s="27" t="s">
        <v>8</v>
      </c>
    </row>
    <row r="771" spans="1:291" x14ac:dyDescent="0.25">
      <c r="A771" s="7">
        <v>2.615582336353214E-2</v>
      </c>
      <c r="B771"/>
      <c r="C771"/>
      <c r="D771"/>
      <c r="E771"/>
      <c r="KD771" s="27" t="s">
        <v>7</v>
      </c>
      <c r="KE771" s="27" t="s">
        <v>8</v>
      </c>
    </row>
    <row r="772" spans="1:291" x14ac:dyDescent="0.25">
      <c r="A772" s="7">
        <v>2.5642964081894253E-2</v>
      </c>
      <c r="B772"/>
      <c r="C772"/>
      <c r="D772"/>
      <c r="E772"/>
      <c r="KD772" s="27" t="s">
        <v>7</v>
      </c>
      <c r="KE772" s="27" t="s">
        <v>8</v>
      </c>
    </row>
    <row r="773" spans="1:291" x14ac:dyDescent="0.25">
      <c r="A773" s="7">
        <v>2.5140160864602207E-2</v>
      </c>
      <c r="B773"/>
      <c r="C773"/>
      <c r="D773"/>
      <c r="E773"/>
      <c r="KD773" s="27" t="s">
        <v>7</v>
      </c>
      <c r="KE773" s="27" t="s">
        <v>8</v>
      </c>
    </row>
    <row r="774" spans="1:291" x14ac:dyDescent="0.25">
      <c r="A774" s="7">
        <v>2.4647216533923735E-2</v>
      </c>
      <c r="B774"/>
      <c r="C774"/>
      <c r="D774"/>
      <c r="E774"/>
      <c r="KD774" s="27" t="s">
        <v>7</v>
      </c>
      <c r="KE774" s="27" t="s">
        <v>8</v>
      </c>
    </row>
    <row r="775" spans="1:291" x14ac:dyDescent="0.25">
      <c r="A775" s="7">
        <v>2.4163937778356601E-2</v>
      </c>
      <c r="B775"/>
      <c r="C775"/>
      <c r="D775"/>
      <c r="E775"/>
      <c r="KD775" s="27" t="s">
        <v>7</v>
      </c>
      <c r="KE775" s="27" t="s">
        <v>8</v>
      </c>
    </row>
    <row r="776" spans="1:291" x14ac:dyDescent="0.25">
      <c r="A776" s="7">
        <v>2.3690135076820197E-2</v>
      </c>
      <c r="B776"/>
      <c r="C776"/>
      <c r="D776"/>
      <c r="E776"/>
      <c r="KD776" s="27" t="s">
        <v>7</v>
      </c>
      <c r="KE776" s="27" t="s">
        <v>8</v>
      </c>
    </row>
    <row r="777" spans="1:291" x14ac:dyDescent="0.25">
      <c r="A777" s="7">
        <v>2.3225622624333527E-2</v>
      </c>
      <c r="B777"/>
      <c r="C777"/>
      <c r="D777"/>
      <c r="E777"/>
      <c r="KD777" s="27" t="s">
        <v>7</v>
      </c>
      <c r="KE777" s="27" t="s">
        <v>8</v>
      </c>
    </row>
    <row r="778" spans="1:291" x14ac:dyDescent="0.25">
      <c r="A778" s="7">
        <v>2.2770218259150519E-2</v>
      </c>
      <c r="B778"/>
      <c r="C778"/>
      <c r="D778"/>
      <c r="E778"/>
      <c r="KD778" s="27" t="s">
        <v>7</v>
      </c>
      <c r="KE778" s="27" t="s">
        <v>8</v>
      </c>
    </row>
    <row r="779" spans="1:291" x14ac:dyDescent="0.25">
      <c r="A779" s="7">
        <v>2.2323743391324039E-2</v>
      </c>
      <c r="B779"/>
      <c r="C779"/>
      <c r="D779"/>
      <c r="E779"/>
      <c r="KD779" s="27" t="s">
        <v>7</v>
      </c>
      <c r="KE779" s="27" t="s">
        <v>8</v>
      </c>
    </row>
    <row r="780" spans="1:291" x14ac:dyDescent="0.25">
      <c r="A780" s="7">
        <v>2.188602293267063E-2</v>
      </c>
      <c r="B780"/>
      <c r="C780"/>
      <c r="D780"/>
      <c r="E780"/>
      <c r="KD780" s="27" t="s">
        <v>7</v>
      </c>
      <c r="KE780" s="27" t="s">
        <v>8</v>
      </c>
    </row>
    <row r="781" spans="1:291" x14ac:dyDescent="0.25">
      <c r="A781" s="7">
        <v>2.1456885228108461E-2</v>
      </c>
      <c r="B781"/>
      <c r="C781"/>
      <c r="D781"/>
      <c r="E781"/>
      <c r="KD781" s="27" t="s">
        <v>7</v>
      </c>
      <c r="KE781" s="27" t="s">
        <v>8</v>
      </c>
    </row>
    <row r="782" spans="1:291" x14ac:dyDescent="0.25">
      <c r="A782" s="7">
        <v>2.1036161988341632E-2</v>
      </c>
      <c r="B782"/>
      <c r="C782"/>
      <c r="D782"/>
      <c r="E782"/>
      <c r="KD782" s="27" t="s">
        <v>7</v>
      </c>
      <c r="KE782" s="27" t="s">
        <v>8</v>
      </c>
    </row>
    <row r="783" spans="1:291" x14ac:dyDescent="0.25">
      <c r="A783" s="7">
        <v>2.0623688223864345E-2</v>
      </c>
      <c r="B783"/>
      <c r="C783"/>
      <c r="D783"/>
      <c r="E783"/>
      <c r="KD783" s="27" t="s">
        <v>7</v>
      </c>
      <c r="KE783" s="27" t="s">
        <v>8</v>
      </c>
    </row>
    <row r="784" spans="1:291" x14ac:dyDescent="0.25">
      <c r="A784" s="7">
        <v>2.021930218025916E-2</v>
      </c>
      <c r="B784"/>
      <c r="C784"/>
      <c r="D784"/>
      <c r="E784"/>
      <c r="KD784" s="27" t="s">
        <v>7</v>
      </c>
      <c r="KE784" s="27" t="s">
        <v>8</v>
      </c>
    </row>
    <row r="785" spans="1:291" x14ac:dyDescent="0.25">
      <c r="A785" s="7">
        <v>1.9822845274763884E-2</v>
      </c>
      <c r="B785"/>
      <c r="C785"/>
      <c r="D785"/>
      <c r="E785"/>
      <c r="KD785" s="27" t="s">
        <v>7</v>
      </c>
      <c r="KE785" s="27" t="s">
        <v>8</v>
      </c>
    </row>
    <row r="786" spans="1:291" x14ac:dyDescent="0.25">
      <c r="A786" s="7">
        <v>1.9434162034082238E-2</v>
      </c>
      <c r="B786"/>
      <c r="C786"/>
      <c r="D786"/>
      <c r="E786"/>
      <c r="KD786" s="27" t="s">
        <v>7</v>
      </c>
      <c r="KE786" s="27" t="s">
        <v>8</v>
      </c>
    </row>
    <row r="787" spans="1:291" x14ac:dyDescent="0.25">
      <c r="A787" s="7">
        <v>1.9053100033413959E-2</v>
      </c>
      <c r="B787"/>
      <c r="C787"/>
      <c r="D787"/>
      <c r="E787"/>
      <c r="KD787" s="27" t="s">
        <v>7</v>
      </c>
      <c r="KE787" s="27" t="s">
        <v>8</v>
      </c>
    </row>
    <row r="788" spans="1:291" x14ac:dyDescent="0.25">
      <c r="A788" s="7">
        <v>1.867950983668035E-2</v>
      </c>
      <c r="B788"/>
      <c r="C788"/>
      <c r="D788"/>
      <c r="E788"/>
      <c r="KD788" s="27" t="s">
        <v>7</v>
      </c>
      <c r="KE788" s="27" t="s">
        <v>8</v>
      </c>
    </row>
    <row r="789" spans="1:291" x14ac:dyDescent="0.25">
      <c r="A789" s="7">
        <v>1.8313244937921913E-2</v>
      </c>
      <c r="B789"/>
      <c r="C789"/>
      <c r="D789"/>
      <c r="E789"/>
      <c r="KD789" s="27" t="s">
        <v>7</v>
      </c>
      <c r="KE789" s="27" t="s">
        <v>8</v>
      </c>
    </row>
    <row r="790" spans="1:291" x14ac:dyDescent="0.25">
      <c r="A790" s="7">
        <v>1.7954161703845013E-2</v>
      </c>
      <c r="B790"/>
      <c r="C790"/>
      <c r="D790"/>
      <c r="E790"/>
      <c r="KD790" s="27" t="s">
        <v>7</v>
      </c>
      <c r="KE790" s="27" t="s">
        <v>8</v>
      </c>
    </row>
    <row r="791" spans="1:291" x14ac:dyDescent="0.25">
      <c r="A791" s="7">
        <v>1.7602119317495109E-2</v>
      </c>
      <c r="B791"/>
      <c r="C791"/>
      <c r="D791"/>
      <c r="E791"/>
      <c r="KD791" s="27" t="s">
        <v>7</v>
      </c>
      <c r="KE791" s="27" t="s">
        <v>8</v>
      </c>
    </row>
    <row r="792" spans="1:291" x14ac:dyDescent="0.25">
      <c r="A792" s="7">
        <v>1.7256979723034419E-2</v>
      </c>
      <c r="B792"/>
      <c r="C792"/>
      <c r="D792"/>
      <c r="E792"/>
      <c r="KD792" s="27" t="s">
        <v>7</v>
      </c>
      <c r="KE792" s="27" t="s">
        <v>8</v>
      </c>
    </row>
    <row r="793" spans="1:291" x14ac:dyDescent="0.25">
      <c r="A793" s="7">
        <v>1.6918607571602372E-2</v>
      </c>
      <c r="B793"/>
      <c r="C793"/>
      <c r="D793"/>
      <c r="E793"/>
      <c r="KD793" s="27" t="s">
        <v>7</v>
      </c>
      <c r="KE793" s="27" t="s">
        <v>8</v>
      </c>
    </row>
    <row r="794" spans="1:291" x14ac:dyDescent="0.25">
      <c r="A794" s="7">
        <v>1.6586870168237622E-2</v>
      </c>
      <c r="B794"/>
      <c r="C794"/>
      <c r="D794"/>
      <c r="E794"/>
      <c r="KD794" s="27" t="s">
        <v>7</v>
      </c>
      <c r="KE794" s="27" t="s">
        <v>8</v>
      </c>
    </row>
    <row r="795" spans="1:291" x14ac:dyDescent="0.25">
      <c r="A795" s="7">
        <v>1.6261637419840807E-2</v>
      </c>
      <c r="B795"/>
      <c r="C795"/>
      <c r="D795"/>
      <c r="E795"/>
      <c r="KD795" s="27" t="s">
        <v>7</v>
      </c>
      <c r="KE795" s="27" t="s">
        <v>8</v>
      </c>
    </row>
    <row r="796" spans="1:291" x14ac:dyDescent="0.25">
      <c r="A796" s="7">
        <v>1.5942781784157655E-2</v>
      </c>
      <c r="B796"/>
      <c r="C796"/>
      <c r="D796"/>
      <c r="E796"/>
      <c r="KD796" s="27" t="s">
        <v>7</v>
      </c>
      <c r="KE796" s="27" t="s">
        <v>8</v>
      </c>
    </row>
    <row r="797" spans="1:291" x14ac:dyDescent="0.25">
      <c r="A797" s="7">
        <v>1.5630178219762408E-2</v>
      </c>
      <c r="B797"/>
      <c r="C797"/>
      <c r="D797"/>
      <c r="E797"/>
      <c r="KD797" s="27" t="s">
        <v>7</v>
      </c>
      <c r="KE797" s="27" t="s">
        <v>8</v>
      </c>
    </row>
    <row r="798" spans="1:291" x14ac:dyDescent="0.25">
      <c r="A798" s="7">
        <v>1.5323704137021967E-2</v>
      </c>
      <c r="B798"/>
      <c r="C798"/>
      <c r="D798"/>
      <c r="E798"/>
      <c r="KD798" s="27" t="s">
        <v>7</v>
      </c>
    </row>
    <row r="799" spans="1:291" x14ac:dyDescent="0.25">
      <c r="A799" s="7">
        <v>1.5023239350021535E-2</v>
      </c>
      <c r="B799"/>
      <c r="C799"/>
      <c r="D799"/>
      <c r="E799"/>
    </row>
    <row r="800" spans="1:291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61" operator="equal">
      <formula>$U$1</formula>
    </cfRule>
    <cfRule type="cellIs" dxfId="89" priority="1262" operator="equal">
      <formula>$S$1</formula>
    </cfRule>
  </conditionalFormatting>
  <conditionalFormatting sqref="D27">
    <cfRule type="cellIs" dxfId="88" priority="1259" operator="equal">
      <formula>$S$1</formula>
    </cfRule>
    <cfRule type="cellIs" dxfId="87" priority="1260" operator="equal">
      <formula>$U$1</formula>
    </cfRule>
  </conditionalFormatting>
  <conditionalFormatting sqref="C164">
    <cfRule type="cellIs" dxfId="86" priority="1257" operator="equal">
      <formula>$U$1</formula>
    </cfRule>
    <cfRule type="cellIs" dxfId="85" priority="1258" operator="equal">
      <formula>$S$1</formula>
    </cfRule>
  </conditionalFormatting>
  <conditionalFormatting sqref="D164">
    <cfRule type="cellIs" dxfId="84" priority="1255" operator="equal">
      <formula>$S$1</formula>
    </cfRule>
    <cfRule type="cellIs" dxfId="83" priority="1256" operator="equal">
      <formula>$U$1</formula>
    </cfRule>
  </conditionalFormatting>
  <conditionalFormatting sqref="C55">
    <cfRule type="cellIs" dxfId="82" priority="1253" operator="equal">
      <formula>$U$1</formula>
    </cfRule>
    <cfRule type="cellIs" dxfId="81" priority="1254" operator="equal">
      <formula>$S$1</formula>
    </cfRule>
  </conditionalFormatting>
  <conditionalFormatting sqref="D55">
    <cfRule type="cellIs" dxfId="80" priority="1251" operator="equal">
      <formula>$S$1</formula>
    </cfRule>
    <cfRule type="cellIs" dxfId="79" priority="1252" operator="equal">
      <formula>$U$1</formula>
    </cfRule>
  </conditionalFormatting>
  <conditionalFormatting sqref="C89">
    <cfRule type="cellIs" dxfId="78" priority="1249" operator="equal">
      <formula>$U$1</formula>
    </cfRule>
    <cfRule type="cellIs" dxfId="77" priority="1250" operator="equal">
      <formula>$S$1</formula>
    </cfRule>
  </conditionalFormatting>
  <conditionalFormatting sqref="D89">
    <cfRule type="cellIs" dxfId="76" priority="1247" operator="equal">
      <formula>$S$1</formula>
    </cfRule>
    <cfRule type="cellIs" dxfId="75" priority="1248" operator="equal">
      <formula>$U$1</formula>
    </cfRule>
  </conditionalFormatting>
  <conditionalFormatting sqref="C136">
    <cfRule type="cellIs" dxfId="74" priority="1245" operator="equal">
      <formula>$U$1</formula>
    </cfRule>
    <cfRule type="cellIs" dxfId="73" priority="1246" operator="equal">
      <formula>$S$1</formula>
    </cfRule>
  </conditionalFormatting>
  <conditionalFormatting sqref="D136">
    <cfRule type="cellIs" dxfId="72" priority="1243" operator="equal">
      <formula>$S$1</formula>
    </cfRule>
    <cfRule type="cellIs" dxfId="71" priority="1244" operator="equal">
      <formula>$U$1</formula>
    </cfRule>
  </conditionalFormatting>
  <conditionalFormatting sqref="C1">
    <cfRule type="cellIs" dxfId="70" priority="124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4" zoomScale="90" zoomScaleNormal="90" workbookViewId="0">
      <pane xSplit="4" topLeftCell="DT1" activePane="topRight" state="frozen"/>
      <selection activeCell="A109" sqref="A109"/>
      <selection pane="topRight" activeCell="GI261" sqref="GI26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$A$260</v>
      </c>
      <c r="D111" s="1" t="str">
        <f>ADDRESS(C121-1,D121,1,1)</f>
        <v>$GI$260</v>
      </c>
      <c r="E111"/>
    </row>
    <row r="112" spans="1:5" x14ac:dyDescent="0.25">
      <c r="A112" s="30">
        <v>515.50191262726139</v>
      </c>
      <c r="C112" s="1" t="str">
        <f>ADDRESS(C121,1,1,1)</f>
        <v>$A$261</v>
      </c>
      <c r="D112" s="1" t="str">
        <f>ADDRESS(C121,D121-1,1,1)</f>
        <v>$GH$261</v>
      </c>
      <c r="E112"/>
    </row>
    <row r="113" spans="1:5" x14ac:dyDescent="0.25">
      <c r="A113" s="30">
        <v>490.95420250215363</v>
      </c>
      <c r="C113" s="1" t="str">
        <f>ADDRESS(C121+1,1,1,1)</f>
        <v>$A$262</v>
      </c>
      <c r="D113" s="1" t="str">
        <f>ADDRESS(C121-1,D121+1,1,1)</f>
        <v>$GJ$260</v>
      </c>
    </row>
    <row r="114" spans="1:5" x14ac:dyDescent="0.25">
      <c r="A114" s="30">
        <v>467.57543095443202</v>
      </c>
      <c r="C114" s="1" t="str">
        <f>ADDRESS(C121,D121,1,1)</f>
        <v>$GI$261</v>
      </c>
      <c r="D114" s="1" t="str">
        <f>ADDRESS(C121+1,D121+1,1,1)</f>
        <v>$GJ$262</v>
      </c>
    </row>
    <row r="115" spans="1:5" x14ac:dyDescent="0.25">
      <c r="A115" s="30">
        <v>445.30993424231622</v>
      </c>
      <c r="C115" s="1" t="str">
        <f>ADDRESS(C121+1,D121,1,1)</f>
        <v>$GI$262</v>
      </c>
    </row>
    <row r="116" spans="1:5" x14ac:dyDescent="0.25">
      <c r="A116" s="30">
        <v>424.10469927839637</v>
      </c>
      <c r="C116" s="1">
        <f>C117-1</f>
        <v>260</v>
      </c>
    </row>
    <row r="117" spans="1:5" x14ac:dyDescent="0.25">
      <c r="A117" s="30">
        <v>403.9092374079965</v>
      </c>
      <c r="C117" s="1">
        <f>C121</f>
        <v>261</v>
      </c>
      <c r="D117" s="1">
        <f>D121</f>
        <v>191</v>
      </c>
    </row>
    <row r="118" spans="1:5" x14ac:dyDescent="0.25">
      <c r="A118" s="30">
        <v>384.6754641980919</v>
      </c>
      <c r="C118" s="1">
        <f>C117+1</f>
        <v>262</v>
      </c>
      <c r="D118" s="1">
        <f>D117+1</f>
        <v>192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261</v>
      </c>
      <c r="D121" s="19">
        <v>191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R261</v>
      </c>
      <c r="D123" s="1" t="str">
        <f>"C"&amp;D121</f>
        <v>C191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0.35894236464094997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81" x14ac:dyDescent="0.25">
      <c r="A225" s="30">
        <v>2.0789281794113688</v>
      </c>
      <c r="E225"/>
    </row>
    <row r="226" spans="1:181" x14ac:dyDescent="0.25">
      <c r="A226" s="30">
        <v>1.9799315994393987</v>
      </c>
      <c r="E226"/>
    </row>
    <row r="227" spans="1:181" x14ac:dyDescent="0.25">
      <c r="A227" s="30">
        <v>1.8856491423232367</v>
      </c>
      <c r="E227"/>
    </row>
    <row r="228" spans="1:181" x14ac:dyDescent="0.25">
      <c r="A228" s="30">
        <v>1.7958563260221301</v>
      </c>
      <c r="C228" s="7"/>
      <c r="D228"/>
      <c r="E228"/>
      <c r="DS228" s="27" t="s">
        <v>8</v>
      </c>
    </row>
    <row r="229" spans="1:181" x14ac:dyDescent="0.25">
      <c r="A229" s="30">
        <v>1.7103393581163142</v>
      </c>
      <c r="E229"/>
      <c r="DS229" s="27" t="s">
        <v>8</v>
      </c>
      <c r="DT229" s="27" t="s">
        <v>7</v>
      </c>
    </row>
    <row r="230" spans="1:181" x14ac:dyDescent="0.25">
      <c r="A230" s="30">
        <v>1.628894626777442</v>
      </c>
      <c r="E230"/>
      <c r="DS230" s="27" t="s">
        <v>8</v>
      </c>
      <c r="DT230" s="27" t="s">
        <v>7</v>
      </c>
    </row>
    <row r="231" spans="1:181" x14ac:dyDescent="0.25">
      <c r="A231" s="30">
        <v>1.5513282159785162</v>
      </c>
      <c r="C231"/>
      <c r="D231"/>
      <c r="E231"/>
      <c r="DS231" s="27" t="s">
        <v>8</v>
      </c>
      <c r="DT231" s="27" t="s">
        <v>7</v>
      </c>
    </row>
    <row r="232" spans="1:181" x14ac:dyDescent="0.25">
      <c r="A232" s="30">
        <v>1.477455443789063</v>
      </c>
      <c r="E232"/>
      <c r="DS232" s="27" t="s">
        <v>8</v>
      </c>
      <c r="DT232" s="27" t="s">
        <v>7</v>
      </c>
    </row>
    <row r="233" spans="1:181" x14ac:dyDescent="0.25">
      <c r="A233" s="30">
        <v>1.4071004226562505</v>
      </c>
      <c r="E233"/>
      <c r="DS233" s="27" t="s">
        <v>8</v>
      </c>
      <c r="DT233" s="27" t="s">
        <v>7</v>
      </c>
    </row>
    <row r="234" spans="1:181" x14ac:dyDescent="0.25">
      <c r="A234" s="30">
        <v>1.3400956406250004</v>
      </c>
      <c r="E234"/>
      <c r="DS234" s="27" t="s">
        <v>8</v>
      </c>
      <c r="DT234" s="27" t="s">
        <v>7</v>
      </c>
      <c r="DY234" s="27" t="s">
        <v>8</v>
      </c>
    </row>
    <row r="235" spans="1:181" x14ac:dyDescent="0.25">
      <c r="A235" s="30">
        <v>1.2762815625000004</v>
      </c>
      <c r="C235"/>
      <c r="E235"/>
      <c r="DS235" s="27" t="s">
        <v>8</v>
      </c>
      <c r="DT235" s="27" t="s">
        <v>7</v>
      </c>
      <c r="DU235" s="27" t="s">
        <v>8</v>
      </c>
      <c r="DY235" s="27" t="s">
        <v>8</v>
      </c>
      <c r="DZ235" s="27" t="s">
        <v>7</v>
      </c>
      <c r="FS235" s="27" t="s">
        <v>8</v>
      </c>
    </row>
    <row r="236" spans="1:181" x14ac:dyDescent="0.25">
      <c r="A236" s="30">
        <v>1.2155062500000002</v>
      </c>
      <c r="E236"/>
      <c r="DS236" s="27" t="s">
        <v>8</v>
      </c>
      <c r="DT236" s="27" t="s">
        <v>7</v>
      </c>
      <c r="DU236" s="27" t="s">
        <v>8</v>
      </c>
      <c r="DV236" s="27" t="s">
        <v>7</v>
      </c>
      <c r="DY236" s="27" t="s">
        <v>8</v>
      </c>
      <c r="DZ236" s="27" t="s">
        <v>7</v>
      </c>
      <c r="EC236" s="27" t="s">
        <v>8</v>
      </c>
      <c r="FO236" s="27" t="s">
        <v>8</v>
      </c>
      <c r="FS236" s="27" t="s">
        <v>8</v>
      </c>
      <c r="FT236" s="27" t="s">
        <v>7</v>
      </c>
    </row>
    <row r="237" spans="1:18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DS237" s="27" t="s">
        <v>8</v>
      </c>
      <c r="DT237" s="27" t="s">
        <v>7</v>
      </c>
      <c r="DU237" s="27" t="s">
        <v>8</v>
      </c>
      <c r="DV237" s="27" t="s">
        <v>7</v>
      </c>
      <c r="DW237" s="27" t="s">
        <v>8</v>
      </c>
      <c r="DY237" s="27" t="s">
        <v>8</v>
      </c>
      <c r="DZ237" s="27" t="s">
        <v>7</v>
      </c>
      <c r="EA237" s="27" t="s">
        <v>8</v>
      </c>
      <c r="EC237" s="27" t="s">
        <v>8</v>
      </c>
      <c r="ED237" s="27" t="s">
        <v>7</v>
      </c>
      <c r="FO237" s="27" t="s">
        <v>8</v>
      </c>
      <c r="FP237" s="27" t="s">
        <v>7</v>
      </c>
      <c r="FQ237" s="27" t="s">
        <v>8</v>
      </c>
      <c r="FS237" s="27" t="s">
        <v>8</v>
      </c>
      <c r="FT237" s="27" t="s">
        <v>7</v>
      </c>
      <c r="FU237" s="27" t="s">
        <v>8</v>
      </c>
    </row>
    <row r="238" spans="1:181" x14ac:dyDescent="0.25">
      <c r="A238" s="30">
        <v>1.1025</v>
      </c>
      <c r="E238"/>
      <c r="DO238" s="27" t="s">
        <v>8</v>
      </c>
      <c r="DQ238" s="27" t="s">
        <v>8</v>
      </c>
      <c r="DS238" s="27" t="s">
        <v>8</v>
      </c>
      <c r="DT238" s="27" t="s">
        <v>7</v>
      </c>
      <c r="DU238" s="27" t="s">
        <v>8</v>
      </c>
      <c r="DV238" s="27" t="s">
        <v>7</v>
      </c>
      <c r="DW238" s="27" t="s">
        <v>8</v>
      </c>
      <c r="DX238" s="27" t="s">
        <v>7</v>
      </c>
      <c r="DY238" s="27" t="s">
        <v>8</v>
      </c>
      <c r="DZ238" s="27" t="s">
        <v>7</v>
      </c>
      <c r="EA238" s="27" t="s">
        <v>8</v>
      </c>
      <c r="EB238" s="27" t="s">
        <v>7</v>
      </c>
      <c r="EC238" s="27" t="s">
        <v>8</v>
      </c>
      <c r="ED238" s="27" t="s">
        <v>7</v>
      </c>
      <c r="FM238" s="27" t="s">
        <v>8</v>
      </c>
      <c r="FO238" s="27" t="s">
        <v>8</v>
      </c>
      <c r="FP238" s="27" t="s">
        <v>7</v>
      </c>
      <c r="FQ238" s="27" t="s">
        <v>8</v>
      </c>
      <c r="FR238" s="27" t="s">
        <v>7</v>
      </c>
      <c r="FS238" s="27" t="s">
        <v>8</v>
      </c>
      <c r="FT238" s="27" t="s">
        <v>7</v>
      </c>
      <c r="FU238" s="27" t="s">
        <v>8</v>
      </c>
      <c r="FV238" s="27" t="s">
        <v>7</v>
      </c>
    </row>
    <row r="239" spans="1:181" x14ac:dyDescent="0.25">
      <c r="A239" s="30">
        <v>1.05</v>
      </c>
      <c r="E239"/>
      <c r="DO239" s="27" t="s">
        <v>8</v>
      </c>
      <c r="DP239" s="27" t="s">
        <v>7</v>
      </c>
      <c r="DQ239" s="27" t="s">
        <v>8</v>
      </c>
      <c r="DR239" s="27" t="s">
        <v>7</v>
      </c>
      <c r="DS239" s="27" t="s">
        <v>8</v>
      </c>
      <c r="DT239" s="27" t="s">
        <v>7</v>
      </c>
      <c r="DU239" s="27" t="s">
        <v>8</v>
      </c>
      <c r="DV239" s="27" t="s">
        <v>7</v>
      </c>
      <c r="DW239" s="27" t="s">
        <v>8</v>
      </c>
      <c r="DX239" s="27" t="s">
        <v>7</v>
      </c>
      <c r="DY239" s="27" t="s">
        <v>8</v>
      </c>
      <c r="DZ239" s="27" t="s">
        <v>7</v>
      </c>
      <c r="EA239" s="27" t="s">
        <v>8</v>
      </c>
      <c r="EB239" s="27" t="s">
        <v>7</v>
      </c>
      <c r="EC239" s="27" t="s">
        <v>8</v>
      </c>
      <c r="ED239" s="27" t="s">
        <v>7</v>
      </c>
      <c r="EM239" s="31" t="s">
        <v>8</v>
      </c>
      <c r="FM239" s="27" t="s">
        <v>8</v>
      </c>
      <c r="FN239" s="27" t="s">
        <v>7</v>
      </c>
      <c r="FO239" s="27" t="s">
        <v>8</v>
      </c>
      <c r="FP239" s="27" t="s">
        <v>7</v>
      </c>
      <c r="FQ239" s="27" t="s">
        <v>8</v>
      </c>
      <c r="FR239" s="27" t="s">
        <v>7</v>
      </c>
      <c r="FS239" s="27" t="s">
        <v>8</v>
      </c>
      <c r="FT239" s="27" t="s">
        <v>7</v>
      </c>
      <c r="FU239" s="27" t="s">
        <v>8</v>
      </c>
      <c r="FV239" s="27" t="s">
        <v>7</v>
      </c>
    </row>
    <row r="240" spans="1:181" x14ac:dyDescent="0.25">
      <c r="A240" s="30">
        <v>1</v>
      </c>
      <c r="E240" s="29" t="s">
        <v>8</v>
      </c>
      <c r="DO240" s="27" t="s">
        <v>8</v>
      </c>
      <c r="DP240" s="27" t="s">
        <v>7</v>
      </c>
      <c r="DQ240" s="27" t="s">
        <v>8</v>
      </c>
      <c r="DR240" s="27" t="s">
        <v>7</v>
      </c>
      <c r="DS240" s="27" t="s">
        <v>8</v>
      </c>
      <c r="DT240" s="27" t="s">
        <v>7</v>
      </c>
      <c r="DU240" s="27" t="s">
        <v>8</v>
      </c>
      <c r="DV240" s="27" t="s">
        <v>7</v>
      </c>
      <c r="DW240" s="27" t="s">
        <v>8</v>
      </c>
      <c r="DX240" s="27" t="s">
        <v>7</v>
      </c>
      <c r="DZ240" s="27" t="s">
        <v>7</v>
      </c>
      <c r="EA240" s="27" t="s">
        <v>8</v>
      </c>
      <c r="EB240" s="27" t="s">
        <v>7</v>
      </c>
      <c r="EC240" s="27" t="s">
        <v>8</v>
      </c>
      <c r="ED240" s="27" t="s">
        <v>7</v>
      </c>
      <c r="EK240" s="27" t="s">
        <v>8</v>
      </c>
      <c r="EM240" s="27" t="s">
        <v>8</v>
      </c>
      <c r="EN240" s="31" t="s">
        <v>7</v>
      </c>
      <c r="FM240" s="27" t="s">
        <v>8</v>
      </c>
      <c r="FN240" s="27" t="s">
        <v>7</v>
      </c>
      <c r="FO240" s="27" t="s">
        <v>8</v>
      </c>
      <c r="FP240" s="27" t="s">
        <v>7</v>
      </c>
      <c r="FQ240" s="27" t="s">
        <v>8</v>
      </c>
      <c r="FR240" s="27" t="s">
        <v>7</v>
      </c>
      <c r="FS240" s="27" t="s">
        <v>8</v>
      </c>
      <c r="FT240" s="27" t="s">
        <v>7</v>
      </c>
      <c r="FU240" s="27" t="s">
        <v>8</v>
      </c>
      <c r="FV240" s="27" t="s">
        <v>7</v>
      </c>
      <c r="FW240" s="27" t="s">
        <v>8</v>
      </c>
      <c r="FY240" s="27" t="s">
        <v>8</v>
      </c>
    </row>
    <row r="241" spans="1:188" x14ac:dyDescent="0.25">
      <c r="A241" s="30">
        <v>0.952380952380952</v>
      </c>
      <c r="B241"/>
      <c r="C241"/>
      <c r="D241"/>
      <c r="E241"/>
      <c r="F241" s="27" t="s">
        <v>7</v>
      </c>
      <c r="DM241" s="27" t="s">
        <v>8</v>
      </c>
      <c r="DO241" s="27" t="s">
        <v>8</v>
      </c>
      <c r="DP241" s="27" t="s">
        <v>7</v>
      </c>
      <c r="DQ241" s="27" t="s">
        <v>8</v>
      </c>
      <c r="DR241" s="27" t="s">
        <v>7</v>
      </c>
      <c r="DT241" s="27" t="s">
        <v>7</v>
      </c>
      <c r="DU241" s="27" t="s">
        <v>8</v>
      </c>
      <c r="DV241" s="27" t="s">
        <v>7</v>
      </c>
      <c r="DW241" s="27" t="s">
        <v>8</v>
      </c>
      <c r="DZ241" s="27" t="s">
        <v>7</v>
      </c>
      <c r="EA241" s="27" t="s">
        <v>8</v>
      </c>
      <c r="EB241" s="27" t="s">
        <v>7</v>
      </c>
      <c r="ED241" s="27" t="s">
        <v>7</v>
      </c>
      <c r="EE241" s="27" t="s">
        <v>8</v>
      </c>
      <c r="EK241" s="27" t="s">
        <v>8</v>
      </c>
      <c r="EL241" s="27" t="s">
        <v>7</v>
      </c>
      <c r="EM241" s="27" t="s">
        <v>8</v>
      </c>
      <c r="EN241" s="27" t="s">
        <v>7</v>
      </c>
      <c r="EO241" s="31" t="s">
        <v>8</v>
      </c>
      <c r="FM241" s="27" t="s">
        <v>8</v>
      </c>
      <c r="FN241" s="27" t="s">
        <v>7</v>
      </c>
      <c r="FO241" s="27" t="s">
        <v>8</v>
      </c>
      <c r="FP241" s="27" t="s">
        <v>7</v>
      </c>
      <c r="FR241" s="27" t="s">
        <v>7</v>
      </c>
      <c r="FS241" s="27" t="s">
        <v>8</v>
      </c>
      <c r="FT241" s="27" t="s">
        <v>7</v>
      </c>
      <c r="FV241" s="27" t="s">
        <v>7</v>
      </c>
      <c r="FW241" s="27" t="s">
        <v>8</v>
      </c>
      <c r="FX241" s="27" t="s">
        <v>7</v>
      </c>
      <c r="FY241" s="27" t="s">
        <v>8</v>
      </c>
      <c r="FZ241" s="27" t="s">
        <v>7</v>
      </c>
    </row>
    <row r="242" spans="1:188" x14ac:dyDescent="0.25">
      <c r="A242" s="30">
        <v>0.90702947845804915</v>
      </c>
      <c r="B242"/>
      <c r="C242"/>
      <c r="D242"/>
      <c r="E242"/>
      <c r="F242" s="27" t="s">
        <v>7</v>
      </c>
      <c r="DM242" s="27" t="s">
        <v>8</v>
      </c>
      <c r="DN242" s="27" t="s">
        <v>7</v>
      </c>
      <c r="DO242" s="27" t="s">
        <v>8</v>
      </c>
      <c r="DP242" s="27" t="s">
        <v>7</v>
      </c>
      <c r="DQ242" s="27" t="s">
        <v>8</v>
      </c>
      <c r="DT242" s="27" t="s">
        <v>7</v>
      </c>
      <c r="DV242" s="27" t="s">
        <v>7</v>
      </c>
      <c r="DZ242" s="27" t="s">
        <v>7</v>
      </c>
      <c r="EA242" s="27" t="s">
        <v>8</v>
      </c>
      <c r="ED242" s="27" t="s">
        <v>7</v>
      </c>
      <c r="EE242" s="27" t="s">
        <v>8</v>
      </c>
      <c r="EF242" s="27" t="s">
        <v>7</v>
      </c>
      <c r="EG242" s="27" t="s">
        <v>8</v>
      </c>
      <c r="EK242" s="27" t="s">
        <v>8</v>
      </c>
      <c r="EL242" s="27" t="s">
        <v>7</v>
      </c>
      <c r="EM242" s="27" t="s">
        <v>8</v>
      </c>
      <c r="EN242" s="27" t="s">
        <v>7</v>
      </c>
      <c r="EO242" s="27" t="s">
        <v>8</v>
      </c>
      <c r="EP242" s="31" t="s">
        <v>7</v>
      </c>
      <c r="FI242" s="27" t="s">
        <v>8</v>
      </c>
      <c r="FM242" s="27" t="s">
        <v>8</v>
      </c>
      <c r="FN242" s="27" t="s">
        <v>7</v>
      </c>
      <c r="FO242" s="27" t="s">
        <v>8</v>
      </c>
      <c r="FR242" s="27" t="s">
        <v>7</v>
      </c>
      <c r="FV242" s="27" t="s">
        <v>7</v>
      </c>
      <c r="FW242" s="27" t="s">
        <v>8</v>
      </c>
      <c r="FX242" s="27" t="s">
        <v>7</v>
      </c>
      <c r="FY242" s="27" t="s">
        <v>8</v>
      </c>
      <c r="FZ242" s="27" t="s">
        <v>7</v>
      </c>
    </row>
    <row r="243" spans="1:188" x14ac:dyDescent="0.25">
      <c r="A243" s="30">
        <v>0.86383759853147501</v>
      </c>
      <c r="B243"/>
      <c r="C243"/>
      <c r="D243"/>
      <c r="E243"/>
      <c r="F243" s="27" t="s">
        <v>7</v>
      </c>
      <c r="DM243" s="27" t="s">
        <v>8</v>
      </c>
      <c r="DN243" s="27" t="s">
        <v>7</v>
      </c>
      <c r="DO243" s="27" t="s">
        <v>8</v>
      </c>
      <c r="DP243" s="27" t="s">
        <v>7</v>
      </c>
      <c r="DQ243" s="27" t="s">
        <v>8</v>
      </c>
      <c r="DZ243" s="27" t="s">
        <v>7</v>
      </c>
      <c r="EA243" s="27" t="s">
        <v>8</v>
      </c>
      <c r="ED243" s="27" t="s">
        <v>7</v>
      </c>
      <c r="EE243" s="27" t="s">
        <v>8</v>
      </c>
      <c r="EF243" s="27" t="s">
        <v>7</v>
      </c>
      <c r="EG243" s="27" t="s">
        <v>8</v>
      </c>
      <c r="EH243" s="27" t="s">
        <v>7</v>
      </c>
      <c r="EK243" s="27" t="s">
        <v>8</v>
      </c>
      <c r="EL243" s="27" t="s">
        <v>7</v>
      </c>
      <c r="EN243" s="27" t="s">
        <v>7</v>
      </c>
      <c r="EO243" s="27" t="s">
        <v>8</v>
      </c>
      <c r="EP243" s="27" t="s">
        <v>7</v>
      </c>
      <c r="EQ243" s="31" t="s">
        <v>8</v>
      </c>
      <c r="FI243" s="27" t="s">
        <v>8</v>
      </c>
      <c r="FJ243" s="27" t="s">
        <v>7</v>
      </c>
      <c r="FM243" s="27" t="s">
        <v>8</v>
      </c>
      <c r="FN243" s="27" t="s">
        <v>7</v>
      </c>
      <c r="FO243" s="27" t="s">
        <v>8</v>
      </c>
      <c r="FV243" s="27" t="s">
        <v>7</v>
      </c>
      <c r="FW243" s="27" t="s">
        <v>8</v>
      </c>
      <c r="FX243" s="27" t="s">
        <v>7</v>
      </c>
      <c r="FZ243" s="27" t="s">
        <v>7</v>
      </c>
    </row>
    <row r="244" spans="1:188" x14ac:dyDescent="0.25">
      <c r="A244" s="30">
        <v>0.82270247479188063</v>
      </c>
      <c r="B244"/>
      <c r="C244"/>
      <c r="D244"/>
      <c r="E244"/>
      <c r="F244" s="27" t="s">
        <v>7</v>
      </c>
      <c r="DM244" s="27" t="s">
        <v>8</v>
      </c>
      <c r="DN244" s="27" t="s">
        <v>7</v>
      </c>
      <c r="DO244" s="27" t="s">
        <v>8</v>
      </c>
      <c r="DP244" s="27" t="s">
        <v>7</v>
      </c>
      <c r="DQ244" s="27" t="s">
        <v>8</v>
      </c>
      <c r="DZ244" s="27" t="s">
        <v>7</v>
      </c>
      <c r="ED244" s="27" t="s">
        <v>7</v>
      </c>
      <c r="EE244" s="27" t="s">
        <v>8</v>
      </c>
      <c r="EF244" s="27" t="s">
        <v>7</v>
      </c>
      <c r="EG244" s="27" t="s">
        <v>8</v>
      </c>
      <c r="EH244" s="27" t="s">
        <v>7</v>
      </c>
      <c r="EI244" s="27" t="s">
        <v>8</v>
      </c>
      <c r="EK244" s="27" t="s">
        <v>8</v>
      </c>
      <c r="EN244" s="27" t="s">
        <v>7</v>
      </c>
      <c r="EP244" s="27" t="s">
        <v>7</v>
      </c>
      <c r="EQ244" s="27" t="s">
        <v>8</v>
      </c>
      <c r="ER244" s="31" t="s">
        <v>7</v>
      </c>
      <c r="FI244" s="27" t="s">
        <v>8</v>
      </c>
      <c r="FJ244" s="27" t="s">
        <v>7</v>
      </c>
      <c r="FM244" s="27" t="s">
        <v>8</v>
      </c>
      <c r="FN244" s="27" t="s">
        <v>7</v>
      </c>
      <c r="FO244" s="27" t="s">
        <v>8</v>
      </c>
      <c r="FV244" s="27" t="s">
        <v>7</v>
      </c>
      <c r="FW244" s="27" t="s">
        <v>8</v>
      </c>
      <c r="FZ244" s="27" t="s">
        <v>7</v>
      </c>
    </row>
    <row r="245" spans="1:188" x14ac:dyDescent="0.25">
      <c r="A245" s="30">
        <v>0.78352616646845741</v>
      </c>
      <c r="B245"/>
      <c r="C245"/>
      <c r="D245"/>
      <c r="E245"/>
      <c r="F245" s="27" t="s">
        <v>7</v>
      </c>
      <c r="DM245" s="27" t="s">
        <v>8</v>
      </c>
      <c r="DN245" s="27" t="s">
        <v>7</v>
      </c>
      <c r="DO245" s="27" t="s">
        <v>8</v>
      </c>
      <c r="DP245" s="27" t="s">
        <v>7</v>
      </c>
      <c r="DQ245" s="27" t="s">
        <v>8</v>
      </c>
      <c r="ED245" s="27" t="s">
        <v>7</v>
      </c>
      <c r="EE245" s="27" t="s">
        <v>8</v>
      </c>
      <c r="EF245" s="27" t="s">
        <v>7</v>
      </c>
      <c r="EH245" s="27" t="s">
        <v>7</v>
      </c>
      <c r="EI245" s="27" t="s">
        <v>8</v>
      </c>
      <c r="EJ245" s="27" t="s">
        <v>7</v>
      </c>
      <c r="EK245" s="27" t="s">
        <v>8</v>
      </c>
      <c r="EP245" s="27" t="s">
        <v>7</v>
      </c>
      <c r="EQ245" s="27" t="s">
        <v>8</v>
      </c>
      <c r="ER245" s="27" t="s">
        <v>7</v>
      </c>
      <c r="ES245" s="31"/>
      <c r="FI245" s="27" t="s">
        <v>8</v>
      </c>
      <c r="FJ245" s="27" t="s">
        <v>7</v>
      </c>
      <c r="FK245" s="27" t="s">
        <v>8</v>
      </c>
      <c r="FM245" s="27" t="s">
        <v>8</v>
      </c>
      <c r="FN245" s="27" t="s">
        <v>7</v>
      </c>
      <c r="FO245" s="27" t="s">
        <v>8</v>
      </c>
      <c r="FV245" s="27" t="s">
        <v>7</v>
      </c>
      <c r="FW245" s="27" t="s">
        <v>8</v>
      </c>
      <c r="FZ245" s="27" t="s">
        <v>7</v>
      </c>
    </row>
    <row r="246" spans="1:188" x14ac:dyDescent="0.25">
      <c r="A246" s="30">
        <v>0.74621539663662584</v>
      </c>
      <c r="B246"/>
      <c r="C246"/>
      <c r="D246"/>
      <c r="E246"/>
      <c r="F246" s="27" t="s">
        <v>7</v>
      </c>
      <c r="DI246" s="27" t="s">
        <v>8</v>
      </c>
      <c r="DM246" s="27" t="s">
        <v>8</v>
      </c>
      <c r="DN246" s="27" t="s">
        <v>7</v>
      </c>
      <c r="DO246" s="27" t="s">
        <v>8</v>
      </c>
      <c r="DP246" s="27" t="s">
        <v>7</v>
      </c>
      <c r="ED246" s="27" t="s">
        <v>7</v>
      </c>
      <c r="EE246" s="27" t="s">
        <v>8</v>
      </c>
      <c r="EH246" s="27" t="s">
        <v>7</v>
      </c>
      <c r="EI246" s="27" t="s">
        <v>8</v>
      </c>
      <c r="EJ246" s="27" t="s">
        <v>7</v>
      </c>
      <c r="EK246" s="27" t="s">
        <v>8</v>
      </c>
      <c r="EP246" s="27" t="s">
        <v>7</v>
      </c>
      <c r="ER246" s="27" t="s">
        <v>7</v>
      </c>
      <c r="ET246" s="31"/>
      <c r="FI246" s="27" t="s">
        <v>8</v>
      </c>
      <c r="FJ246" s="27" t="s">
        <v>7</v>
      </c>
      <c r="FK246" s="27" t="s">
        <v>8</v>
      </c>
      <c r="FL246" s="27" t="s">
        <v>7</v>
      </c>
      <c r="FM246" s="27" t="s">
        <v>8</v>
      </c>
      <c r="FN246" s="27" t="s">
        <v>7</v>
      </c>
      <c r="FO246" s="27" t="s">
        <v>8</v>
      </c>
      <c r="FV246" s="27" t="s">
        <v>7</v>
      </c>
      <c r="FW246" s="27" t="s">
        <v>8</v>
      </c>
      <c r="FZ246" s="27" t="s">
        <v>7</v>
      </c>
      <c r="GA246" s="27" t="s">
        <v>8</v>
      </c>
    </row>
    <row r="247" spans="1:188" x14ac:dyDescent="0.25">
      <c r="A247" s="30">
        <v>0.71068133013011958</v>
      </c>
      <c r="B247"/>
      <c r="C247"/>
      <c r="D247"/>
      <c r="E247"/>
      <c r="F247" s="27" t="s">
        <v>7</v>
      </c>
      <c r="DI247" s="27" t="s">
        <v>8</v>
      </c>
      <c r="DJ247" s="27" t="s">
        <v>7</v>
      </c>
      <c r="DM247" s="27" t="s">
        <v>8</v>
      </c>
      <c r="DN247" s="27" t="s">
        <v>7</v>
      </c>
      <c r="ED247" s="27" t="s">
        <v>7</v>
      </c>
      <c r="EE247" s="27" t="s">
        <v>8</v>
      </c>
      <c r="EH247" s="27" t="s">
        <v>7</v>
      </c>
      <c r="EJ247" s="27" t="s">
        <v>7</v>
      </c>
      <c r="ER247" s="27" t="s">
        <v>7</v>
      </c>
      <c r="EU247" s="31"/>
      <c r="FI247" s="27" t="s">
        <v>8</v>
      </c>
      <c r="FJ247" s="27" t="s">
        <v>7</v>
      </c>
      <c r="FK247" s="27" t="s">
        <v>8</v>
      </c>
      <c r="FL247" s="27" t="s">
        <v>7</v>
      </c>
      <c r="FM247" s="27" t="s">
        <v>8</v>
      </c>
      <c r="FN247" s="27" t="s">
        <v>7</v>
      </c>
      <c r="FV247" s="27" t="s">
        <v>7</v>
      </c>
      <c r="FZ247" s="27" t="s">
        <v>7</v>
      </c>
      <c r="GA247" s="27" t="s">
        <v>8</v>
      </c>
      <c r="GB247" s="27" t="s">
        <v>7</v>
      </c>
    </row>
    <row r="248" spans="1:188" x14ac:dyDescent="0.25">
      <c r="A248" s="30">
        <v>0.676839362028685</v>
      </c>
      <c r="B248"/>
      <c r="C248"/>
      <c r="D248"/>
      <c r="E248"/>
      <c r="F248" s="27" t="s">
        <v>7</v>
      </c>
      <c r="DI248" s="27" t="s">
        <v>8</v>
      </c>
      <c r="DJ248" s="27" t="s">
        <v>7</v>
      </c>
      <c r="DK248" s="27" t="s">
        <v>8</v>
      </c>
      <c r="DM248" s="27" t="s">
        <v>8</v>
      </c>
      <c r="ED248" s="27" t="s">
        <v>7</v>
      </c>
      <c r="EE248" s="27" t="s">
        <v>8</v>
      </c>
      <c r="ER248" s="27" t="s">
        <v>7</v>
      </c>
      <c r="EU248" s="27" t="s">
        <v>8</v>
      </c>
      <c r="EV248" s="31"/>
      <c r="FI248" s="27" t="s">
        <v>8</v>
      </c>
      <c r="FJ248" s="27" t="s">
        <v>7</v>
      </c>
      <c r="FK248" s="27" t="s">
        <v>8</v>
      </c>
      <c r="FL248" s="27" t="s">
        <v>7</v>
      </c>
      <c r="FM248" s="27" t="s">
        <v>8</v>
      </c>
      <c r="FZ248" s="27" t="s">
        <v>7</v>
      </c>
      <c r="GA248" s="27" t="s">
        <v>8</v>
      </c>
      <c r="GB248" s="27" t="s">
        <v>7</v>
      </c>
    </row>
    <row r="249" spans="1:188" x14ac:dyDescent="0.25">
      <c r="A249" s="30">
        <v>0.64460891621779492</v>
      </c>
      <c r="B249"/>
      <c r="C249"/>
      <c r="D249"/>
      <c r="E249"/>
      <c r="F249" s="27" t="s">
        <v>7</v>
      </c>
      <c r="DI249" s="27" t="s">
        <v>8</v>
      </c>
      <c r="DJ249" s="27" t="s">
        <v>7</v>
      </c>
      <c r="DK249" s="27" t="s">
        <v>8</v>
      </c>
      <c r="DL249" s="27" t="s">
        <v>7</v>
      </c>
      <c r="DM249" s="27" t="s">
        <v>8</v>
      </c>
      <c r="ED249" s="27" t="s">
        <v>7</v>
      </c>
      <c r="EE249" s="27" t="s">
        <v>8</v>
      </c>
      <c r="ER249" s="27" t="s">
        <v>7</v>
      </c>
      <c r="EU249" s="27" t="s">
        <v>8</v>
      </c>
      <c r="EV249" s="27" t="s">
        <v>7</v>
      </c>
      <c r="EW249" s="31" t="s">
        <v>8</v>
      </c>
      <c r="FG249" s="27" t="s">
        <v>8</v>
      </c>
      <c r="FI249" s="27" t="s">
        <v>8</v>
      </c>
      <c r="FJ249" s="27" t="s">
        <v>7</v>
      </c>
      <c r="FK249" s="27" t="s">
        <v>8</v>
      </c>
      <c r="FL249" s="27" t="s">
        <v>7</v>
      </c>
      <c r="FZ249" s="27" t="s">
        <v>7</v>
      </c>
      <c r="GA249" s="27" t="s">
        <v>8</v>
      </c>
      <c r="GB249" s="27" t="s">
        <v>7</v>
      </c>
    </row>
    <row r="250" spans="1:188" x14ac:dyDescent="0.25">
      <c r="A250" s="30">
        <v>0.61391325354075688</v>
      </c>
      <c r="B250"/>
      <c r="C250"/>
      <c r="D250"/>
      <c r="E250"/>
      <c r="F250" s="27" t="s">
        <v>7</v>
      </c>
      <c r="DI250" s="27" t="s">
        <v>8</v>
      </c>
      <c r="DJ250" s="27" t="s">
        <v>7</v>
      </c>
      <c r="DK250" s="27" t="s">
        <v>8</v>
      </c>
      <c r="DL250" s="27" t="s">
        <v>7</v>
      </c>
      <c r="DM250" s="27" t="s">
        <v>8</v>
      </c>
      <c r="ED250" s="27" t="s">
        <v>7</v>
      </c>
      <c r="EE250" s="27" t="s">
        <v>8</v>
      </c>
      <c r="ER250" s="27" t="s">
        <v>7</v>
      </c>
      <c r="EU250" s="27" t="s">
        <v>8</v>
      </c>
      <c r="EV250" s="27" t="s">
        <v>7</v>
      </c>
      <c r="EW250" s="27" t="s">
        <v>8</v>
      </c>
      <c r="EX250" s="31" t="s">
        <v>7</v>
      </c>
      <c r="FG250" s="27" t="s">
        <v>8</v>
      </c>
      <c r="FH250" s="27" t="s">
        <v>7</v>
      </c>
      <c r="FI250" s="27" t="s">
        <v>8</v>
      </c>
      <c r="FJ250" s="27" t="s">
        <v>7</v>
      </c>
      <c r="FK250" s="27" t="s">
        <v>8</v>
      </c>
      <c r="FZ250" s="27" t="s">
        <v>7</v>
      </c>
      <c r="GA250" s="27" t="s">
        <v>8</v>
      </c>
      <c r="GB250" s="27" t="s">
        <v>7</v>
      </c>
      <c r="GC250" s="27" t="s">
        <v>8</v>
      </c>
    </row>
    <row r="251" spans="1:188" x14ac:dyDescent="0.25">
      <c r="A251" s="30">
        <v>0.58467928908643485</v>
      </c>
      <c r="B251"/>
      <c r="C251"/>
      <c r="D251"/>
      <c r="E251"/>
      <c r="F251" s="27" t="s">
        <v>7</v>
      </c>
      <c r="CA251" s="27" t="s">
        <v>8</v>
      </c>
      <c r="DI251" s="27" t="s">
        <v>8</v>
      </c>
      <c r="DJ251" s="27" t="s">
        <v>7</v>
      </c>
      <c r="DK251" s="27" t="s">
        <v>8</v>
      </c>
      <c r="DL251" s="27" t="s">
        <v>7</v>
      </c>
      <c r="DM251" s="27" t="s">
        <v>8</v>
      </c>
      <c r="ED251" s="27" t="s">
        <v>7</v>
      </c>
      <c r="EE251" s="27" t="s">
        <v>8</v>
      </c>
      <c r="ER251" s="27" t="s">
        <v>7</v>
      </c>
      <c r="ES251" s="27" t="s">
        <v>8</v>
      </c>
      <c r="EU251" s="27" t="s">
        <v>8</v>
      </c>
      <c r="EV251" s="27" t="s">
        <v>7</v>
      </c>
      <c r="EW251" s="27" t="s">
        <v>8</v>
      </c>
      <c r="EX251" s="27" t="s">
        <v>7</v>
      </c>
      <c r="EY251" s="31"/>
      <c r="FG251" s="27" t="s">
        <v>8</v>
      </c>
      <c r="FH251" s="27" t="s">
        <v>7</v>
      </c>
      <c r="FI251" s="27" t="s">
        <v>8</v>
      </c>
      <c r="FJ251" s="27" t="s">
        <v>7</v>
      </c>
      <c r="FZ251" s="27" t="s">
        <v>7</v>
      </c>
      <c r="GA251" s="27" t="s">
        <v>8</v>
      </c>
      <c r="GB251" s="27" t="s">
        <v>7</v>
      </c>
      <c r="GC251" s="27" t="s">
        <v>8</v>
      </c>
      <c r="GD251" s="27" t="s">
        <v>7</v>
      </c>
    </row>
    <row r="252" spans="1:188" x14ac:dyDescent="0.25">
      <c r="A252" s="30">
        <v>0.55683741817755672</v>
      </c>
      <c r="B252"/>
      <c r="C252"/>
      <c r="D252"/>
      <c r="E252"/>
      <c r="F252" s="27" t="s">
        <v>7</v>
      </c>
      <c r="BU252" s="27" t="s">
        <v>8</v>
      </c>
      <c r="CA252" s="27" t="s">
        <v>8</v>
      </c>
      <c r="CB252" s="27" t="s">
        <v>7</v>
      </c>
      <c r="DI252" s="27" t="s">
        <v>8</v>
      </c>
      <c r="DJ252" s="27" t="s">
        <v>7</v>
      </c>
      <c r="DK252" s="27" t="s">
        <v>8</v>
      </c>
      <c r="DL252" s="27" t="s">
        <v>7</v>
      </c>
      <c r="DM252" s="27" t="s">
        <v>8</v>
      </c>
      <c r="ED252" s="27" t="s">
        <v>7</v>
      </c>
      <c r="EE252" s="27" t="s">
        <v>8</v>
      </c>
      <c r="ER252" s="27" t="s">
        <v>7</v>
      </c>
      <c r="ES252" s="27" t="s">
        <v>8</v>
      </c>
      <c r="ET252" s="27" t="s">
        <v>7</v>
      </c>
      <c r="EU252" s="27" t="s">
        <v>8</v>
      </c>
      <c r="EV252" s="27" t="s">
        <v>7</v>
      </c>
      <c r="EW252" s="27" t="s">
        <v>8</v>
      </c>
      <c r="EX252" s="27" t="s">
        <v>7</v>
      </c>
      <c r="EZ252" s="31"/>
      <c r="FG252" s="27" t="s">
        <v>8</v>
      </c>
      <c r="FH252" s="27" t="s">
        <v>7</v>
      </c>
      <c r="FI252" s="27" t="s">
        <v>8</v>
      </c>
      <c r="FZ252" s="27" t="s">
        <v>7</v>
      </c>
      <c r="GA252" s="27" t="s">
        <v>8</v>
      </c>
      <c r="GB252" s="27" t="s">
        <v>7</v>
      </c>
      <c r="GC252" s="27" t="s">
        <v>8</v>
      </c>
      <c r="GD252" s="27" t="s">
        <v>7</v>
      </c>
    </row>
    <row r="253" spans="1:188" x14ac:dyDescent="0.25">
      <c r="A253" s="30">
        <v>0.53032135064529184</v>
      </c>
      <c r="B253"/>
      <c r="C253"/>
      <c r="D253"/>
      <c r="E253"/>
      <c r="F253" s="27" t="s">
        <v>7</v>
      </c>
      <c r="BU253" s="27" t="s">
        <v>8</v>
      </c>
      <c r="BV253" s="27" t="s">
        <v>7</v>
      </c>
      <c r="CA253" s="27" t="s">
        <v>8</v>
      </c>
      <c r="CB253" s="27" t="s">
        <v>7</v>
      </c>
      <c r="DI253" s="27" t="s">
        <v>8</v>
      </c>
      <c r="DJ253" s="27" t="s">
        <v>7</v>
      </c>
      <c r="DL253" s="27" t="s">
        <v>7</v>
      </c>
      <c r="ED253" s="27" t="s">
        <v>7</v>
      </c>
      <c r="EE253" s="27" t="s">
        <v>8</v>
      </c>
      <c r="ER253" s="27" t="s">
        <v>7</v>
      </c>
      <c r="ES253" s="27" t="s">
        <v>8</v>
      </c>
      <c r="ET253" s="27" t="s">
        <v>7</v>
      </c>
      <c r="EU253" s="27" t="s">
        <v>8</v>
      </c>
      <c r="EV253" s="27" t="s">
        <v>7</v>
      </c>
      <c r="EW253" s="27" t="s">
        <v>8</v>
      </c>
      <c r="EX253" s="27" t="s">
        <v>7</v>
      </c>
      <c r="FA253" s="31"/>
      <c r="FG253" s="27" t="s">
        <v>8</v>
      </c>
      <c r="FH253" s="27" t="s">
        <v>7</v>
      </c>
      <c r="FZ253" s="27" t="s">
        <v>7</v>
      </c>
      <c r="GA253" s="27" t="s">
        <v>8</v>
      </c>
      <c r="GB253" s="27" t="s">
        <v>7</v>
      </c>
      <c r="GD253" s="27" t="s">
        <v>7</v>
      </c>
    </row>
    <row r="254" spans="1:188" x14ac:dyDescent="0.25">
      <c r="A254" s="30">
        <v>0.50506795299551588</v>
      </c>
      <c r="B254"/>
      <c r="C254"/>
      <c r="D254"/>
      <c r="E254"/>
      <c r="F254" s="27" t="s">
        <v>7</v>
      </c>
      <c r="BU254" s="27" t="s">
        <v>8</v>
      </c>
      <c r="BV254" s="27" t="s">
        <v>7</v>
      </c>
      <c r="CA254" s="27" t="s">
        <v>8</v>
      </c>
      <c r="CB254" s="27" t="s">
        <v>7</v>
      </c>
      <c r="DI254" s="27" t="s">
        <v>8</v>
      </c>
      <c r="ED254" s="27" t="s">
        <v>7</v>
      </c>
      <c r="EE254" s="27" t="s">
        <v>8</v>
      </c>
      <c r="ER254" s="27" t="s">
        <v>7</v>
      </c>
      <c r="ES254" s="27" t="s">
        <v>8</v>
      </c>
      <c r="ET254" s="27" t="s">
        <v>7</v>
      </c>
      <c r="EU254" s="27" t="s">
        <v>8</v>
      </c>
      <c r="EV254" s="27" t="s">
        <v>7</v>
      </c>
      <c r="EW254" s="27" t="s">
        <v>8</v>
      </c>
      <c r="EX254" s="27" t="s">
        <v>7</v>
      </c>
      <c r="EY254" s="27" t="s">
        <v>8</v>
      </c>
      <c r="FB254" s="31"/>
      <c r="FG254" s="27" t="s">
        <v>8</v>
      </c>
      <c r="FZ254" s="27" t="s">
        <v>7</v>
      </c>
      <c r="GA254" s="27" t="s">
        <v>8</v>
      </c>
      <c r="GD254" s="27" t="s">
        <v>7</v>
      </c>
      <c r="GE254" s="27" t="s">
        <v>8</v>
      </c>
    </row>
    <row r="255" spans="1:188" x14ac:dyDescent="0.25">
      <c r="A255" s="30">
        <v>0.48101709809096732</v>
      </c>
      <c r="E255"/>
      <c r="F255" s="27" t="s">
        <v>7</v>
      </c>
      <c r="BU255" s="27" t="s">
        <v>8</v>
      </c>
      <c r="BV255" s="27" t="s">
        <v>7</v>
      </c>
      <c r="BW255" s="27" t="s">
        <v>8</v>
      </c>
      <c r="CA255" s="27" t="s">
        <v>8</v>
      </c>
      <c r="CB255" s="27" t="s">
        <v>7</v>
      </c>
      <c r="DI255" s="27" t="s">
        <v>8</v>
      </c>
      <c r="ED255" s="27" t="s">
        <v>7</v>
      </c>
      <c r="EE255" s="27" t="s">
        <v>8</v>
      </c>
      <c r="ER255" s="27" t="s">
        <v>7</v>
      </c>
      <c r="ES255" s="27" t="s">
        <v>8</v>
      </c>
      <c r="ET255" s="27" t="s">
        <v>7</v>
      </c>
      <c r="EU255" s="27" t="s">
        <v>8</v>
      </c>
      <c r="EV255" s="27" t="s">
        <v>7</v>
      </c>
      <c r="EW255" s="27" t="s">
        <v>8</v>
      </c>
      <c r="EX255" s="27" t="s">
        <v>7</v>
      </c>
      <c r="EY255" s="27" t="s">
        <v>8</v>
      </c>
      <c r="EZ255" s="27" t="s">
        <v>7</v>
      </c>
      <c r="FA255" s="27" t="s">
        <v>8</v>
      </c>
      <c r="FC255" s="31"/>
      <c r="FG255" s="27" t="s">
        <v>8</v>
      </c>
      <c r="FZ255" s="27" t="s">
        <v>7</v>
      </c>
      <c r="GD255" s="27" t="s">
        <v>7</v>
      </c>
      <c r="GE255" s="27" t="s">
        <v>8</v>
      </c>
      <c r="GF255" s="27" t="s">
        <v>7</v>
      </c>
    </row>
    <row r="256" spans="1:188" x14ac:dyDescent="0.25">
      <c r="A256" s="30">
        <v>0.45811152199139726</v>
      </c>
      <c r="E256"/>
      <c r="F256" s="27" t="s">
        <v>7</v>
      </c>
      <c r="BU256" s="27" t="s">
        <v>8</v>
      </c>
      <c r="BV256" s="27" t="s">
        <v>7</v>
      </c>
      <c r="BW256" s="27" t="s">
        <v>8</v>
      </c>
      <c r="BX256" s="27" t="s">
        <v>7</v>
      </c>
      <c r="BY256" s="27" t="s">
        <v>8</v>
      </c>
      <c r="CA256" s="27" t="s">
        <v>8</v>
      </c>
      <c r="CB256" s="27" t="s">
        <v>7</v>
      </c>
      <c r="DG256" s="27" t="s">
        <v>8</v>
      </c>
      <c r="DI256" s="27" t="s">
        <v>8</v>
      </c>
      <c r="ED256" s="27" t="s">
        <v>7</v>
      </c>
      <c r="EE256" s="27" t="s">
        <v>8</v>
      </c>
      <c r="ER256" s="27" t="s">
        <v>7</v>
      </c>
      <c r="ES256" s="27" t="s">
        <v>8</v>
      </c>
      <c r="ET256" s="27" t="s">
        <v>7</v>
      </c>
      <c r="EU256" s="27" t="s">
        <v>8</v>
      </c>
      <c r="EV256" s="27" t="s">
        <v>7</v>
      </c>
      <c r="EW256" s="27" t="s">
        <v>8</v>
      </c>
      <c r="EX256" s="27" t="s">
        <v>7</v>
      </c>
      <c r="EY256" s="27" t="s">
        <v>8</v>
      </c>
      <c r="EZ256" s="27" t="s">
        <v>7</v>
      </c>
      <c r="FA256" s="27" t="s">
        <v>8</v>
      </c>
      <c r="FB256" s="27" t="s">
        <v>7</v>
      </c>
      <c r="FD256" s="31"/>
      <c r="FG256" s="27" t="s">
        <v>8</v>
      </c>
      <c r="GD256" s="27" t="s">
        <v>7</v>
      </c>
      <c r="GE256" s="27" t="s">
        <v>8</v>
      </c>
      <c r="GF256" s="27" t="s">
        <v>7</v>
      </c>
    </row>
    <row r="257" spans="1:191" x14ac:dyDescent="0.25">
      <c r="A257" s="30">
        <v>0.43629668761085438</v>
      </c>
      <c r="B257"/>
      <c r="C257"/>
      <c r="D257"/>
      <c r="E257"/>
      <c r="F257" s="27" t="s">
        <v>7</v>
      </c>
      <c r="BU257" s="27" t="s">
        <v>8</v>
      </c>
      <c r="BV257" s="27" t="s">
        <v>7</v>
      </c>
      <c r="BW257" s="27" t="s">
        <v>8</v>
      </c>
      <c r="BX257" s="27" t="s">
        <v>7</v>
      </c>
      <c r="BY257" s="27" t="s">
        <v>8</v>
      </c>
      <c r="BZ257" s="27" t="s">
        <v>7</v>
      </c>
      <c r="CA257" s="27" t="s">
        <v>8</v>
      </c>
      <c r="CB257" s="27" t="s">
        <v>7</v>
      </c>
      <c r="DE257" s="27" t="s">
        <v>8</v>
      </c>
      <c r="DG257" s="27" t="s">
        <v>8</v>
      </c>
      <c r="DH257" s="27" t="s">
        <v>7</v>
      </c>
      <c r="DI257" s="27" t="s">
        <v>8</v>
      </c>
      <c r="ED257" s="27" t="s">
        <v>7</v>
      </c>
      <c r="EE257" s="27" t="s">
        <v>8</v>
      </c>
      <c r="ER257" s="27" t="s">
        <v>7</v>
      </c>
      <c r="ES257" s="27" t="s">
        <v>8</v>
      </c>
      <c r="ET257" s="27" t="s">
        <v>7</v>
      </c>
      <c r="EU257" s="27" t="s">
        <v>8</v>
      </c>
      <c r="EV257" s="27" t="s">
        <v>7</v>
      </c>
      <c r="EX257" s="27" t="s">
        <v>7</v>
      </c>
      <c r="EZ257" s="27" t="s">
        <v>7</v>
      </c>
      <c r="FA257" s="27" t="s">
        <v>8</v>
      </c>
      <c r="FB257" s="27" t="s">
        <v>7</v>
      </c>
      <c r="FE257" s="31"/>
      <c r="FG257" s="33" t="s">
        <v>8</v>
      </c>
      <c r="GD257" s="27" t="s">
        <v>7</v>
      </c>
      <c r="GF257" s="27" t="s">
        <v>7</v>
      </c>
    </row>
    <row r="258" spans="1:191" x14ac:dyDescent="0.25">
      <c r="A258" s="30">
        <v>0.41552065486748019</v>
      </c>
      <c r="B258"/>
      <c r="C258"/>
      <c r="D258"/>
      <c r="E258"/>
      <c r="F258" s="27" t="s">
        <v>7</v>
      </c>
      <c r="BU258" s="27" t="s">
        <v>8</v>
      </c>
      <c r="BV258" s="27" t="s">
        <v>7</v>
      </c>
      <c r="BW258" s="27" t="s">
        <v>8</v>
      </c>
      <c r="BX258" s="27" t="s">
        <v>7</v>
      </c>
      <c r="BY258" s="27" t="s">
        <v>8</v>
      </c>
      <c r="BZ258" s="27" t="s">
        <v>7</v>
      </c>
      <c r="CA258" s="27" t="s">
        <v>8</v>
      </c>
      <c r="CB258" s="27" t="s">
        <v>7</v>
      </c>
      <c r="CM258" s="27" t="s">
        <v>8</v>
      </c>
      <c r="DE258" s="27" t="s">
        <v>8</v>
      </c>
      <c r="DF258" s="27" t="s">
        <v>7</v>
      </c>
      <c r="DG258" s="27" t="s">
        <v>8</v>
      </c>
      <c r="DH258" s="27" t="s">
        <v>7</v>
      </c>
      <c r="DI258" s="27" t="s">
        <v>8</v>
      </c>
      <c r="ED258" s="27" t="s">
        <v>7</v>
      </c>
      <c r="EE258" s="27" t="s">
        <v>8</v>
      </c>
      <c r="ER258" s="27" t="s">
        <v>7</v>
      </c>
      <c r="ES258" s="27" t="s">
        <v>8</v>
      </c>
      <c r="ET258" s="27" t="s">
        <v>7</v>
      </c>
      <c r="EU258" s="27" t="s">
        <v>8</v>
      </c>
      <c r="EZ258" s="32" t="s">
        <v>7</v>
      </c>
      <c r="FA258" s="27" t="s">
        <v>8</v>
      </c>
      <c r="FB258" s="27" t="s">
        <v>7</v>
      </c>
      <c r="FE258" s="27" t="s">
        <v>8</v>
      </c>
      <c r="FF258" s="31"/>
      <c r="FG258" s="27" t="s">
        <v>8</v>
      </c>
      <c r="GF258" s="27" t="s">
        <v>7</v>
      </c>
    </row>
    <row r="259" spans="1:191" x14ac:dyDescent="0.25">
      <c r="A259" s="30">
        <v>0.39573395701664765</v>
      </c>
      <c r="B259"/>
      <c r="C259"/>
      <c r="D259"/>
      <c r="E259"/>
      <c r="F259" s="27" t="s">
        <v>7</v>
      </c>
      <c r="BU259" s="27" t="s">
        <v>8</v>
      </c>
      <c r="BV259" s="27" t="s">
        <v>7</v>
      </c>
      <c r="BX259" s="27" t="s">
        <v>7</v>
      </c>
      <c r="BY259" s="27" t="s">
        <v>8</v>
      </c>
      <c r="BZ259" s="27" t="s">
        <v>7</v>
      </c>
      <c r="CB259" s="27" t="s">
        <v>7</v>
      </c>
      <c r="CM259" s="27" t="s">
        <v>8</v>
      </c>
      <c r="CN259" s="27" t="s">
        <v>7</v>
      </c>
      <c r="CW259" s="27" t="s">
        <v>8</v>
      </c>
      <c r="DC259" s="27" t="s">
        <v>8</v>
      </c>
      <c r="DE259" s="27" t="s">
        <v>8</v>
      </c>
      <c r="DF259" s="27" t="s">
        <v>7</v>
      </c>
      <c r="DG259" s="27" t="s">
        <v>8</v>
      </c>
      <c r="DH259" s="27" t="s">
        <v>7</v>
      </c>
      <c r="DI259" s="27" t="s">
        <v>8</v>
      </c>
      <c r="ED259" s="27" t="s">
        <v>7</v>
      </c>
      <c r="EE259" s="27" t="s">
        <v>8</v>
      </c>
      <c r="ER259" s="27" t="s">
        <v>7</v>
      </c>
      <c r="ES259" s="27" t="s">
        <v>8</v>
      </c>
      <c r="ET259" s="27" t="s">
        <v>7</v>
      </c>
      <c r="EU259" s="27" t="s">
        <v>8</v>
      </c>
      <c r="EZ259" s="27" t="s">
        <v>7</v>
      </c>
      <c r="FB259" s="27" t="s">
        <v>7</v>
      </c>
      <c r="FE259" s="33" t="s">
        <v>8</v>
      </c>
      <c r="FF259" s="27" t="s">
        <v>7</v>
      </c>
      <c r="FG259" s="31" t="s">
        <v>8</v>
      </c>
      <c r="GF259" s="27" t="s">
        <v>7</v>
      </c>
    </row>
    <row r="260" spans="1:191" x14ac:dyDescent="0.25">
      <c r="A260" s="30">
        <v>0.37688948287299762</v>
      </c>
      <c r="B260"/>
      <c r="C260"/>
      <c r="D260"/>
      <c r="E260"/>
      <c r="F260" s="27" t="s">
        <v>7</v>
      </c>
      <c r="BU260" s="27" t="s">
        <v>8</v>
      </c>
      <c r="BX260" s="27" t="s">
        <v>7</v>
      </c>
      <c r="BY260" s="27" t="s">
        <v>8</v>
      </c>
      <c r="CB260" s="27" t="s">
        <v>7</v>
      </c>
      <c r="CM260" s="27" t="s">
        <v>8</v>
      </c>
      <c r="CN260" s="27" t="s">
        <v>7</v>
      </c>
      <c r="CW260" s="27" t="s">
        <v>8</v>
      </c>
      <c r="CX260" s="27" t="s">
        <v>7</v>
      </c>
      <c r="DC260" s="27" t="s">
        <v>8</v>
      </c>
      <c r="DD260" s="27" t="s">
        <v>7</v>
      </c>
      <c r="DE260" s="27" t="s">
        <v>8</v>
      </c>
      <c r="DF260" s="27" t="s">
        <v>7</v>
      </c>
      <c r="DG260" s="27" t="s">
        <v>8</v>
      </c>
      <c r="DH260" s="27" t="s">
        <v>7</v>
      </c>
      <c r="DI260" s="27" t="s">
        <v>8</v>
      </c>
      <c r="ED260" s="27" t="s">
        <v>7</v>
      </c>
      <c r="EE260" s="27" t="s">
        <v>8</v>
      </c>
      <c r="ER260" s="27" t="s">
        <v>7</v>
      </c>
      <c r="ES260" s="27" t="s">
        <v>8</v>
      </c>
      <c r="ET260" s="27" t="s">
        <v>7</v>
      </c>
      <c r="EU260" s="27" t="s">
        <v>8</v>
      </c>
      <c r="FB260" s="27" t="s">
        <v>7</v>
      </c>
      <c r="FC260" s="27" t="s">
        <v>8</v>
      </c>
      <c r="FE260" s="27" t="s">
        <v>8</v>
      </c>
      <c r="FF260" s="27" t="s">
        <v>7</v>
      </c>
      <c r="FG260" s="27" t="s">
        <v>8</v>
      </c>
      <c r="GF260" s="27" t="s">
        <v>7</v>
      </c>
    </row>
    <row r="261" spans="1:191" x14ac:dyDescent="0.25">
      <c r="A261" s="30">
        <v>0.35894236464094997</v>
      </c>
      <c r="B261"/>
      <c r="C261"/>
      <c r="D261"/>
      <c r="E261"/>
      <c r="F261" s="27" t="s">
        <v>7</v>
      </c>
      <c r="BU261" s="27" t="s">
        <v>8</v>
      </c>
      <c r="BX261" s="27" t="s">
        <v>7</v>
      </c>
      <c r="CB261" s="27" t="s">
        <v>7</v>
      </c>
      <c r="CM261" s="27" t="s">
        <v>8</v>
      </c>
      <c r="CN261" s="27" t="s">
        <v>7</v>
      </c>
      <c r="CO261" s="27" t="s">
        <v>8</v>
      </c>
      <c r="CW261" s="27" t="s">
        <v>8</v>
      </c>
      <c r="CX261" s="27" t="s">
        <v>7</v>
      </c>
      <c r="CY261" s="27" t="s">
        <v>8</v>
      </c>
      <c r="DC261" s="27" t="s">
        <v>8</v>
      </c>
      <c r="DD261" s="27" t="s">
        <v>7</v>
      </c>
      <c r="DE261" s="27" t="s">
        <v>8</v>
      </c>
      <c r="DF261" s="27" t="s">
        <v>7</v>
      </c>
      <c r="DG261" s="27" t="s">
        <v>8</v>
      </c>
      <c r="DH261" s="27" t="s">
        <v>7</v>
      </c>
      <c r="DI261" s="27" t="s">
        <v>8</v>
      </c>
      <c r="ED261" s="27" t="s">
        <v>7</v>
      </c>
      <c r="EE261" s="27" t="s">
        <v>8</v>
      </c>
      <c r="ER261" s="27" t="s">
        <v>7</v>
      </c>
      <c r="ES261" s="27" t="s">
        <v>8</v>
      </c>
      <c r="ET261" s="27" t="s">
        <v>7</v>
      </c>
      <c r="EU261" s="27" t="s">
        <v>8</v>
      </c>
      <c r="FB261" s="27" t="s">
        <v>7</v>
      </c>
      <c r="FC261" s="27" t="s">
        <v>8</v>
      </c>
      <c r="FD261" s="27" t="s">
        <v>7</v>
      </c>
      <c r="FE261" s="27" t="s">
        <v>8</v>
      </c>
      <c r="FF261" s="27" t="s">
        <v>7</v>
      </c>
      <c r="FG261" s="27" t="s">
        <v>8</v>
      </c>
      <c r="GF261" s="27" t="s">
        <v>7</v>
      </c>
      <c r="GI261" s="27" t="s">
        <v>8</v>
      </c>
    </row>
    <row r="262" spans="1:191" x14ac:dyDescent="0.25">
      <c r="A262" s="30">
        <v>0.34184987108661891</v>
      </c>
      <c r="B262"/>
      <c r="C262"/>
      <c r="D262"/>
      <c r="E262"/>
      <c r="F262" s="27" t="s">
        <v>7</v>
      </c>
      <c r="BU262" s="27" t="s">
        <v>8</v>
      </c>
      <c r="CB262" s="27" t="s">
        <v>7</v>
      </c>
      <c r="CC262" s="27" t="s">
        <v>8</v>
      </c>
      <c r="CE262" s="27" t="s">
        <v>8</v>
      </c>
      <c r="CM262" s="27" t="s">
        <v>8</v>
      </c>
      <c r="CN262" s="27" t="s">
        <v>7</v>
      </c>
      <c r="CO262" s="27" t="s">
        <v>8</v>
      </c>
      <c r="CP262" s="27" t="s">
        <v>7</v>
      </c>
      <c r="CS262" s="27" t="s">
        <v>8</v>
      </c>
      <c r="CU262" s="27" t="s">
        <v>8</v>
      </c>
      <c r="CW262" s="27" t="s">
        <v>8</v>
      </c>
      <c r="CX262" s="27" t="s">
        <v>7</v>
      </c>
      <c r="CY262" s="27" t="s">
        <v>8</v>
      </c>
      <c r="CZ262" s="27" t="s">
        <v>7</v>
      </c>
      <c r="DC262" s="27" t="s">
        <v>8</v>
      </c>
      <c r="DD262" s="27" t="s">
        <v>7</v>
      </c>
      <c r="DE262" s="27" t="s">
        <v>8</v>
      </c>
      <c r="DF262" s="27" t="s">
        <v>7</v>
      </c>
      <c r="DH262" s="27" t="s">
        <v>7</v>
      </c>
      <c r="DI262" s="27" t="s">
        <v>8</v>
      </c>
      <c r="ED262" s="27" t="s">
        <v>7</v>
      </c>
      <c r="EE262" s="27" t="s">
        <v>8</v>
      </c>
      <c r="ER262" s="27" t="s">
        <v>7</v>
      </c>
      <c r="ES262" s="27" t="s">
        <v>8</v>
      </c>
      <c r="ET262" s="27" t="s">
        <v>7</v>
      </c>
      <c r="EU262" s="27" t="s">
        <v>8</v>
      </c>
      <c r="FB262" s="27" t="s">
        <v>7</v>
      </c>
      <c r="FC262" s="27" t="s">
        <v>8</v>
      </c>
      <c r="FD262" s="27" t="s">
        <v>7</v>
      </c>
      <c r="FE262" s="27" t="s">
        <v>8</v>
      </c>
      <c r="FF262" s="27" t="s">
        <v>7</v>
      </c>
      <c r="FG262" s="27" t="s">
        <v>8</v>
      </c>
      <c r="GF262" s="27" t="s">
        <v>7</v>
      </c>
      <c r="GI262" s="27" t="s">
        <v>8</v>
      </c>
    </row>
    <row r="263" spans="1:191" x14ac:dyDescent="0.25">
      <c r="A263" s="30">
        <v>0.32557130579677979</v>
      </c>
      <c r="B263"/>
      <c r="C263"/>
      <c r="D263"/>
      <c r="E263"/>
      <c r="F263" s="27" t="s">
        <v>7</v>
      </c>
      <c r="BU263" s="27" t="s">
        <v>8</v>
      </c>
      <c r="CB263" s="27" t="s">
        <v>7</v>
      </c>
      <c r="CC263" s="27" t="s">
        <v>8</v>
      </c>
      <c r="CD263" s="27" t="s">
        <v>7</v>
      </c>
      <c r="CE263" s="27" t="s">
        <v>8</v>
      </c>
      <c r="CF263" s="27" t="s">
        <v>7</v>
      </c>
      <c r="CM263" s="27" t="s">
        <v>8</v>
      </c>
      <c r="CN263" s="27" t="s">
        <v>7</v>
      </c>
      <c r="CO263" s="27" t="s">
        <v>8</v>
      </c>
      <c r="CP263" s="27" t="s">
        <v>7</v>
      </c>
      <c r="CS263" s="27" t="s">
        <v>8</v>
      </c>
      <c r="CT263" s="27" t="s">
        <v>7</v>
      </c>
      <c r="CU263" s="27" t="s">
        <v>8</v>
      </c>
      <c r="CV263" s="27" t="s">
        <v>7</v>
      </c>
      <c r="CW263" s="27" t="s">
        <v>8</v>
      </c>
      <c r="CX263" s="27" t="s">
        <v>7</v>
      </c>
      <c r="CY263" s="27" t="s">
        <v>8</v>
      </c>
      <c r="CZ263" s="27" t="s">
        <v>7</v>
      </c>
      <c r="DC263" s="27" t="s">
        <v>8</v>
      </c>
      <c r="DD263" s="27" t="s">
        <v>7</v>
      </c>
      <c r="DE263" s="27" t="s">
        <v>8</v>
      </c>
      <c r="DH263" s="27" t="s">
        <v>7</v>
      </c>
      <c r="ED263" s="27" t="s">
        <v>7</v>
      </c>
      <c r="EE263" s="27" t="s">
        <v>8</v>
      </c>
      <c r="ER263" s="27" t="s">
        <v>7</v>
      </c>
      <c r="ET263" s="27" t="s">
        <v>7</v>
      </c>
      <c r="EU263" s="27" t="s">
        <v>8</v>
      </c>
      <c r="FB263" s="27" t="s">
        <v>7</v>
      </c>
      <c r="FC263" s="27" t="s">
        <v>8</v>
      </c>
      <c r="FD263" s="27" t="s">
        <v>7</v>
      </c>
      <c r="FF263" s="27" t="s">
        <v>7</v>
      </c>
      <c r="FG263" s="27" t="s">
        <v>8</v>
      </c>
      <c r="FJ263" s="31"/>
      <c r="GF263" s="27" t="s">
        <v>7</v>
      </c>
      <c r="GI263" s="27" t="s">
        <v>8</v>
      </c>
    </row>
    <row r="264" spans="1:191" x14ac:dyDescent="0.25">
      <c r="A264" s="30">
        <v>0.3100679102826473</v>
      </c>
      <c r="B264"/>
      <c r="C264"/>
      <c r="D264"/>
      <c r="E264"/>
      <c r="F264" s="27" t="s">
        <v>7</v>
      </c>
      <c r="BS264" s="27" t="s">
        <v>8</v>
      </c>
      <c r="BU264" s="27" t="s">
        <v>8</v>
      </c>
      <c r="CB264" s="27" t="s">
        <v>7</v>
      </c>
      <c r="CC264" s="27" t="s">
        <v>8</v>
      </c>
      <c r="CD264" s="27" t="s">
        <v>7</v>
      </c>
      <c r="CE264" s="27" t="s">
        <v>8</v>
      </c>
      <c r="CF264" s="27" t="s">
        <v>7</v>
      </c>
      <c r="CM264" s="27" t="s">
        <v>8</v>
      </c>
      <c r="CN264" s="27" t="s">
        <v>7</v>
      </c>
      <c r="CO264" s="27" t="s">
        <v>8</v>
      </c>
      <c r="CP264" s="27" t="s">
        <v>7</v>
      </c>
      <c r="CS264" s="27" t="s">
        <v>8</v>
      </c>
      <c r="CT264" s="27" t="s">
        <v>7</v>
      </c>
      <c r="CU264" s="27" t="s">
        <v>8</v>
      </c>
      <c r="CV264" s="27" t="s">
        <v>7</v>
      </c>
      <c r="CW264" s="27" t="s">
        <v>8</v>
      </c>
      <c r="CX264" s="27" t="s">
        <v>7</v>
      </c>
      <c r="CY264" s="27" t="s">
        <v>8</v>
      </c>
      <c r="CZ264" s="27" t="s">
        <v>7</v>
      </c>
      <c r="DA264" s="27" t="s">
        <v>8</v>
      </c>
      <c r="DC264" s="27" t="s">
        <v>8</v>
      </c>
      <c r="DD264" s="27" t="s">
        <v>7</v>
      </c>
      <c r="ED264" s="27" t="s">
        <v>7</v>
      </c>
      <c r="EE264" s="27" t="s">
        <v>8</v>
      </c>
      <c r="ET264" s="27" t="s">
        <v>7</v>
      </c>
      <c r="EU264" s="27" t="s">
        <v>8</v>
      </c>
      <c r="FB264" s="27" t="s">
        <v>7</v>
      </c>
      <c r="FC264" s="27" t="s">
        <v>8</v>
      </c>
      <c r="FF264" s="32" t="s">
        <v>7</v>
      </c>
      <c r="FG264" s="27" t="s">
        <v>8</v>
      </c>
      <c r="FI264" s="31"/>
      <c r="GF264" s="27" t="s">
        <v>7</v>
      </c>
      <c r="GG264" s="27" t="s">
        <v>8</v>
      </c>
      <c r="GI264" s="27" t="s">
        <v>8</v>
      </c>
    </row>
    <row r="265" spans="1:191" x14ac:dyDescent="0.25">
      <c r="A265" s="30">
        <v>0.2953027716977592</v>
      </c>
      <c r="B265"/>
      <c r="C265"/>
      <c r="D265"/>
      <c r="E265"/>
      <c r="F265" s="27" t="s">
        <v>7</v>
      </c>
      <c r="BQ265" s="27" t="s">
        <v>8</v>
      </c>
      <c r="BS265" s="27" t="s">
        <v>8</v>
      </c>
      <c r="BT265" s="27" t="s">
        <v>7</v>
      </c>
      <c r="BU265" s="27" t="s">
        <v>8</v>
      </c>
      <c r="CB265" s="27" t="s">
        <v>7</v>
      </c>
      <c r="CC265" s="27" t="s">
        <v>8</v>
      </c>
      <c r="CD265" s="27" t="s">
        <v>7</v>
      </c>
      <c r="CE265" s="27" t="s">
        <v>8</v>
      </c>
      <c r="CF265" s="27" t="s">
        <v>7</v>
      </c>
      <c r="CK265" s="27" t="s">
        <v>8</v>
      </c>
      <c r="CM265" s="27" t="s">
        <v>8</v>
      </c>
      <c r="CN265" s="27" t="s">
        <v>7</v>
      </c>
      <c r="CO265" s="27" t="s">
        <v>8</v>
      </c>
      <c r="CP265" s="27" t="s">
        <v>7</v>
      </c>
      <c r="CS265" s="27" t="s">
        <v>8</v>
      </c>
      <c r="CT265" s="27" t="s">
        <v>7</v>
      </c>
      <c r="CU265" s="27" t="s">
        <v>8</v>
      </c>
      <c r="CV265" s="27" t="s">
        <v>7</v>
      </c>
      <c r="CX265" s="27" t="s">
        <v>7</v>
      </c>
      <c r="CZ265" s="27" t="s">
        <v>7</v>
      </c>
      <c r="DA265" s="27" t="s">
        <v>8</v>
      </c>
      <c r="DB265" s="27" t="s">
        <v>7</v>
      </c>
      <c r="DC265" s="27" t="s">
        <v>8</v>
      </c>
      <c r="ED265" s="27" t="s">
        <v>7</v>
      </c>
      <c r="EE265" s="27" t="s">
        <v>8</v>
      </c>
      <c r="ET265" s="27" t="s">
        <v>7</v>
      </c>
      <c r="FB265" s="27" t="s">
        <v>7</v>
      </c>
      <c r="FC265" s="27" t="s">
        <v>8</v>
      </c>
      <c r="FF265" s="18" t="s">
        <v>7</v>
      </c>
      <c r="FG265" s="27" t="s">
        <v>8</v>
      </c>
      <c r="FH265" s="31"/>
      <c r="GF265" s="27" t="s">
        <v>7</v>
      </c>
      <c r="GG265" s="27" t="s">
        <v>8</v>
      </c>
      <c r="GH265" s="27" t="s">
        <v>7</v>
      </c>
      <c r="GI265" s="27" t="s">
        <v>8</v>
      </c>
    </row>
    <row r="266" spans="1:191" x14ac:dyDescent="0.25">
      <c r="A266" s="30">
        <v>0.28124073495024676</v>
      </c>
      <c r="B266"/>
      <c r="C266"/>
      <c r="D266"/>
      <c r="E266"/>
      <c r="F266" s="27" t="s">
        <v>7</v>
      </c>
      <c r="BQ266" s="27" t="s">
        <v>8</v>
      </c>
      <c r="BR266" s="27" t="s">
        <v>7</v>
      </c>
      <c r="BS266" s="27" t="s">
        <v>8</v>
      </c>
      <c r="BT266" s="27" t="s">
        <v>7</v>
      </c>
      <c r="BU266" s="27" t="s">
        <v>8</v>
      </c>
      <c r="CB266" s="27" t="s">
        <v>7</v>
      </c>
      <c r="CC266" s="27" t="s">
        <v>8</v>
      </c>
      <c r="CD266" s="27" t="s">
        <v>7</v>
      </c>
      <c r="CE266" s="27" t="s">
        <v>8</v>
      </c>
      <c r="CF266" s="27" t="s">
        <v>7</v>
      </c>
      <c r="CK266" s="27" t="s">
        <v>8</v>
      </c>
      <c r="CL266" s="27" t="s">
        <v>7</v>
      </c>
      <c r="CM266" s="27" t="s">
        <v>8</v>
      </c>
      <c r="CN266" s="27" t="s">
        <v>7</v>
      </c>
      <c r="CP266" s="27" t="s">
        <v>7</v>
      </c>
      <c r="CQ266" s="27" t="s">
        <v>8</v>
      </c>
      <c r="CS266" s="27" t="s">
        <v>8</v>
      </c>
      <c r="CT266" s="27" t="s">
        <v>7</v>
      </c>
      <c r="CZ266" s="27" t="s">
        <v>7</v>
      </c>
      <c r="DA266" s="27" t="s">
        <v>8</v>
      </c>
      <c r="DB266" s="27" t="s">
        <v>7</v>
      </c>
      <c r="DC266" s="27" t="s">
        <v>8</v>
      </c>
      <c r="ED266" s="27" t="s">
        <v>7</v>
      </c>
      <c r="EE266" s="27" t="s">
        <v>8</v>
      </c>
      <c r="FB266" s="27" t="s">
        <v>7</v>
      </c>
      <c r="FF266" s="27" t="s">
        <v>7</v>
      </c>
      <c r="FG266" s="31" t="s">
        <v>8</v>
      </c>
      <c r="GF266" s="27" t="s">
        <v>7</v>
      </c>
      <c r="GG266" s="27" t="s">
        <v>8</v>
      </c>
      <c r="GH266" s="27" t="s">
        <v>7</v>
      </c>
      <c r="GI266" s="27" t="s">
        <v>8</v>
      </c>
    </row>
    <row r="267" spans="1:191" x14ac:dyDescent="0.25">
      <c r="A267" s="30">
        <v>0.26784831900023492</v>
      </c>
      <c r="B267"/>
      <c r="C267"/>
      <c r="D267"/>
      <c r="E267"/>
      <c r="F267" s="27" t="s">
        <v>7</v>
      </c>
      <c r="BQ267" s="27" t="s">
        <v>8</v>
      </c>
      <c r="BR267" s="27" t="s">
        <v>7</v>
      </c>
      <c r="BS267" s="27" t="s">
        <v>8</v>
      </c>
      <c r="BT267" s="27" t="s">
        <v>7</v>
      </c>
      <c r="CB267" s="27" t="s">
        <v>7</v>
      </c>
      <c r="CC267" s="27" t="s">
        <v>8</v>
      </c>
      <c r="CD267" s="27" t="s">
        <v>7</v>
      </c>
      <c r="CF267" s="27" t="s">
        <v>7</v>
      </c>
      <c r="CG267" s="27" t="s">
        <v>8</v>
      </c>
      <c r="CK267" s="27" t="s">
        <v>8</v>
      </c>
      <c r="CL267" s="27" t="s">
        <v>7</v>
      </c>
      <c r="CM267" s="27" t="s">
        <v>8</v>
      </c>
      <c r="CP267" s="27" t="s">
        <v>7</v>
      </c>
      <c r="CQ267" s="27" t="s">
        <v>8</v>
      </c>
      <c r="CR267" s="27" t="s">
        <v>7</v>
      </c>
      <c r="CS267" s="27" t="s">
        <v>8</v>
      </c>
      <c r="CZ267" s="27" t="s">
        <v>7</v>
      </c>
      <c r="DA267" s="27" t="s">
        <v>8</v>
      </c>
      <c r="DB267" s="27" t="s">
        <v>7</v>
      </c>
      <c r="DC267" s="27" t="s">
        <v>8</v>
      </c>
      <c r="ED267" s="27" t="s">
        <v>7</v>
      </c>
      <c r="EE267" s="27" t="s">
        <v>8</v>
      </c>
      <c r="FF267" s="31" t="s">
        <v>7</v>
      </c>
      <c r="GF267" s="27" t="s">
        <v>7</v>
      </c>
      <c r="GH267" s="27" t="s">
        <v>7</v>
      </c>
      <c r="GI267" s="27" t="s">
        <v>8</v>
      </c>
    </row>
    <row r="268" spans="1:191" x14ac:dyDescent="0.25">
      <c r="A268" s="30">
        <v>0.25509363714308075</v>
      </c>
      <c r="B268"/>
      <c r="C268"/>
      <c r="D268"/>
      <c r="E268"/>
      <c r="F268" s="27" t="s">
        <v>7</v>
      </c>
      <c r="BQ268" s="27" t="s">
        <v>8</v>
      </c>
      <c r="BR268" s="27" t="s">
        <v>7</v>
      </c>
      <c r="BS268" s="27" t="s">
        <v>8</v>
      </c>
      <c r="CB268" s="27" t="s">
        <v>7</v>
      </c>
      <c r="CC268" s="27" t="s">
        <v>8</v>
      </c>
      <c r="CF268" s="27" t="s">
        <v>7</v>
      </c>
      <c r="CG268" s="27" t="s">
        <v>8</v>
      </c>
      <c r="CH268" s="27" t="s">
        <v>7</v>
      </c>
      <c r="CI268" s="27" t="s">
        <v>8</v>
      </c>
      <c r="CK268" s="27" t="s">
        <v>8</v>
      </c>
      <c r="CL268" s="27" t="s">
        <v>7</v>
      </c>
      <c r="CM268" s="27" t="s">
        <v>8</v>
      </c>
      <c r="CP268" s="27" t="s">
        <v>7</v>
      </c>
      <c r="CQ268" s="27" t="s">
        <v>8</v>
      </c>
      <c r="CR268" s="27" t="s">
        <v>7</v>
      </c>
      <c r="CS268" s="27" t="s">
        <v>8</v>
      </c>
      <c r="CZ268" s="27" t="s">
        <v>7</v>
      </c>
      <c r="DB268" s="27" t="s">
        <v>7</v>
      </c>
      <c r="DC268" s="27" t="s">
        <v>8</v>
      </c>
      <c r="ED268" s="27" t="s">
        <v>7</v>
      </c>
      <c r="EE268" s="27" t="s">
        <v>8</v>
      </c>
      <c r="GH268" s="27" t="s">
        <v>7</v>
      </c>
      <c r="GI268" s="27" t="s">
        <v>8</v>
      </c>
    </row>
    <row r="269" spans="1:191" x14ac:dyDescent="0.25">
      <c r="A269" s="30">
        <v>0.24294632108864825</v>
      </c>
      <c r="B269"/>
      <c r="C269"/>
      <c r="D269"/>
      <c r="E269"/>
      <c r="F269" s="27" t="s">
        <v>7</v>
      </c>
      <c r="BQ269" s="27" t="s">
        <v>8</v>
      </c>
      <c r="BR269" s="27" t="s">
        <v>7</v>
      </c>
      <c r="CB269" s="27" t="s">
        <v>7</v>
      </c>
      <c r="CC269" s="27" t="s">
        <v>8</v>
      </c>
      <c r="CF269" s="27" t="s">
        <v>7</v>
      </c>
      <c r="CG269" s="27" t="s">
        <v>8</v>
      </c>
      <c r="CH269" s="27" t="s">
        <v>7</v>
      </c>
      <c r="CI269" s="27" t="s">
        <v>8</v>
      </c>
      <c r="CJ269" s="27" t="s">
        <v>7</v>
      </c>
      <c r="CK269" s="27" t="s">
        <v>8</v>
      </c>
      <c r="CL269" s="27" t="s">
        <v>7</v>
      </c>
      <c r="CM269" s="27" t="s">
        <v>8</v>
      </c>
      <c r="CP269" s="27" t="s">
        <v>7</v>
      </c>
      <c r="CQ269" s="27" t="s">
        <v>8</v>
      </c>
      <c r="CR269" s="27" t="s">
        <v>7</v>
      </c>
      <c r="DB269" s="27" t="s">
        <v>7</v>
      </c>
      <c r="DC269" s="27" t="s">
        <v>8</v>
      </c>
      <c r="ED269" s="27" t="s">
        <v>7</v>
      </c>
      <c r="EE269" s="27" t="s">
        <v>8</v>
      </c>
      <c r="GH269" s="27" t="s">
        <v>7</v>
      </c>
    </row>
    <row r="270" spans="1:191" x14ac:dyDescent="0.25">
      <c r="A270" s="30">
        <v>0.23137744865585538</v>
      </c>
      <c r="B270"/>
      <c r="C270"/>
      <c r="D270"/>
      <c r="E270"/>
      <c r="F270" s="27" t="s">
        <v>7</v>
      </c>
      <c r="BQ270" s="27" t="s">
        <v>8</v>
      </c>
      <c r="CB270" s="27" t="s">
        <v>7</v>
      </c>
      <c r="CF270" s="27" t="s">
        <v>7</v>
      </c>
      <c r="CH270" s="27" t="s">
        <v>7</v>
      </c>
      <c r="CI270" s="27" t="s">
        <v>8</v>
      </c>
      <c r="CJ270" s="27" t="s">
        <v>7</v>
      </c>
      <c r="CK270" s="27" t="s">
        <v>8</v>
      </c>
      <c r="CL270" s="27" t="s">
        <v>7</v>
      </c>
      <c r="CM270" s="27" t="s">
        <v>8</v>
      </c>
      <c r="CP270" s="27" t="s">
        <v>7</v>
      </c>
      <c r="DB270" s="27" t="s">
        <v>7</v>
      </c>
      <c r="ED270" s="27" t="s">
        <v>7</v>
      </c>
      <c r="EE270" s="27" t="s">
        <v>8</v>
      </c>
    </row>
    <row r="271" spans="1:191" x14ac:dyDescent="0.25">
      <c r="A271" s="30">
        <v>0.22035947491033836</v>
      </c>
      <c r="B271"/>
      <c r="C271"/>
      <c r="D271"/>
      <c r="E271"/>
      <c r="F271" s="27" t="s">
        <v>7</v>
      </c>
      <c r="BQ271" s="27" t="s">
        <v>8</v>
      </c>
      <c r="CH271" s="27" t="s">
        <v>7</v>
      </c>
      <c r="CI271" s="27" t="s">
        <v>8</v>
      </c>
      <c r="CJ271" s="27" t="s">
        <v>7</v>
      </c>
      <c r="CK271" s="27" t="s">
        <v>8</v>
      </c>
      <c r="CL271" s="27" t="s">
        <v>7</v>
      </c>
      <c r="CM271" s="27" t="s">
        <v>8</v>
      </c>
      <c r="ED271" s="27" t="s">
        <v>7</v>
      </c>
      <c r="EE271" s="27" t="s">
        <v>8</v>
      </c>
    </row>
    <row r="272" spans="1:191" x14ac:dyDescent="0.25">
      <c r="A272" s="30">
        <v>0.20986616658127455</v>
      </c>
      <c r="B272"/>
      <c r="C272"/>
      <c r="D272"/>
      <c r="E272"/>
      <c r="F272" s="27" t="s">
        <v>7</v>
      </c>
      <c r="BQ272" s="27" t="s">
        <v>8</v>
      </c>
      <c r="CH272" s="27" t="s">
        <v>7</v>
      </c>
      <c r="CI272" s="27" t="s">
        <v>8</v>
      </c>
      <c r="CJ272" s="27" t="s">
        <v>7</v>
      </c>
      <c r="CK272" s="27" t="s">
        <v>8</v>
      </c>
      <c r="CL272" s="27" t="s">
        <v>7</v>
      </c>
      <c r="ED272" s="27" t="s">
        <v>7</v>
      </c>
      <c r="EE272" s="27" t="s">
        <v>8</v>
      </c>
    </row>
    <row r="273" spans="1:135" x14ac:dyDescent="0.25">
      <c r="A273" s="30">
        <v>0.19987253960121379</v>
      </c>
      <c r="B273"/>
      <c r="C273"/>
      <c r="D273"/>
      <c r="E273"/>
      <c r="F273" s="27" t="s">
        <v>7</v>
      </c>
      <c r="BQ273" s="27" t="s">
        <v>8</v>
      </c>
      <c r="CH273" s="27" t="s">
        <v>7</v>
      </c>
      <c r="CI273" s="27" t="s">
        <v>8</v>
      </c>
      <c r="CJ273" s="27" t="s">
        <v>7</v>
      </c>
      <c r="ED273" s="27" t="s">
        <v>7</v>
      </c>
      <c r="EE273" s="27" t="s">
        <v>8</v>
      </c>
    </row>
    <row r="274" spans="1:135" x14ac:dyDescent="0.25">
      <c r="A274" s="30">
        <v>0.19035479962020352</v>
      </c>
      <c r="B274"/>
      <c r="C274"/>
      <c r="D274"/>
      <c r="E274"/>
      <c r="F274" s="27" t="s">
        <v>7</v>
      </c>
      <c r="BM274" s="27" t="s">
        <v>8</v>
      </c>
      <c r="BO274" s="27" t="s">
        <v>8</v>
      </c>
      <c r="BQ274" s="27" t="s">
        <v>8</v>
      </c>
      <c r="CH274" s="27" t="s">
        <v>7</v>
      </c>
      <c r="CI274" s="27" t="s">
        <v>8</v>
      </c>
      <c r="ED274" s="27" t="s">
        <v>7</v>
      </c>
      <c r="EE274" s="27" t="s">
        <v>8</v>
      </c>
    </row>
    <row r="275" spans="1:135" x14ac:dyDescent="0.25">
      <c r="A275" s="30">
        <v>0.18129028535257471</v>
      </c>
      <c r="B275"/>
      <c r="C275"/>
      <c r="D275"/>
      <c r="E275"/>
      <c r="F275" s="27" t="s">
        <v>7</v>
      </c>
      <c r="BK275" s="27" t="s">
        <v>8</v>
      </c>
      <c r="BM275" s="27" t="s">
        <v>8</v>
      </c>
      <c r="BN275" s="27" t="s">
        <v>7</v>
      </c>
      <c r="BO275" s="27" t="s">
        <v>8</v>
      </c>
      <c r="BP275" s="27" t="s">
        <v>7</v>
      </c>
      <c r="BQ275" s="27" t="s">
        <v>8</v>
      </c>
      <c r="CH275" s="27" t="s">
        <v>7</v>
      </c>
      <c r="CI275" s="27" t="s">
        <v>8</v>
      </c>
      <c r="ED275" s="27" t="s">
        <v>7</v>
      </c>
      <c r="EE275" s="27" t="s">
        <v>8</v>
      </c>
    </row>
    <row r="276" spans="1:135" x14ac:dyDescent="0.25">
      <c r="A276" s="30">
        <v>0.17265741462149967</v>
      </c>
      <c r="B276"/>
      <c r="C276"/>
      <c r="D276"/>
      <c r="E276"/>
      <c r="F276" s="27" t="s">
        <v>7</v>
      </c>
      <c r="BI276" s="27" t="s">
        <v>8</v>
      </c>
      <c r="BK276" s="27" t="s">
        <v>8</v>
      </c>
      <c r="BL276" s="27" t="s">
        <v>7</v>
      </c>
      <c r="BM276" s="27" t="s">
        <v>8</v>
      </c>
      <c r="BN276" s="27" t="s">
        <v>7</v>
      </c>
      <c r="BO276" s="27" t="s">
        <v>8</v>
      </c>
      <c r="BP276" s="27" t="s">
        <v>7</v>
      </c>
      <c r="BQ276" s="27" t="s">
        <v>8</v>
      </c>
      <c r="CH276" s="27" t="s">
        <v>7</v>
      </c>
      <c r="CI276" s="27" t="s">
        <v>8</v>
      </c>
      <c r="ED276" s="27" t="s">
        <v>7</v>
      </c>
      <c r="EE276" s="27" t="s">
        <v>8</v>
      </c>
    </row>
    <row r="277" spans="1:135" x14ac:dyDescent="0.25">
      <c r="A277" s="30">
        <v>0.16443563297285677</v>
      </c>
      <c r="B277"/>
      <c r="C277"/>
      <c r="D277"/>
      <c r="E277"/>
      <c r="F277" s="27" t="s">
        <v>7</v>
      </c>
      <c r="BI277" s="27" t="s">
        <v>8</v>
      </c>
      <c r="BJ277" s="27" t="s">
        <v>7</v>
      </c>
      <c r="BK277" s="27" t="s">
        <v>8</v>
      </c>
      <c r="BL277" s="27" t="s">
        <v>7</v>
      </c>
      <c r="BM277" s="27" t="s">
        <v>8</v>
      </c>
      <c r="BN277" s="27" t="s">
        <v>7</v>
      </c>
      <c r="BO277" s="27" t="s">
        <v>8</v>
      </c>
      <c r="BP277" s="27" t="s">
        <v>7</v>
      </c>
      <c r="BQ277" s="27" t="s">
        <v>8</v>
      </c>
      <c r="CH277" s="27" t="s">
        <v>7</v>
      </c>
      <c r="ED277" s="27" t="s">
        <v>7</v>
      </c>
      <c r="EE277" s="27" t="s">
        <v>8</v>
      </c>
    </row>
    <row r="278" spans="1:135" x14ac:dyDescent="0.25">
      <c r="A278" s="30">
        <v>0.15660536473605399</v>
      </c>
      <c r="B278"/>
      <c r="C278"/>
      <c r="D278"/>
      <c r="E278"/>
      <c r="F278" s="27" t="s">
        <v>7</v>
      </c>
      <c r="BI278" s="27" t="s">
        <v>8</v>
      </c>
      <c r="BJ278" s="27" t="s">
        <v>7</v>
      </c>
      <c r="BK278" s="27" t="s">
        <v>8</v>
      </c>
      <c r="BL278" s="27" t="s">
        <v>7</v>
      </c>
      <c r="BN278" s="27" t="s">
        <v>7</v>
      </c>
      <c r="BP278" s="27" t="s">
        <v>7</v>
      </c>
      <c r="BQ278" s="27" t="s">
        <v>8</v>
      </c>
      <c r="ED278" s="27" t="s">
        <v>7</v>
      </c>
      <c r="EE278" s="27" t="s">
        <v>8</v>
      </c>
    </row>
    <row r="279" spans="1:135" x14ac:dyDescent="0.25">
      <c r="A279" s="30">
        <v>0.14914796641528946</v>
      </c>
      <c r="B279"/>
      <c r="C279"/>
      <c r="D279"/>
      <c r="E279"/>
      <c r="F279" s="27" t="s">
        <v>7</v>
      </c>
      <c r="BI279" s="27" t="s">
        <v>8</v>
      </c>
      <c r="BJ279" s="27" t="s">
        <v>7</v>
      </c>
      <c r="BK279" s="27" t="s">
        <v>8</v>
      </c>
      <c r="BP279" s="27" t="s">
        <v>7</v>
      </c>
      <c r="BQ279" s="27" t="s">
        <v>8</v>
      </c>
      <c r="ED279" s="27" t="s">
        <v>7</v>
      </c>
      <c r="EE279" s="27" t="s">
        <v>8</v>
      </c>
    </row>
    <row r="280" spans="1:135" x14ac:dyDescent="0.25">
      <c r="A280" s="30">
        <v>0.14204568230027562</v>
      </c>
      <c r="B280"/>
      <c r="C280"/>
      <c r="D280"/>
      <c r="E280"/>
      <c r="F280" s="27" t="s">
        <v>7</v>
      </c>
      <c r="BI280" s="27" t="s">
        <v>8</v>
      </c>
      <c r="BJ280" s="27" t="s">
        <v>7</v>
      </c>
      <c r="BK280" s="27" t="s">
        <v>8</v>
      </c>
      <c r="BP280" s="27" t="s">
        <v>7</v>
      </c>
      <c r="BQ280" s="27" t="s">
        <v>8</v>
      </c>
      <c r="ED280" s="27" t="s">
        <v>7</v>
      </c>
      <c r="EE280" s="27" t="s">
        <v>8</v>
      </c>
    </row>
    <row r="281" spans="1:135" x14ac:dyDescent="0.25">
      <c r="A281" s="30">
        <v>0.13528160219073862</v>
      </c>
      <c r="B281"/>
      <c r="C281"/>
      <c r="D281"/>
      <c r="E281"/>
      <c r="F281" s="27" t="s">
        <v>7</v>
      </c>
      <c r="BI281" s="27" t="s">
        <v>8</v>
      </c>
      <c r="BJ281" s="27" t="s">
        <v>7</v>
      </c>
      <c r="BP281" s="27" t="s">
        <v>7</v>
      </c>
      <c r="ED281" s="27" t="s">
        <v>7</v>
      </c>
      <c r="EE281" s="27" t="s">
        <v>8</v>
      </c>
    </row>
    <row r="282" spans="1:135" x14ac:dyDescent="0.25">
      <c r="A282" s="30">
        <v>0.12883962113403674</v>
      </c>
      <c r="B282"/>
      <c r="C282"/>
      <c r="D282"/>
      <c r="E282"/>
      <c r="F282" s="27" t="s">
        <v>7</v>
      </c>
      <c r="BI282" s="27" t="s">
        <v>8</v>
      </c>
      <c r="ED282" s="27" t="s">
        <v>7</v>
      </c>
      <c r="EE282" s="27" t="s">
        <v>8</v>
      </c>
    </row>
    <row r="283" spans="1:135" x14ac:dyDescent="0.25">
      <c r="A283" s="30">
        <v>0.12270440108003494</v>
      </c>
      <c r="B283"/>
      <c r="C283"/>
      <c r="D283"/>
      <c r="E283"/>
      <c r="F283" s="27" t="s">
        <v>7</v>
      </c>
      <c r="BI283" s="27" t="s">
        <v>8</v>
      </c>
      <c r="ED283" s="27" t="s">
        <v>7</v>
      </c>
      <c r="EE283" s="27" t="s">
        <v>8</v>
      </c>
    </row>
    <row r="284" spans="1:135" x14ac:dyDescent="0.25">
      <c r="A284" s="30">
        <v>0.11686133436193799</v>
      </c>
      <c r="B284"/>
      <c r="C284"/>
      <c r="D284"/>
      <c r="E284"/>
      <c r="F284" s="27" t="s">
        <v>7</v>
      </c>
      <c r="BI284" s="27" t="s">
        <v>8</v>
      </c>
      <c r="ED284" s="27" t="s">
        <v>7</v>
      </c>
      <c r="EE284" s="27" t="s">
        <v>8</v>
      </c>
    </row>
    <row r="285" spans="1:135" x14ac:dyDescent="0.25">
      <c r="A285" s="30">
        <v>0.11129650891613138</v>
      </c>
      <c r="B285"/>
      <c r="C285"/>
      <c r="D285"/>
      <c r="E285"/>
      <c r="F285" s="27" t="s">
        <v>7</v>
      </c>
      <c r="BI285" s="27" t="s">
        <v>8</v>
      </c>
      <c r="ED285" s="27" t="s">
        <v>7</v>
      </c>
      <c r="EE285" s="27" t="s">
        <v>8</v>
      </c>
    </row>
    <row r="286" spans="1:135" x14ac:dyDescent="0.25">
      <c r="A286" s="30">
        <v>0.10599667515822032</v>
      </c>
      <c r="B286"/>
      <c r="C286"/>
      <c r="D286"/>
      <c r="E286"/>
      <c r="F286" s="27" t="s">
        <v>7</v>
      </c>
      <c r="BC286" s="27" t="s">
        <v>8</v>
      </c>
      <c r="BG286" s="27" t="s">
        <v>8</v>
      </c>
      <c r="BI286" s="27" t="s">
        <v>8</v>
      </c>
      <c r="ED286" s="27" t="s">
        <v>7</v>
      </c>
      <c r="EE286" s="27" t="s">
        <v>8</v>
      </c>
    </row>
    <row r="287" spans="1:135" x14ac:dyDescent="0.25">
      <c r="A287" s="30">
        <v>0.10094921443640027</v>
      </c>
      <c r="B287"/>
      <c r="C287"/>
      <c r="D287"/>
      <c r="E287"/>
      <c r="F287" s="27" t="s">
        <v>7</v>
      </c>
      <c r="BC287" s="27" t="s">
        <v>8</v>
      </c>
      <c r="BD287" s="27" t="s">
        <v>7</v>
      </c>
      <c r="BG287" s="27" t="s">
        <v>8</v>
      </c>
      <c r="BH287" s="27" t="s">
        <v>7</v>
      </c>
      <c r="BI287" s="27" t="s">
        <v>8</v>
      </c>
      <c r="ED287" s="27" t="s">
        <v>7</v>
      </c>
      <c r="EE287" s="27" t="s">
        <v>8</v>
      </c>
    </row>
    <row r="288" spans="1:135" x14ac:dyDescent="0.25">
      <c r="A288" s="30">
        <v>9.6142108987047836E-2</v>
      </c>
      <c r="B288"/>
      <c r="C288"/>
      <c r="D288"/>
      <c r="E288"/>
      <c r="F288" s="27" t="s">
        <v>7</v>
      </c>
      <c r="BC288" s="27" t="s">
        <v>8</v>
      </c>
      <c r="BD288" s="27" t="s">
        <v>7</v>
      </c>
      <c r="BE288" s="27" t="s">
        <v>8</v>
      </c>
      <c r="BG288" s="27" t="s">
        <v>8</v>
      </c>
      <c r="BH288" s="27" t="s">
        <v>7</v>
      </c>
      <c r="BI288" s="27" t="s">
        <v>8</v>
      </c>
      <c r="ED288" s="27" t="s">
        <v>7</v>
      </c>
      <c r="EE288" s="27" t="s">
        <v>8</v>
      </c>
    </row>
    <row r="289" spans="1:135" x14ac:dyDescent="0.25">
      <c r="A289" s="30">
        <v>9.1563913320997906E-2</v>
      </c>
      <c r="B289"/>
      <c r="C289"/>
      <c r="D289"/>
      <c r="E289"/>
      <c r="F289" s="27" t="s">
        <v>7</v>
      </c>
      <c r="BC289" s="27" t="s">
        <v>8</v>
      </c>
      <c r="BD289" s="27" t="s">
        <v>7</v>
      </c>
      <c r="BE289" s="27" t="s">
        <v>8</v>
      </c>
      <c r="BF289" s="27" t="s">
        <v>7</v>
      </c>
      <c r="BG289" s="27" t="s">
        <v>8</v>
      </c>
      <c r="BH289" s="27" t="s">
        <v>7</v>
      </c>
      <c r="BI289" s="27" t="s">
        <v>8</v>
      </c>
      <c r="ED289" s="27" t="s">
        <v>7</v>
      </c>
      <c r="EE289" s="27" t="s">
        <v>8</v>
      </c>
    </row>
    <row r="290" spans="1:135" x14ac:dyDescent="0.25">
      <c r="A290" s="30">
        <v>8.7203726972378923E-2</v>
      </c>
      <c r="B290"/>
      <c r="C290"/>
      <c r="D290"/>
      <c r="E290"/>
      <c r="F290" s="27" t="s">
        <v>7</v>
      </c>
      <c r="BC290" s="27" t="s">
        <v>8</v>
      </c>
      <c r="BD290" s="27" t="s">
        <v>7</v>
      </c>
      <c r="BE290" s="27" t="s">
        <v>8</v>
      </c>
      <c r="BF290" s="27" t="s">
        <v>7</v>
      </c>
      <c r="BG290" s="27" t="s">
        <v>8</v>
      </c>
      <c r="BH290" s="27" t="s">
        <v>7</v>
      </c>
      <c r="ED290" s="27" t="s">
        <v>7</v>
      </c>
      <c r="EE290" s="27" t="s">
        <v>8</v>
      </c>
    </row>
    <row r="291" spans="1:135" x14ac:dyDescent="0.25">
      <c r="A291" s="30">
        <v>8.3051168545122747E-2</v>
      </c>
      <c r="B291"/>
      <c r="C291"/>
      <c r="D291"/>
      <c r="E291"/>
      <c r="F291" s="27" t="s">
        <v>7</v>
      </c>
      <c r="AK291" s="27" t="s">
        <v>8</v>
      </c>
      <c r="AM291" s="27" t="s">
        <v>8</v>
      </c>
      <c r="BC291" s="27" t="s">
        <v>8</v>
      </c>
      <c r="BD291" s="27" t="s">
        <v>7</v>
      </c>
      <c r="BF291" s="27" t="s">
        <v>7</v>
      </c>
      <c r="ED291" s="27" t="s">
        <v>7</v>
      </c>
      <c r="EE291" s="27" t="s">
        <v>8</v>
      </c>
    </row>
    <row r="292" spans="1:135" x14ac:dyDescent="0.25">
      <c r="A292" s="30">
        <v>7.9096350995354961E-2</v>
      </c>
      <c r="B292"/>
      <c r="C292"/>
      <c r="D292"/>
      <c r="E292"/>
      <c r="F292" s="27" t="s">
        <v>7</v>
      </c>
      <c r="AK292" s="27" t="s">
        <v>8</v>
      </c>
      <c r="AL292" s="27" t="s">
        <v>7</v>
      </c>
      <c r="AM292" s="27" t="s">
        <v>8</v>
      </c>
      <c r="AN292" s="27" t="s">
        <v>7</v>
      </c>
      <c r="BA292" s="27" t="s">
        <v>8</v>
      </c>
      <c r="BC292" s="27" t="s">
        <v>8</v>
      </c>
      <c r="ED292" s="27" t="s">
        <v>7</v>
      </c>
      <c r="EE292" s="27" t="s">
        <v>8</v>
      </c>
    </row>
    <row r="293" spans="1:135" x14ac:dyDescent="0.25">
      <c r="A293" s="30">
        <v>7.5329858090814217E-2</v>
      </c>
      <c r="B293"/>
      <c r="C293"/>
      <c r="D293"/>
      <c r="E293"/>
      <c r="F293" s="27" t="s">
        <v>7</v>
      </c>
      <c r="AK293" s="27" t="s">
        <v>8</v>
      </c>
      <c r="AL293" s="27" t="s">
        <v>7</v>
      </c>
      <c r="AM293" s="27" t="s">
        <v>8</v>
      </c>
      <c r="AN293" s="27" t="s">
        <v>7</v>
      </c>
      <c r="BA293" s="27" t="s">
        <v>8</v>
      </c>
      <c r="BB293" s="27" t="s">
        <v>7</v>
      </c>
      <c r="BC293" s="27" t="s">
        <v>8</v>
      </c>
      <c r="ED293" s="27" t="s">
        <v>7</v>
      </c>
      <c r="EE293" s="27" t="s">
        <v>8</v>
      </c>
    </row>
    <row r="294" spans="1:135" x14ac:dyDescent="0.25">
      <c r="A294" s="30">
        <v>7.1742721991251604E-2</v>
      </c>
      <c r="B294"/>
      <c r="C294"/>
      <c r="D294"/>
      <c r="E294"/>
      <c r="F294" s="27" t="s">
        <v>7</v>
      </c>
      <c r="AK294" s="27" t="s">
        <v>8</v>
      </c>
      <c r="AL294" s="27" t="s">
        <v>7</v>
      </c>
      <c r="AM294" s="27" t="s">
        <v>8</v>
      </c>
      <c r="AN294" s="27" t="s">
        <v>7</v>
      </c>
      <c r="AY294" s="27" t="s">
        <v>8</v>
      </c>
      <c r="BA294" s="27" t="s">
        <v>8</v>
      </c>
      <c r="BB294" s="27" t="s">
        <v>7</v>
      </c>
      <c r="BC294" s="27" t="s">
        <v>8</v>
      </c>
      <c r="ED294" s="27" t="s">
        <v>7</v>
      </c>
      <c r="EE294" s="27" t="s">
        <v>8</v>
      </c>
    </row>
    <row r="295" spans="1:135" x14ac:dyDescent="0.25">
      <c r="A295" s="30">
        <v>6.8326401896430078E-2</v>
      </c>
      <c r="B295"/>
      <c r="C295"/>
      <c r="D295"/>
      <c r="E295"/>
      <c r="F295" s="27" t="s">
        <v>7</v>
      </c>
      <c r="I295" s="27" t="s">
        <v>8</v>
      </c>
      <c r="K295" s="27" t="s">
        <v>8</v>
      </c>
      <c r="AE295" s="27" t="s">
        <v>8</v>
      </c>
      <c r="AG295" s="27" t="s">
        <v>8</v>
      </c>
      <c r="AK295" s="27" t="s">
        <v>8</v>
      </c>
      <c r="AL295" s="27" t="s">
        <v>7</v>
      </c>
      <c r="AM295" s="27" t="s">
        <v>8</v>
      </c>
      <c r="AN295" s="27" t="s">
        <v>7</v>
      </c>
      <c r="AY295" s="27" t="s">
        <v>8</v>
      </c>
      <c r="AZ295" s="27" t="s">
        <v>7</v>
      </c>
      <c r="BA295" s="27" t="s">
        <v>8</v>
      </c>
      <c r="BB295" s="27" t="s">
        <v>7</v>
      </c>
      <c r="BC295" s="27" t="s">
        <v>8</v>
      </c>
      <c r="ED295" s="27" t="s">
        <v>7</v>
      </c>
      <c r="EE295" s="27" t="s">
        <v>8</v>
      </c>
    </row>
    <row r="296" spans="1:135" x14ac:dyDescent="0.25">
      <c r="A296" s="30">
        <v>6.5072763710885759E-2</v>
      </c>
      <c r="B296"/>
      <c r="C296"/>
      <c r="D296"/>
      <c r="E296"/>
      <c r="F296" s="27" t="s">
        <v>7</v>
      </c>
      <c r="I296" s="27" t="s">
        <v>8</v>
      </c>
      <c r="J296" s="27" t="s">
        <v>7</v>
      </c>
      <c r="K296" s="27" t="s">
        <v>8</v>
      </c>
      <c r="L296" s="27" t="s">
        <v>7</v>
      </c>
      <c r="M296" s="27" t="s">
        <v>8</v>
      </c>
      <c r="AE296" s="27" t="s">
        <v>8</v>
      </c>
      <c r="AF296" s="27" t="s">
        <v>7</v>
      </c>
      <c r="AG296" s="27" t="s">
        <v>8</v>
      </c>
      <c r="AH296" s="27" t="s">
        <v>7</v>
      </c>
      <c r="AI296" s="27" t="s">
        <v>8</v>
      </c>
      <c r="AK296" s="27" t="s">
        <v>8</v>
      </c>
      <c r="AL296" s="27" t="s">
        <v>7</v>
      </c>
      <c r="AN296" s="27" t="s">
        <v>7</v>
      </c>
      <c r="AY296" s="27" t="s">
        <v>8</v>
      </c>
      <c r="AZ296" s="27" t="s">
        <v>7</v>
      </c>
      <c r="BA296" s="27" t="s">
        <v>8</v>
      </c>
      <c r="BB296" s="27" t="s">
        <v>7</v>
      </c>
      <c r="ED296" s="27" t="s">
        <v>7</v>
      </c>
      <c r="EE296" s="27" t="s">
        <v>8</v>
      </c>
    </row>
    <row r="297" spans="1:135" x14ac:dyDescent="0.25">
      <c r="A297" s="30">
        <v>6.197406067703403E-2</v>
      </c>
      <c r="B297"/>
      <c r="C297"/>
      <c r="D297"/>
      <c r="E297"/>
      <c r="F297" s="27" t="s">
        <v>7</v>
      </c>
      <c r="I297" s="27" t="s">
        <v>8</v>
      </c>
      <c r="J297" s="27" t="s">
        <v>7</v>
      </c>
      <c r="K297" s="27" t="s">
        <v>8</v>
      </c>
      <c r="L297" s="27" t="s">
        <v>7</v>
      </c>
      <c r="M297" s="27" t="s">
        <v>8</v>
      </c>
      <c r="N297" s="27" t="s">
        <v>7</v>
      </c>
      <c r="S297" s="27" t="s">
        <v>8</v>
      </c>
      <c r="U297" s="27" t="s">
        <v>8</v>
      </c>
      <c r="AE297" s="27" t="s">
        <v>8</v>
      </c>
      <c r="AF297" s="27" t="s">
        <v>7</v>
      </c>
      <c r="AG297" s="27" t="s">
        <v>8</v>
      </c>
      <c r="AH297" s="27" t="s">
        <v>7</v>
      </c>
      <c r="AI297" s="27" t="s">
        <v>8</v>
      </c>
      <c r="AJ297" s="27" t="s">
        <v>7</v>
      </c>
      <c r="AK297" s="27" t="s">
        <v>8</v>
      </c>
      <c r="AN297" s="27" t="s">
        <v>7</v>
      </c>
      <c r="AY297" s="27" t="s">
        <v>8</v>
      </c>
      <c r="AZ297" s="27" t="s">
        <v>7</v>
      </c>
      <c r="ED297" s="27" t="s">
        <v>7</v>
      </c>
      <c r="EE297" s="27" t="s">
        <v>8</v>
      </c>
    </row>
    <row r="298" spans="1:135" x14ac:dyDescent="0.25">
      <c r="A298" s="30">
        <v>5.9022914930508576E-2</v>
      </c>
      <c r="B298"/>
      <c r="C298"/>
      <c r="D298"/>
      <c r="E298"/>
      <c r="F298" s="27" t="s">
        <v>7</v>
      </c>
      <c r="I298" s="27" t="s">
        <v>8</v>
      </c>
      <c r="J298" s="27" t="s">
        <v>7</v>
      </c>
      <c r="K298" s="27" t="s">
        <v>8</v>
      </c>
      <c r="L298" s="27" t="s">
        <v>7</v>
      </c>
      <c r="M298" s="27" t="s">
        <v>8</v>
      </c>
      <c r="N298" s="27" t="s">
        <v>7</v>
      </c>
      <c r="O298" s="27" t="s">
        <v>8</v>
      </c>
      <c r="S298" s="27" t="s">
        <v>8</v>
      </c>
      <c r="T298" s="27" t="s">
        <v>7</v>
      </c>
      <c r="U298" s="27" t="s">
        <v>8</v>
      </c>
      <c r="V298" s="27" t="s">
        <v>7</v>
      </c>
      <c r="AC298" s="27" t="s">
        <v>8</v>
      </c>
      <c r="AE298" s="27" t="s">
        <v>8</v>
      </c>
      <c r="AF298" s="27" t="s">
        <v>7</v>
      </c>
      <c r="AG298" s="27" t="s">
        <v>8</v>
      </c>
      <c r="AH298" s="27" t="s">
        <v>7</v>
      </c>
      <c r="AI298" s="27" t="s">
        <v>8</v>
      </c>
      <c r="AJ298" s="27" t="s">
        <v>7</v>
      </c>
      <c r="AK298" s="27" t="s">
        <v>8</v>
      </c>
      <c r="AN298" s="27" t="s">
        <v>7</v>
      </c>
      <c r="AY298" s="27" t="s">
        <v>8</v>
      </c>
      <c r="ED298" s="27" t="s">
        <v>7</v>
      </c>
      <c r="EE298" s="27" t="s">
        <v>8</v>
      </c>
    </row>
    <row r="299" spans="1:135" x14ac:dyDescent="0.25">
      <c r="A299" s="30">
        <v>5.6212299933817669E-2</v>
      </c>
      <c r="B299"/>
      <c r="C299"/>
      <c r="D299"/>
      <c r="E299"/>
      <c r="F299" s="27" t="s">
        <v>7</v>
      </c>
      <c r="I299" s="27" t="s">
        <v>8</v>
      </c>
      <c r="J299" s="27" t="s">
        <v>7</v>
      </c>
      <c r="L299" s="27" t="s">
        <v>7</v>
      </c>
      <c r="M299" s="27" t="s">
        <v>8</v>
      </c>
      <c r="N299" s="27" t="s">
        <v>7</v>
      </c>
      <c r="O299" s="27" t="s">
        <v>8</v>
      </c>
      <c r="P299" s="27" t="s">
        <v>7</v>
      </c>
      <c r="Q299" s="27" t="s">
        <v>8</v>
      </c>
      <c r="S299" s="27" t="s">
        <v>8</v>
      </c>
      <c r="T299" s="27" t="s">
        <v>7</v>
      </c>
      <c r="U299" s="27" t="s">
        <v>8</v>
      </c>
      <c r="V299" s="27" t="s">
        <v>7</v>
      </c>
      <c r="AC299" s="27" t="s">
        <v>8</v>
      </c>
      <c r="AD299" s="27" t="s">
        <v>7</v>
      </c>
      <c r="AE299" s="27" t="s">
        <v>8</v>
      </c>
      <c r="AF299" s="27" t="s">
        <v>7</v>
      </c>
      <c r="AH299" s="27" t="s">
        <v>7</v>
      </c>
      <c r="AJ299" s="27" t="s">
        <v>7</v>
      </c>
      <c r="AK299" s="27" t="s">
        <v>8</v>
      </c>
      <c r="AN299" s="27" t="s">
        <v>7</v>
      </c>
      <c r="AW299" s="27" t="s">
        <v>8</v>
      </c>
      <c r="AY299" s="27" t="s">
        <v>8</v>
      </c>
      <c r="ED299" s="27" t="s">
        <v>7</v>
      </c>
      <c r="EE299" s="27" t="s">
        <v>8</v>
      </c>
    </row>
    <row r="300" spans="1:135" x14ac:dyDescent="0.25">
      <c r="A300" s="30">
        <v>5.3535523746492994E-2</v>
      </c>
      <c r="B300"/>
      <c r="C300"/>
      <c r="D300"/>
      <c r="E300"/>
      <c r="F300" s="27" t="s">
        <v>7</v>
      </c>
      <c r="I300" s="27" t="s">
        <v>8</v>
      </c>
      <c r="L300" s="27" t="s">
        <v>7</v>
      </c>
      <c r="M300" s="27" t="s">
        <v>8</v>
      </c>
      <c r="N300" s="27" t="s">
        <v>7</v>
      </c>
      <c r="O300" s="27" t="s">
        <v>8</v>
      </c>
      <c r="P300" s="27" t="s">
        <v>7</v>
      </c>
      <c r="Q300" s="27" t="s">
        <v>8</v>
      </c>
      <c r="R300" s="27" t="s">
        <v>7</v>
      </c>
      <c r="S300" s="27" t="s">
        <v>8</v>
      </c>
      <c r="T300" s="27" t="s">
        <v>7</v>
      </c>
      <c r="U300" s="27" t="s">
        <v>8</v>
      </c>
      <c r="V300" s="27" t="s">
        <v>7</v>
      </c>
      <c r="AC300" s="27" t="s">
        <v>8</v>
      </c>
      <c r="AD300" s="27" t="s">
        <v>7</v>
      </c>
      <c r="AE300" s="27" t="s">
        <v>8</v>
      </c>
      <c r="AJ300" s="27" t="s">
        <v>7</v>
      </c>
      <c r="AK300" s="27" t="s">
        <v>8</v>
      </c>
      <c r="AN300" s="27" t="s">
        <v>7</v>
      </c>
      <c r="AW300" s="27" t="s">
        <v>8</v>
      </c>
      <c r="AX300" s="27" t="s">
        <v>7</v>
      </c>
      <c r="AY300" s="27" t="s">
        <v>8</v>
      </c>
      <c r="ED300" s="27" t="s">
        <v>7</v>
      </c>
      <c r="EE300" s="27" t="s">
        <v>8</v>
      </c>
    </row>
    <row r="301" spans="1:135" x14ac:dyDescent="0.25">
      <c r="A301" s="30">
        <v>5.0986213091898068E-2</v>
      </c>
      <c r="B301"/>
      <c r="C301"/>
      <c r="D301"/>
      <c r="E301"/>
      <c r="F301" s="27" t="s">
        <v>7</v>
      </c>
      <c r="I301" s="27" t="s">
        <v>8</v>
      </c>
      <c r="L301" s="27" t="s">
        <v>7</v>
      </c>
      <c r="N301" s="27" t="s">
        <v>7</v>
      </c>
      <c r="P301" s="27" t="s">
        <v>7</v>
      </c>
      <c r="Q301" s="27" t="s">
        <v>8</v>
      </c>
      <c r="R301" s="27" t="s">
        <v>7</v>
      </c>
      <c r="S301" s="27" t="s">
        <v>8</v>
      </c>
      <c r="T301" s="27" t="s">
        <v>7</v>
      </c>
      <c r="U301" s="27" t="s">
        <v>8</v>
      </c>
      <c r="V301" s="27" t="s">
        <v>7</v>
      </c>
      <c r="AC301" s="27" t="s">
        <v>8</v>
      </c>
      <c r="AD301" s="27" t="s">
        <v>7</v>
      </c>
      <c r="AJ301" s="27" t="s">
        <v>7</v>
      </c>
      <c r="AK301" s="27" t="s">
        <v>8</v>
      </c>
      <c r="AN301" s="27" t="s">
        <v>7</v>
      </c>
      <c r="AU301" s="27" t="s">
        <v>8</v>
      </c>
      <c r="AW301" s="27" t="s">
        <v>8</v>
      </c>
      <c r="AX301" s="27" t="s">
        <v>7</v>
      </c>
      <c r="AY301" s="27" t="s">
        <v>8</v>
      </c>
      <c r="ED301" s="27" t="s">
        <v>7</v>
      </c>
      <c r="EE301" s="27" t="s">
        <v>8</v>
      </c>
    </row>
    <row r="302" spans="1:135" x14ac:dyDescent="0.25">
      <c r="A302" s="30">
        <v>4.8558298182760043E-2</v>
      </c>
      <c r="B302"/>
      <c r="C302"/>
      <c r="D302"/>
      <c r="E302"/>
      <c r="F302" s="27" t="s">
        <v>7</v>
      </c>
      <c r="I302" s="27" t="s">
        <v>8</v>
      </c>
      <c r="P302" s="27" t="s">
        <v>7</v>
      </c>
      <c r="R302" s="27" t="s">
        <v>7</v>
      </c>
      <c r="T302" s="27" t="s">
        <v>7</v>
      </c>
      <c r="V302" s="27" t="s">
        <v>7</v>
      </c>
      <c r="AC302" s="27" t="s">
        <v>8</v>
      </c>
      <c r="AJ302" s="27" t="s">
        <v>7</v>
      </c>
      <c r="AN302" s="27" t="s">
        <v>7</v>
      </c>
      <c r="AU302" s="27" t="s">
        <v>8</v>
      </c>
      <c r="AV302" s="27" t="s">
        <v>7</v>
      </c>
      <c r="AW302" s="27" t="s">
        <v>8</v>
      </c>
      <c r="AX302" s="27" t="s">
        <v>7</v>
      </c>
      <c r="ED302" s="27" t="s">
        <v>7</v>
      </c>
      <c r="EE302" s="27" t="s">
        <v>8</v>
      </c>
    </row>
    <row r="303" spans="1:135" x14ac:dyDescent="0.25">
      <c r="A303" s="30">
        <v>4.6245998269295263E-2</v>
      </c>
      <c r="B303"/>
      <c r="C303"/>
      <c r="D303"/>
      <c r="E303"/>
      <c r="F303" s="27" t="s">
        <v>7</v>
      </c>
      <c r="I303" s="27" t="s">
        <v>8</v>
      </c>
      <c r="V303" s="27" t="s">
        <v>7</v>
      </c>
      <c r="W303" s="27" t="s">
        <v>8</v>
      </c>
      <c r="AA303" s="27" t="s">
        <v>8</v>
      </c>
      <c r="AC303" s="27" t="s">
        <v>8</v>
      </c>
      <c r="AN303" s="27" t="s">
        <v>7</v>
      </c>
      <c r="AS303" s="27" t="s">
        <v>8</v>
      </c>
      <c r="AU303" s="27" t="s">
        <v>8</v>
      </c>
      <c r="AV303" s="27" t="s">
        <v>7</v>
      </c>
      <c r="AW303" s="27" t="s">
        <v>8</v>
      </c>
      <c r="ED303" s="27" t="s">
        <v>7</v>
      </c>
      <c r="EE303" s="27" t="s">
        <v>8</v>
      </c>
    </row>
    <row r="304" spans="1:135" x14ac:dyDescent="0.25">
      <c r="A304" s="30">
        <v>4.4043807875519279E-2</v>
      </c>
      <c r="B304"/>
      <c r="C304"/>
      <c r="D304"/>
      <c r="E304"/>
      <c r="F304" s="27" t="s">
        <v>7</v>
      </c>
      <c r="I304" s="27" t="s">
        <v>8</v>
      </c>
      <c r="V304" s="27" t="s">
        <v>7</v>
      </c>
      <c r="W304" s="27" t="s">
        <v>8</v>
      </c>
      <c r="X304" s="27" t="s">
        <v>7</v>
      </c>
      <c r="AA304" s="27" t="s">
        <v>8</v>
      </c>
      <c r="AB304" s="27" t="s">
        <v>7</v>
      </c>
      <c r="AC304" s="27" t="s">
        <v>8</v>
      </c>
      <c r="AN304" s="27" t="s">
        <v>7</v>
      </c>
      <c r="AO304" s="27" t="s">
        <v>8</v>
      </c>
      <c r="AS304" s="27" t="s">
        <v>8</v>
      </c>
      <c r="AT304" s="27" t="s">
        <v>7</v>
      </c>
      <c r="AU304" s="27" t="s">
        <v>8</v>
      </c>
      <c r="AV304" s="27" t="s">
        <v>7</v>
      </c>
      <c r="AW304" s="27" t="s">
        <v>8</v>
      </c>
      <c r="ED304" s="27" t="s">
        <v>7</v>
      </c>
      <c r="EE304" s="27" t="s">
        <v>8</v>
      </c>
    </row>
    <row r="305" spans="1:135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I305" s="27" t="s">
        <v>8</v>
      </c>
      <c r="V305" s="27" t="s">
        <v>7</v>
      </c>
      <c r="W305" s="27" t="s">
        <v>8</v>
      </c>
      <c r="X305" s="27" t="s">
        <v>7</v>
      </c>
      <c r="AA305" s="27" t="s">
        <v>8</v>
      </c>
      <c r="AB305" s="27" t="s">
        <v>7</v>
      </c>
      <c r="AC305" s="27" t="s">
        <v>8</v>
      </c>
      <c r="AN305" s="27" t="s">
        <v>7</v>
      </c>
      <c r="AO305" s="27" t="s">
        <v>8</v>
      </c>
      <c r="AP305" s="27" t="s">
        <v>7</v>
      </c>
      <c r="AS305" s="27" t="s">
        <v>8</v>
      </c>
      <c r="AT305" s="27" t="s">
        <v>7</v>
      </c>
      <c r="AU305" s="27" t="s">
        <v>8</v>
      </c>
      <c r="AV305" s="27" t="s">
        <v>7</v>
      </c>
      <c r="AW305" s="27" t="s">
        <v>8</v>
      </c>
      <c r="ED305" s="27" t="s">
        <v>7</v>
      </c>
      <c r="EE305" s="27" t="s">
        <v>8</v>
      </c>
    </row>
    <row r="306" spans="1:135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I306" s="27" t="s">
        <v>8</v>
      </c>
      <c r="V306" s="27" t="s">
        <v>7</v>
      </c>
      <c r="W306" s="27" t="s">
        <v>8</v>
      </c>
      <c r="X306" s="27" t="s">
        <v>7</v>
      </c>
      <c r="AA306" s="27" t="s">
        <v>8</v>
      </c>
      <c r="AB306" s="27" t="s">
        <v>7</v>
      </c>
      <c r="AN306" s="27" t="s">
        <v>7</v>
      </c>
      <c r="AO306" s="27" t="s">
        <v>8</v>
      </c>
      <c r="AP306" s="27" t="s">
        <v>7</v>
      </c>
      <c r="AS306" s="27" t="s">
        <v>8</v>
      </c>
      <c r="AT306" s="27" t="s">
        <v>7</v>
      </c>
      <c r="AU306" s="27" t="s">
        <v>8</v>
      </c>
      <c r="AV306" s="27" t="s">
        <v>7</v>
      </c>
      <c r="ED306" s="27" t="s">
        <v>7</v>
      </c>
      <c r="EE306" s="27" t="s">
        <v>8</v>
      </c>
    </row>
    <row r="307" spans="1:135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H307" s="27" t="s">
        <v>7</v>
      </c>
      <c r="I307" s="27" t="s">
        <v>8</v>
      </c>
      <c r="V307" s="27" t="s">
        <v>7</v>
      </c>
      <c r="W307" s="27" t="s">
        <v>8</v>
      </c>
      <c r="X307" s="27" t="s">
        <v>7</v>
      </c>
      <c r="AA307" s="27" t="s">
        <v>8</v>
      </c>
      <c r="AN307" s="27" t="s">
        <v>7</v>
      </c>
      <c r="AO307" s="27" t="s">
        <v>8</v>
      </c>
      <c r="AP307" s="27" t="s">
        <v>7</v>
      </c>
      <c r="AS307" s="27" t="s">
        <v>8</v>
      </c>
      <c r="AT307" s="27" t="s">
        <v>7</v>
      </c>
      <c r="AU307" s="27" t="s">
        <v>8</v>
      </c>
      <c r="ED307" s="27" t="s">
        <v>7</v>
      </c>
      <c r="EE307" s="27" t="s">
        <v>8</v>
      </c>
    </row>
    <row r="308" spans="1:135" x14ac:dyDescent="0.25">
      <c r="A308" s="30">
        <v>3.6234949738447833E-2</v>
      </c>
      <c r="B308"/>
      <c r="C308"/>
      <c r="D308"/>
      <c r="E308"/>
      <c r="F308" s="27" t="s">
        <v>7</v>
      </c>
      <c r="G308" s="27" t="s">
        <v>8</v>
      </c>
      <c r="H308" s="27" t="s">
        <v>7</v>
      </c>
      <c r="V308" s="27" t="s">
        <v>7</v>
      </c>
      <c r="W308" s="27" t="s">
        <v>8</v>
      </c>
      <c r="X308" s="27" t="s">
        <v>7</v>
      </c>
      <c r="Y308" s="27" t="s">
        <v>8</v>
      </c>
      <c r="AA308" s="27" t="s">
        <v>8</v>
      </c>
      <c r="AN308" s="27" t="s">
        <v>7</v>
      </c>
      <c r="AO308" s="27" t="s">
        <v>8</v>
      </c>
      <c r="AP308" s="27" t="s">
        <v>7</v>
      </c>
      <c r="AS308" s="27" t="s">
        <v>8</v>
      </c>
      <c r="AT308" s="27" t="s">
        <v>7</v>
      </c>
      <c r="AU308" s="27" t="s">
        <v>8</v>
      </c>
      <c r="ED308" s="27" t="s">
        <v>7</v>
      </c>
      <c r="EE308" s="27" t="s">
        <v>8</v>
      </c>
    </row>
    <row r="309" spans="1:135" x14ac:dyDescent="0.25">
      <c r="A309" s="30">
        <v>3.4509475941378875E-2</v>
      </c>
      <c r="B309"/>
      <c r="C309"/>
      <c r="D309"/>
      <c r="E309"/>
      <c r="F309" s="27" t="s">
        <v>7</v>
      </c>
      <c r="V309" s="27" t="s">
        <v>7</v>
      </c>
      <c r="X309" s="27" t="s">
        <v>7</v>
      </c>
      <c r="Y309" s="27" t="s">
        <v>8</v>
      </c>
      <c r="Z309" s="27" t="s">
        <v>7</v>
      </c>
      <c r="AA309" s="27" t="s">
        <v>8</v>
      </c>
      <c r="AN309" s="27" t="s">
        <v>7</v>
      </c>
      <c r="AO309" s="27" t="s">
        <v>8</v>
      </c>
      <c r="AP309" s="27" t="s">
        <v>7</v>
      </c>
      <c r="AQ309" s="27" t="s">
        <v>8</v>
      </c>
      <c r="AS309" s="27" t="s">
        <v>8</v>
      </c>
      <c r="AT309" s="27" t="s">
        <v>7</v>
      </c>
      <c r="ED309" s="27" t="s">
        <v>7</v>
      </c>
      <c r="EE309" s="27" t="s">
        <v>8</v>
      </c>
    </row>
    <row r="310" spans="1:135" x14ac:dyDescent="0.25">
      <c r="A310" s="30">
        <v>3.286616756321796E-2</v>
      </c>
      <c r="B310"/>
      <c r="C310"/>
      <c r="D310"/>
      <c r="E310"/>
      <c r="X310" s="27" t="s">
        <v>7</v>
      </c>
      <c r="Y310" s="27" t="s">
        <v>8</v>
      </c>
      <c r="Z310" s="27" t="s">
        <v>7</v>
      </c>
      <c r="AA310" s="27" t="s">
        <v>8</v>
      </c>
      <c r="AN310" s="27" t="s">
        <v>7</v>
      </c>
      <c r="AO310" s="27" t="s">
        <v>8</v>
      </c>
      <c r="AP310" s="27" t="s">
        <v>7</v>
      </c>
      <c r="AQ310" s="27" t="s">
        <v>8</v>
      </c>
      <c r="AR310" s="27" t="s">
        <v>7</v>
      </c>
      <c r="AS310" s="27" t="s">
        <v>8</v>
      </c>
      <c r="ED310" s="27" t="s">
        <v>7</v>
      </c>
      <c r="EE310" s="27" t="s">
        <v>8</v>
      </c>
    </row>
    <row r="311" spans="1:135" x14ac:dyDescent="0.25">
      <c r="A311" s="30">
        <v>3.1301111964969472E-2</v>
      </c>
      <c r="B311"/>
      <c r="C311"/>
      <c r="D311"/>
      <c r="E311"/>
      <c r="X311" s="27" t="s">
        <v>7</v>
      </c>
      <c r="Y311" s="27" t="s">
        <v>8</v>
      </c>
      <c r="Z311" s="27" t="s">
        <v>7</v>
      </c>
      <c r="AN311" s="27" t="s">
        <v>7</v>
      </c>
      <c r="AO311" s="27" t="s">
        <v>8</v>
      </c>
      <c r="AP311" s="27" t="s">
        <v>7</v>
      </c>
      <c r="AQ311" s="27" t="s">
        <v>8</v>
      </c>
      <c r="AR311" s="27" t="s">
        <v>7</v>
      </c>
      <c r="AS311" s="27" t="s">
        <v>8</v>
      </c>
      <c r="ED311" s="27" t="s">
        <v>7</v>
      </c>
      <c r="EE311" s="27" t="s">
        <v>8</v>
      </c>
    </row>
    <row r="312" spans="1:135" x14ac:dyDescent="0.25">
      <c r="A312" s="30">
        <v>2.9810582823780438E-2</v>
      </c>
      <c r="B312"/>
      <c r="C312"/>
      <c r="D312"/>
      <c r="E312"/>
      <c r="X312" s="27" t="s">
        <v>7</v>
      </c>
      <c r="Y312" s="27" t="s">
        <v>8</v>
      </c>
      <c r="AN312" s="27" t="s">
        <v>7</v>
      </c>
      <c r="AO312" s="27" t="s">
        <v>8</v>
      </c>
      <c r="AP312" s="27" t="s">
        <v>7</v>
      </c>
      <c r="AQ312" s="27" t="s">
        <v>8</v>
      </c>
      <c r="AR312" s="27" t="s">
        <v>7</v>
      </c>
      <c r="ED312" s="27" t="s">
        <v>7</v>
      </c>
      <c r="EE312" s="27" t="s">
        <v>8</v>
      </c>
    </row>
    <row r="313" spans="1:135" x14ac:dyDescent="0.25">
      <c r="A313" s="30">
        <v>2.8391031260743264E-2</v>
      </c>
      <c r="B313"/>
      <c r="C313"/>
      <c r="D313"/>
      <c r="E313"/>
      <c r="X313" s="27" t="s">
        <v>7</v>
      </c>
      <c r="AN313" s="27" t="s">
        <v>7</v>
      </c>
      <c r="AP313" s="27" t="s">
        <v>7</v>
      </c>
      <c r="AQ313" s="27" t="s">
        <v>8</v>
      </c>
      <c r="ED313" s="27" t="s">
        <v>7</v>
      </c>
      <c r="EE313" s="27" t="s">
        <v>8</v>
      </c>
    </row>
    <row r="314" spans="1:135" x14ac:dyDescent="0.25">
      <c r="A314" s="30">
        <v>2.7039077391184052E-2</v>
      </c>
      <c r="B314"/>
      <c r="C314"/>
      <c r="D314"/>
      <c r="E314"/>
      <c r="AP314" s="27" t="s">
        <v>7</v>
      </c>
      <c r="ED314" s="27" t="s">
        <v>7</v>
      </c>
      <c r="EE314" s="27" t="s">
        <v>8</v>
      </c>
    </row>
    <row r="315" spans="1:135" x14ac:dyDescent="0.25">
      <c r="A315" s="30">
        <v>2.5751502277318133E-2</v>
      </c>
      <c r="B315"/>
      <c r="C315"/>
      <c r="D315"/>
      <c r="E315"/>
      <c r="ED315" s="27" t="s">
        <v>7</v>
      </c>
      <c r="EE315" s="27" t="s">
        <v>8</v>
      </c>
    </row>
    <row r="316" spans="1:135" x14ac:dyDescent="0.25">
      <c r="A316" s="30">
        <v>2.4525240264112496E-2</v>
      </c>
      <c r="B316"/>
      <c r="C316"/>
      <c r="D316"/>
      <c r="E316"/>
      <c r="ED316" s="27" t="s">
        <v>7</v>
      </c>
      <c r="EE316" s="27" t="s">
        <v>8</v>
      </c>
    </row>
    <row r="317" spans="1:135" x14ac:dyDescent="0.25">
      <c r="A317" s="30">
        <v>2.3357371680107129E-2</v>
      </c>
      <c r="B317"/>
      <c r="C317"/>
      <c r="D317"/>
      <c r="E317"/>
      <c r="ED317" s="27" t="s">
        <v>7</v>
      </c>
      <c r="EE317" s="27" t="s">
        <v>8</v>
      </c>
    </row>
    <row r="318" spans="1:135" x14ac:dyDescent="0.25">
      <c r="A318" s="30">
        <v>2.2245115885816305E-2</v>
      </c>
      <c r="B318"/>
      <c r="C318"/>
      <c r="D318"/>
      <c r="E318"/>
      <c r="ED318" s="27" t="s">
        <v>7</v>
      </c>
      <c r="EE318" s="27" t="s">
        <v>8</v>
      </c>
    </row>
    <row r="319" spans="1:135" x14ac:dyDescent="0.25">
      <c r="A319" s="30">
        <v>2.1185824653158377E-2</v>
      </c>
      <c r="B319"/>
      <c r="C319"/>
      <c r="D319"/>
      <c r="E319"/>
      <c r="ED319" s="27" t="s">
        <v>7</v>
      </c>
      <c r="EE319" s="27" t="s">
        <v>8</v>
      </c>
    </row>
    <row r="320" spans="1:135" x14ac:dyDescent="0.25">
      <c r="A320" s="30">
        <v>2.0176975860150829E-2</v>
      </c>
      <c r="B320"/>
      <c r="C320"/>
      <c r="D320"/>
      <c r="E320"/>
      <c r="ED320" s="27" t="s">
        <v>7</v>
      </c>
      <c r="EE320" s="27" t="s">
        <v>8</v>
      </c>
    </row>
    <row r="321" spans="1:135" x14ac:dyDescent="0.25">
      <c r="A321" s="30">
        <v>1.9216167485857926E-2</v>
      </c>
      <c r="B321"/>
      <c r="C321"/>
      <c r="D321"/>
      <c r="E321"/>
      <c r="ED321" s="27" t="s">
        <v>7</v>
      </c>
      <c r="EE321" s="27" t="s">
        <v>8</v>
      </c>
    </row>
    <row r="322" spans="1:135" x14ac:dyDescent="0.25">
      <c r="A322" s="30">
        <v>1.8301111891293256E-2</v>
      </c>
      <c r="B322"/>
      <c r="C322"/>
      <c r="D322"/>
      <c r="E322"/>
      <c r="ED322" s="27" t="s">
        <v>7</v>
      </c>
      <c r="EE322" s="27" t="s">
        <v>8</v>
      </c>
    </row>
    <row r="323" spans="1:135" x14ac:dyDescent="0.25">
      <c r="A323" s="30">
        <v>1.7429630372660238E-2</v>
      </c>
      <c r="B323"/>
      <c r="C323"/>
      <c r="D323"/>
      <c r="E323"/>
      <c r="ED323" s="27" t="s">
        <v>7</v>
      </c>
      <c r="EE323" s="27" t="s">
        <v>8</v>
      </c>
    </row>
    <row r="324" spans="1:135" x14ac:dyDescent="0.25">
      <c r="A324" s="30">
        <v>1.6599647973962125E-2</v>
      </c>
      <c r="B324"/>
      <c r="C324"/>
      <c r="D324"/>
      <c r="E324"/>
      <c r="ED324" s="27" t="s">
        <v>7</v>
      </c>
      <c r="EE324" s="27" t="s">
        <v>8</v>
      </c>
    </row>
    <row r="325" spans="1:135" x14ac:dyDescent="0.25">
      <c r="A325" s="30">
        <v>1.580918854663059E-2</v>
      </c>
      <c r="B325"/>
      <c r="C325"/>
      <c r="D325"/>
      <c r="E325"/>
      <c r="ED325" s="27" t="s">
        <v>7</v>
      </c>
    </row>
    <row r="326" spans="1:135" x14ac:dyDescent="0.25">
      <c r="A326" s="30">
        <v>1.5056370044410079E-2</v>
      </c>
      <c r="B326"/>
      <c r="C326"/>
      <c r="D326"/>
      <c r="E326"/>
    </row>
    <row r="327" spans="1:135" x14ac:dyDescent="0.25">
      <c r="A327" s="30">
        <v>1.4339400042295308E-2</v>
      </c>
      <c r="B327"/>
      <c r="C327"/>
      <c r="D327"/>
      <c r="E327"/>
    </row>
    <row r="328" spans="1:135" x14ac:dyDescent="0.25">
      <c r="A328" s="30">
        <v>1.365657146885267E-2</v>
      </c>
      <c r="B328"/>
      <c r="C328"/>
      <c r="D328"/>
      <c r="E328"/>
    </row>
    <row r="329" spans="1:135" x14ac:dyDescent="0.25">
      <c r="A329" s="30">
        <v>1.3006258541764442E-2</v>
      </c>
      <c r="B329"/>
      <c r="C329"/>
      <c r="D329"/>
      <c r="E329"/>
    </row>
    <row r="330" spans="1:135" x14ac:dyDescent="0.25">
      <c r="A330" s="30">
        <v>1.2386912896918512E-2</v>
      </c>
      <c r="B330"/>
      <c r="C330"/>
      <c r="D330"/>
      <c r="E330"/>
    </row>
    <row r="331" spans="1:135" x14ac:dyDescent="0.25">
      <c r="A331" s="30">
        <v>1.179705990182715E-2</v>
      </c>
      <c r="B331"/>
      <c r="C331"/>
      <c r="D331"/>
      <c r="E331"/>
    </row>
    <row r="332" spans="1:135" x14ac:dyDescent="0.25">
      <c r="A332" s="30">
        <v>1.1235295144597281E-2</v>
      </c>
      <c r="B332"/>
      <c r="C332"/>
      <c r="D332"/>
      <c r="E332"/>
    </row>
    <row r="333" spans="1:135" x14ac:dyDescent="0.25">
      <c r="A333" s="30">
        <v>1.0700281090092644E-2</v>
      </c>
      <c r="B333"/>
      <c r="C333"/>
      <c r="D333"/>
      <c r="E333"/>
    </row>
    <row r="334" spans="1:135" x14ac:dyDescent="0.25">
      <c r="A334" s="30">
        <v>1.0190743895326324E-2</v>
      </c>
      <c r="B334"/>
      <c r="C334"/>
      <c r="D334"/>
      <c r="E334"/>
    </row>
    <row r="335" spans="1:135" x14ac:dyDescent="0.25">
      <c r="A335" s="30">
        <v>9.7054703765012563E-3</v>
      </c>
      <c r="B335"/>
      <c r="C335"/>
      <c r="D335"/>
      <c r="E335"/>
    </row>
    <row r="336" spans="1:13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76" operator="equal">
      <formula>$U$1</formula>
    </cfRule>
    <cfRule type="cellIs" dxfId="67" priority="1277" operator="equal">
      <formula>$S$1</formula>
    </cfRule>
  </conditionalFormatting>
  <conditionalFormatting sqref="D136">
    <cfRule type="cellIs" dxfId="66" priority="1274" operator="equal">
      <formula>$S$1</formula>
    </cfRule>
    <cfRule type="cellIs" dxfId="65" priority="1275" operator="equal">
      <formula>$U$1</formula>
    </cfRule>
  </conditionalFormatting>
  <conditionalFormatting sqref="C162">
    <cfRule type="cellIs" dxfId="64" priority="1272" operator="equal">
      <formula>$U$1</formula>
    </cfRule>
    <cfRule type="cellIs" dxfId="63" priority="1273" operator="equal">
      <formula>$S$1</formula>
    </cfRule>
  </conditionalFormatting>
  <conditionalFormatting sqref="D162">
    <cfRule type="cellIs" dxfId="62" priority="1270" operator="equal">
      <formula>$S$1</formula>
    </cfRule>
    <cfRule type="cellIs" dxfId="61" priority="1271" operator="equal">
      <formula>$U$1</formula>
    </cfRule>
  </conditionalFormatting>
  <conditionalFormatting sqref="C187">
    <cfRule type="cellIs" dxfId="60" priority="1268" operator="equal">
      <formula>$U$1</formula>
    </cfRule>
    <cfRule type="cellIs" dxfId="59" priority="1269" operator="equal">
      <formula>$S$1</formula>
    </cfRule>
  </conditionalFormatting>
  <conditionalFormatting sqref="D187">
    <cfRule type="cellIs" dxfId="58" priority="1266" operator="equal">
      <formula>$S$1</formula>
    </cfRule>
    <cfRule type="cellIs" dxfId="57" priority="1267" operator="equal">
      <formula>$U$1</formula>
    </cfRule>
  </conditionalFormatting>
  <conditionalFormatting sqref="C212">
    <cfRule type="cellIs" dxfId="56" priority="1264" operator="equal">
      <formula>$U$1</formula>
    </cfRule>
    <cfRule type="cellIs" dxfId="55" priority="1265" operator="equal">
      <formula>$S$1</formula>
    </cfRule>
  </conditionalFormatting>
  <conditionalFormatting sqref="D212">
    <cfRule type="cellIs" dxfId="54" priority="1262" operator="equal">
      <formula>$S$1</formula>
    </cfRule>
    <cfRule type="cellIs" dxfId="53" priority="1263" operator="equal">
      <formula>$U$1</formula>
    </cfRule>
  </conditionalFormatting>
  <conditionalFormatting sqref="C237">
    <cfRule type="cellIs" dxfId="52" priority="1260" operator="equal">
      <formula>$U$1</formula>
    </cfRule>
    <cfRule type="cellIs" dxfId="51" priority="1261" operator="equal">
      <formula>$S$1</formula>
    </cfRule>
  </conditionalFormatting>
  <conditionalFormatting sqref="D237">
    <cfRule type="cellIs" dxfId="50" priority="1258" operator="equal">
      <formula>$S$1</formula>
    </cfRule>
    <cfRule type="cellIs" dxfId="49" priority="1259" operator="equal">
      <formula>$U$1</formula>
    </cfRule>
  </conditionalFormatting>
  <conditionalFormatting sqref="C106">
    <cfRule type="cellIs" dxfId="48" priority="1256" operator="equal">
      <formula>$U$1</formula>
    </cfRule>
    <cfRule type="cellIs" dxfId="47" priority="1257" operator="equal">
      <formula>$S$1</formula>
    </cfRule>
  </conditionalFormatting>
  <conditionalFormatting sqref="D106">
    <cfRule type="cellIs" dxfId="46" priority="1254" operator="equal">
      <formula>$S$1</formula>
    </cfRule>
    <cfRule type="cellIs" dxfId="45" priority="1255" operator="equal">
      <formula>$U$1</formula>
    </cfRule>
  </conditionalFormatting>
  <conditionalFormatting sqref="C81">
    <cfRule type="cellIs" dxfId="44" priority="1252" operator="equal">
      <formula>$U$1</formula>
    </cfRule>
    <cfRule type="cellIs" dxfId="43" priority="1253" operator="equal">
      <formula>$S$1</formula>
    </cfRule>
  </conditionalFormatting>
  <conditionalFormatting sqref="D81">
    <cfRule type="cellIs" dxfId="42" priority="1250" operator="equal">
      <formula>$S$1</formula>
    </cfRule>
    <cfRule type="cellIs" dxfId="41" priority="1251" operator="equal">
      <formula>$U$1</formula>
    </cfRule>
  </conditionalFormatting>
  <conditionalFormatting sqref="C56">
    <cfRule type="cellIs" dxfId="40" priority="1248" operator="equal">
      <formula>$U$1</formula>
    </cfRule>
    <cfRule type="cellIs" dxfId="39" priority="1249" operator="equal">
      <formula>$S$1</formula>
    </cfRule>
  </conditionalFormatting>
  <conditionalFormatting sqref="D56">
    <cfRule type="cellIs" dxfId="38" priority="1246" operator="equal">
      <formula>$S$1</formula>
    </cfRule>
    <cfRule type="cellIs" dxfId="37" priority="1247" operator="equal">
      <formula>$U$1</formula>
    </cfRule>
  </conditionalFormatting>
  <conditionalFormatting sqref="C31">
    <cfRule type="cellIs" dxfId="36" priority="1244" operator="equal">
      <formula>$U$1</formula>
    </cfRule>
    <cfRule type="cellIs" dxfId="35" priority="1245" operator="equal">
      <formula>$S$1</formula>
    </cfRule>
  </conditionalFormatting>
  <conditionalFormatting sqref="D31">
    <cfRule type="cellIs" dxfId="34" priority="1242" operator="equal">
      <formula>$S$1</formula>
    </cfRule>
    <cfRule type="cellIs" dxfId="33" priority="124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Q132" sqref="BQ13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$A$131</v>
      </c>
      <c r="D111" s="1" t="str">
        <f>ADDRESS(C121-1,D121,1,1)</f>
        <v>$BQ$131</v>
      </c>
      <c r="E111"/>
    </row>
    <row r="112" spans="1:5" x14ac:dyDescent="0.25">
      <c r="A112" s="30">
        <v>2.3579476910000019</v>
      </c>
      <c r="C112" s="1" t="str">
        <f>ADDRESS(C121,1,1,1)</f>
        <v>$A$132</v>
      </c>
      <c r="D112" s="1" t="str">
        <f>ADDRESS(C121,D121-1,1,1)</f>
        <v>$BP$132</v>
      </c>
      <c r="E112"/>
    </row>
    <row r="113" spans="1:68" x14ac:dyDescent="0.25">
      <c r="A113" s="30">
        <v>2.1435888100000016</v>
      </c>
      <c r="C113" s="1" t="str">
        <f>ADDRESS(C121+1,1,1,1)</f>
        <v>$A$133</v>
      </c>
      <c r="D113" s="1" t="str">
        <f>ADDRESS(C121-1,D121+1,1,1)</f>
        <v>$BR$131</v>
      </c>
    </row>
    <row r="114" spans="1:68" x14ac:dyDescent="0.25">
      <c r="A114" s="30">
        <v>1.9487171000000014</v>
      </c>
      <c r="C114" s="1" t="str">
        <f>ADDRESS(C121,D121,1,1)</f>
        <v>$BQ$132</v>
      </c>
      <c r="D114" s="1" t="str">
        <f>ADDRESS(C121+1,D121+1,1,1)</f>
        <v>$BR$133</v>
      </c>
    </row>
    <row r="115" spans="1:68" x14ac:dyDescent="0.25">
      <c r="A115" s="30">
        <v>1.7715610000000011</v>
      </c>
      <c r="C115" s="1" t="str">
        <f>ADDRESS(C121+1,D121,1,1)</f>
        <v>$BQ$133</v>
      </c>
      <c r="AM115" s="27" t="s">
        <v>8</v>
      </c>
    </row>
    <row r="116" spans="1:68" x14ac:dyDescent="0.25">
      <c r="A116" s="30">
        <v>1.6105100000000008</v>
      </c>
      <c r="C116" s="1">
        <f>C117-1</f>
        <v>131</v>
      </c>
      <c r="AM116" s="27" t="s">
        <v>8</v>
      </c>
      <c r="AN116" s="27" t="s">
        <v>7</v>
      </c>
    </row>
    <row r="117" spans="1:68" x14ac:dyDescent="0.25">
      <c r="A117" s="30">
        <v>1.4641000000000006</v>
      </c>
      <c r="C117" s="1">
        <f>C121</f>
        <v>132</v>
      </c>
      <c r="D117" s="1">
        <f>D121</f>
        <v>69</v>
      </c>
      <c r="AM117" s="27" t="s">
        <v>8</v>
      </c>
      <c r="AN117" s="27" t="s">
        <v>7</v>
      </c>
    </row>
    <row r="118" spans="1:68" x14ac:dyDescent="0.25">
      <c r="A118" s="30">
        <v>1.3310000000000004</v>
      </c>
      <c r="C118" s="1">
        <f>C117+1</f>
        <v>133</v>
      </c>
      <c r="D118" s="1">
        <f>D117+1</f>
        <v>70</v>
      </c>
      <c r="AM118" s="27" t="s">
        <v>8</v>
      </c>
      <c r="AN118" s="27" t="s">
        <v>7</v>
      </c>
      <c r="AQ118" s="27" t="s">
        <v>8</v>
      </c>
    </row>
    <row r="119" spans="1:68" x14ac:dyDescent="0.25">
      <c r="A119" s="30">
        <v>1.2100000000000002</v>
      </c>
      <c r="AM119" s="27" t="s">
        <v>8</v>
      </c>
      <c r="AN119" s="27" t="s">
        <v>7</v>
      </c>
      <c r="AO119" s="27" t="s">
        <v>8</v>
      </c>
      <c r="AQ119" s="27" t="s">
        <v>8</v>
      </c>
      <c r="AR119" s="27" t="s">
        <v>7</v>
      </c>
      <c r="AS119" s="27" t="s">
        <v>8</v>
      </c>
      <c r="BI119" s="27" t="s">
        <v>8</v>
      </c>
      <c r="BK119" s="27" t="s">
        <v>8</v>
      </c>
    </row>
    <row r="120" spans="1:68" x14ac:dyDescent="0.25">
      <c r="A120" s="30">
        <v>1.1000000000000001</v>
      </c>
      <c r="C120" s="1" t="s">
        <v>9</v>
      </c>
      <c r="AK120" s="27" t="s">
        <v>8</v>
      </c>
      <c r="AM120" s="27" t="s">
        <v>8</v>
      </c>
      <c r="AN120" s="27" t="s">
        <v>7</v>
      </c>
      <c r="AO120" s="27" t="s">
        <v>8</v>
      </c>
      <c r="AP120" s="27" t="s">
        <v>7</v>
      </c>
      <c r="AQ120" s="27" t="s">
        <v>8</v>
      </c>
      <c r="AR120" s="27" t="s">
        <v>7</v>
      </c>
      <c r="AS120" s="27" t="s">
        <v>8</v>
      </c>
      <c r="AT120" s="27" t="s">
        <v>7</v>
      </c>
      <c r="BG120" s="27" t="s">
        <v>8</v>
      </c>
      <c r="BI120" s="27" t="s">
        <v>8</v>
      </c>
      <c r="BJ120" s="27" t="s">
        <v>7</v>
      </c>
      <c r="BK120" s="27" t="s">
        <v>8</v>
      </c>
      <c r="BL120" s="27" t="s">
        <v>7</v>
      </c>
    </row>
    <row r="121" spans="1:68" x14ac:dyDescent="0.25">
      <c r="A121" s="30">
        <v>1</v>
      </c>
      <c r="C121" s="18">
        <v>132</v>
      </c>
      <c r="D121" s="19">
        <v>69</v>
      </c>
      <c r="E121" s="18" t="s">
        <v>8</v>
      </c>
      <c r="AK121" s="27" t="s">
        <v>8</v>
      </c>
      <c r="AL121" s="27" t="s">
        <v>7</v>
      </c>
      <c r="AM121" s="27" t="s">
        <v>8</v>
      </c>
      <c r="AN121" s="27" t="s">
        <v>7</v>
      </c>
      <c r="AO121" s="27" t="s">
        <v>8</v>
      </c>
      <c r="AP121" s="27" t="s">
        <v>7</v>
      </c>
      <c r="AQ121" s="27" t="s">
        <v>8</v>
      </c>
      <c r="AR121" s="27" t="s">
        <v>7</v>
      </c>
      <c r="AS121" s="27" t="s">
        <v>8</v>
      </c>
      <c r="AT121" s="27" t="s">
        <v>7</v>
      </c>
      <c r="AU121" s="27" t="s">
        <v>8</v>
      </c>
      <c r="BG121" s="27" t="s">
        <v>8</v>
      </c>
      <c r="BH121" s="27" t="s">
        <v>7</v>
      </c>
      <c r="BI121" s="27" t="s">
        <v>8</v>
      </c>
      <c r="BJ121" s="27" t="s">
        <v>7</v>
      </c>
      <c r="BK121" s="27" t="s">
        <v>8</v>
      </c>
      <c r="BL121" s="27" t="s">
        <v>7</v>
      </c>
      <c r="BM121" s="27" t="s">
        <v>8</v>
      </c>
    </row>
    <row r="122" spans="1:68" x14ac:dyDescent="0.25">
      <c r="A122" s="30">
        <v>0.90909090909090895</v>
      </c>
      <c r="C122" s="1" t="str">
        <f>INDEX(1:1048576,C117,D117)</f>
        <v>X</v>
      </c>
      <c r="F122" s="27" t="s">
        <v>7</v>
      </c>
      <c r="AK122" s="27" t="s">
        <v>8</v>
      </c>
      <c r="AL122" s="27" t="s">
        <v>7</v>
      </c>
      <c r="AM122" s="27" t="s">
        <v>8</v>
      </c>
      <c r="AN122" s="27" t="s">
        <v>7</v>
      </c>
      <c r="AP122" s="27" t="s">
        <v>7</v>
      </c>
      <c r="AR122" s="27" t="s">
        <v>7</v>
      </c>
      <c r="AS122" s="27" t="s">
        <v>8</v>
      </c>
      <c r="AT122" s="27" t="s">
        <v>7</v>
      </c>
      <c r="AU122" s="27" t="s">
        <v>8</v>
      </c>
      <c r="AV122" s="27" t="s">
        <v>7</v>
      </c>
      <c r="BE122" s="27" t="s">
        <v>8</v>
      </c>
      <c r="BG122" s="27" t="s">
        <v>8</v>
      </c>
      <c r="BH122" s="27" t="s">
        <v>7</v>
      </c>
      <c r="BI122" s="27" t="s">
        <v>8</v>
      </c>
      <c r="BJ122" s="27" t="s">
        <v>7</v>
      </c>
      <c r="BL122" s="27" t="s">
        <v>7</v>
      </c>
      <c r="BM122" s="27" t="s">
        <v>8</v>
      </c>
      <c r="BN122" s="27" t="s">
        <v>7</v>
      </c>
    </row>
    <row r="123" spans="1:68" x14ac:dyDescent="0.25">
      <c r="A123" s="30">
        <v>0.82644628099173523</v>
      </c>
      <c r="C123" s="1" t="str">
        <f>"R"&amp;C121</f>
        <v>R132</v>
      </c>
      <c r="D123" s="1" t="str">
        <f>"C"&amp;D121</f>
        <v>C69</v>
      </c>
      <c r="F123" s="27" t="s">
        <v>7</v>
      </c>
      <c r="AK123" s="27" t="s">
        <v>8</v>
      </c>
      <c r="AL123" s="27" t="s">
        <v>7</v>
      </c>
      <c r="AM123" s="27" t="s">
        <v>8</v>
      </c>
      <c r="AR123" s="27" t="s">
        <v>7</v>
      </c>
      <c r="AT123" s="27" t="s">
        <v>7</v>
      </c>
      <c r="AU123" s="27" t="s">
        <v>8</v>
      </c>
      <c r="AV123" s="27" t="s">
        <v>7</v>
      </c>
      <c r="BE123" s="27" t="s">
        <v>8</v>
      </c>
      <c r="BF123" s="27" t="s">
        <v>7</v>
      </c>
      <c r="BG123" s="27" t="s">
        <v>8</v>
      </c>
      <c r="BH123" s="27" t="s">
        <v>7</v>
      </c>
      <c r="BI123" s="27" t="s">
        <v>8</v>
      </c>
      <c r="BL123" s="27" t="s">
        <v>7</v>
      </c>
      <c r="BM123" s="27" t="s">
        <v>8</v>
      </c>
      <c r="BN123" s="27" t="s">
        <v>7</v>
      </c>
    </row>
    <row r="124" spans="1:6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I124" s="27" t="s">
        <v>8</v>
      </c>
      <c r="AK124" s="27" t="s">
        <v>8</v>
      </c>
      <c r="AL124" s="27" t="s">
        <v>7</v>
      </c>
      <c r="AT124" s="27" t="s">
        <v>7</v>
      </c>
      <c r="AU124" s="27" t="s">
        <v>8</v>
      </c>
      <c r="AV124" s="27" t="s">
        <v>7</v>
      </c>
      <c r="BE124" s="27" t="s">
        <v>8</v>
      </c>
      <c r="BF124" s="27" t="s">
        <v>7</v>
      </c>
      <c r="BG124" s="27" t="s">
        <v>8</v>
      </c>
      <c r="BH124" s="27" t="s">
        <v>7</v>
      </c>
      <c r="BL124" s="27" t="s">
        <v>7</v>
      </c>
      <c r="BN124" s="27" t="s">
        <v>7</v>
      </c>
      <c r="BO124" s="27" t="s">
        <v>8</v>
      </c>
    </row>
    <row r="125" spans="1:68" x14ac:dyDescent="0.25">
      <c r="A125" s="30">
        <v>0.68301345536507019</v>
      </c>
      <c r="F125" s="27" t="s">
        <v>7</v>
      </c>
      <c r="AI125" s="27" t="s">
        <v>8</v>
      </c>
      <c r="AJ125" s="27" t="s">
        <v>7</v>
      </c>
      <c r="AK125" s="27" t="s">
        <v>8</v>
      </c>
      <c r="AT125" s="27" t="s">
        <v>7</v>
      </c>
      <c r="AU125" s="27" t="s">
        <v>8</v>
      </c>
      <c r="AV125" s="27" t="s">
        <v>7</v>
      </c>
      <c r="AY125" s="27" t="s">
        <v>8</v>
      </c>
      <c r="BE125" s="27" t="s">
        <v>8</v>
      </c>
      <c r="BF125" s="27" t="s">
        <v>7</v>
      </c>
      <c r="BG125" s="27" t="s">
        <v>8</v>
      </c>
      <c r="BN125" s="27" t="s">
        <v>7</v>
      </c>
      <c r="BO125" s="27" t="s">
        <v>8</v>
      </c>
      <c r="BP125" s="27" t="s">
        <v>7</v>
      </c>
    </row>
    <row r="126" spans="1:68" x14ac:dyDescent="0.25">
      <c r="A126" s="30">
        <v>0.6209213230591546</v>
      </c>
      <c r="C126" s="1" t="s">
        <v>10</v>
      </c>
      <c r="F126" s="27" t="s">
        <v>7</v>
      </c>
      <c r="AI126" s="27" t="s">
        <v>8</v>
      </c>
      <c r="AJ126" s="27" t="s">
        <v>7</v>
      </c>
      <c r="AK126" s="27" t="s">
        <v>8</v>
      </c>
      <c r="AT126" s="27" t="s">
        <v>7</v>
      </c>
      <c r="AU126" s="27" t="s">
        <v>8</v>
      </c>
      <c r="AV126" s="27" t="s">
        <v>7</v>
      </c>
      <c r="AY126" s="27" t="s">
        <v>8</v>
      </c>
      <c r="AZ126" s="27" t="s">
        <v>7</v>
      </c>
      <c r="BA126" s="27" t="s">
        <v>8</v>
      </c>
      <c r="BE126" s="27" t="s">
        <v>8</v>
      </c>
      <c r="BF126" s="27" t="s">
        <v>7</v>
      </c>
      <c r="BN126" s="27" t="s">
        <v>7</v>
      </c>
      <c r="BO126" s="27" t="s">
        <v>8</v>
      </c>
      <c r="BP126" s="27" t="s">
        <v>7</v>
      </c>
    </row>
    <row r="127" spans="1:68" x14ac:dyDescent="0.25">
      <c r="A127" s="30">
        <v>0.56447393005377677</v>
      </c>
      <c r="C127" s="30">
        <v>0.35049389948139187</v>
      </c>
      <c r="D127"/>
      <c r="F127" s="27" t="s">
        <v>7</v>
      </c>
      <c r="U127" s="27" t="s">
        <v>8</v>
      </c>
      <c r="W127" s="27" t="s">
        <v>8</v>
      </c>
      <c r="AI127" s="27" t="s">
        <v>8</v>
      </c>
      <c r="AJ127" s="27" t="s">
        <v>7</v>
      </c>
      <c r="AK127" s="27" t="s">
        <v>8</v>
      </c>
      <c r="AT127" s="27" t="s">
        <v>7</v>
      </c>
      <c r="AU127" s="27" t="s">
        <v>8</v>
      </c>
      <c r="AV127" s="27" t="s">
        <v>7</v>
      </c>
      <c r="AW127" s="27" t="s">
        <v>8</v>
      </c>
      <c r="AY127" s="27" t="s">
        <v>8</v>
      </c>
      <c r="AZ127" s="27" t="s">
        <v>7</v>
      </c>
      <c r="BA127" s="27" t="s">
        <v>8</v>
      </c>
      <c r="BB127" s="27" t="s">
        <v>7</v>
      </c>
      <c r="BE127" s="27" t="s">
        <v>8</v>
      </c>
      <c r="BN127" s="27" t="s">
        <v>7</v>
      </c>
      <c r="BO127" s="27" t="s">
        <v>8</v>
      </c>
      <c r="BP127" s="27" t="s">
        <v>7</v>
      </c>
    </row>
    <row r="128" spans="1:68" x14ac:dyDescent="0.25">
      <c r="A128" s="30">
        <v>0.51315811823070612</v>
      </c>
      <c r="F128" s="27" t="s">
        <v>7</v>
      </c>
      <c r="U128" s="27" t="s">
        <v>8</v>
      </c>
      <c r="V128" s="27" t="s">
        <v>7</v>
      </c>
      <c r="W128" s="27" t="s">
        <v>8</v>
      </c>
      <c r="X128" s="27" t="s">
        <v>7</v>
      </c>
      <c r="AI128" s="27" t="s">
        <v>8</v>
      </c>
      <c r="AJ128" s="27" t="s">
        <v>7</v>
      </c>
      <c r="AT128" s="27" t="s">
        <v>7</v>
      </c>
      <c r="AU128" s="27" t="s">
        <v>8</v>
      </c>
      <c r="AV128" s="27" t="s">
        <v>7</v>
      </c>
      <c r="AW128" s="27" t="s">
        <v>8</v>
      </c>
      <c r="AX128" s="27" t="s">
        <v>7</v>
      </c>
      <c r="AY128" s="27" t="s">
        <v>8</v>
      </c>
      <c r="AZ128" s="27" t="s">
        <v>7</v>
      </c>
      <c r="BA128" s="27" t="s">
        <v>8</v>
      </c>
      <c r="BB128" s="27" t="s">
        <v>7</v>
      </c>
      <c r="BE128" s="27" t="s">
        <v>8</v>
      </c>
      <c r="BN128" s="27" t="s">
        <v>7</v>
      </c>
      <c r="BO128" s="27" t="s">
        <v>8</v>
      </c>
      <c r="BP128" s="27" t="s">
        <v>7</v>
      </c>
    </row>
    <row r="129" spans="1:69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U129" s="27" t="s">
        <v>8</v>
      </c>
      <c r="V129" s="27" t="s">
        <v>7</v>
      </c>
      <c r="W129" s="27" t="s">
        <v>8</v>
      </c>
      <c r="X129" s="27" t="s">
        <v>7</v>
      </c>
      <c r="AG129" s="27" t="s">
        <v>8</v>
      </c>
      <c r="AI129" s="27" t="s">
        <v>8</v>
      </c>
      <c r="AT129" s="27" t="s">
        <v>7</v>
      </c>
      <c r="AU129" s="27" t="s">
        <v>8</v>
      </c>
      <c r="AV129" s="27" t="s">
        <v>7</v>
      </c>
      <c r="AW129" s="27" t="s">
        <v>8</v>
      </c>
      <c r="AX129" s="27" t="s">
        <v>7</v>
      </c>
      <c r="AY129" s="27" t="s">
        <v>8</v>
      </c>
      <c r="AZ129" s="27" t="s">
        <v>7</v>
      </c>
      <c r="BA129" s="27" t="s">
        <v>8</v>
      </c>
      <c r="BB129" s="27" t="s">
        <v>7</v>
      </c>
      <c r="BE129" s="27" t="s">
        <v>8</v>
      </c>
      <c r="BN129" s="27" t="s">
        <v>7</v>
      </c>
      <c r="BP129" s="27" t="s">
        <v>7</v>
      </c>
    </row>
    <row r="130" spans="1:69" x14ac:dyDescent="0.25">
      <c r="A130" s="30">
        <v>0.42409761837248428</v>
      </c>
      <c r="C130" s="6"/>
      <c r="D130" s="6"/>
      <c r="E130"/>
      <c r="F130" s="27" t="s">
        <v>7</v>
      </c>
      <c r="U130" s="27" t="s">
        <v>8</v>
      </c>
      <c r="V130" s="27" t="s">
        <v>7</v>
      </c>
      <c r="W130" s="27" t="s">
        <v>8</v>
      </c>
      <c r="X130" s="27" t="s">
        <v>7</v>
      </c>
      <c r="AC130" s="27" t="s">
        <v>8</v>
      </c>
      <c r="AG130" s="27" t="s">
        <v>8</v>
      </c>
      <c r="AH130" s="27" t="s">
        <v>7</v>
      </c>
      <c r="AI130" s="27" t="s">
        <v>8</v>
      </c>
      <c r="AT130" s="27" t="s">
        <v>7</v>
      </c>
      <c r="AU130" s="27" t="s">
        <v>8</v>
      </c>
      <c r="AV130" s="27" t="s">
        <v>7</v>
      </c>
      <c r="AW130" s="27" t="s">
        <v>8</v>
      </c>
      <c r="AX130" s="27" t="s">
        <v>7</v>
      </c>
      <c r="AY130" s="27" t="s">
        <v>8</v>
      </c>
      <c r="AZ130" s="27" t="s">
        <v>7</v>
      </c>
      <c r="BB130" s="27" t="s">
        <v>7</v>
      </c>
      <c r="BE130" s="27" t="s">
        <v>8</v>
      </c>
      <c r="BP130" s="27" t="s">
        <v>7</v>
      </c>
    </row>
    <row r="131" spans="1:69" x14ac:dyDescent="0.25">
      <c r="A131" s="30">
        <v>0.38554328942953109</v>
      </c>
      <c r="E131"/>
      <c r="F131" s="27" t="s">
        <v>7</v>
      </c>
      <c r="U131" s="27" t="s">
        <v>8</v>
      </c>
      <c r="V131" s="27" t="s">
        <v>7</v>
      </c>
      <c r="X131" s="27" t="s">
        <v>7</v>
      </c>
      <c r="AC131" s="27" t="s">
        <v>8</v>
      </c>
      <c r="AD131" s="27" t="s">
        <v>7</v>
      </c>
      <c r="AE131" s="27" t="s">
        <v>8</v>
      </c>
      <c r="AG131" s="27" t="s">
        <v>8</v>
      </c>
      <c r="AH131" s="27" t="s">
        <v>7</v>
      </c>
      <c r="AI131" s="27" t="s">
        <v>8</v>
      </c>
      <c r="AT131" s="27" t="s">
        <v>7</v>
      </c>
      <c r="AU131" s="27" t="s">
        <v>8</v>
      </c>
      <c r="AV131" s="27" t="s">
        <v>7</v>
      </c>
      <c r="AW131" s="27" t="s">
        <v>8</v>
      </c>
      <c r="AX131" s="27" t="s">
        <v>7</v>
      </c>
      <c r="AY131" s="27" t="s">
        <v>8</v>
      </c>
      <c r="BB131" s="27" t="s">
        <v>7</v>
      </c>
      <c r="BC131" s="27" t="s">
        <v>8</v>
      </c>
      <c r="BE131" s="27" t="s">
        <v>8</v>
      </c>
      <c r="BP131" s="27" t="s">
        <v>7</v>
      </c>
    </row>
    <row r="132" spans="1:69" x14ac:dyDescent="0.25">
      <c r="A132" s="30">
        <v>0.35049389948139187</v>
      </c>
      <c r="C132" s="1" t="s">
        <v>13</v>
      </c>
      <c r="E132"/>
      <c r="F132" s="27" t="s">
        <v>7</v>
      </c>
      <c r="U132" s="27" t="s">
        <v>8</v>
      </c>
      <c r="X132" s="27" t="s">
        <v>7</v>
      </c>
      <c r="Y132" s="27" t="s">
        <v>8</v>
      </c>
      <c r="AC132" s="27" t="s">
        <v>8</v>
      </c>
      <c r="AD132" s="27" t="s">
        <v>7</v>
      </c>
      <c r="AE132" s="27" t="s">
        <v>8</v>
      </c>
      <c r="AF132" s="27" t="s">
        <v>7</v>
      </c>
      <c r="AG132" s="27" t="s">
        <v>8</v>
      </c>
      <c r="AH132" s="27" t="s">
        <v>7</v>
      </c>
      <c r="AI132" s="27" t="s">
        <v>8</v>
      </c>
      <c r="AT132" s="27" t="s">
        <v>7</v>
      </c>
      <c r="AU132" s="27" t="s">
        <v>8</v>
      </c>
      <c r="AV132" s="27" t="s">
        <v>7</v>
      </c>
      <c r="AW132" s="27" t="s">
        <v>8</v>
      </c>
      <c r="AX132" s="27" t="s">
        <v>7</v>
      </c>
      <c r="AY132" s="27" t="s">
        <v>8</v>
      </c>
      <c r="BB132" s="27" t="s">
        <v>7</v>
      </c>
      <c r="BC132" s="27" t="s">
        <v>8</v>
      </c>
      <c r="BD132" s="27" t="s">
        <v>7</v>
      </c>
      <c r="BE132" s="27" t="s">
        <v>8</v>
      </c>
      <c r="BP132" s="27" t="s">
        <v>7</v>
      </c>
      <c r="BQ132" s="27" t="s">
        <v>8</v>
      </c>
    </row>
    <row r="133" spans="1:69" x14ac:dyDescent="0.25">
      <c r="A133" s="30">
        <v>0.31863081771035617</v>
      </c>
      <c r="C133" s="1" t="str">
        <f>C122</f>
        <v>X</v>
      </c>
      <c r="E133"/>
      <c r="F133" s="27" t="s">
        <v>7</v>
      </c>
      <c r="U133" s="27" t="s">
        <v>8</v>
      </c>
      <c r="X133" s="27" t="s">
        <v>7</v>
      </c>
      <c r="Y133" s="27" t="s">
        <v>8</v>
      </c>
      <c r="Z133" s="27" t="s">
        <v>7</v>
      </c>
      <c r="AC133" s="27" t="s">
        <v>8</v>
      </c>
      <c r="AD133" s="27" t="s">
        <v>7</v>
      </c>
      <c r="AE133" s="27" t="s">
        <v>8</v>
      </c>
      <c r="AF133" s="27" t="s">
        <v>7</v>
      </c>
      <c r="AG133" s="27" t="s">
        <v>8</v>
      </c>
      <c r="AH133" s="27" t="s">
        <v>7</v>
      </c>
      <c r="AT133" s="27" t="s">
        <v>7</v>
      </c>
      <c r="AU133" s="27" t="s">
        <v>8</v>
      </c>
      <c r="AV133" s="27" t="s">
        <v>7</v>
      </c>
      <c r="AX133" s="27" t="s">
        <v>7</v>
      </c>
      <c r="AY133" s="27" t="s">
        <v>8</v>
      </c>
      <c r="BB133" s="27" t="s">
        <v>7</v>
      </c>
      <c r="BC133" s="27" t="s">
        <v>8</v>
      </c>
      <c r="BD133" s="27" t="s">
        <v>7</v>
      </c>
      <c r="BE133" s="27" t="s">
        <v>8</v>
      </c>
      <c r="BP133" s="27" t="s">
        <v>7</v>
      </c>
      <c r="BQ133" s="27" t="s">
        <v>8</v>
      </c>
    </row>
    <row r="134" spans="1:69" x14ac:dyDescent="0.25">
      <c r="A134" s="30">
        <v>0.28966437973668741</v>
      </c>
      <c r="C134"/>
      <c r="D134"/>
      <c r="E134"/>
      <c r="F134" s="27" t="s">
        <v>7</v>
      </c>
      <c r="U134" s="27" t="s">
        <v>8</v>
      </c>
      <c r="X134" s="27" t="s">
        <v>7</v>
      </c>
      <c r="Y134" s="27" t="s">
        <v>8</v>
      </c>
      <c r="Z134" s="27" t="s">
        <v>7</v>
      </c>
      <c r="AA134" s="27" t="s">
        <v>8</v>
      </c>
      <c r="AC134" s="27" t="s">
        <v>8</v>
      </c>
      <c r="AD134" s="27" t="s">
        <v>7</v>
      </c>
      <c r="AE134" s="27" t="s">
        <v>8</v>
      </c>
      <c r="AF134" s="27" t="s">
        <v>7</v>
      </c>
      <c r="AG134" s="27" t="s">
        <v>8</v>
      </c>
      <c r="AT134" s="27" t="s">
        <v>7</v>
      </c>
      <c r="AU134" s="27" t="s">
        <v>8</v>
      </c>
      <c r="AX134" s="27" t="s">
        <v>7</v>
      </c>
      <c r="BB134" s="27" t="s">
        <v>7</v>
      </c>
      <c r="BD134" s="18" t="s">
        <v>7</v>
      </c>
      <c r="BP134" s="27" t="s">
        <v>7</v>
      </c>
      <c r="BQ134" s="27" t="s">
        <v>8</v>
      </c>
    </row>
    <row r="135" spans="1:69" x14ac:dyDescent="0.25">
      <c r="A135" s="30">
        <v>0.2633312543060794</v>
      </c>
      <c r="C135" s="1" t="s">
        <v>14</v>
      </c>
      <c r="E135"/>
      <c r="F135" s="27" t="s">
        <v>7</v>
      </c>
      <c r="U135" s="27" t="s">
        <v>8</v>
      </c>
      <c r="X135" s="27" t="s">
        <v>7</v>
      </c>
      <c r="Y135" s="27" t="s">
        <v>8</v>
      </c>
      <c r="Z135" s="27" t="s">
        <v>7</v>
      </c>
      <c r="AA135" s="27" t="s">
        <v>8</v>
      </c>
      <c r="AB135" s="27" t="s">
        <v>7</v>
      </c>
      <c r="AC135" s="27" t="s">
        <v>8</v>
      </c>
      <c r="AD135" s="27" t="s">
        <v>7</v>
      </c>
      <c r="AE135" s="27" t="s">
        <v>8</v>
      </c>
      <c r="AF135" s="27" t="s">
        <v>7</v>
      </c>
      <c r="AG135" s="27" t="s">
        <v>8</v>
      </c>
      <c r="AT135" s="27" t="s">
        <v>7</v>
      </c>
      <c r="AU135" s="27" t="s">
        <v>8</v>
      </c>
      <c r="BP135" s="27" t="s">
        <v>7</v>
      </c>
    </row>
    <row r="136" spans="1:69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U136" s="27" t="s">
        <v>8</v>
      </c>
      <c r="X136" s="27" t="s">
        <v>7</v>
      </c>
      <c r="Z136" s="27" t="s">
        <v>7</v>
      </c>
      <c r="AA136" s="27" t="s">
        <v>8</v>
      </c>
      <c r="AB136" s="27" t="s">
        <v>7</v>
      </c>
      <c r="AC136" s="27" t="s">
        <v>8</v>
      </c>
      <c r="AD136" s="27" t="s">
        <v>7</v>
      </c>
      <c r="AF136" s="27" t="s">
        <v>7</v>
      </c>
      <c r="AT136" s="27" t="s">
        <v>7</v>
      </c>
      <c r="AU136" s="27" t="s">
        <v>8</v>
      </c>
    </row>
    <row r="137" spans="1:69" x14ac:dyDescent="0.25">
      <c r="A137" s="30">
        <v>0.2176291357901482</v>
      </c>
      <c r="E137"/>
      <c r="F137" s="27" t="s">
        <v>7</v>
      </c>
      <c r="U137" s="27" t="s">
        <v>8</v>
      </c>
      <c r="Z137" s="27" t="s">
        <v>7</v>
      </c>
      <c r="AA137" s="27" t="s">
        <v>8</v>
      </c>
      <c r="AB137" s="27" t="s">
        <v>7</v>
      </c>
      <c r="AT137" s="27" t="s">
        <v>7</v>
      </c>
      <c r="AU137" s="27" t="s">
        <v>8</v>
      </c>
    </row>
    <row r="138" spans="1:69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S138" s="27" t="s">
        <v>8</v>
      </c>
      <c r="U138" s="27" t="s">
        <v>8</v>
      </c>
      <c r="Z138" s="27" t="s">
        <v>7</v>
      </c>
      <c r="AA138" s="27" t="s">
        <v>8</v>
      </c>
      <c r="AT138" s="27" t="s">
        <v>7</v>
      </c>
      <c r="AU138" s="27" t="s">
        <v>8</v>
      </c>
    </row>
    <row r="139" spans="1:69" x14ac:dyDescent="0.25">
      <c r="A139" s="30">
        <v>0.17985878990921333</v>
      </c>
      <c r="E139"/>
      <c r="F139" s="27" t="s">
        <v>7</v>
      </c>
      <c r="S139" s="27" t="s">
        <v>8</v>
      </c>
      <c r="T139" s="27" t="s">
        <v>7</v>
      </c>
      <c r="U139" s="27" t="s">
        <v>8</v>
      </c>
      <c r="Z139" s="27" t="s">
        <v>7</v>
      </c>
      <c r="AA139" s="27" t="s">
        <v>8</v>
      </c>
      <c r="AT139" s="27" t="s">
        <v>7</v>
      </c>
      <c r="AU139" s="27" t="s">
        <v>8</v>
      </c>
    </row>
    <row r="140" spans="1:69" x14ac:dyDescent="0.25">
      <c r="A140" s="30">
        <v>0.16350799082655756</v>
      </c>
      <c r="C140" s="1">
        <v>0</v>
      </c>
      <c r="E140"/>
      <c r="F140" s="27" t="s">
        <v>7</v>
      </c>
      <c r="S140" s="27" t="s">
        <v>8</v>
      </c>
      <c r="T140" s="27" t="s">
        <v>7</v>
      </c>
      <c r="U140" s="27" t="s">
        <v>8</v>
      </c>
      <c r="Z140" s="27" t="s">
        <v>7</v>
      </c>
      <c r="AT140" s="27" t="s">
        <v>7</v>
      </c>
      <c r="AU140" s="27" t="s">
        <v>8</v>
      </c>
    </row>
    <row r="141" spans="1:69" x14ac:dyDescent="0.25">
      <c r="A141" s="30">
        <v>0.14864362802414322</v>
      </c>
      <c r="C141" s="1">
        <v>1</v>
      </c>
      <c r="E141"/>
      <c r="F141" s="27" t="s">
        <v>7</v>
      </c>
      <c r="S141" s="27" t="s">
        <v>8</v>
      </c>
      <c r="T141" s="27" t="s">
        <v>7</v>
      </c>
      <c r="U141" s="27" t="s">
        <v>8</v>
      </c>
      <c r="AT141" s="27" t="s">
        <v>7</v>
      </c>
      <c r="AU141" s="27" t="s">
        <v>8</v>
      </c>
    </row>
    <row r="142" spans="1:69" x14ac:dyDescent="0.25">
      <c r="A142" s="30">
        <v>0.13513057093103928</v>
      </c>
      <c r="C142" s="1">
        <v>2</v>
      </c>
      <c r="E142"/>
      <c r="F142" s="27" t="s">
        <v>7</v>
      </c>
      <c r="S142" s="27" t="s">
        <v>8</v>
      </c>
      <c r="T142" s="27" t="s">
        <v>7</v>
      </c>
      <c r="AT142" s="27" t="s">
        <v>7</v>
      </c>
      <c r="AU142" s="27" t="s">
        <v>8</v>
      </c>
    </row>
    <row r="143" spans="1:69" x14ac:dyDescent="0.25">
      <c r="A143" s="30">
        <v>0.12284597357367205</v>
      </c>
      <c r="C143" s="1">
        <v>3</v>
      </c>
      <c r="E143"/>
      <c r="F143" s="27" t="s">
        <v>7</v>
      </c>
      <c r="S143" s="27" t="s">
        <v>8</v>
      </c>
      <c r="AT143" s="27" t="s">
        <v>7</v>
      </c>
      <c r="AU143" s="27" t="s">
        <v>8</v>
      </c>
    </row>
    <row r="144" spans="1:69" x14ac:dyDescent="0.25">
      <c r="A144" s="30">
        <v>0.11167815779424731</v>
      </c>
      <c r="C144" s="1">
        <v>4</v>
      </c>
      <c r="E144"/>
      <c r="F144" s="27" t="s">
        <v>7</v>
      </c>
      <c r="S144" s="27" t="s">
        <v>8</v>
      </c>
      <c r="AT144" s="27" t="s">
        <v>7</v>
      </c>
      <c r="AU144" s="27" t="s">
        <v>8</v>
      </c>
    </row>
    <row r="145" spans="1:47" x14ac:dyDescent="0.25">
      <c r="A145" s="30">
        <v>0.10152559799477026</v>
      </c>
      <c r="B145"/>
      <c r="C145"/>
      <c r="D145"/>
      <c r="E145"/>
      <c r="F145" s="27" t="s">
        <v>7</v>
      </c>
      <c r="S145" s="27" t="s">
        <v>8</v>
      </c>
      <c r="AT145" s="27" t="s">
        <v>7</v>
      </c>
      <c r="AU145" s="27" t="s">
        <v>8</v>
      </c>
    </row>
    <row r="146" spans="1:47" x14ac:dyDescent="0.25">
      <c r="A146" s="30">
        <v>9.2295998177063854E-2</v>
      </c>
      <c r="B146"/>
      <c r="C146"/>
      <c r="D146"/>
      <c r="E146"/>
      <c r="F146" s="27" t="s">
        <v>7</v>
      </c>
      <c r="S146" s="27" t="s">
        <v>8</v>
      </c>
      <c r="AT146" s="27" t="s">
        <v>7</v>
      </c>
      <c r="AU146" s="27" t="s">
        <v>8</v>
      </c>
    </row>
    <row r="147" spans="1:47" x14ac:dyDescent="0.25">
      <c r="A147" s="30">
        <v>8.3905452888239848E-2</v>
      </c>
      <c r="B147"/>
      <c r="C147"/>
      <c r="D147"/>
      <c r="E147"/>
      <c r="F147" s="27" t="s">
        <v>7</v>
      </c>
      <c r="M147" s="27" t="s">
        <v>8</v>
      </c>
      <c r="S147" s="27" t="s">
        <v>8</v>
      </c>
      <c r="AT147" s="27" t="s">
        <v>7</v>
      </c>
      <c r="AU147" s="27" t="s">
        <v>8</v>
      </c>
    </row>
    <row r="148" spans="1:47" x14ac:dyDescent="0.25">
      <c r="A148" s="30">
        <v>7.6277684443854396E-2</v>
      </c>
      <c r="B148"/>
      <c r="C148"/>
      <c r="D148"/>
      <c r="E148"/>
      <c r="F148" s="27" t="s">
        <v>7</v>
      </c>
      <c r="M148" s="27" t="s">
        <v>8</v>
      </c>
      <c r="N148" s="27" t="s">
        <v>7</v>
      </c>
      <c r="S148" s="27" t="s">
        <v>8</v>
      </c>
      <c r="AT148" s="27" t="s">
        <v>7</v>
      </c>
      <c r="AU148" s="27" t="s">
        <v>8</v>
      </c>
    </row>
    <row r="149" spans="1:47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K149" s="27" t="s">
        <v>8</v>
      </c>
      <c r="M149" s="27" t="s">
        <v>8</v>
      </c>
      <c r="N149" s="27" t="s">
        <v>7</v>
      </c>
      <c r="S149" s="27" t="s">
        <v>8</v>
      </c>
      <c r="AT149" s="27" t="s">
        <v>7</v>
      </c>
      <c r="AU149" s="27" t="s">
        <v>8</v>
      </c>
    </row>
    <row r="150" spans="1:47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K150" s="27" t="s">
        <v>8</v>
      </c>
      <c r="L150" s="27" t="s">
        <v>7</v>
      </c>
      <c r="M150" s="27" t="s">
        <v>8</v>
      </c>
      <c r="N150" s="27" t="s">
        <v>7</v>
      </c>
      <c r="S150" s="27" t="s">
        <v>8</v>
      </c>
      <c r="AT150" s="27" t="s">
        <v>7</v>
      </c>
      <c r="AU150" s="27" t="s">
        <v>8</v>
      </c>
    </row>
    <row r="151" spans="1:47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K151" s="27" t="s">
        <v>8</v>
      </c>
      <c r="L151" s="27" t="s">
        <v>7</v>
      </c>
      <c r="M151" s="27" t="s">
        <v>8</v>
      </c>
      <c r="N151" s="27" t="s">
        <v>7</v>
      </c>
      <c r="S151" s="27" t="s">
        <v>8</v>
      </c>
      <c r="AT151" s="27" t="s">
        <v>7</v>
      </c>
      <c r="AU151" s="27" t="s">
        <v>8</v>
      </c>
    </row>
    <row r="152" spans="1:47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H152" s="27" t="s">
        <v>7</v>
      </c>
      <c r="K152" s="27" t="s">
        <v>8</v>
      </c>
      <c r="L152" s="27" t="s">
        <v>7</v>
      </c>
      <c r="N152" s="27" t="s">
        <v>7</v>
      </c>
      <c r="S152" s="27" t="s">
        <v>8</v>
      </c>
      <c r="AT152" s="27" t="s">
        <v>7</v>
      </c>
      <c r="AU152" s="27" t="s">
        <v>8</v>
      </c>
    </row>
    <row r="153" spans="1:47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H153" s="27" t="s">
        <v>7</v>
      </c>
      <c r="I153" s="27" t="s">
        <v>8</v>
      </c>
      <c r="K153" s="27" t="s">
        <v>8</v>
      </c>
      <c r="N153" s="27" t="s">
        <v>7</v>
      </c>
      <c r="Q153" s="27" t="s">
        <v>8</v>
      </c>
      <c r="S153" s="27" t="s">
        <v>8</v>
      </c>
      <c r="AT153" s="27" t="s">
        <v>7</v>
      </c>
      <c r="AU153" s="27" t="s">
        <v>8</v>
      </c>
    </row>
    <row r="154" spans="1:47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I154" s="27" t="s">
        <v>8</v>
      </c>
      <c r="J154" s="27" t="s">
        <v>7</v>
      </c>
      <c r="K154" s="27" t="s">
        <v>8</v>
      </c>
      <c r="N154" s="27" t="s">
        <v>7</v>
      </c>
      <c r="O154" s="27" t="s">
        <v>8</v>
      </c>
      <c r="Q154" s="27" t="s">
        <v>8</v>
      </c>
      <c r="R154" s="27" t="s">
        <v>7</v>
      </c>
      <c r="S154" s="27" t="s">
        <v>8</v>
      </c>
      <c r="AT154" s="27" t="s">
        <v>7</v>
      </c>
      <c r="AU154" s="27" t="s">
        <v>8</v>
      </c>
    </row>
    <row r="155" spans="1:47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I155" s="27" t="s">
        <v>8</v>
      </c>
      <c r="J155" s="27" t="s">
        <v>7</v>
      </c>
      <c r="K155" s="27" t="s">
        <v>8</v>
      </c>
      <c r="N155" s="27" t="s">
        <v>7</v>
      </c>
      <c r="O155" s="27" t="s">
        <v>8</v>
      </c>
      <c r="P155" s="27" t="s">
        <v>7</v>
      </c>
      <c r="Q155" s="27" t="s">
        <v>8</v>
      </c>
      <c r="R155" s="27" t="s">
        <v>7</v>
      </c>
      <c r="S155" s="27" t="s">
        <v>8</v>
      </c>
      <c r="AT155" s="27" t="s">
        <v>7</v>
      </c>
      <c r="AU155" s="27" t="s">
        <v>8</v>
      </c>
    </row>
    <row r="156" spans="1:47" x14ac:dyDescent="0.25">
      <c r="A156" s="30">
        <v>3.55841027383672E-2</v>
      </c>
      <c r="B156"/>
      <c r="C156"/>
      <c r="D156"/>
      <c r="E156"/>
      <c r="F156" s="27" t="s">
        <v>7</v>
      </c>
      <c r="H156" s="27" t="s">
        <v>7</v>
      </c>
      <c r="J156" s="27" t="s">
        <v>7</v>
      </c>
      <c r="K156" s="27" t="s">
        <v>8</v>
      </c>
      <c r="N156" s="27" t="s">
        <v>7</v>
      </c>
      <c r="O156" s="27" t="s">
        <v>8</v>
      </c>
      <c r="P156" s="27" t="s">
        <v>7</v>
      </c>
      <c r="Q156" s="27" t="s">
        <v>8</v>
      </c>
      <c r="R156" s="27" t="s">
        <v>7</v>
      </c>
      <c r="AT156" s="27" t="s">
        <v>7</v>
      </c>
      <c r="AU156" s="27" t="s">
        <v>8</v>
      </c>
    </row>
    <row r="157" spans="1:47" x14ac:dyDescent="0.25">
      <c r="A157" s="30">
        <v>3.2349184307606541E-2</v>
      </c>
      <c r="B157"/>
      <c r="C157"/>
      <c r="D157"/>
      <c r="E157"/>
      <c r="J157" s="27" t="s">
        <v>7</v>
      </c>
      <c r="K157" s="27" t="s">
        <v>8</v>
      </c>
      <c r="N157" s="27" t="s">
        <v>7</v>
      </c>
      <c r="O157" s="27" t="s">
        <v>8</v>
      </c>
      <c r="P157" s="27" t="s">
        <v>7</v>
      </c>
      <c r="Q157" s="27" t="s">
        <v>8</v>
      </c>
      <c r="AT157" s="27" t="s">
        <v>7</v>
      </c>
      <c r="AU157" s="27" t="s">
        <v>8</v>
      </c>
    </row>
    <row r="158" spans="1:47" x14ac:dyDescent="0.25">
      <c r="A158" s="30">
        <v>2.9408349370551395E-2</v>
      </c>
      <c r="B158"/>
      <c r="C158"/>
      <c r="D158"/>
      <c r="E158"/>
      <c r="J158" s="27" t="s">
        <v>7</v>
      </c>
      <c r="N158" s="27" t="s">
        <v>7</v>
      </c>
      <c r="P158" s="27" t="s">
        <v>7</v>
      </c>
      <c r="Q158" s="27" t="s">
        <v>8</v>
      </c>
      <c r="AT158" s="27" t="s">
        <v>7</v>
      </c>
      <c r="AU158" s="27" t="s">
        <v>8</v>
      </c>
    </row>
    <row r="159" spans="1:47" x14ac:dyDescent="0.25">
      <c r="A159" s="30">
        <v>2.6734863064137627E-2</v>
      </c>
      <c r="B159"/>
      <c r="C159"/>
      <c r="D159"/>
      <c r="E159"/>
      <c r="P159" s="27" t="s">
        <v>7</v>
      </c>
      <c r="AT159" s="27" t="s">
        <v>7</v>
      </c>
      <c r="AU159" s="27" t="s">
        <v>8</v>
      </c>
    </row>
    <row r="160" spans="1:47" x14ac:dyDescent="0.25">
      <c r="A160" s="30">
        <v>2.4304420967397839E-2</v>
      </c>
      <c r="B160"/>
      <c r="C160"/>
      <c r="D160"/>
      <c r="E160"/>
      <c r="AT160" s="27" t="s">
        <v>7</v>
      </c>
      <c r="AU160" s="27" t="s">
        <v>8</v>
      </c>
    </row>
    <row r="161" spans="1:47" x14ac:dyDescent="0.25">
      <c r="A161" s="30">
        <v>2.2094928152179852E-2</v>
      </c>
      <c r="B161"/>
      <c r="C161"/>
      <c r="D161"/>
      <c r="E161"/>
      <c r="AT161" s="27" t="s">
        <v>7</v>
      </c>
      <c r="AU161" s="27" t="s">
        <v>8</v>
      </c>
    </row>
    <row r="162" spans="1:47" x14ac:dyDescent="0.25">
      <c r="A162" s="30">
        <v>2.0086298320163499E-2</v>
      </c>
      <c r="B162"/>
      <c r="C162"/>
      <c r="D162"/>
      <c r="E162"/>
      <c r="AT162" s="27" t="s">
        <v>7</v>
      </c>
      <c r="AU162" s="27" t="s">
        <v>8</v>
      </c>
    </row>
    <row r="163" spans="1:47" x14ac:dyDescent="0.25">
      <c r="A163" s="30">
        <v>1.8260271200148632E-2</v>
      </c>
      <c r="B163"/>
      <c r="C163"/>
      <c r="D163"/>
      <c r="E163"/>
      <c r="AT163" s="27" t="s">
        <v>7</v>
      </c>
      <c r="AU163" s="27" t="s">
        <v>8</v>
      </c>
    </row>
    <row r="164" spans="1:47" x14ac:dyDescent="0.25">
      <c r="A164" s="30">
        <v>1.6600246545589663E-2</v>
      </c>
      <c r="B164"/>
      <c r="C164"/>
      <c r="D164"/>
      <c r="E164"/>
      <c r="AT164" s="27" t="s">
        <v>7</v>
      </c>
    </row>
    <row r="165" spans="1:47" x14ac:dyDescent="0.25">
      <c r="A165" s="30">
        <v>1.5091133223263328E-2</v>
      </c>
      <c r="B165"/>
      <c r="C165"/>
      <c r="D165"/>
      <c r="E165"/>
    </row>
    <row r="166" spans="1:47" x14ac:dyDescent="0.25">
      <c r="A166" s="30">
        <v>1.3719212021148477E-2</v>
      </c>
      <c r="B166"/>
      <c r="C166"/>
      <c r="D166"/>
      <c r="E166"/>
    </row>
    <row r="167" spans="1:47" x14ac:dyDescent="0.25">
      <c r="A167" s="30">
        <v>1.2472010928316795E-2</v>
      </c>
      <c r="B167"/>
      <c r="C167"/>
      <c r="D167"/>
      <c r="E167"/>
    </row>
    <row r="168" spans="1:47" x14ac:dyDescent="0.25">
      <c r="A168" s="30">
        <v>1.1338191753015267E-2</v>
      </c>
      <c r="B168"/>
      <c r="C168"/>
      <c r="D168"/>
      <c r="E168"/>
    </row>
    <row r="169" spans="1:47" x14ac:dyDescent="0.25">
      <c r="A169" s="30">
        <v>1.0307447048195697E-2</v>
      </c>
      <c r="B169"/>
      <c r="C169"/>
      <c r="D169"/>
      <c r="E169"/>
    </row>
    <row r="170" spans="1:47" x14ac:dyDescent="0.25">
      <c r="A170" s="30">
        <v>9.3704064074506318E-3</v>
      </c>
      <c r="B170"/>
      <c r="C170"/>
      <c r="D170"/>
      <c r="E170"/>
    </row>
    <row r="171" spans="1:47" x14ac:dyDescent="0.25">
      <c r="A171" s="30">
        <v>8.5185512795005747E-3</v>
      </c>
    </row>
    <row r="172" spans="1:47" x14ac:dyDescent="0.25">
      <c r="A172" s="30">
        <v>7.744137526818704E-3</v>
      </c>
    </row>
    <row r="173" spans="1:47" x14ac:dyDescent="0.25">
      <c r="A173" s="30">
        <v>7.0401250243806394E-3</v>
      </c>
    </row>
    <row r="174" spans="1:47" x14ac:dyDescent="0.25">
      <c r="A174" s="30">
        <v>6.4001136585278536E-3</v>
      </c>
    </row>
    <row r="175" spans="1:47" x14ac:dyDescent="0.25">
      <c r="A175" s="30">
        <v>5.8182851441162305E-3</v>
      </c>
    </row>
    <row r="176" spans="1:47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60" operator="equal">
      <formula>$U$1</formula>
    </cfRule>
    <cfRule type="cellIs" dxfId="30" priority="1261" operator="equal">
      <formula>$S$1</formula>
    </cfRule>
  </conditionalFormatting>
  <conditionalFormatting sqref="D136">
    <cfRule type="cellIs" dxfId="29" priority="1258" operator="equal">
      <formula>$S$1</formula>
    </cfRule>
    <cfRule type="cellIs" dxfId="28" priority="1259" operator="equal">
      <formula>$U$1</formula>
    </cfRule>
  </conditionalFormatting>
  <conditionalFormatting sqref="C102">
    <cfRule type="cellIs" dxfId="27" priority="1256" operator="equal">
      <formula>$U$1</formula>
    </cfRule>
    <cfRule type="cellIs" dxfId="26" priority="1257" operator="equal">
      <formula>$S$1</formula>
    </cfRule>
  </conditionalFormatting>
  <conditionalFormatting sqref="D102">
    <cfRule type="cellIs" dxfId="25" priority="1254" operator="equal">
      <formula>$S$1</formula>
    </cfRule>
    <cfRule type="cellIs" dxfId="24" priority="1255" operator="equal">
      <formula>$U$1</formula>
    </cfRule>
  </conditionalFormatting>
  <conditionalFormatting sqref="C77">
    <cfRule type="cellIs" dxfId="23" priority="1252" operator="equal">
      <formula>$U$1</formula>
    </cfRule>
    <cfRule type="cellIs" dxfId="22" priority="1253" operator="equal">
      <formula>$S$1</formula>
    </cfRule>
  </conditionalFormatting>
  <conditionalFormatting sqref="D77">
    <cfRule type="cellIs" dxfId="21" priority="1250" operator="equal">
      <formula>$S$1</formula>
    </cfRule>
    <cfRule type="cellIs" dxfId="20" priority="1251" operator="equal">
      <formula>$U$1</formula>
    </cfRule>
  </conditionalFormatting>
  <conditionalFormatting sqref="C52">
    <cfRule type="cellIs" dxfId="19" priority="1248" operator="equal">
      <formula>$U$1</formula>
    </cfRule>
    <cfRule type="cellIs" dxfId="18" priority="1249" operator="equal">
      <formula>$S$1</formula>
    </cfRule>
  </conditionalFormatting>
  <conditionalFormatting sqref="D52">
    <cfRule type="cellIs" dxfId="17" priority="1246" operator="equal">
      <formula>$S$1</formula>
    </cfRule>
    <cfRule type="cellIs" dxfId="16" priority="1247" operator="equal">
      <formula>$U$1</formula>
    </cfRule>
  </conditionalFormatting>
  <conditionalFormatting sqref="C26">
    <cfRule type="cellIs" dxfId="15" priority="1244" operator="equal">
      <formula>$U$1</formula>
    </cfRule>
    <cfRule type="cellIs" dxfId="14" priority="1245" operator="equal">
      <formula>$S$1</formula>
    </cfRule>
  </conditionalFormatting>
  <conditionalFormatting sqref="D26">
    <cfRule type="cellIs" dxfId="13" priority="1242" operator="equal">
      <formula>$S$1</formula>
    </cfRule>
    <cfRule type="cellIs" dxfId="12" priority="124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0.26784831900023492</v>
      </c>
      <c r="F3" s="30">
        <v>0.28124073495024676</v>
      </c>
      <c r="G3" s="30">
        <v>0.64460891621779492</v>
      </c>
      <c r="H3" s="25">
        <f>IF(G3="","",(3*(G3-F3))+E3)</f>
        <v>1.3579528628028794</v>
      </c>
      <c r="I3" s="7"/>
      <c r="J3" s="7">
        <f>(E3+G3)/2</f>
        <v>0.4562286176090149</v>
      </c>
      <c r="K3" s="7">
        <f>H3/2</f>
        <v>0.67897643140143971</v>
      </c>
      <c r="M3" s="26">
        <f>IF(OR(J3="",H3=""),"",H3/J3)</f>
        <v>2.9764745357702145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2022-01-28T01:20:43Z</dcterms:modified>
</cp:coreProperties>
</file>