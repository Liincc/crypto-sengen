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06A84EA9-E973-4660-BED1-BE0F10EBB4DC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98" i="1" l="1"/>
  <c r="Q198" i="1" s="1"/>
  <c r="P199" i="1"/>
  <c r="Q199" i="1" s="1"/>
  <c r="P200" i="1"/>
  <c r="Q200" i="1" s="1"/>
  <c r="P201" i="1"/>
  <c r="Q201" i="1" s="1"/>
  <c r="P202" i="1"/>
  <c r="Q202" i="1" s="1"/>
  <c r="P203" i="1"/>
  <c r="Q203" i="1" s="1"/>
  <c r="P204" i="1"/>
  <c r="Q204" i="1" s="1"/>
  <c r="P205" i="1"/>
  <c r="Q205" i="1" s="1"/>
  <c r="P206" i="1"/>
  <c r="Q206" i="1" s="1"/>
  <c r="P207" i="1"/>
  <c r="Q207" i="1" s="1"/>
  <c r="P208" i="1"/>
  <c r="Q208" i="1" s="1"/>
  <c r="P209" i="1"/>
  <c r="Q209" i="1" s="1"/>
  <c r="P210" i="1"/>
  <c r="Q210" i="1" s="1"/>
  <c r="P211" i="1"/>
  <c r="Q211" i="1" s="1"/>
  <c r="P212" i="1"/>
  <c r="Q212" i="1" s="1"/>
  <c r="P213" i="1"/>
  <c r="Q213" i="1" s="1"/>
  <c r="P214" i="1"/>
  <c r="Q214" i="1" s="1"/>
  <c r="P215" i="1"/>
  <c r="Q215" i="1" s="1"/>
  <c r="P216" i="1"/>
  <c r="Q216" i="1" s="1"/>
  <c r="P217" i="1"/>
  <c r="Q217" i="1" s="1"/>
  <c r="P218" i="1"/>
  <c r="Q218" i="1" s="1"/>
  <c r="P219" i="1"/>
  <c r="Q219" i="1" s="1"/>
  <c r="P220" i="1"/>
  <c r="Q220" i="1" s="1"/>
  <c r="P221" i="1"/>
  <c r="Q221" i="1" s="1"/>
  <c r="P222" i="1"/>
  <c r="Q222" i="1" s="1"/>
  <c r="P223" i="1"/>
  <c r="Q223" i="1" s="1"/>
  <c r="P224" i="1"/>
  <c r="Q224" i="1" s="1"/>
  <c r="P225" i="1"/>
  <c r="Q225" i="1" s="1"/>
  <c r="P226" i="1"/>
  <c r="Q226" i="1" s="1"/>
  <c r="P227" i="1"/>
  <c r="Q227" i="1" s="1"/>
  <c r="P228" i="1"/>
  <c r="Q228" i="1" s="1"/>
  <c r="P229" i="1"/>
  <c r="Q229" i="1" s="1"/>
  <c r="P230" i="1"/>
  <c r="Q230" i="1" s="1"/>
  <c r="P231" i="1"/>
  <c r="Q231" i="1" s="1"/>
  <c r="P232" i="1"/>
  <c r="Q232" i="1" s="1"/>
  <c r="P233" i="1"/>
  <c r="Q233" i="1" s="1"/>
  <c r="P234" i="1"/>
  <c r="Q234" i="1" s="1"/>
  <c r="P235" i="1"/>
  <c r="Q235" i="1" s="1"/>
  <c r="P236" i="1"/>
  <c r="Q236" i="1" s="1"/>
  <c r="P237" i="1"/>
  <c r="Q237" i="1" s="1"/>
  <c r="P238" i="1"/>
  <c r="Q238" i="1" s="1"/>
  <c r="P239" i="1"/>
  <c r="Q239" i="1" s="1"/>
  <c r="P240" i="1"/>
  <c r="Q240" i="1" s="1"/>
  <c r="P241" i="1"/>
  <c r="Q241" i="1" s="1"/>
  <c r="P242" i="1"/>
  <c r="Q242" i="1" s="1"/>
  <c r="P243" i="1"/>
  <c r="Q243" i="1" s="1"/>
  <c r="P244" i="1"/>
  <c r="Q244" i="1" s="1"/>
  <c r="P245" i="1"/>
  <c r="Q245" i="1" s="1"/>
  <c r="P246" i="1"/>
  <c r="Q246" i="1" s="1"/>
  <c r="P247" i="1"/>
  <c r="Q247" i="1" s="1"/>
  <c r="P248" i="1"/>
  <c r="Q248" i="1" s="1"/>
  <c r="P249" i="1"/>
  <c r="Q249" i="1" s="1"/>
  <c r="P250" i="1"/>
  <c r="Q250" i="1" s="1"/>
  <c r="P251" i="1"/>
  <c r="Q251" i="1" s="1"/>
  <c r="P252" i="1"/>
  <c r="Q252" i="1" s="1"/>
  <c r="P253" i="1"/>
  <c r="Q253" i="1" s="1"/>
  <c r="P254" i="1"/>
  <c r="Q254" i="1" s="1"/>
  <c r="P255" i="1"/>
  <c r="Q255" i="1" s="1"/>
  <c r="P256" i="1"/>
  <c r="Q256" i="1" s="1"/>
  <c r="P257" i="1"/>
  <c r="Q257" i="1" s="1"/>
  <c r="P258" i="1"/>
  <c r="Q258" i="1" s="1"/>
  <c r="P259" i="1"/>
  <c r="Q259" i="1" s="1"/>
  <c r="P260" i="1"/>
  <c r="Q260" i="1" s="1"/>
  <c r="P261" i="1"/>
  <c r="Q261" i="1" s="1"/>
  <c r="P262" i="1"/>
  <c r="Q262" i="1" s="1"/>
  <c r="P263" i="1"/>
  <c r="Q263" i="1" s="1"/>
  <c r="P264" i="1"/>
  <c r="Q264" i="1" s="1"/>
  <c r="P265" i="1"/>
  <c r="Q265" i="1" s="1"/>
  <c r="P266" i="1"/>
  <c r="Q266" i="1" s="1"/>
  <c r="P267" i="1"/>
  <c r="Q267" i="1" s="1"/>
  <c r="P268" i="1"/>
  <c r="Q268" i="1" s="1"/>
  <c r="P269" i="1"/>
  <c r="Q269" i="1" s="1"/>
  <c r="P270" i="1"/>
  <c r="Q270" i="1" s="1"/>
  <c r="P271" i="1"/>
  <c r="Q271" i="1" s="1"/>
  <c r="P272" i="1"/>
  <c r="Q272" i="1" s="1"/>
  <c r="P273" i="1"/>
  <c r="Q273" i="1" s="1"/>
  <c r="P274" i="1"/>
  <c r="Q274" i="1" s="1"/>
  <c r="P275" i="1"/>
  <c r="Q275" i="1" s="1"/>
  <c r="P276" i="1"/>
  <c r="Q276" i="1" s="1"/>
  <c r="P277" i="1"/>
  <c r="Q277" i="1" s="1"/>
  <c r="P278" i="1"/>
  <c r="Q278" i="1" s="1"/>
  <c r="P279" i="1"/>
  <c r="Q279" i="1" s="1"/>
  <c r="P280" i="1"/>
  <c r="Q280" i="1" s="1"/>
  <c r="P281" i="1"/>
  <c r="Q281" i="1" s="1"/>
  <c r="P282" i="1"/>
  <c r="Q282" i="1" s="1"/>
  <c r="P283" i="1"/>
  <c r="Q283" i="1" s="1"/>
  <c r="P284" i="1"/>
  <c r="Q284" i="1" s="1"/>
  <c r="P285" i="1"/>
  <c r="Q285" i="1" s="1"/>
  <c r="P286" i="1"/>
  <c r="Q286" i="1" s="1"/>
  <c r="P287" i="1"/>
  <c r="Q287" i="1" s="1"/>
  <c r="P288" i="1"/>
  <c r="Q288" i="1" s="1"/>
  <c r="P289" i="1"/>
  <c r="Q289" i="1" s="1"/>
  <c r="P290" i="1"/>
  <c r="Q290" i="1" s="1"/>
  <c r="P291" i="1"/>
  <c r="Q291" i="1" s="1"/>
  <c r="P292" i="1"/>
  <c r="Q292" i="1" s="1"/>
  <c r="P293" i="1"/>
  <c r="Q293" i="1" s="1"/>
  <c r="P294" i="1"/>
  <c r="Q294" i="1" s="1"/>
  <c r="P295" i="1"/>
  <c r="Q295" i="1" s="1"/>
  <c r="P296" i="1"/>
  <c r="Q296" i="1" s="1"/>
  <c r="P297" i="1"/>
  <c r="Q297" i="1" s="1"/>
  <c r="P298" i="1"/>
  <c r="Q298" i="1" s="1"/>
  <c r="P299" i="1"/>
  <c r="Q299" i="1" s="1"/>
  <c r="P300" i="1"/>
  <c r="Q300" i="1" s="1"/>
  <c r="P301" i="1"/>
  <c r="Q301" i="1" s="1"/>
  <c r="P302" i="1"/>
  <c r="Q302" i="1" s="1"/>
  <c r="P303" i="1"/>
  <c r="Q303" i="1" s="1"/>
  <c r="P304" i="1"/>
  <c r="Q304" i="1" s="1"/>
  <c r="P305" i="1"/>
  <c r="Q305" i="1" s="1"/>
  <c r="P306" i="1"/>
  <c r="Q306" i="1" s="1"/>
  <c r="P307" i="1"/>
  <c r="Q307" i="1" s="1"/>
  <c r="P308" i="1"/>
  <c r="Q308" i="1" s="1"/>
  <c r="P309" i="1"/>
  <c r="Q309" i="1" s="1"/>
  <c r="P310" i="1"/>
  <c r="Q310" i="1" s="1"/>
  <c r="P311" i="1"/>
  <c r="Q311" i="1" s="1"/>
  <c r="P312" i="1"/>
  <c r="Q312" i="1" s="1"/>
  <c r="P313" i="1"/>
  <c r="Q313" i="1" s="1"/>
  <c r="P314" i="1"/>
  <c r="Q314" i="1" s="1"/>
  <c r="P315" i="1"/>
  <c r="Q315" i="1" s="1"/>
  <c r="P316" i="1"/>
  <c r="Q316" i="1" s="1"/>
  <c r="P317" i="1"/>
  <c r="Q317" i="1" s="1"/>
  <c r="P318" i="1"/>
  <c r="Q318" i="1" s="1"/>
  <c r="P319" i="1"/>
  <c r="Q319" i="1" s="1"/>
  <c r="P320" i="1"/>
  <c r="Q320" i="1" s="1"/>
  <c r="P321" i="1"/>
  <c r="Q321" i="1" s="1"/>
  <c r="P322" i="1"/>
  <c r="Q322" i="1" s="1"/>
  <c r="P323" i="1"/>
  <c r="Q323" i="1" s="1"/>
  <c r="P324" i="1"/>
  <c r="Q324" i="1" s="1"/>
  <c r="P325" i="1"/>
  <c r="Q325" i="1" s="1"/>
  <c r="P326" i="1"/>
  <c r="Q326" i="1" s="1"/>
  <c r="P327" i="1"/>
  <c r="Q327" i="1" s="1"/>
  <c r="P328" i="1"/>
  <c r="Q328" i="1" s="1"/>
  <c r="P329" i="1"/>
  <c r="Q329" i="1" s="1"/>
  <c r="P330" i="1"/>
  <c r="Q330" i="1" s="1"/>
  <c r="P331" i="1"/>
  <c r="Q331" i="1" s="1"/>
  <c r="P332" i="1"/>
  <c r="Q332" i="1" s="1"/>
  <c r="P333" i="1"/>
  <c r="Q333" i="1" s="1"/>
  <c r="P334" i="1"/>
  <c r="Q334" i="1" s="1"/>
  <c r="P335" i="1"/>
  <c r="Q335" i="1" s="1"/>
  <c r="P336" i="1"/>
  <c r="Q336" i="1" s="1"/>
  <c r="P337" i="1"/>
  <c r="Q337" i="1" s="1"/>
  <c r="P338" i="1"/>
  <c r="Q338" i="1" s="1"/>
  <c r="P339" i="1"/>
  <c r="Q339" i="1" s="1"/>
  <c r="P340" i="1"/>
  <c r="Q340" i="1" s="1"/>
  <c r="P341" i="1"/>
  <c r="Q341" i="1" s="1"/>
  <c r="P342" i="1"/>
  <c r="Q342" i="1" s="1"/>
  <c r="P343" i="1"/>
  <c r="Q343" i="1" s="1"/>
  <c r="P344" i="1"/>
  <c r="Q344" i="1" s="1"/>
  <c r="P345" i="1"/>
  <c r="Q345" i="1" s="1"/>
  <c r="P346" i="1"/>
  <c r="Q346" i="1" s="1"/>
  <c r="P347" i="1"/>
  <c r="Q347" i="1" s="1"/>
  <c r="P348" i="1"/>
  <c r="Q348" i="1" s="1"/>
  <c r="P349" i="1"/>
  <c r="Q349" i="1" s="1"/>
  <c r="P350" i="1"/>
  <c r="Q350" i="1" s="1"/>
  <c r="P351" i="1"/>
  <c r="Q351" i="1" s="1"/>
  <c r="P352" i="1"/>
  <c r="Q352" i="1" s="1"/>
  <c r="P353" i="1"/>
  <c r="Q353" i="1" s="1"/>
  <c r="P354" i="1"/>
  <c r="Q354" i="1" s="1"/>
  <c r="P355" i="1"/>
  <c r="Q355" i="1" s="1"/>
  <c r="P356" i="1"/>
  <c r="Q356" i="1" s="1"/>
  <c r="P357" i="1"/>
  <c r="Q357" i="1" s="1"/>
  <c r="P358" i="1"/>
  <c r="Q358" i="1" s="1"/>
  <c r="P359" i="1"/>
  <c r="Q359" i="1" s="1"/>
  <c r="P360" i="1"/>
  <c r="Q360" i="1" s="1"/>
  <c r="P361" i="1"/>
  <c r="Q361" i="1" s="1"/>
  <c r="P362" i="1"/>
  <c r="Q362" i="1" s="1"/>
  <c r="P363" i="1"/>
  <c r="Q363" i="1" s="1"/>
  <c r="P364" i="1"/>
  <c r="Q364" i="1" s="1"/>
  <c r="P365" i="1"/>
  <c r="Q365" i="1" s="1"/>
  <c r="P366" i="1"/>
  <c r="Q366" i="1" s="1"/>
  <c r="P367" i="1"/>
  <c r="Q367" i="1" s="1"/>
  <c r="P368" i="1"/>
  <c r="Q368" i="1" s="1"/>
  <c r="P369" i="1"/>
  <c r="Q369" i="1" s="1"/>
  <c r="P370" i="1"/>
  <c r="Q370" i="1" s="1"/>
  <c r="P371" i="1"/>
  <c r="Q371" i="1" s="1"/>
  <c r="P372" i="1"/>
  <c r="Q372" i="1" s="1"/>
  <c r="P373" i="1"/>
  <c r="Q373" i="1" s="1"/>
  <c r="P374" i="1"/>
  <c r="Q374" i="1" s="1"/>
  <c r="P375" i="1"/>
  <c r="Q375" i="1" s="1"/>
  <c r="P376" i="1"/>
  <c r="Q376" i="1" s="1"/>
  <c r="P377" i="1"/>
  <c r="Q377" i="1" s="1"/>
  <c r="P378" i="1"/>
  <c r="Q378" i="1" s="1"/>
  <c r="P379" i="1"/>
  <c r="Q379" i="1" s="1"/>
  <c r="P380" i="1"/>
  <c r="Q380" i="1" s="1"/>
  <c r="P381" i="1"/>
  <c r="Q381" i="1" s="1"/>
  <c r="P382" i="1"/>
  <c r="Q382" i="1" s="1"/>
  <c r="P383" i="1"/>
  <c r="Q383" i="1" s="1"/>
  <c r="P384" i="1"/>
  <c r="Q384" i="1" s="1"/>
  <c r="P385" i="1"/>
  <c r="Q385" i="1" s="1"/>
  <c r="P386" i="1"/>
  <c r="Q386" i="1" s="1"/>
  <c r="P387" i="1"/>
  <c r="Q387" i="1" s="1"/>
  <c r="P388" i="1"/>
  <c r="Q388" i="1" s="1"/>
  <c r="P389" i="1"/>
  <c r="Q389" i="1" s="1"/>
  <c r="P390" i="1"/>
  <c r="Q390" i="1" s="1"/>
  <c r="P391" i="1"/>
  <c r="Q391" i="1" s="1"/>
  <c r="P392" i="1"/>
  <c r="Q392" i="1" s="1"/>
  <c r="P393" i="1"/>
  <c r="Q393" i="1" s="1"/>
  <c r="P394" i="1"/>
  <c r="Q394" i="1" s="1"/>
  <c r="P395" i="1"/>
  <c r="Q395" i="1" s="1"/>
  <c r="P396" i="1"/>
  <c r="Q396" i="1" s="1"/>
  <c r="P397" i="1"/>
  <c r="Q397" i="1" s="1"/>
  <c r="P398" i="1"/>
  <c r="Q398" i="1" s="1"/>
  <c r="P399" i="1"/>
  <c r="Q399" i="1" s="1"/>
  <c r="P400" i="1"/>
  <c r="Q400" i="1" s="1"/>
  <c r="P401" i="1"/>
  <c r="Q401" i="1" s="1"/>
  <c r="P402" i="1"/>
  <c r="Q402" i="1" s="1"/>
  <c r="P403" i="1"/>
  <c r="Q403" i="1" s="1"/>
  <c r="P404" i="1"/>
  <c r="Q404" i="1" s="1"/>
  <c r="P405" i="1"/>
  <c r="Q405" i="1" s="1"/>
  <c r="P406" i="1"/>
  <c r="Q406" i="1" s="1"/>
  <c r="P407" i="1"/>
  <c r="Q407" i="1" s="1"/>
  <c r="P408" i="1"/>
  <c r="Q408" i="1" s="1"/>
  <c r="P409" i="1"/>
  <c r="Q409" i="1" s="1"/>
  <c r="P410" i="1"/>
  <c r="Q410" i="1" s="1"/>
  <c r="P411" i="1"/>
  <c r="Q411" i="1" s="1"/>
  <c r="P412" i="1"/>
  <c r="Q412" i="1" s="1"/>
  <c r="P413" i="1"/>
  <c r="Q413" i="1" s="1"/>
  <c r="P414" i="1"/>
  <c r="Q414" i="1" s="1"/>
  <c r="P415" i="1"/>
  <c r="Q415" i="1" s="1"/>
  <c r="P416" i="1"/>
  <c r="Q416" i="1" s="1"/>
  <c r="P417" i="1"/>
  <c r="Q417" i="1" s="1"/>
  <c r="P418" i="1"/>
  <c r="Q418" i="1" s="1"/>
  <c r="P419" i="1"/>
  <c r="Q419" i="1" s="1"/>
  <c r="P420" i="1"/>
  <c r="Q420" i="1" s="1"/>
  <c r="P421" i="1"/>
  <c r="Q421" i="1" s="1"/>
  <c r="P422" i="1"/>
  <c r="Q422" i="1" s="1"/>
  <c r="P423" i="1"/>
  <c r="Q423" i="1" s="1"/>
  <c r="P424" i="1"/>
  <c r="Q424" i="1" s="1"/>
  <c r="P425" i="1"/>
  <c r="Q425" i="1" s="1"/>
  <c r="P426" i="1"/>
  <c r="Q426" i="1" s="1"/>
  <c r="P427" i="1"/>
  <c r="Q427" i="1" s="1"/>
  <c r="P428" i="1"/>
  <c r="Q428" i="1" s="1"/>
  <c r="P429" i="1"/>
  <c r="Q429" i="1" s="1"/>
  <c r="P430" i="1"/>
  <c r="Q430" i="1" s="1"/>
  <c r="P431" i="1"/>
  <c r="Q431" i="1" s="1"/>
  <c r="P432" i="1"/>
  <c r="Q432" i="1" s="1"/>
  <c r="P433" i="1"/>
  <c r="Q433" i="1" s="1"/>
  <c r="P434" i="1"/>
  <c r="Q434" i="1" s="1"/>
  <c r="P435" i="1"/>
  <c r="Q435" i="1" s="1"/>
  <c r="P436" i="1"/>
  <c r="Q436" i="1" s="1"/>
  <c r="P437" i="1"/>
  <c r="Q437" i="1" s="1"/>
  <c r="P438" i="1"/>
  <c r="Q438" i="1" s="1"/>
  <c r="P439" i="1"/>
  <c r="Q439" i="1" s="1"/>
  <c r="P440" i="1"/>
  <c r="Q440" i="1" s="1"/>
  <c r="P441" i="1"/>
  <c r="Q441" i="1" s="1"/>
  <c r="P442" i="1"/>
  <c r="Q442" i="1" s="1"/>
  <c r="P443" i="1"/>
  <c r="Q443" i="1" s="1"/>
  <c r="P444" i="1"/>
  <c r="Q444" i="1" s="1"/>
  <c r="P445" i="1"/>
  <c r="Q445" i="1" s="1"/>
  <c r="P446" i="1"/>
  <c r="Q446" i="1" s="1"/>
  <c r="P447" i="1"/>
  <c r="Q447" i="1" s="1"/>
  <c r="P448" i="1"/>
  <c r="Q448" i="1" s="1"/>
  <c r="P449" i="1"/>
  <c r="Q449" i="1" s="1"/>
  <c r="P450" i="1"/>
  <c r="Q450" i="1" s="1"/>
  <c r="P451" i="1"/>
  <c r="Q451" i="1" s="1"/>
  <c r="P452" i="1"/>
  <c r="Q452" i="1" s="1"/>
  <c r="P453" i="1"/>
  <c r="Q453" i="1" s="1"/>
  <c r="P454" i="1"/>
  <c r="Q454" i="1" s="1"/>
  <c r="P455" i="1"/>
  <c r="Q455" i="1" s="1"/>
  <c r="P456" i="1"/>
  <c r="Q456" i="1" s="1"/>
  <c r="P457" i="1"/>
  <c r="Q457" i="1" s="1"/>
  <c r="P458" i="1"/>
  <c r="Q458" i="1" s="1"/>
  <c r="P459" i="1"/>
  <c r="Q459" i="1" s="1"/>
  <c r="P460" i="1"/>
  <c r="Q460" i="1" s="1"/>
  <c r="P461" i="1"/>
  <c r="Q461" i="1" s="1"/>
  <c r="P462" i="1"/>
  <c r="Q462" i="1" s="1"/>
  <c r="P463" i="1"/>
  <c r="Q463" i="1" s="1"/>
  <c r="P464" i="1"/>
  <c r="Q464" i="1" s="1"/>
  <c r="P465" i="1"/>
  <c r="Q465" i="1" s="1"/>
  <c r="P466" i="1"/>
  <c r="Q466" i="1" s="1"/>
  <c r="P467" i="1"/>
  <c r="Q467" i="1" s="1"/>
  <c r="P468" i="1"/>
  <c r="Q468" i="1" s="1"/>
  <c r="P469" i="1"/>
  <c r="Q469" i="1" s="1"/>
  <c r="P470" i="1"/>
  <c r="Q470" i="1" s="1"/>
  <c r="P471" i="1"/>
  <c r="Q471" i="1" s="1"/>
  <c r="P472" i="1"/>
  <c r="Q472" i="1" s="1"/>
  <c r="P473" i="1"/>
  <c r="Q473" i="1" s="1"/>
  <c r="P474" i="1"/>
  <c r="Q474" i="1" s="1"/>
  <c r="P475" i="1"/>
  <c r="Q475" i="1" s="1"/>
  <c r="P476" i="1"/>
  <c r="Q476" i="1" s="1"/>
  <c r="P477" i="1"/>
  <c r="Q477" i="1" s="1"/>
  <c r="P478" i="1"/>
  <c r="Q478" i="1" s="1"/>
  <c r="P479" i="1"/>
  <c r="Q479" i="1" s="1"/>
  <c r="P480" i="1"/>
  <c r="Q480" i="1" s="1"/>
  <c r="P481" i="1"/>
  <c r="Q481" i="1" s="1"/>
  <c r="P482" i="1"/>
  <c r="Q482" i="1" s="1"/>
  <c r="P483" i="1"/>
  <c r="Q483" i="1" s="1"/>
  <c r="P484" i="1"/>
  <c r="Q484" i="1" s="1"/>
  <c r="P485" i="1"/>
  <c r="Q485" i="1" s="1"/>
  <c r="P486" i="1"/>
  <c r="Q486" i="1" s="1"/>
  <c r="P487" i="1"/>
  <c r="Q487" i="1" s="1"/>
  <c r="P488" i="1"/>
  <c r="Q488" i="1" s="1"/>
  <c r="P489" i="1"/>
  <c r="Q489" i="1" s="1"/>
  <c r="P490" i="1"/>
  <c r="Q490" i="1" s="1"/>
  <c r="P491" i="1"/>
  <c r="Q491" i="1" s="1"/>
  <c r="P492" i="1"/>
  <c r="Q492" i="1" s="1"/>
  <c r="P493" i="1"/>
  <c r="Q493" i="1" s="1"/>
  <c r="P494" i="1"/>
  <c r="Q494" i="1" s="1"/>
  <c r="P495" i="1"/>
  <c r="Q495" i="1" s="1"/>
  <c r="P496" i="1"/>
  <c r="Q496" i="1" s="1"/>
  <c r="P497" i="1"/>
  <c r="Q497" i="1" s="1"/>
  <c r="P498" i="1"/>
  <c r="Q498" i="1" s="1"/>
  <c r="P499" i="1"/>
  <c r="Q499" i="1" s="1"/>
  <c r="P500" i="1"/>
  <c r="Q500" i="1" s="1"/>
  <c r="P501" i="1"/>
  <c r="Q501" i="1" s="1"/>
  <c r="P502" i="1"/>
  <c r="Q502" i="1" s="1"/>
  <c r="P503" i="1"/>
  <c r="Q503" i="1" s="1"/>
  <c r="P504" i="1"/>
  <c r="Q504" i="1" s="1"/>
  <c r="P505" i="1"/>
  <c r="Q505" i="1" s="1"/>
  <c r="P506" i="1"/>
  <c r="Q506" i="1" s="1"/>
  <c r="P507" i="1"/>
  <c r="Q507" i="1" s="1"/>
  <c r="P508" i="1"/>
  <c r="Q508" i="1" s="1"/>
  <c r="P509" i="1"/>
  <c r="Q509" i="1" s="1"/>
  <c r="P510" i="1"/>
  <c r="Q510" i="1" s="1"/>
  <c r="P511" i="1"/>
  <c r="Q511" i="1" s="1"/>
  <c r="P512" i="1"/>
  <c r="Q512" i="1" s="1"/>
  <c r="P513" i="1"/>
  <c r="Q513" i="1" s="1"/>
  <c r="P514" i="1"/>
  <c r="Q514" i="1" s="1"/>
  <c r="P515" i="1"/>
  <c r="Q515" i="1" s="1"/>
  <c r="P516" i="1"/>
  <c r="Q516" i="1" s="1"/>
  <c r="P517" i="1"/>
  <c r="Q517" i="1" s="1"/>
  <c r="P518" i="1"/>
  <c r="Q518" i="1" s="1"/>
  <c r="P519" i="1"/>
  <c r="Q519" i="1" s="1"/>
  <c r="P520" i="1"/>
  <c r="Q520" i="1" s="1"/>
  <c r="P521" i="1"/>
  <c r="Q521" i="1" s="1"/>
  <c r="P522" i="1"/>
  <c r="Q522" i="1" s="1"/>
  <c r="P523" i="1"/>
  <c r="Q523" i="1" s="1"/>
  <c r="P524" i="1"/>
  <c r="Q524" i="1" s="1"/>
  <c r="P525" i="1"/>
  <c r="Q525" i="1" s="1"/>
  <c r="P526" i="1"/>
  <c r="Q526" i="1" s="1"/>
  <c r="P527" i="1"/>
  <c r="Q527" i="1" s="1"/>
  <c r="P528" i="1"/>
  <c r="Q528" i="1" s="1"/>
  <c r="P529" i="1"/>
  <c r="Q529" i="1" s="1"/>
  <c r="P530" i="1"/>
  <c r="Q530" i="1" s="1"/>
  <c r="P531" i="1"/>
  <c r="Q531" i="1" s="1"/>
  <c r="P532" i="1"/>
  <c r="Q532" i="1" s="1"/>
  <c r="P533" i="1"/>
  <c r="Q533" i="1" s="1"/>
  <c r="P534" i="1"/>
  <c r="Q534" i="1" s="1"/>
  <c r="P535" i="1"/>
  <c r="Q535" i="1" s="1"/>
  <c r="P536" i="1"/>
  <c r="Q536" i="1" s="1"/>
  <c r="P537" i="1"/>
  <c r="Q537" i="1" s="1"/>
  <c r="P538" i="1"/>
  <c r="Q538" i="1" s="1"/>
  <c r="P539" i="1"/>
  <c r="Q539" i="1" s="1"/>
  <c r="P540" i="1"/>
  <c r="Q540" i="1" s="1"/>
  <c r="P541" i="1"/>
  <c r="Q541" i="1" s="1"/>
  <c r="P542" i="1"/>
  <c r="Q542" i="1" s="1"/>
  <c r="P543" i="1"/>
  <c r="Q543" i="1" s="1"/>
  <c r="P544" i="1"/>
  <c r="Q544" i="1" s="1"/>
  <c r="P545" i="1"/>
  <c r="Q545" i="1" s="1"/>
  <c r="P546" i="1"/>
  <c r="Q546" i="1" s="1"/>
  <c r="P547" i="1"/>
  <c r="Q547" i="1" s="1"/>
  <c r="P548" i="1"/>
  <c r="Q548" i="1" s="1"/>
  <c r="P549" i="1"/>
  <c r="Q549" i="1" s="1"/>
  <c r="P550" i="1"/>
  <c r="Q550" i="1" s="1"/>
  <c r="P551" i="1"/>
  <c r="Q551" i="1" s="1"/>
  <c r="P552" i="1"/>
  <c r="Q552" i="1" s="1"/>
  <c r="P553" i="1"/>
  <c r="Q553" i="1" s="1"/>
  <c r="P554" i="1"/>
  <c r="Q554" i="1" s="1"/>
  <c r="P555" i="1"/>
  <c r="Q555" i="1" s="1"/>
  <c r="P556" i="1"/>
  <c r="Q556" i="1" s="1"/>
  <c r="P557" i="1"/>
  <c r="Q557" i="1" s="1"/>
  <c r="P558" i="1"/>
  <c r="Q558" i="1" s="1"/>
  <c r="P559" i="1"/>
  <c r="Q559" i="1" s="1"/>
  <c r="P560" i="1"/>
  <c r="Q560" i="1" s="1"/>
  <c r="P561" i="1"/>
  <c r="Q561" i="1" s="1"/>
  <c r="P562" i="1"/>
  <c r="Q562" i="1" s="1"/>
  <c r="P563" i="1"/>
  <c r="Q563" i="1" s="1"/>
  <c r="P564" i="1"/>
  <c r="Q564" i="1" s="1"/>
  <c r="P565" i="1"/>
  <c r="Q565" i="1" s="1"/>
  <c r="P566" i="1"/>
  <c r="Q566" i="1" s="1"/>
  <c r="P567" i="1"/>
  <c r="Q567" i="1" s="1"/>
  <c r="P568" i="1"/>
  <c r="Q568" i="1" s="1"/>
  <c r="P569" i="1"/>
  <c r="Q569" i="1" s="1"/>
  <c r="P570" i="1"/>
  <c r="Q570" i="1" s="1"/>
  <c r="P571" i="1"/>
  <c r="Q571" i="1" s="1"/>
  <c r="P572" i="1"/>
  <c r="Q572" i="1" s="1"/>
  <c r="P573" i="1"/>
  <c r="Q573" i="1" s="1"/>
  <c r="P574" i="1"/>
  <c r="Q574" i="1" s="1"/>
  <c r="P575" i="1"/>
  <c r="Q575" i="1" s="1"/>
  <c r="P576" i="1"/>
  <c r="Q576" i="1" s="1"/>
  <c r="P577" i="1"/>
  <c r="Q577" i="1" s="1"/>
  <c r="P578" i="1"/>
  <c r="Q578" i="1" s="1"/>
  <c r="P579" i="1"/>
  <c r="Q579" i="1" s="1"/>
  <c r="P580" i="1"/>
  <c r="Q580" i="1" s="1"/>
  <c r="P581" i="1"/>
  <c r="Q581" i="1" s="1"/>
  <c r="P582" i="1"/>
  <c r="Q582" i="1" s="1"/>
  <c r="P583" i="1"/>
  <c r="Q583" i="1" s="1"/>
  <c r="P584" i="1"/>
  <c r="Q584" i="1" s="1"/>
  <c r="P585" i="1"/>
  <c r="Q585" i="1" s="1"/>
  <c r="P586" i="1"/>
  <c r="Q586" i="1" s="1"/>
  <c r="P587" i="1"/>
  <c r="Q587" i="1" s="1"/>
  <c r="P588" i="1"/>
  <c r="Q588" i="1" s="1"/>
  <c r="P589" i="1"/>
  <c r="Q589" i="1" s="1"/>
  <c r="P590" i="1"/>
  <c r="Q590" i="1" s="1"/>
  <c r="P591" i="1"/>
  <c r="Q591" i="1" s="1"/>
  <c r="P592" i="1"/>
  <c r="Q592" i="1" s="1"/>
  <c r="P593" i="1"/>
  <c r="Q593" i="1" s="1"/>
  <c r="P594" i="1"/>
  <c r="Q594" i="1" s="1"/>
  <c r="P595" i="1"/>
  <c r="Q595" i="1" s="1"/>
  <c r="P596" i="1"/>
  <c r="Q596" i="1" s="1"/>
  <c r="P597" i="1"/>
  <c r="Q597" i="1" s="1"/>
  <c r="P598" i="1"/>
  <c r="Q598" i="1" s="1"/>
  <c r="P599" i="1"/>
  <c r="Q599" i="1" s="1"/>
  <c r="P600" i="1"/>
  <c r="Q600" i="1" s="1"/>
  <c r="P601" i="1"/>
  <c r="Q601" i="1" s="1"/>
  <c r="P602" i="1"/>
  <c r="Q602" i="1" s="1"/>
  <c r="P603" i="1"/>
  <c r="Q603" i="1" s="1"/>
  <c r="P604" i="1"/>
  <c r="Q604" i="1" s="1"/>
  <c r="P605" i="1"/>
  <c r="Q605" i="1" s="1"/>
  <c r="P606" i="1"/>
  <c r="Q606" i="1" s="1"/>
  <c r="P607" i="1"/>
  <c r="Q607" i="1" s="1"/>
  <c r="P608" i="1"/>
  <c r="Q608" i="1" s="1"/>
  <c r="P609" i="1"/>
  <c r="Q609" i="1" s="1"/>
  <c r="P610" i="1"/>
  <c r="Q610" i="1" s="1"/>
  <c r="P611" i="1"/>
  <c r="Q611" i="1" s="1"/>
  <c r="P612" i="1"/>
  <c r="Q612" i="1" s="1"/>
  <c r="P613" i="1"/>
  <c r="Q613" i="1" s="1"/>
  <c r="P614" i="1"/>
  <c r="Q614" i="1" s="1"/>
  <c r="P615" i="1"/>
  <c r="Q615" i="1" s="1"/>
  <c r="P616" i="1"/>
  <c r="Q616" i="1" s="1"/>
  <c r="P617" i="1"/>
  <c r="Q617" i="1" s="1"/>
  <c r="P618" i="1"/>
  <c r="Q618" i="1" s="1"/>
  <c r="P619" i="1"/>
  <c r="Q619" i="1" s="1"/>
  <c r="P620" i="1"/>
  <c r="Q620" i="1" s="1"/>
  <c r="P621" i="1"/>
  <c r="Q621" i="1" s="1"/>
  <c r="P622" i="1"/>
  <c r="Q622" i="1" s="1"/>
  <c r="P623" i="1"/>
  <c r="Q623" i="1" s="1"/>
  <c r="P624" i="1"/>
  <c r="Q624" i="1" s="1"/>
  <c r="P625" i="1"/>
  <c r="Q625" i="1" s="1"/>
  <c r="P626" i="1"/>
  <c r="Q626" i="1" s="1"/>
  <c r="P627" i="1"/>
  <c r="Q627" i="1" s="1"/>
  <c r="P628" i="1"/>
  <c r="Q628" i="1" s="1"/>
  <c r="P629" i="1"/>
  <c r="Q629" i="1" s="1"/>
  <c r="P630" i="1"/>
  <c r="Q630" i="1" s="1"/>
  <c r="P631" i="1"/>
  <c r="Q631" i="1" s="1"/>
  <c r="P632" i="1"/>
  <c r="Q632" i="1" s="1"/>
  <c r="P633" i="1"/>
  <c r="Q633" i="1" s="1"/>
  <c r="P634" i="1"/>
  <c r="Q634" i="1" s="1"/>
  <c r="P635" i="1"/>
  <c r="Q635" i="1" s="1"/>
  <c r="P636" i="1"/>
  <c r="Q636" i="1" s="1"/>
  <c r="P637" i="1"/>
  <c r="Q637" i="1" s="1"/>
  <c r="P638" i="1"/>
  <c r="Q638" i="1" s="1"/>
  <c r="P639" i="1"/>
  <c r="Q639" i="1" s="1"/>
  <c r="P640" i="1"/>
  <c r="Q640" i="1" s="1"/>
  <c r="P641" i="1"/>
  <c r="Q641" i="1" s="1"/>
  <c r="P642" i="1"/>
  <c r="Q642" i="1" s="1"/>
  <c r="P643" i="1"/>
  <c r="Q643" i="1" s="1"/>
  <c r="P644" i="1"/>
  <c r="Q644" i="1" s="1"/>
  <c r="P645" i="1"/>
  <c r="Q645" i="1" s="1"/>
  <c r="P646" i="1"/>
  <c r="Q646" i="1" s="1"/>
  <c r="P647" i="1"/>
  <c r="Q647" i="1" s="1"/>
  <c r="P648" i="1"/>
  <c r="Q648" i="1" s="1"/>
  <c r="P649" i="1"/>
  <c r="Q649" i="1" s="1"/>
  <c r="P650" i="1"/>
  <c r="Q650" i="1" s="1"/>
  <c r="P651" i="1"/>
  <c r="Q651" i="1" s="1"/>
  <c r="P652" i="1"/>
  <c r="Q652" i="1" s="1"/>
  <c r="P653" i="1"/>
  <c r="Q653" i="1" s="1"/>
  <c r="P654" i="1"/>
  <c r="Q654" i="1" s="1"/>
  <c r="P655" i="1"/>
  <c r="Q655" i="1" s="1"/>
  <c r="P656" i="1"/>
  <c r="Q656" i="1" s="1"/>
  <c r="P657" i="1"/>
  <c r="Q657" i="1" s="1"/>
  <c r="P658" i="1"/>
  <c r="Q658" i="1" s="1"/>
  <c r="P659" i="1"/>
  <c r="Q659" i="1" s="1"/>
  <c r="P660" i="1"/>
  <c r="Q660" i="1" s="1"/>
  <c r="P661" i="1"/>
  <c r="Q661" i="1" s="1"/>
  <c r="P662" i="1"/>
  <c r="Q662" i="1" s="1"/>
  <c r="P663" i="1"/>
  <c r="Q663" i="1" s="1"/>
  <c r="P664" i="1"/>
  <c r="Q664" i="1" s="1"/>
  <c r="P665" i="1"/>
  <c r="Q665" i="1" s="1"/>
  <c r="P666" i="1"/>
  <c r="Q666" i="1" s="1"/>
  <c r="P667" i="1"/>
  <c r="Q667" i="1" s="1"/>
  <c r="P668" i="1"/>
  <c r="Q668" i="1" s="1"/>
  <c r="P669" i="1"/>
  <c r="Q669" i="1" s="1"/>
  <c r="P670" i="1"/>
  <c r="Q670" i="1" s="1"/>
  <c r="P671" i="1"/>
  <c r="Q671" i="1" s="1"/>
  <c r="P672" i="1"/>
  <c r="Q672" i="1" s="1"/>
  <c r="P673" i="1"/>
  <c r="Q673" i="1" s="1"/>
  <c r="P674" i="1"/>
  <c r="Q674" i="1" s="1"/>
  <c r="P675" i="1"/>
  <c r="Q675" i="1" s="1"/>
  <c r="P676" i="1"/>
  <c r="Q676" i="1" s="1"/>
  <c r="P677" i="1"/>
  <c r="Q677" i="1" s="1"/>
  <c r="P678" i="1"/>
  <c r="Q678" i="1" s="1"/>
  <c r="P679" i="1"/>
  <c r="Q679" i="1" s="1"/>
  <c r="P680" i="1"/>
  <c r="Q680" i="1" s="1"/>
  <c r="P681" i="1"/>
  <c r="Q681" i="1" s="1"/>
  <c r="P682" i="1"/>
  <c r="Q682" i="1" s="1"/>
  <c r="P683" i="1"/>
  <c r="Q683" i="1" s="1"/>
  <c r="P684" i="1"/>
  <c r="Q684" i="1" s="1"/>
  <c r="P685" i="1"/>
  <c r="Q685" i="1" s="1"/>
  <c r="P686" i="1"/>
  <c r="Q686" i="1" s="1"/>
  <c r="P687" i="1"/>
  <c r="Q687" i="1" s="1"/>
  <c r="P688" i="1"/>
  <c r="Q688" i="1" s="1"/>
  <c r="P689" i="1"/>
  <c r="Q689" i="1" s="1"/>
  <c r="P690" i="1"/>
  <c r="Q690" i="1" s="1"/>
  <c r="P691" i="1"/>
  <c r="Q691" i="1" s="1"/>
  <c r="P692" i="1"/>
  <c r="Q692" i="1" s="1"/>
  <c r="P693" i="1"/>
  <c r="Q693" i="1" s="1"/>
  <c r="P694" i="1"/>
  <c r="Q694" i="1" s="1"/>
  <c r="P695" i="1"/>
  <c r="Q695" i="1" s="1"/>
  <c r="P696" i="1"/>
  <c r="Q696" i="1" s="1"/>
  <c r="P697" i="1"/>
  <c r="Q697" i="1" s="1"/>
  <c r="P698" i="1"/>
  <c r="Q698" i="1" s="1"/>
  <c r="P699" i="1"/>
  <c r="Q699" i="1" s="1"/>
  <c r="P700" i="1"/>
  <c r="Q700" i="1" s="1"/>
  <c r="P701" i="1"/>
  <c r="Q701" i="1" s="1"/>
  <c r="P702" i="1"/>
  <c r="Q702" i="1" s="1"/>
  <c r="P703" i="1"/>
  <c r="Q703" i="1" s="1"/>
  <c r="P704" i="1"/>
  <c r="Q704" i="1" s="1"/>
  <c r="P705" i="1"/>
  <c r="Q705" i="1" s="1"/>
  <c r="P706" i="1"/>
  <c r="Q706" i="1" s="1"/>
  <c r="P707" i="1"/>
  <c r="Q707" i="1" s="1"/>
  <c r="P708" i="1"/>
  <c r="Q708" i="1" s="1"/>
  <c r="P709" i="1"/>
  <c r="Q709" i="1" s="1"/>
  <c r="P710" i="1"/>
  <c r="Q710" i="1" s="1"/>
  <c r="P711" i="1"/>
  <c r="Q711" i="1" s="1"/>
  <c r="P712" i="1"/>
  <c r="Q712" i="1" s="1"/>
  <c r="P713" i="1"/>
  <c r="Q713" i="1" s="1"/>
  <c r="P714" i="1"/>
  <c r="Q714" i="1" s="1"/>
  <c r="P715" i="1"/>
  <c r="Q715" i="1" s="1"/>
  <c r="P716" i="1"/>
  <c r="Q716" i="1" s="1"/>
  <c r="P717" i="1"/>
  <c r="Q717" i="1" s="1"/>
  <c r="P718" i="1"/>
  <c r="Q718" i="1" s="1"/>
  <c r="P719" i="1"/>
  <c r="Q719" i="1" s="1"/>
  <c r="P720" i="1"/>
  <c r="Q720" i="1" s="1"/>
  <c r="P721" i="1"/>
  <c r="Q721" i="1" s="1"/>
  <c r="P722" i="1"/>
  <c r="Q722" i="1" s="1"/>
  <c r="P723" i="1"/>
  <c r="Q723" i="1" s="1"/>
  <c r="P724" i="1"/>
  <c r="Q724" i="1" s="1"/>
  <c r="P725" i="1"/>
  <c r="Q725" i="1" s="1"/>
  <c r="P726" i="1"/>
  <c r="Q726" i="1" s="1"/>
  <c r="P727" i="1"/>
  <c r="Q727" i="1" s="1"/>
  <c r="P728" i="1"/>
  <c r="Q728" i="1" s="1"/>
  <c r="P729" i="1"/>
  <c r="Q729" i="1" s="1"/>
  <c r="P730" i="1"/>
  <c r="Q730" i="1" s="1"/>
  <c r="P731" i="1"/>
  <c r="Q731" i="1" s="1"/>
  <c r="P732" i="1"/>
  <c r="Q732" i="1" s="1"/>
  <c r="P733" i="1"/>
  <c r="Q733" i="1" s="1"/>
  <c r="P734" i="1"/>
  <c r="Q734" i="1" s="1"/>
  <c r="P735" i="1"/>
  <c r="Q735" i="1" s="1"/>
  <c r="P736" i="1"/>
  <c r="Q736" i="1" s="1"/>
  <c r="P737" i="1"/>
  <c r="Q737" i="1" s="1"/>
  <c r="P738" i="1"/>
  <c r="Q738" i="1" s="1"/>
  <c r="P739" i="1"/>
  <c r="Q739" i="1" s="1"/>
  <c r="P740" i="1"/>
  <c r="Q740" i="1" s="1"/>
  <c r="P741" i="1"/>
  <c r="Q741" i="1" s="1"/>
  <c r="P742" i="1"/>
  <c r="Q742" i="1" s="1"/>
  <c r="P743" i="1"/>
  <c r="Q743" i="1" s="1"/>
  <c r="P744" i="1"/>
  <c r="Q744" i="1" s="1"/>
  <c r="P745" i="1"/>
  <c r="Q745" i="1" s="1"/>
  <c r="P746" i="1"/>
  <c r="Q746" i="1" s="1"/>
  <c r="P747" i="1"/>
  <c r="Q747" i="1" s="1"/>
  <c r="P748" i="1"/>
  <c r="Q748" i="1" s="1"/>
  <c r="P749" i="1"/>
  <c r="Q749" i="1" s="1"/>
  <c r="P750" i="1"/>
  <c r="Q750" i="1" s="1"/>
  <c r="P751" i="1"/>
  <c r="Q751" i="1" s="1"/>
  <c r="P752" i="1"/>
  <c r="Q752" i="1" s="1"/>
  <c r="P753" i="1"/>
  <c r="Q753" i="1" s="1"/>
  <c r="P754" i="1"/>
  <c r="Q754" i="1" s="1"/>
  <c r="P755" i="1"/>
  <c r="Q755" i="1" s="1"/>
  <c r="P756" i="1"/>
  <c r="Q756" i="1" s="1"/>
  <c r="P757" i="1"/>
  <c r="Q757" i="1" s="1"/>
  <c r="P758" i="1"/>
  <c r="Q758" i="1" s="1"/>
  <c r="P759" i="1"/>
  <c r="Q759" i="1" s="1"/>
  <c r="P760" i="1"/>
  <c r="Q760" i="1" s="1"/>
  <c r="P761" i="1"/>
  <c r="Q761" i="1" s="1"/>
  <c r="P762" i="1"/>
  <c r="Q762" i="1" s="1"/>
  <c r="P763" i="1"/>
  <c r="Q763" i="1" s="1"/>
  <c r="P764" i="1"/>
  <c r="Q764" i="1" s="1"/>
  <c r="P765" i="1"/>
  <c r="Q765" i="1" s="1"/>
  <c r="P766" i="1"/>
  <c r="Q766" i="1" s="1"/>
  <c r="R766" i="1" s="1"/>
  <c r="P197" i="1"/>
  <c r="Q197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6" i="5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22" i="4"/>
  <c r="C133" i="4" s="1"/>
  <c r="D136" i="4" s="1"/>
  <c r="C116" i="4"/>
  <c r="C116" i="3"/>
  <c r="C122" i="3"/>
  <c r="C133" i="3" s="1"/>
  <c r="D136" i="3" s="1"/>
  <c r="S766" i="1"/>
  <c r="T766" i="1" s="1"/>
  <c r="R765" i="1"/>
  <c r="C136" i="5" l="1"/>
  <c r="C138" i="5" s="1"/>
  <c r="C136" i="4"/>
  <c r="C138" i="4" s="1"/>
  <c r="C136" i="3"/>
  <c r="C138" i="3" s="1"/>
  <c r="R764" i="1"/>
  <c r="S765" i="1"/>
  <c r="T765" i="1" s="1"/>
  <c r="R763" i="1" l="1"/>
  <c r="S764" i="1"/>
  <c r="T764" i="1" s="1"/>
  <c r="S763" i="1" l="1"/>
  <c r="T763" i="1" s="1"/>
  <c r="R762" i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S757" i="1" l="1"/>
  <c r="T757" i="1" s="1"/>
  <c r="R756" i="1"/>
  <c r="R755" i="1" l="1"/>
  <c r="S756" i="1"/>
  <c r="T756" i="1" s="1"/>
  <c r="R754" i="1" l="1"/>
  <c r="S755" i="1"/>
  <c r="T755" i="1" s="1"/>
  <c r="S754" i="1" l="1"/>
  <c r="T754" i="1" s="1"/>
  <c r="R753" i="1"/>
  <c r="S753" i="1" l="1"/>
  <c r="T753" i="1" s="1"/>
  <c r="R752" i="1"/>
  <c r="S752" i="1" l="1"/>
  <c r="T752" i="1" s="1"/>
  <c r="R751" i="1"/>
  <c r="R750" i="1" l="1"/>
  <c r="S751" i="1"/>
  <c r="T751" i="1" s="1"/>
  <c r="R749" i="1" l="1"/>
  <c r="S750" i="1"/>
  <c r="T750" i="1" s="1"/>
  <c r="S749" i="1" l="1"/>
  <c r="T749" i="1" s="1"/>
  <c r="R748" i="1"/>
  <c r="S748" i="1" l="1"/>
  <c r="T748" i="1" s="1"/>
  <c r="R747" i="1"/>
  <c r="S747" i="1" l="1"/>
  <c r="T747" i="1" s="1"/>
  <c r="R746" i="1"/>
  <c r="R745" i="1" l="1"/>
  <c r="S746" i="1"/>
  <c r="T746" i="1" s="1"/>
  <c r="R744" i="1" l="1"/>
  <c r="S745" i="1"/>
  <c r="T745" i="1" s="1"/>
  <c r="S744" i="1" l="1"/>
  <c r="T744" i="1" s="1"/>
  <c r="R743" i="1"/>
  <c r="S743" i="1" l="1"/>
  <c r="T743" i="1" s="1"/>
  <c r="R742" i="1"/>
  <c r="R741" i="1" l="1"/>
  <c r="S742" i="1"/>
  <c r="T742" i="1" s="1"/>
  <c r="R740" i="1" l="1"/>
  <c r="S741" i="1"/>
  <c r="T741" i="1" s="1"/>
  <c r="R739" i="1" l="1"/>
  <c r="S740" i="1"/>
  <c r="T740" i="1" s="1"/>
  <c r="S739" i="1" l="1"/>
  <c r="T739" i="1" s="1"/>
  <c r="R738" i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S733" i="1" l="1"/>
  <c r="T733" i="1" s="1"/>
  <c r="R732" i="1"/>
  <c r="R731" i="1" l="1"/>
  <c r="S732" i="1"/>
  <c r="T732" i="1" s="1"/>
  <c r="R730" i="1" l="1"/>
  <c r="S731" i="1"/>
  <c r="T731" i="1" s="1"/>
  <c r="R729" i="1" l="1"/>
  <c r="S730" i="1"/>
  <c r="T730" i="1" s="1"/>
  <c r="S729" i="1" l="1"/>
  <c r="T729" i="1" s="1"/>
  <c r="R728" i="1"/>
  <c r="S728" i="1" l="1"/>
  <c r="T728" i="1" s="1"/>
  <c r="R727" i="1"/>
  <c r="R726" i="1" l="1"/>
  <c r="S727" i="1"/>
  <c r="T727" i="1" s="1"/>
  <c r="R725" i="1" l="1"/>
  <c r="S726" i="1"/>
  <c r="T726" i="1" s="1"/>
  <c r="S725" i="1" l="1"/>
  <c r="T725" i="1" s="1"/>
  <c r="R724" i="1"/>
  <c r="S724" i="1" l="1"/>
  <c r="T724" i="1" s="1"/>
  <c r="R723" i="1"/>
  <c r="R722" i="1" l="1"/>
  <c r="S723" i="1"/>
  <c r="T723" i="1" s="1"/>
  <c r="R721" i="1" l="1"/>
  <c r="S722" i="1"/>
  <c r="T722" i="1" s="1"/>
  <c r="S721" i="1" l="1"/>
  <c r="T721" i="1" s="1"/>
  <c r="R720" i="1"/>
  <c r="S720" i="1" l="1"/>
  <c r="T720" i="1" s="1"/>
  <c r="R719" i="1"/>
  <c r="S719" i="1" l="1"/>
  <c r="T719" i="1" s="1"/>
  <c r="R718" i="1"/>
  <c r="R717" i="1" l="1"/>
  <c r="S718" i="1"/>
  <c r="T718" i="1" s="1"/>
  <c r="S717" i="1" l="1"/>
  <c r="T717" i="1" s="1"/>
  <c r="R716" i="1"/>
  <c r="R715" i="1" l="1"/>
  <c r="S716" i="1"/>
  <c r="T716" i="1" s="1"/>
  <c r="S715" i="1" l="1"/>
  <c r="T715" i="1" s="1"/>
  <c r="R714" i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S709" i="1" l="1"/>
  <c r="T709" i="1" s="1"/>
  <c r="R708" i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S701" i="1" l="1"/>
  <c r="T701" i="1" s="1"/>
  <c r="R700" i="1"/>
  <c r="S700" i="1" l="1"/>
  <c r="T700" i="1" s="1"/>
  <c r="R699" i="1"/>
  <c r="S699" i="1" l="1"/>
  <c r="T699" i="1" s="1"/>
  <c r="R698" i="1"/>
  <c r="R697" i="1" l="1"/>
  <c r="S698" i="1"/>
  <c r="T698" i="1" s="1"/>
  <c r="R696" i="1" l="1"/>
  <c r="S697" i="1"/>
  <c r="T697" i="1" s="1"/>
  <c r="R695" i="1" l="1"/>
  <c r="S696" i="1"/>
  <c r="T696" i="1" s="1"/>
  <c r="S695" i="1" l="1"/>
  <c r="T695" i="1" s="1"/>
  <c r="R694" i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S690" i="1" l="1"/>
  <c r="T690" i="1" s="1"/>
  <c r="R689" i="1"/>
  <c r="S689" i="1" l="1"/>
  <c r="T689" i="1" s="1"/>
  <c r="R688" i="1"/>
  <c r="R687" i="1" l="1"/>
  <c r="S688" i="1"/>
  <c r="T688" i="1" s="1"/>
  <c r="R686" i="1" l="1"/>
  <c r="S687" i="1"/>
  <c r="T687" i="1" s="1"/>
  <c r="R685" i="1" l="1"/>
  <c r="S686" i="1"/>
  <c r="T686" i="1" s="1"/>
  <c r="S685" i="1" l="1"/>
  <c r="T685" i="1" s="1"/>
  <c r="R684" i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S680" i="1" l="1"/>
  <c r="T680" i="1" s="1"/>
  <c r="R679" i="1"/>
  <c r="S679" i="1" l="1"/>
  <c r="T679" i="1" s="1"/>
  <c r="R678" i="1"/>
  <c r="R677" i="1" l="1"/>
  <c r="S678" i="1"/>
  <c r="T678" i="1" s="1"/>
  <c r="S677" i="1" l="1"/>
  <c r="T677" i="1" s="1"/>
  <c r="R676" i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S669" i="1" l="1"/>
  <c r="T669" i="1" s="1"/>
  <c r="R668" i="1"/>
  <c r="R667" i="1" l="1"/>
  <c r="S668" i="1"/>
  <c r="T668" i="1" s="1"/>
  <c r="S667" i="1" l="1"/>
  <c r="T667" i="1" s="1"/>
  <c r="R666" i="1"/>
  <c r="S666" i="1" l="1"/>
  <c r="T666" i="1" s="1"/>
  <c r="R665" i="1"/>
  <c r="S665" i="1" l="1"/>
  <c r="T665" i="1" s="1"/>
  <c r="R664" i="1"/>
  <c r="R663" i="1" l="1"/>
  <c r="S664" i="1"/>
  <c r="T664" i="1" s="1"/>
  <c r="R662" i="1" l="1"/>
  <c r="S663" i="1"/>
  <c r="T663" i="1" s="1"/>
  <c r="R661" i="1" l="1"/>
  <c r="S662" i="1"/>
  <c r="T662" i="1" s="1"/>
  <c r="S661" i="1" l="1"/>
  <c r="T661" i="1" s="1"/>
  <c r="R660" i="1"/>
  <c r="S660" i="1" l="1"/>
  <c r="T660" i="1" s="1"/>
  <c r="R659" i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S655" i="1" l="1"/>
  <c r="T655" i="1" s="1"/>
  <c r="R654" i="1"/>
  <c r="R653" i="1" l="1"/>
  <c r="S654" i="1"/>
  <c r="T654" i="1" s="1"/>
  <c r="R652" i="1" l="1"/>
  <c r="S653" i="1"/>
  <c r="T653" i="1" s="1"/>
  <c r="R651" i="1" l="1"/>
  <c r="S652" i="1"/>
  <c r="T652" i="1" s="1"/>
  <c r="S651" i="1" l="1"/>
  <c r="T651" i="1" s="1"/>
  <c r="R650" i="1"/>
  <c r="S650" i="1" l="1"/>
  <c r="T650" i="1" s="1"/>
  <c r="R649" i="1"/>
  <c r="S649" i="1" l="1"/>
  <c r="T649" i="1" s="1"/>
  <c r="R648" i="1"/>
  <c r="R647" i="1" l="1"/>
  <c r="S648" i="1"/>
  <c r="T648" i="1" s="1"/>
  <c r="R646" i="1" l="1"/>
  <c r="S647" i="1"/>
  <c r="T647" i="1" s="1"/>
  <c r="R645" i="1" l="1"/>
  <c r="S646" i="1"/>
  <c r="T646" i="1" s="1"/>
  <c r="S645" i="1" l="1"/>
  <c r="T645" i="1" s="1"/>
  <c r="R644" i="1"/>
  <c r="R643" i="1" l="1"/>
  <c r="S644" i="1"/>
  <c r="T644" i="1" s="1"/>
  <c r="R642" i="1" l="1"/>
  <c r="S643" i="1"/>
  <c r="T643" i="1" s="1"/>
  <c r="S642" i="1" l="1"/>
  <c r="T642" i="1" s="1"/>
  <c r="R641" i="1"/>
  <c r="R640" i="1" l="1"/>
  <c r="S641" i="1"/>
  <c r="T641" i="1" s="1"/>
  <c r="S640" i="1" l="1"/>
  <c r="T640" i="1" s="1"/>
  <c r="R639" i="1"/>
  <c r="R638" i="1" l="1"/>
  <c r="S639" i="1"/>
  <c r="T639" i="1" s="1"/>
  <c r="R637" i="1" l="1"/>
  <c r="S638" i="1"/>
  <c r="T638" i="1" s="1"/>
  <c r="R636" i="1" l="1"/>
  <c r="S637" i="1"/>
  <c r="T637" i="1" s="1"/>
  <c r="S636" i="1" l="1"/>
  <c r="T636" i="1" s="1"/>
  <c r="R635" i="1"/>
  <c r="S635" i="1" l="1"/>
  <c r="T635" i="1" s="1"/>
  <c r="R634" i="1"/>
  <c r="R633" i="1" l="1"/>
  <c r="S634" i="1"/>
  <c r="T634" i="1" s="1"/>
  <c r="R632" i="1" l="1"/>
  <c r="S633" i="1"/>
  <c r="T633" i="1" s="1"/>
  <c r="R631" i="1" l="1"/>
  <c r="S632" i="1"/>
  <c r="T632" i="1" s="1"/>
  <c r="S631" i="1" l="1"/>
  <c r="T631" i="1" s="1"/>
  <c r="R630" i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S626" i="1" l="1"/>
  <c r="T626" i="1" s="1"/>
  <c r="R625" i="1"/>
  <c r="R624" i="1" l="1"/>
  <c r="S625" i="1"/>
  <c r="T625" i="1" s="1"/>
  <c r="S624" i="1" l="1"/>
  <c r="T624" i="1" s="1"/>
  <c r="R623" i="1"/>
  <c r="R622" i="1" l="1"/>
  <c r="S623" i="1"/>
  <c r="T623" i="1" s="1"/>
  <c r="R621" i="1" l="1"/>
  <c r="S622" i="1"/>
  <c r="T622" i="1" s="1"/>
  <c r="S621" i="1" l="1"/>
  <c r="T621" i="1" s="1"/>
  <c r="R620" i="1"/>
  <c r="R619" i="1" l="1"/>
  <c r="S620" i="1"/>
  <c r="T620" i="1" s="1"/>
  <c r="R618" i="1" l="1"/>
  <c r="S619" i="1"/>
  <c r="T619" i="1" s="1"/>
  <c r="R617" i="1" l="1"/>
  <c r="S618" i="1"/>
  <c r="T618" i="1" s="1"/>
  <c r="S617" i="1" l="1"/>
  <c r="T617" i="1" s="1"/>
  <c r="R616" i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S611" i="1" l="1"/>
  <c r="T611" i="1" s="1"/>
  <c r="R610" i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S601" i="1" l="1"/>
  <c r="T601" i="1" s="1"/>
  <c r="R600" i="1"/>
  <c r="R599" i="1" l="1"/>
  <c r="S600" i="1"/>
  <c r="T600" i="1" s="1"/>
  <c r="S599" i="1" l="1"/>
  <c r="T599" i="1" s="1"/>
  <c r="R598" i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S592" i="1" l="1"/>
  <c r="T592" i="1" s="1"/>
  <c r="R591" i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S586" i="1" l="1"/>
  <c r="T586" i="1" s="1"/>
  <c r="R585" i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S581" i="1" l="1"/>
  <c r="T581" i="1" s="1"/>
  <c r="R580" i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S576" i="1" l="1"/>
  <c r="T576" i="1" s="1"/>
  <c r="R575" i="1"/>
  <c r="R574" i="1" l="1"/>
  <c r="S575" i="1"/>
  <c r="T575" i="1" s="1"/>
  <c r="S574" i="1" l="1"/>
  <c r="T574" i="1" s="1"/>
  <c r="R573" i="1"/>
  <c r="R572" i="1" l="1"/>
  <c r="S573" i="1"/>
  <c r="T573" i="1" s="1"/>
  <c r="R571" i="1" l="1"/>
  <c r="S572" i="1"/>
  <c r="T572" i="1" s="1"/>
  <c r="S571" i="1" l="1"/>
  <c r="T571" i="1" s="1"/>
  <c r="R570" i="1"/>
  <c r="R569" i="1" l="1"/>
  <c r="S570" i="1"/>
  <c r="T570" i="1" s="1"/>
  <c r="R568" i="1" l="1"/>
  <c r="S569" i="1"/>
  <c r="T569" i="1" s="1"/>
  <c r="R567" i="1" l="1"/>
  <c r="S568" i="1"/>
  <c r="T568" i="1" s="1"/>
  <c r="S567" i="1" l="1"/>
  <c r="T567" i="1" s="1"/>
  <c r="R566" i="1"/>
  <c r="S566" i="1" l="1"/>
  <c r="T566" i="1" s="1"/>
  <c r="R565" i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S561" i="1" l="1"/>
  <c r="T561" i="1" s="1"/>
  <c r="R560" i="1"/>
  <c r="R559" i="1" l="1"/>
  <c r="S560" i="1"/>
  <c r="T560" i="1" s="1"/>
  <c r="R558" i="1" l="1"/>
  <c r="S559" i="1"/>
  <c r="T559" i="1" s="1"/>
  <c r="R557" i="1" l="1"/>
  <c r="S558" i="1"/>
  <c r="T558" i="1" s="1"/>
  <c r="S557" i="1" l="1"/>
  <c r="T557" i="1" s="1"/>
  <c r="R556" i="1"/>
  <c r="S556" i="1" l="1"/>
  <c r="T556" i="1" s="1"/>
  <c r="R555" i="1"/>
  <c r="S555" i="1" l="1"/>
  <c r="T555" i="1" s="1"/>
  <c r="R554" i="1"/>
  <c r="R553" i="1" l="1"/>
  <c r="S554" i="1"/>
  <c r="T554" i="1" s="1"/>
  <c r="R552" i="1" l="1"/>
  <c r="S553" i="1"/>
  <c r="T553" i="1" s="1"/>
  <c r="R551" i="1" l="1"/>
  <c r="S552" i="1"/>
  <c r="T552" i="1" s="1"/>
  <c r="S551" i="1" l="1"/>
  <c r="T551" i="1" s="1"/>
  <c r="R550" i="1"/>
  <c r="R549" i="1" l="1"/>
  <c r="S550" i="1"/>
  <c r="T550" i="1" s="1"/>
  <c r="S549" i="1" l="1"/>
  <c r="T549" i="1" s="1"/>
  <c r="R548" i="1"/>
  <c r="R547" i="1" l="1"/>
  <c r="S548" i="1"/>
  <c r="T548" i="1" s="1"/>
  <c r="R546" i="1" l="1"/>
  <c r="S547" i="1"/>
  <c r="T547" i="1" s="1"/>
  <c r="S546" i="1" l="1"/>
  <c r="T546" i="1" s="1"/>
  <c r="R545" i="1"/>
  <c r="S545" i="1" l="1"/>
  <c r="T545" i="1" s="1"/>
  <c r="R544" i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S540" i="1" l="1"/>
  <c r="T540" i="1" s="1"/>
  <c r="R539" i="1"/>
  <c r="R538" i="1" l="1"/>
  <c r="S539" i="1"/>
  <c r="T539" i="1" s="1"/>
  <c r="R537" i="1" l="1"/>
  <c r="S538" i="1"/>
  <c r="T538" i="1" s="1"/>
  <c r="R536" i="1" l="1"/>
  <c r="S537" i="1"/>
  <c r="T537" i="1" s="1"/>
  <c r="S536" i="1" l="1"/>
  <c r="T536" i="1" s="1"/>
  <c r="R535" i="1"/>
  <c r="S535" i="1" l="1"/>
  <c r="T535" i="1" s="1"/>
  <c r="R534" i="1"/>
  <c r="R533" i="1" l="1"/>
  <c r="S534" i="1"/>
  <c r="T534" i="1" s="1"/>
  <c r="R532" i="1" l="1"/>
  <c r="S533" i="1"/>
  <c r="T533" i="1" s="1"/>
  <c r="S532" i="1" l="1"/>
  <c r="T532" i="1" s="1"/>
  <c r="R531" i="1"/>
  <c r="S531" i="1" l="1"/>
  <c r="T531" i="1" s="1"/>
  <c r="R530" i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S525" i="1" l="1"/>
  <c r="T525" i="1" s="1"/>
  <c r="R524" i="1"/>
  <c r="R523" i="1" l="1"/>
  <c r="S524" i="1"/>
  <c r="T524" i="1" s="1"/>
  <c r="R522" i="1" l="1"/>
  <c r="S523" i="1"/>
  <c r="T523" i="1" s="1"/>
  <c r="R521" i="1" l="1"/>
  <c r="S522" i="1"/>
  <c r="T522" i="1" s="1"/>
  <c r="S521" i="1" l="1"/>
  <c r="T521" i="1" s="1"/>
  <c r="R520" i="1"/>
  <c r="S520" i="1" l="1"/>
  <c r="T520" i="1" s="1"/>
  <c r="R519" i="1"/>
  <c r="R518" i="1" l="1"/>
  <c r="S519" i="1"/>
  <c r="T519" i="1" s="1"/>
  <c r="R517" i="1" l="1"/>
  <c r="S518" i="1"/>
  <c r="T518" i="1" s="1"/>
  <c r="R516" i="1" l="1"/>
  <c r="S517" i="1"/>
  <c r="T517" i="1" s="1"/>
  <c r="S516" i="1" l="1"/>
  <c r="T516" i="1" s="1"/>
  <c r="R515" i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S511" i="1" l="1"/>
  <c r="T511" i="1" s="1"/>
  <c r="R510" i="1"/>
  <c r="R509" i="1" l="1"/>
  <c r="S510" i="1"/>
  <c r="T510" i="1" s="1"/>
  <c r="R508" i="1" l="1"/>
  <c r="S509" i="1"/>
  <c r="T509" i="1" s="1"/>
  <c r="R507" i="1" l="1"/>
  <c r="S508" i="1"/>
  <c r="T508" i="1" s="1"/>
  <c r="S507" i="1" l="1"/>
  <c r="T507" i="1" s="1"/>
  <c r="R506" i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S501" i="1" l="1"/>
  <c r="T501" i="1" s="1"/>
  <c r="R500" i="1"/>
  <c r="S500" i="1" l="1"/>
  <c r="T500" i="1" s="1"/>
  <c r="R499" i="1"/>
  <c r="R498" i="1" l="1"/>
  <c r="S499" i="1"/>
  <c r="T499" i="1" s="1"/>
  <c r="R497" i="1" l="1"/>
  <c r="S498" i="1"/>
  <c r="T498" i="1" s="1"/>
  <c r="S497" i="1" l="1"/>
  <c r="T497" i="1" s="1"/>
  <c r="R496" i="1"/>
  <c r="S496" i="1" l="1"/>
  <c r="T496" i="1" s="1"/>
  <c r="R495" i="1"/>
  <c r="S495" i="1" l="1"/>
  <c r="T495" i="1" s="1"/>
  <c r="R494" i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S490" i="1" l="1"/>
  <c r="T490" i="1" s="1"/>
  <c r="R489" i="1"/>
  <c r="S489" i="1" l="1"/>
  <c r="T489" i="1" s="1"/>
  <c r="R488" i="1"/>
  <c r="R487" i="1" l="1"/>
  <c r="S488" i="1"/>
  <c r="T488" i="1" s="1"/>
  <c r="R486" i="1" l="1"/>
  <c r="S487" i="1"/>
  <c r="T487" i="1" s="1"/>
  <c r="R485" i="1" l="1"/>
  <c r="S486" i="1"/>
  <c r="T486" i="1" s="1"/>
  <c r="S485" i="1" l="1"/>
  <c r="T485" i="1" s="1"/>
  <c r="R484" i="1"/>
  <c r="R483" i="1" l="1"/>
  <c r="S484" i="1"/>
  <c r="T484" i="1" s="1"/>
  <c r="R482" i="1" l="1"/>
  <c r="S483" i="1"/>
  <c r="T483" i="1" s="1"/>
  <c r="S482" i="1" l="1"/>
  <c r="T482" i="1" s="1"/>
  <c r="R481" i="1"/>
  <c r="R480" i="1" l="1"/>
  <c r="S481" i="1"/>
  <c r="T481" i="1" s="1"/>
  <c r="S480" i="1" l="1"/>
  <c r="T480" i="1" s="1"/>
  <c r="R479" i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S474" i="1" l="1"/>
  <c r="T474" i="1" s="1"/>
  <c r="R473" i="1"/>
  <c r="S473" i="1" l="1"/>
  <c r="T473" i="1" s="1"/>
  <c r="R472" i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S467" i="1" l="1"/>
  <c r="T467" i="1" s="1"/>
  <c r="R466" i="1"/>
  <c r="R465" i="1" l="1"/>
  <c r="S466" i="1"/>
  <c r="T466" i="1" s="1"/>
  <c r="S465" i="1" l="1"/>
  <c r="T465" i="1" s="1"/>
  <c r="R464" i="1"/>
  <c r="S464" i="1" l="1"/>
  <c r="T464" i="1" s="1"/>
  <c r="R463" i="1"/>
  <c r="R462" i="1" l="1"/>
  <c r="S463" i="1"/>
  <c r="T463" i="1" s="1"/>
  <c r="R461" i="1" l="1"/>
  <c r="S462" i="1"/>
  <c r="T462" i="1" s="1"/>
  <c r="R460" i="1" l="1"/>
  <c r="S461" i="1"/>
  <c r="T461" i="1" s="1"/>
  <c r="S460" i="1" l="1"/>
  <c r="T460" i="1" s="1"/>
  <c r="R459" i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S454" i="1" l="1"/>
  <c r="T454" i="1" s="1"/>
  <c r="R453" i="1"/>
  <c r="R452" i="1" l="1"/>
  <c r="S453" i="1"/>
  <c r="T453" i="1" s="1"/>
  <c r="R451" i="1" l="1"/>
  <c r="S452" i="1"/>
  <c r="T452" i="1" s="1"/>
  <c r="S451" i="1" l="1"/>
  <c r="T451" i="1" s="1"/>
  <c r="R450" i="1"/>
  <c r="S450" i="1" l="1"/>
  <c r="T450" i="1" s="1"/>
  <c r="R449" i="1"/>
  <c r="S449" i="1" l="1"/>
  <c r="T449" i="1" s="1"/>
  <c r="R448" i="1"/>
  <c r="S448" i="1" l="1"/>
  <c r="T448" i="1" s="1"/>
  <c r="R447" i="1"/>
  <c r="R446" i="1" l="1"/>
  <c r="S447" i="1"/>
  <c r="T447" i="1" s="1"/>
  <c r="S446" i="1" l="1"/>
  <c r="T446" i="1" s="1"/>
  <c r="R445" i="1"/>
  <c r="R444" i="1" l="1"/>
  <c r="S445" i="1"/>
  <c r="T445" i="1" s="1"/>
  <c r="R443" i="1" l="1"/>
  <c r="S444" i="1"/>
  <c r="T444" i="1" s="1"/>
  <c r="R442" i="1" l="1"/>
  <c r="S443" i="1"/>
  <c r="T443" i="1" s="1"/>
  <c r="S442" i="1" l="1"/>
  <c r="T442" i="1" s="1"/>
  <c r="R441" i="1"/>
  <c r="R440" i="1" l="1"/>
  <c r="S441" i="1"/>
  <c r="T441" i="1" s="1"/>
  <c r="R439" i="1" l="1"/>
  <c r="S440" i="1"/>
  <c r="T440" i="1" s="1"/>
  <c r="R438" i="1" l="1"/>
  <c r="S439" i="1"/>
  <c r="T439" i="1" s="1"/>
  <c r="S438" i="1" l="1"/>
  <c r="T438" i="1" s="1"/>
  <c r="R437" i="1"/>
  <c r="S437" i="1" l="1"/>
  <c r="T437" i="1" s="1"/>
  <c r="R436" i="1"/>
  <c r="R435" i="1" l="1"/>
  <c r="S436" i="1"/>
  <c r="T436" i="1" s="1"/>
  <c r="S435" i="1" l="1"/>
  <c r="T435" i="1" s="1"/>
  <c r="R434" i="1"/>
  <c r="R433" i="1" l="1"/>
  <c r="S434" i="1"/>
  <c r="T434" i="1" s="1"/>
  <c r="S433" i="1" l="1"/>
  <c r="T433" i="1" s="1"/>
  <c r="R432" i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S426" i="1" l="1"/>
  <c r="T426" i="1" s="1"/>
  <c r="R425" i="1"/>
  <c r="S425" i="1" l="1"/>
  <c r="T425" i="1" s="1"/>
  <c r="R424" i="1"/>
  <c r="R423" i="1" l="1"/>
  <c r="S424" i="1"/>
  <c r="T424" i="1" s="1"/>
  <c r="R422" i="1" l="1"/>
  <c r="S423" i="1"/>
  <c r="T423" i="1" s="1"/>
  <c r="S422" i="1" l="1"/>
  <c r="T422" i="1" s="1"/>
  <c r="R421" i="1"/>
  <c r="S421" i="1" l="1"/>
  <c r="T421" i="1" s="1"/>
  <c r="R420" i="1"/>
  <c r="S420" i="1" l="1"/>
  <c r="T420" i="1" s="1"/>
  <c r="R419" i="1"/>
  <c r="S419" i="1" l="1"/>
  <c r="T419" i="1" s="1"/>
  <c r="R418" i="1"/>
  <c r="R417" i="1" l="1"/>
  <c r="S418" i="1"/>
  <c r="T418" i="1" s="1"/>
  <c r="S417" i="1" l="1"/>
  <c r="T417" i="1" s="1"/>
  <c r="R416" i="1"/>
  <c r="R415" i="1" l="1"/>
  <c r="S416" i="1"/>
  <c r="T416" i="1" s="1"/>
  <c r="S415" i="1" l="1"/>
  <c r="T415" i="1" s="1"/>
  <c r="R414" i="1"/>
  <c r="R413" i="1" l="1"/>
  <c r="S414" i="1"/>
  <c r="T414" i="1" s="1"/>
  <c r="R412" i="1" l="1"/>
  <c r="S413" i="1"/>
  <c r="T413" i="1" s="1"/>
  <c r="S412" i="1" l="1"/>
  <c r="T412" i="1" s="1"/>
  <c r="R411" i="1"/>
  <c r="S411" i="1" l="1"/>
  <c r="T411" i="1" s="1"/>
  <c r="R410" i="1"/>
  <c r="R409" i="1" l="1"/>
  <c r="S410" i="1"/>
  <c r="T410" i="1" s="1"/>
  <c r="S409" i="1" l="1"/>
  <c r="T409" i="1" s="1"/>
  <c r="R408" i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S404" i="1" l="1"/>
  <c r="T404" i="1" s="1"/>
  <c r="R403" i="1"/>
  <c r="S403" i="1" l="1"/>
  <c r="T403" i="1" s="1"/>
  <c r="R402" i="1"/>
  <c r="S402" i="1" l="1"/>
  <c r="T402" i="1" s="1"/>
  <c r="R401" i="1"/>
  <c r="S401" i="1" l="1"/>
  <c r="T401" i="1" s="1"/>
  <c r="R400" i="1"/>
  <c r="R399" i="1" l="1"/>
  <c r="S400" i="1"/>
  <c r="T400" i="1" s="1"/>
  <c r="S399" i="1" l="1"/>
  <c r="T399" i="1" s="1"/>
  <c r="R398" i="1"/>
  <c r="S398" i="1" l="1"/>
  <c r="T398" i="1" s="1"/>
  <c r="R397" i="1"/>
  <c r="S397" i="1" l="1"/>
  <c r="T397" i="1" s="1"/>
  <c r="R396" i="1"/>
  <c r="R395" i="1" l="1"/>
  <c r="S396" i="1"/>
  <c r="T396" i="1" s="1"/>
  <c r="R394" i="1" l="1"/>
  <c r="S395" i="1"/>
  <c r="T395" i="1" s="1"/>
  <c r="R393" i="1" l="1"/>
  <c r="S394" i="1"/>
  <c r="T394" i="1" s="1"/>
  <c r="S393" i="1" l="1"/>
  <c r="T393" i="1" s="1"/>
  <c r="R392" i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S388" i="1" l="1"/>
  <c r="T388" i="1" s="1"/>
  <c r="R387" i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S380" i="1" l="1"/>
  <c r="T380" i="1" s="1"/>
  <c r="R379" i="1"/>
  <c r="S379" i="1" l="1"/>
  <c r="T379" i="1" s="1"/>
  <c r="R378" i="1"/>
  <c r="S378" i="1" l="1"/>
  <c r="T378" i="1" s="1"/>
  <c r="R377" i="1"/>
  <c r="S377" i="1" l="1"/>
  <c r="T377" i="1" s="1"/>
  <c r="R376" i="1"/>
  <c r="R375" i="1" l="1"/>
  <c r="S376" i="1"/>
  <c r="T376" i="1" s="1"/>
  <c r="S375" i="1" l="1"/>
  <c r="T375" i="1" s="1"/>
  <c r="R374" i="1"/>
  <c r="S374" i="1" l="1"/>
  <c r="T374" i="1" s="1"/>
  <c r="R373" i="1"/>
  <c r="S373" i="1" l="1"/>
  <c r="T373" i="1" s="1"/>
  <c r="R372" i="1"/>
  <c r="S372" i="1" l="1"/>
  <c r="T372" i="1" s="1"/>
  <c r="R371" i="1"/>
  <c r="S371" i="1" l="1"/>
  <c r="T371" i="1" s="1"/>
  <c r="R370" i="1"/>
  <c r="R369" i="1" l="1"/>
  <c r="S370" i="1"/>
  <c r="T370" i="1" s="1"/>
  <c r="S369" i="1" l="1"/>
  <c r="T369" i="1" s="1"/>
  <c r="R368" i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S364" i="1" l="1"/>
  <c r="T364" i="1" s="1"/>
  <c r="R363" i="1"/>
  <c r="S363" i="1" l="1"/>
  <c r="T363" i="1" s="1"/>
  <c r="R362" i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S356" i="1" l="1"/>
  <c r="T356" i="1" s="1"/>
  <c r="R355" i="1"/>
  <c r="S355" i="1" l="1"/>
  <c r="T355" i="1" s="1"/>
  <c r="R354" i="1"/>
  <c r="S354" i="1" l="1"/>
  <c r="T354" i="1" s="1"/>
  <c r="R353" i="1"/>
  <c r="S353" i="1" l="1"/>
  <c r="T353" i="1" s="1"/>
  <c r="R352" i="1"/>
  <c r="R351" i="1" l="1"/>
  <c r="S352" i="1"/>
  <c r="T352" i="1" s="1"/>
  <c r="S351" i="1" l="1"/>
  <c r="T351" i="1" s="1"/>
  <c r="R350" i="1"/>
  <c r="S350" i="1" l="1"/>
  <c r="T350" i="1" s="1"/>
  <c r="R349" i="1"/>
  <c r="S349" i="1" l="1"/>
  <c r="T349" i="1" s="1"/>
  <c r="R348" i="1"/>
  <c r="S348" i="1" l="1"/>
  <c r="T348" i="1" s="1"/>
  <c r="R347" i="1"/>
  <c r="S347" i="1" l="1"/>
  <c r="T347" i="1" s="1"/>
  <c r="R346" i="1"/>
  <c r="R345" i="1" l="1"/>
  <c r="S346" i="1"/>
  <c r="T346" i="1" s="1"/>
  <c r="S345" i="1" l="1"/>
  <c r="T345" i="1" s="1"/>
  <c r="R344" i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S339" i="1" l="1"/>
  <c r="T339" i="1" s="1"/>
  <c r="R338" i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S334" i="1" l="1"/>
  <c r="T334" i="1" s="1"/>
  <c r="R333" i="1"/>
  <c r="R332" i="1" l="1"/>
  <c r="S333" i="1"/>
  <c r="T333" i="1" s="1"/>
  <c r="S332" i="1" l="1"/>
  <c r="T332" i="1" s="1"/>
  <c r="R331" i="1"/>
  <c r="S331" i="1" l="1"/>
  <c r="T331" i="1" s="1"/>
  <c r="R330" i="1"/>
  <c r="S330" i="1" l="1"/>
  <c r="T330" i="1" s="1"/>
  <c r="R329" i="1"/>
  <c r="S329" i="1" l="1"/>
  <c r="T329" i="1" s="1"/>
  <c r="R328" i="1"/>
  <c r="R327" i="1" l="1"/>
  <c r="S328" i="1"/>
  <c r="T328" i="1" s="1"/>
  <c r="S327" i="1" l="1"/>
  <c r="T327" i="1" s="1"/>
  <c r="R326" i="1"/>
  <c r="S326" i="1" l="1"/>
  <c r="T326" i="1" s="1"/>
  <c r="R325" i="1"/>
  <c r="S325" i="1" l="1"/>
  <c r="T325" i="1" s="1"/>
  <c r="R324" i="1"/>
  <c r="R323" i="1" l="1"/>
  <c r="S324" i="1"/>
  <c r="T324" i="1" s="1"/>
  <c r="S323" i="1" l="1"/>
  <c r="T323" i="1" s="1"/>
  <c r="R322" i="1"/>
  <c r="R321" i="1" l="1"/>
  <c r="S322" i="1"/>
  <c r="T322" i="1" s="1"/>
  <c r="S321" i="1" l="1"/>
  <c r="T321" i="1" s="1"/>
  <c r="R320" i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S310" i="1" l="1"/>
  <c r="T310" i="1" s="1"/>
  <c r="R309" i="1"/>
  <c r="R308" i="1" l="1"/>
  <c r="S309" i="1"/>
  <c r="T309" i="1" s="1"/>
  <c r="S308" i="1" l="1"/>
  <c r="T308" i="1" s="1"/>
  <c r="R307" i="1"/>
  <c r="S307" i="1" l="1"/>
  <c r="T307" i="1" s="1"/>
  <c r="R306" i="1"/>
  <c r="S306" i="1" l="1"/>
  <c r="T306" i="1" s="1"/>
  <c r="R305" i="1"/>
  <c r="S305" i="1" l="1"/>
  <c r="T305" i="1" s="1"/>
  <c r="R304" i="1"/>
  <c r="R303" i="1" l="1"/>
  <c r="S304" i="1"/>
  <c r="T304" i="1" s="1"/>
  <c r="S303" i="1" l="1"/>
  <c r="T303" i="1" s="1"/>
  <c r="R302" i="1"/>
  <c r="S302" i="1" l="1"/>
  <c r="T302" i="1" s="1"/>
  <c r="R301" i="1"/>
  <c r="S301" i="1" l="1"/>
  <c r="T301" i="1" s="1"/>
  <c r="R300" i="1"/>
  <c r="R299" i="1" l="1"/>
  <c r="S300" i="1"/>
  <c r="T300" i="1" s="1"/>
  <c r="S299" i="1" l="1"/>
  <c r="T299" i="1" s="1"/>
  <c r="R298" i="1"/>
  <c r="R297" i="1" l="1"/>
  <c r="S298" i="1"/>
  <c r="T298" i="1" s="1"/>
  <c r="S297" i="1" l="1"/>
  <c r="T297" i="1" s="1"/>
  <c r="R296" i="1"/>
  <c r="S296" i="1" l="1"/>
  <c r="T296" i="1" s="1"/>
  <c r="R295" i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S286" i="1" l="1"/>
  <c r="T286" i="1" s="1"/>
  <c r="R285" i="1"/>
  <c r="R284" i="1" l="1"/>
  <c r="S285" i="1"/>
  <c r="T285" i="1" s="1"/>
  <c r="S284" i="1" l="1"/>
  <c r="T284" i="1" s="1"/>
  <c r="R283" i="1"/>
  <c r="S283" i="1" l="1"/>
  <c r="T283" i="1" s="1"/>
  <c r="R282" i="1"/>
  <c r="S282" i="1" l="1"/>
  <c r="T282" i="1" s="1"/>
  <c r="R281" i="1"/>
  <c r="S281" i="1" l="1"/>
  <c r="T281" i="1" s="1"/>
  <c r="R280" i="1"/>
  <c r="R279" i="1" l="1"/>
  <c r="S280" i="1"/>
  <c r="T280" i="1" s="1"/>
  <c r="S279" i="1" l="1"/>
  <c r="T279" i="1" s="1"/>
  <c r="R278" i="1"/>
  <c r="S278" i="1" l="1"/>
  <c r="T278" i="1" s="1"/>
  <c r="R277" i="1"/>
  <c r="S277" i="1" l="1"/>
  <c r="T277" i="1" s="1"/>
  <c r="R276" i="1"/>
  <c r="R275" i="1" l="1"/>
  <c r="S276" i="1"/>
  <c r="T276" i="1" s="1"/>
  <c r="S275" i="1" l="1"/>
  <c r="T275" i="1" s="1"/>
  <c r="R274" i="1"/>
  <c r="R273" i="1" l="1"/>
  <c r="S274" i="1"/>
  <c r="T274" i="1" s="1"/>
  <c r="S273" i="1" l="1"/>
  <c r="T273" i="1" s="1"/>
  <c r="R272" i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S262" i="1" l="1"/>
  <c r="T262" i="1" s="1"/>
  <c r="R261" i="1"/>
  <c r="R260" i="1" l="1"/>
  <c r="S261" i="1"/>
  <c r="T261" i="1" s="1"/>
  <c r="S260" i="1" l="1"/>
  <c r="T260" i="1" s="1"/>
  <c r="R259" i="1"/>
  <c r="S259" i="1" l="1"/>
  <c r="T259" i="1" s="1"/>
  <c r="R258" i="1"/>
  <c r="S258" i="1" l="1"/>
  <c r="T258" i="1" s="1"/>
  <c r="R257" i="1"/>
  <c r="S257" i="1" l="1"/>
  <c r="T257" i="1" s="1"/>
  <c r="R256" i="1"/>
  <c r="R255" i="1" l="1"/>
  <c r="S256" i="1"/>
  <c r="T256" i="1" s="1"/>
  <c r="S255" i="1" l="1"/>
  <c r="T255" i="1" s="1"/>
  <c r="R254" i="1"/>
  <c r="S254" i="1" l="1"/>
  <c r="T254" i="1" s="1"/>
  <c r="R253" i="1"/>
  <c r="S253" i="1" l="1"/>
  <c r="T253" i="1" s="1"/>
  <c r="R252" i="1"/>
  <c r="R251" i="1" l="1"/>
  <c r="S252" i="1"/>
  <c r="T252" i="1" s="1"/>
  <c r="S251" i="1" l="1"/>
  <c r="T251" i="1" s="1"/>
  <c r="R250" i="1"/>
  <c r="R249" i="1" l="1"/>
  <c r="S250" i="1"/>
  <c r="T250" i="1" s="1"/>
  <c r="S249" i="1" l="1"/>
  <c r="T249" i="1" s="1"/>
  <c r="R248" i="1"/>
  <c r="S248" i="1" l="1"/>
  <c r="T248" i="1" s="1"/>
  <c r="R247" i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S243" i="1" l="1"/>
  <c r="T243" i="1" s="1"/>
  <c r="R242" i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S238" i="1" l="1"/>
  <c r="T238" i="1" s="1"/>
  <c r="R237" i="1"/>
  <c r="R236" i="1" l="1"/>
  <c r="S237" i="1"/>
  <c r="T237" i="1" s="1"/>
  <c r="S236" i="1" l="1"/>
  <c r="T236" i="1" s="1"/>
  <c r="R235" i="1"/>
  <c r="S235" i="1" l="1"/>
  <c r="T235" i="1" s="1"/>
  <c r="R234" i="1"/>
  <c r="S234" i="1" l="1"/>
  <c r="T234" i="1" s="1"/>
  <c r="R233" i="1"/>
  <c r="S233" i="1" l="1"/>
  <c r="T233" i="1" s="1"/>
  <c r="R232" i="1"/>
  <c r="R231" i="1" l="1"/>
  <c r="S232" i="1"/>
  <c r="T232" i="1" s="1"/>
  <c r="S231" i="1" l="1"/>
  <c r="T231" i="1" s="1"/>
  <c r="R230" i="1"/>
  <c r="S230" i="1" l="1"/>
  <c r="T230" i="1" s="1"/>
  <c r="R229" i="1"/>
  <c r="S229" i="1" l="1"/>
  <c r="T229" i="1" s="1"/>
  <c r="R228" i="1"/>
  <c r="R227" i="1" l="1"/>
  <c r="S228" i="1"/>
  <c r="T228" i="1" s="1"/>
  <c r="S227" i="1" l="1"/>
  <c r="T227" i="1" s="1"/>
  <c r="R226" i="1"/>
  <c r="R225" i="1" l="1"/>
  <c r="S226" i="1"/>
  <c r="T226" i="1" s="1"/>
  <c r="S225" i="1" l="1"/>
  <c r="T225" i="1" s="1"/>
  <c r="R224" i="1"/>
  <c r="S224" i="1" l="1"/>
  <c r="T224" i="1" s="1"/>
  <c r="R223" i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S219" i="1" l="1"/>
  <c r="T219" i="1" s="1"/>
  <c r="R218" i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S214" i="1" l="1"/>
  <c r="T214" i="1" s="1"/>
  <c r="R213" i="1"/>
  <c r="R212" i="1" l="1"/>
  <c r="S213" i="1"/>
  <c r="T213" i="1" s="1"/>
  <c r="S212" i="1" l="1"/>
  <c r="T212" i="1" s="1"/>
  <c r="R211" i="1"/>
  <c r="S211" i="1" l="1"/>
  <c r="T211" i="1" s="1"/>
  <c r="R210" i="1"/>
  <c r="S210" i="1" l="1"/>
  <c r="T210" i="1" s="1"/>
  <c r="R209" i="1"/>
  <c r="S209" i="1" l="1"/>
  <c r="T209" i="1" s="1"/>
  <c r="R208" i="1"/>
  <c r="R207" i="1" l="1"/>
  <c r="S208" i="1"/>
  <c r="T208" i="1" s="1"/>
  <c r="S207" i="1" l="1"/>
  <c r="T207" i="1" s="1"/>
  <c r="R206" i="1"/>
  <c r="S206" i="1" l="1"/>
  <c r="T206" i="1" s="1"/>
  <c r="R205" i="1"/>
  <c r="S205" i="1" l="1"/>
  <c r="T205" i="1" s="1"/>
  <c r="R204" i="1"/>
  <c r="R203" i="1" l="1"/>
  <c r="S204" i="1"/>
  <c r="T204" i="1" s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S198" i="1" l="1"/>
  <c r="T198" i="1" s="1"/>
  <c r="R197" i="1"/>
  <c r="S197" i="1" s="1"/>
  <c r="T197" i="1" s="1"/>
</calcChain>
</file>

<file path=xl/sharedStrings.xml><?xml version="1.0" encoding="utf-8"?>
<sst xmlns="http://schemas.openxmlformats.org/spreadsheetml/2006/main" count="5107" uniqueCount="34">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</sst>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(1)'!$A$197:$A$474</c:f>
              <c:numCache>
                <c:formatCode>m/d/yyyy</c:formatCode>
                <c:ptCount val="278"/>
                <c:pt idx="0">
                  <c:v>44396</c:v>
                </c:pt>
                <c:pt idx="1">
                  <c:v>44395</c:v>
                </c:pt>
                <c:pt idx="2">
                  <c:v>44394</c:v>
                </c:pt>
                <c:pt idx="3">
                  <c:v>44393</c:v>
                </c:pt>
                <c:pt idx="4">
                  <c:v>44392</c:v>
                </c:pt>
                <c:pt idx="5">
                  <c:v>44391</c:v>
                </c:pt>
                <c:pt idx="6">
                  <c:v>44390</c:v>
                </c:pt>
                <c:pt idx="7">
                  <c:v>44389</c:v>
                </c:pt>
                <c:pt idx="8">
                  <c:v>44388</c:v>
                </c:pt>
                <c:pt idx="9">
                  <c:v>44387</c:v>
                </c:pt>
                <c:pt idx="10">
                  <c:v>44386</c:v>
                </c:pt>
                <c:pt idx="11">
                  <c:v>44385</c:v>
                </c:pt>
                <c:pt idx="12">
                  <c:v>44384</c:v>
                </c:pt>
                <c:pt idx="13">
                  <c:v>44383</c:v>
                </c:pt>
                <c:pt idx="14">
                  <c:v>44382</c:v>
                </c:pt>
                <c:pt idx="15">
                  <c:v>44381</c:v>
                </c:pt>
                <c:pt idx="16">
                  <c:v>44380</c:v>
                </c:pt>
                <c:pt idx="17">
                  <c:v>44379</c:v>
                </c:pt>
                <c:pt idx="18">
                  <c:v>44378</c:v>
                </c:pt>
                <c:pt idx="19">
                  <c:v>44377</c:v>
                </c:pt>
                <c:pt idx="20">
                  <c:v>44376</c:v>
                </c:pt>
                <c:pt idx="21">
                  <c:v>44375</c:v>
                </c:pt>
                <c:pt idx="22">
                  <c:v>44374</c:v>
                </c:pt>
                <c:pt idx="23">
                  <c:v>44373</c:v>
                </c:pt>
                <c:pt idx="24">
                  <c:v>44372</c:v>
                </c:pt>
                <c:pt idx="25">
                  <c:v>44371</c:v>
                </c:pt>
                <c:pt idx="26">
                  <c:v>44370</c:v>
                </c:pt>
                <c:pt idx="27">
                  <c:v>44369</c:v>
                </c:pt>
                <c:pt idx="28">
                  <c:v>44368</c:v>
                </c:pt>
                <c:pt idx="29">
                  <c:v>44367</c:v>
                </c:pt>
                <c:pt idx="30">
                  <c:v>44366</c:v>
                </c:pt>
                <c:pt idx="31">
                  <c:v>44365</c:v>
                </c:pt>
                <c:pt idx="32">
                  <c:v>44364</c:v>
                </c:pt>
                <c:pt idx="33">
                  <c:v>44363</c:v>
                </c:pt>
                <c:pt idx="34">
                  <c:v>44362</c:v>
                </c:pt>
                <c:pt idx="35">
                  <c:v>44361</c:v>
                </c:pt>
                <c:pt idx="36">
                  <c:v>44360</c:v>
                </c:pt>
                <c:pt idx="37">
                  <c:v>44359</c:v>
                </c:pt>
                <c:pt idx="38">
                  <c:v>44358</c:v>
                </c:pt>
                <c:pt idx="39">
                  <c:v>44357</c:v>
                </c:pt>
                <c:pt idx="40">
                  <c:v>44356</c:v>
                </c:pt>
                <c:pt idx="41">
                  <c:v>44355</c:v>
                </c:pt>
                <c:pt idx="42">
                  <c:v>44354</c:v>
                </c:pt>
                <c:pt idx="43">
                  <c:v>44353</c:v>
                </c:pt>
                <c:pt idx="44">
                  <c:v>44352</c:v>
                </c:pt>
                <c:pt idx="45">
                  <c:v>44351</c:v>
                </c:pt>
                <c:pt idx="46">
                  <c:v>44350</c:v>
                </c:pt>
                <c:pt idx="47">
                  <c:v>44349</c:v>
                </c:pt>
                <c:pt idx="48">
                  <c:v>44348</c:v>
                </c:pt>
                <c:pt idx="49">
                  <c:v>44347</c:v>
                </c:pt>
                <c:pt idx="50">
                  <c:v>44346</c:v>
                </c:pt>
                <c:pt idx="51">
                  <c:v>44345</c:v>
                </c:pt>
                <c:pt idx="52">
                  <c:v>44344</c:v>
                </c:pt>
                <c:pt idx="53">
                  <c:v>44343</c:v>
                </c:pt>
                <c:pt idx="54">
                  <c:v>44342</c:v>
                </c:pt>
                <c:pt idx="55">
                  <c:v>44341</c:v>
                </c:pt>
                <c:pt idx="56">
                  <c:v>44340</c:v>
                </c:pt>
                <c:pt idx="57">
                  <c:v>44339</c:v>
                </c:pt>
                <c:pt idx="58">
                  <c:v>44338</c:v>
                </c:pt>
                <c:pt idx="59">
                  <c:v>44337</c:v>
                </c:pt>
                <c:pt idx="60">
                  <c:v>44336</c:v>
                </c:pt>
                <c:pt idx="61">
                  <c:v>44335</c:v>
                </c:pt>
                <c:pt idx="62">
                  <c:v>44334</c:v>
                </c:pt>
                <c:pt idx="63">
                  <c:v>44333</c:v>
                </c:pt>
                <c:pt idx="64">
                  <c:v>44332</c:v>
                </c:pt>
                <c:pt idx="65">
                  <c:v>44331</c:v>
                </c:pt>
                <c:pt idx="66">
                  <c:v>44330</c:v>
                </c:pt>
                <c:pt idx="67">
                  <c:v>44329</c:v>
                </c:pt>
                <c:pt idx="68">
                  <c:v>44328</c:v>
                </c:pt>
                <c:pt idx="69">
                  <c:v>44327</c:v>
                </c:pt>
                <c:pt idx="70">
                  <c:v>44326</c:v>
                </c:pt>
                <c:pt idx="71">
                  <c:v>44325</c:v>
                </c:pt>
                <c:pt idx="72">
                  <c:v>44324</c:v>
                </c:pt>
                <c:pt idx="73">
                  <c:v>44323</c:v>
                </c:pt>
                <c:pt idx="74">
                  <c:v>44322</c:v>
                </c:pt>
                <c:pt idx="75">
                  <c:v>44321</c:v>
                </c:pt>
                <c:pt idx="76">
                  <c:v>44320</c:v>
                </c:pt>
                <c:pt idx="77">
                  <c:v>44319</c:v>
                </c:pt>
                <c:pt idx="78">
                  <c:v>44318</c:v>
                </c:pt>
                <c:pt idx="79">
                  <c:v>44317</c:v>
                </c:pt>
                <c:pt idx="80">
                  <c:v>44316</c:v>
                </c:pt>
                <c:pt idx="81">
                  <c:v>44315</c:v>
                </c:pt>
                <c:pt idx="82">
                  <c:v>44314</c:v>
                </c:pt>
                <c:pt idx="83">
                  <c:v>44313</c:v>
                </c:pt>
                <c:pt idx="84">
                  <c:v>44312</c:v>
                </c:pt>
                <c:pt idx="85">
                  <c:v>44311</c:v>
                </c:pt>
                <c:pt idx="86">
                  <c:v>44310</c:v>
                </c:pt>
                <c:pt idx="87">
                  <c:v>44309</c:v>
                </c:pt>
                <c:pt idx="88">
                  <c:v>44308</c:v>
                </c:pt>
                <c:pt idx="89">
                  <c:v>44307</c:v>
                </c:pt>
                <c:pt idx="90">
                  <c:v>44306</c:v>
                </c:pt>
                <c:pt idx="91">
                  <c:v>44305</c:v>
                </c:pt>
                <c:pt idx="92">
                  <c:v>44304</c:v>
                </c:pt>
                <c:pt idx="93">
                  <c:v>44303</c:v>
                </c:pt>
                <c:pt idx="94">
                  <c:v>44302</c:v>
                </c:pt>
                <c:pt idx="95">
                  <c:v>44301</c:v>
                </c:pt>
                <c:pt idx="96">
                  <c:v>44300</c:v>
                </c:pt>
                <c:pt idx="97">
                  <c:v>44299</c:v>
                </c:pt>
                <c:pt idx="98">
                  <c:v>44298</c:v>
                </c:pt>
                <c:pt idx="99">
                  <c:v>44297</c:v>
                </c:pt>
                <c:pt idx="100">
                  <c:v>44296</c:v>
                </c:pt>
                <c:pt idx="101">
                  <c:v>44295</c:v>
                </c:pt>
                <c:pt idx="102">
                  <c:v>44294</c:v>
                </c:pt>
                <c:pt idx="103">
                  <c:v>44293</c:v>
                </c:pt>
                <c:pt idx="104">
                  <c:v>44292</c:v>
                </c:pt>
                <c:pt idx="105">
                  <c:v>44291</c:v>
                </c:pt>
                <c:pt idx="106">
                  <c:v>44290</c:v>
                </c:pt>
                <c:pt idx="107">
                  <c:v>44289</c:v>
                </c:pt>
                <c:pt idx="108">
                  <c:v>44288</c:v>
                </c:pt>
                <c:pt idx="109">
                  <c:v>44287</c:v>
                </c:pt>
                <c:pt idx="110">
                  <c:v>44286</c:v>
                </c:pt>
                <c:pt idx="111">
                  <c:v>44285</c:v>
                </c:pt>
                <c:pt idx="112">
                  <c:v>44284</c:v>
                </c:pt>
                <c:pt idx="113">
                  <c:v>44283</c:v>
                </c:pt>
                <c:pt idx="114">
                  <c:v>44282</c:v>
                </c:pt>
                <c:pt idx="115">
                  <c:v>44281</c:v>
                </c:pt>
                <c:pt idx="116">
                  <c:v>44280</c:v>
                </c:pt>
                <c:pt idx="117">
                  <c:v>44279</c:v>
                </c:pt>
                <c:pt idx="118">
                  <c:v>44278</c:v>
                </c:pt>
                <c:pt idx="119">
                  <c:v>44277</c:v>
                </c:pt>
                <c:pt idx="120">
                  <c:v>44276</c:v>
                </c:pt>
                <c:pt idx="121">
                  <c:v>44275</c:v>
                </c:pt>
                <c:pt idx="122">
                  <c:v>44274</c:v>
                </c:pt>
                <c:pt idx="123">
                  <c:v>44273</c:v>
                </c:pt>
                <c:pt idx="124">
                  <c:v>44272</c:v>
                </c:pt>
                <c:pt idx="125">
                  <c:v>44271</c:v>
                </c:pt>
                <c:pt idx="126">
                  <c:v>44270</c:v>
                </c:pt>
                <c:pt idx="127">
                  <c:v>44269</c:v>
                </c:pt>
                <c:pt idx="128">
                  <c:v>44268</c:v>
                </c:pt>
                <c:pt idx="129">
                  <c:v>44267</c:v>
                </c:pt>
                <c:pt idx="130">
                  <c:v>44266</c:v>
                </c:pt>
                <c:pt idx="131">
                  <c:v>44265</c:v>
                </c:pt>
                <c:pt idx="132">
                  <c:v>44264</c:v>
                </c:pt>
                <c:pt idx="133">
                  <c:v>44263</c:v>
                </c:pt>
                <c:pt idx="134">
                  <c:v>44262</c:v>
                </c:pt>
                <c:pt idx="135">
                  <c:v>44261</c:v>
                </c:pt>
                <c:pt idx="136">
                  <c:v>44260</c:v>
                </c:pt>
                <c:pt idx="137">
                  <c:v>44259</c:v>
                </c:pt>
                <c:pt idx="138">
                  <c:v>44258</c:v>
                </c:pt>
                <c:pt idx="139">
                  <c:v>44257</c:v>
                </c:pt>
                <c:pt idx="140">
                  <c:v>44256</c:v>
                </c:pt>
                <c:pt idx="141">
                  <c:v>44255</c:v>
                </c:pt>
                <c:pt idx="142">
                  <c:v>44254</c:v>
                </c:pt>
                <c:pt idx="143">
                  <c:v>44253</c:v>
                </c:pt>
                <c:pt idx="144">
                  <c:v>44252</c:v>
                </c:pt>
                <c:pt idx="145">
                  <c:v>44251</c:v>
                </c:pt>
                <c:pt idx="146">
                  <c:v>44250</c:v>
                </c:pt>
                <c:pt idx="147">
                  <c:v>44249</c:v>
                </c:pt>
                <c:pt idx="148">
                  <c:v>44248</c:v>
                </c:pt>
                <c:pt idx="149">
                  <c:v>44247</c:v>
                </c:pt>
                <c:pt idx="150">
                  <c:v>44246</c:v>
                </c:pt>
                <c:pt idx="151">
                  <c:v>44245</c:v>
                </c:pt>
                <c:pt idx="152">
                  <c:v>44244</c:v>
                </c:pt>
                <c:pt idx="153">
                  <c:v>44243</c:v>
                </c:pt>
                <c:pt idx="154">
                  <c:v>44242</c:v>
                </c:pt>
                <c:pt idx="155">
                  <c:v>44241</c:v>
                </c:pt>
                <c:pt idx="156">
                  <c:v>44240</c:v>
                </c:pt>
                <c:pt idx="157">
                  <c:v>44239</c:v>
                </c:pt>
                <c:pt idx="158">
                  <c:v>44238</c:v>
                </c:pt>
                <c:pt idx="159">
                  <c:v>44237</c:v>
                </c:pt>
                <c:pt idx="160">
                  <c:v>44236</c:v>
                </c:pt>
                <c:pt idx="161">
                  <c:v>44235</c:v>
                </c:pt>
                <c:pt idx="162">
                  <c:v>44234</c:v>
                </c:pt>
                <c:pt idx="163">
                  <c:v>44233</c:v>
                </c:pt>
                <c:pt idx="164">
                  <c:v>44232</c:v>
                </c:pt>
                <c:pt idx="165">
                  <c:v>44231</c:v>
                </c:pt>
                <c:pt idx="166">
                  <c:v>44230</c:v>
                </c:pt>
                <c:pt idx="167">
                  <c:v>44229</c:v>
                </c:pt>
                <c:pt idx="168">
                  <c:v>44228</c:v>
                </c:pt>
                <c:pt idx="169">
                  <c:v>44227</c:v>
                </c:pt>
                <c:pt idx="170">
                  <c:v>44226</c:v>
                </c:pt>
                <c:pt idx="171">
                  <c:v>44225</c:v>
                </c:pt>
                <c:pt idx="172">
                  <c:v>44224</c:v>
                </c:pt>
                <c:pt idx="173">
                  <c:v>44223</c:v>
                </c:pt>
                <c:pt idx="174">
                  <c:v>44222</c:v>
                </c:pt>
                <c:pt idx="175">
                  <c:v>44221</c:v>
                </c:pt>
                <c:pt idx="176">
                  <c:v>44220</c:v>
                </c:pt>
                <c:pt idx="177">
                  <c:v>44219</c:v>
                </c:pt>
                <c:pt idx="178">
                  <c:v>44218</c:v>
                </c:pt>
                <c:pt idx="179">
                  <c:v>44217</c:v>
                </c:pt>
                <c:pt idx="180">
                  <c:v>44216</c:v>
                </c:pt>
                <c:pt idx="181">
                  <c:v>44215</c:v>
                </c:pt>
                <c:pt idx="182">
                  <c:v>44214</c:v>
                </c:pt>
                <c:pt idx="183">
                  <c:v>44213</c:v>
                </c:pt>
                <c:pt idx="184">
                  <c:v>44212</c:v>
                </c:pt>
                <c:pt idx="185">
                  <c:v>44211</c:v>
                </c:pt>
                <c:pt idx="186">
                  <c:v>44210</c:v>
                </c:pt>
                <c:pt idx="187">
                  <c:v>44209</c:v>
                </c:pt>
                <c:pt idx="188">
                  <c:v>44208</c:v>
                </c:pt>
                <c:pt idx="189">
                  <c:v>44207</c:v>
                </c:pt>
                <c:pt idx="190">
                  <c:v>44206</c:v>
                </c:pt>
                <c:pt idx="191">
                  <c:v>44205</c:v>
                </c:pt>
                <c:pt idx="192">
                  <c:v>44204</c:v>
                </c:pt>
                <c:pt idx="193">
                  <c:v>44203</c:v>
                </c:pt>
                <c:pt idx="194">
                  <c:v>44202</c:v>
                </c:pt>
                <c:pt idx="195">
                  <c:v>44201</c:v>
                </c:pt>
                <c:pt idx="196">
                  <c:v>44200</c:v>
                </c:pt>
                <c:pt idx="197">
                  <c:v>44199</c:v>
                </c:pt>
                <c:pt idx="198">
                  <c:v>44198</c:v>
                </c:pt>
                <c:pt idx="199">
                  <c:v>44197</c:v>
                </c:pt>
                <c:pt idx="200">
                  <c:v>44196</c:v>
                </c:pt>
                <c:pt idx="201">
                  <c:v>44195</c:v>
                </c:pt>
                <c:pt idx="202">
                  <c:v>44194</c:v>
                </c:pt>
                <c:pt idx="203">
                  <c:v>44193</c:v>
                </c:pt>
                <c:pt idx="204">
                  <c:v>44192</c:v>
                </c:pt>
                <c:pt idx="205">
                  <c:v>44191</c:v>
                </c:pt>
                <c:pt idx="206">
                  <c:v>44190</c:v>
                </c:pt>
                <c:pt idx="207">
                  <c:v>44189</c:v>
                </c:pt>
                <c:pt idx="208">
                  <c:v>44188</c:v>
                </c:pt>
                <c:pt idx="209">
                  <c:v>44187</c:v>
                </c:pt>
                <c:pt idx="210">
                  <c:v>44186</c:v>
                </c:pt>
                <c:pt idx="211">
                  <c:v>44185</c:v>
                </c:pt>
                <c:pt idx="212">
                  <c:v>44184</c:v>
                </c:pt>
                <c:pt idx="213">
                  <c:v>44183</c:v>
                </c:pt>
                <c:pt idx="214">
                  <c:v>44182</c:v>
                </c:pt>
                <c:pt idx="215">
                  <c:v>44181</c:v>
                </c:pt>
                <c:pt idx="216">
                  <c:v>44180</c:v>
                </c:pt>
                <c:pt idx="217">
                  <c:v>44179</c:v>
                </c:pt>
                <c:pt idx="218">
                  <c:v>44178</c:v>
                </c:pt>
                <c:pt idx="219">
                  <c:v>44177</c:v>
                </c:pt>
                <c:pt idx="220">
                  <c:v>44176</c:v>
                </c:pt>
                <c:pt idx="221">
                  <c:v>44175</c:v>
                </c:pt>
                <c:pt idx="222">
                  <c:v>44174</c:v>
                </c:pt>
                <c:pt idx="223">
                  <c:v>44173</c:v>
                </c:pt>
                <c:pt idx="224">
                  <c:v>44172</c:v>
                </c:pt>
                <c:pt idx="225">
                  <c:v>44171</c:v>
                </c:pt>
                <c:pt idx="226">
                  <c:v>44170</c:v>
                </c:pt>
                <c:pt idx="227">
                  <c:v>44169</c:v>
                </c:pt>
                <c:pt idx="228">
                  <c:v>44168</c:v>
                </c:pt>
                <c:pt idx="229">
                  <c:v>44167</c:v>
                </c:pt>
                <c:pt idx="230">
                  <c:v>44166</c:v>
                </c:pt>
                <c:pt idx="231">
                  <c:v>44165</c:v>
                </c:pt>
                <c:pt idx="232">
                  <c:v>44164</c:v>
                </c:pt>
                <c:pt idx="233">
                  <c:v>44163</c:v>
                </c:pt>
                <c:pt idx="234">
                  <c:v>44162</c:v>
                </c:pt>
                <c:pt idx="235">
                  <c:v>44161</c:v>
                </c:pt>
                <c:pt idx="236">
                  <c:v>44160</c:v>
                </c:pt>
                <c:pt idx="237">
                  <c:v>44159</c:v>
                </c:pt>
                <c:pt idx="238">
                  <c:v>44158</c:v>
                </c:pt>
                <c:pt idx="239">
                  <c:v>44157</c:v>
                </c:pt>
                <c:pt idx="240">
                  <c:v>44156</c:v>
                </c:pt>
                <c:pt idx="241">
                  <c:v>44155</c:v>
                </c:pt>
                <c:pt idx="242">
                  <c:v>44154</c:v>
                </c:pt>
                <c:pt idx="243">
                  <c:v>44153</c:v>
                </c:pt>
                <c:pt idx="244">
                  <c:v>44152</c:v>
                </c:pt>
                <c:pt idx="245">
                  <c:v>44151</c:v>
                </c:pt>
                <c:pt idx="246">
                  <c:v>44150</c:v>
                </c:pt>
                <c:pt idx="247">
                  <c:v>44149</c:v>
                </c:pt>
                <c:pt idx="248">
                  <c:v>44148</c:v>
                </c:pt>
                <c:pt idx="249">
                  <c:v>44147</c:v>
                </c:pt>
                <c:pt idx="250">
                  <c:v>44146</c:v>
                </c:pt>
                <c:pt idx="251">
                  <c:v>44145</c:v>
                </c:pt>
                <c:pt idx="252">
                  <c:v>44144</c:v>
                </c:pt>
                <c:pt idx="253">
                  <c:v>44143</c:v>
                </c:pt>
                <c:pt idx="254">
                  <c:v>44142</c:v>
                </c:pt>
                <c:pt idx="255">
                  <c:v>44141</c:v>
                </c:pt>
                <c:pt idx="256">
                  <c:v>44140</c:v>
                </c:pt>
                <c:pt idx="257">
                  <c:v>44139</c:v>
                </c:pt>
                <c:pt idx="258">
                  <c:v>44138</c:v>
                </c:pt>
                <c:pt idx="259">
                  <c:v>44137</c:v>
                </c:pt>
                <c:pt idx="260">
                  <c:v>44136</c:v>
                </c:pt>
                <c:pt idx="261">
                  <c:v>44135</c:v>
                </c:pt>
                <c:pt idx="262">
                  <c:v>44134</c:v>
                </c:pt>
                <c:pt idx="263">
                  <c:v>44133</c:v>
                </c:pt>
                <c:pt idx="264">
                  <c:v>44132</c:v>
                </c:pt>
                <c:pt idx="265">
                  <c:v>44131</c:v>
                </c:pt>
                <c:pt idx="266">
                  <c:v>44130</c:v>
                </c:pt>
                <c:pt idx="267">
                  <c:v>44129</c:v>
                </c:pt>
                <c:pt idx="268">
                  <c:v>44128</c:v>
                </c:pt>
                <c:pt idx="269">
                  <c:v>44127</c:v>
                </c:pt>
                <c:pt idx="270">
                  <c:v>44126</c:v>
                </c:pt>
                <c:pt idx="271">
                  <c:v>44125</c:v>
                </c:pt>
                <c:pt idx="272">
                  <c:v>44124</c:v>
                </c:pt>
                <c:pt idx="273">
                  <c:v>44123</c:v>
                </c:pt>
                <c:pt idx="274">
                  <c:v>44122</c:v>
                </c:pt>
                <c:pt idx="275">
                  <c:v>44121</c:v>
                </c:pt>
                <c:pt idx="276">
                  <c:v>44120</c:v>
                </c:pt>
                <c:pt idx="277">
                  <c:v>44119</c:v>
                </c:pt>
              </c:numCache>
            </c:numRef>
          </c:cat>
          <c:val>
            <c:numRef>
              <c:f>'table (1)'!$E$197:$E$474</c:f>
              <c:numCache>
                <c:formatCode>General</c:formatCode>
                <c:ptCount val="278"/>
                <c:pt idx="0">
                  <c:v>238.51</c:v>
                </c:pt>
                <c:pt idx="1">
                  <c:v>253.68</c:v>
                </c:pt>
                <c:pt idx="2">
                  <c:v>253.14</c:v>
                </c:pt>
                <c:pt idx="3">
                  <c:v>253.13</c:v>
                </c:pt>
                <c:pt idx="4">
                  <c:v>272.3</c:v>
                </c:pt>
                <c:pt idx="5">
                  <c:v>279.29000000000002</c:v>
                </c:pt>
                <c:pt idx="6">
                  <c:v>271.23</c:v>
                </c:pt>
                <c:pt idx="7">
                  <c:v>296.73</c:v>
                </c:pt>
                <c:pt idx="8">
                  <c:v>305.08999999999997</c:v>
                </c:pt>
                <c:pt idx="9">
                  <c:v>294.7</c:v>
                </c:pt>
                <c:pt idx="10">
                  <c:v>303</c:v>
                </c:pt>
                <c:pt idx="11">
                  <c:v>291.36</c:v>
                </c:pt>
                <c:pt idx="12">
                  <c:v>314.83</c:v>
                </c:pt>
                <c:pt idx="13">
                  <c:v>316.49</c:v>
                </c:pt>
                <c:pt idx="14">
                  <c:v>308.22000000000003</c:v>
                </c:pt>
                <c:pt idx="15">
                  <c:v>277</c:v>
                </c:pt>
                <c:pt idx="16">
                  <c:v>259.42</c:v>
                </c:pt>
                <c:pt idx="17">
                  <c:v>234.12</c:v>
                </c:pt>
                <c:pt idx="18">
                  <c:v>230.17</c:v>
                </c:pt>
                <c:pt idx="19">
                  <c:v>251.08</c:v>
                </c:pt>
                <c:pt idx="20">
                  <c:v>238.22</c:v>
                </c:pt>
                <c:pt idx="21">
                  <c:v>227.37</c:v>
                </c:pt>
                <c:pt idx="22">
                  <c:v>202.87</c:v>
                </c:pt>
                <c:pt idx="23">
                  <c:v>187.29</c:v>
                </c:pt>
                <c:pt idx="24">
                  <c:v>186.86</c:v>
                </c:pt>
                <c:pt idx="25">
                  <c:v>211.28</c:v>
                </c:pt>
                <c:pt idx="26">
                  <c:v>207.65</c:v>
                </c:pt>
                <c:pt idx="27">
                  <c:v>206.12</c:v>
                </c:pt>
                <c:pt idx="28">
                  <c:v>212.64</c:v>
                </c:pt>
                <c:pt idx="29">
                  <c:v>272.67</c:v>
                </c:pt>
                <c:pt idx="30">
                  <c:v>254.59</c:v>
                </c:pt>
                <c:pt idx="31">
                  <c:v>265.11</c:v>
                </c:pt>
                <c:pt idx="32">
                  <c:v>293.20999999999998</c:v>
                </c:pt>
                <c:pt idx="33">
                  <c:v>290.70999999999998</c:v>
                </c:pt>
                <c:pt idx="34">
                  <c:v>311.77999999999997</c:v>
                </c:pt>
                <c:pt idx="35">
                  <c:v>318.19</c:v>
                </c:pt>
                <c:pt idx="36">
                  <c:v>316.27</c:v>
                </c:pt>
                <c:pt idx="37">
                  <c:v>278.49</c:v>
                </c:pt>
                <c:pt idx="38">
                  <c:v>285.33</c:v>
                </c:pt>
                <c:pt idx="39">
                  <c:v>310.29000000000002</c:v>
                </c:pt>
                <c:pt idx="40">
                  <c:v>338.85</c:v>
                </c:pt>
                <c:pt idx="41">
                  <c:v>329.3</c:v>
                </c:pt>
                <c:pt idx="42">
                  <c:v>334.54</c:v>
                </c:pt>
                <c:pt idx="43">
                  <c:v>365.48</c:v>
                </c:pt>
                <c:pt idx="44">
                  <c:v>356.22</c:v>
                </c:pt>
                <c:pt idx="45">
                  <c:v>373.11</c:v>
                </c:pt>
                <c:pt idx="46">
                  <c:v>398.36</c:v>
                </c:pt>
                <c:pt idx="47">
                  <c:v>384.24</c:v>
                </c:pt>
                <c:pt idx="48">
                  <c:v>373.13</c:v>
                </c:pt>
                <c:pt idx="49">
                  <c:v>382.44</c:v>
                </c:pt>
                <c:pt idx="50">
                  <c:v>324.38</c:v>
                </c:pt>
                <c:pt idx="51">
                  <c:v>298.02</c:v>
                </c:pt>
                <c:pt idx="52">
                  <c:v>319.8</c:v>
                </c:pt>
                <c:pt idx="53">
                  <c:v>371.9</c:v>
                </c:pt>
                <c:pt idx="54">
                  <c:v>414.57</c:v>
                </c:pt>
                <c:pt idx="55">
                  <c:v>370.66</c:v>
                </c:pt>
                <c:pt idx="56">
                  <c:v>387.06</c:v>
                </c:pt>
                <c:pt idx="57">
                  <c:v>293.31</c:v>
                </c:pt>
                <c:pt idx="58">
                  <c:v>334.87</c:v>
                </c:pt>
                <c:pt idx="59">
                  <c:v>373.29</c:v>
                </c:pt>
                <c:pt idx="60">
                  <c:v>467.22</c:v>
                </c:pt>
                <c:pt idx="61">
                  <c:v>414.36</c:v>
                </c:pt>
                <c:pt idx="62">
                  <c:v>628.75</c:v>
                </c:pt>
                <c:pt idx="63">
                  <c:v>572.26</c:v>
                </c:pt>
                <c:pt idx="64">
                  <c:v>527.88</c:v>
                </c:pt>
                <c:pt idx="65">
                  <c:v>517.89</c:v>
                </c:pt>
                <c:pt idx="66">
                  <c:v>594.78</c:v>
                </c:pt>
                <c:pt idx="67">
                  <c:v>509.33</c:v>
                </c:pt>
                <c:pt idx="68">
                  <c:v>513.80999999999995</c:v>
                </c:pt>
                <c:pt idx="69">
                  <c:v>457.28</c:v>
                </c:pt>
                <c:pt idx="70">
                  <c:v>433.48</c:v>
                </c:pt>
                <c:pt idx="71">
                  <c:v>459.51</c:v>
                </c:pt>
                <c:pt idx="72">
                  <c:v>466.9</c:v>
                </c:pt>
                <c:pt idx="73">
                  <c:v>445.13</c:v>
                </c:pt>
                <c:pt idx="74">
                  <c:v>452.93</c:v>
                </c:pt>
                <c:pt idx="75">
                  <c:v>480.4</c:v>
                </c:pt>
                <c:pt idx="76">
                  <c:v>448.1</c:v>
                </c:pt>
                <c:pt idx="77">
                  <c:v>518.22</c:v>
                </c:pt>
                <c:pt idx="78">
                  <c:v>482.41</c:v>
                </c:pt>
                <c:pt idx="79">
                  <c:v>504.47</c:v>
                </c:pt>
                <c:pt idx="80">
                  <c:v>444.72</c:v>
                </c:pt>
                <c:pt idx="81">
                  <c:v>438.96</c:v>
                </c:pt>
                <c:pt idx="82">
                  <c:v>460.88</c:v>
                </c:pt>
                <c:pt idx="83">
                  <c:v>440.7</c:v>
                </c:pt>
                <c:pt idx="84">
                  <c:v>405.65</c:v>
                </c:pt>
                <c:pt idx="85">
                  <c:v>348.53</c:v>
                </c:pt>
                <c:pt idx="86">
                  <c:v>317.33100000000002</c:v>
                </c:pt>
                <c:pt idx="87">
                  <c:v>343.38600000000002</c:v>
                </c:pt>
                <c:pt idx="88">
                  <c:v>359.709</c:v>
                </c:pt>
                <c:pt idx="89">
                  <c:v>351.43099999999998</c:v>
                </c:pt>
                <c:pt idx="90">
                  <c:v>360.44900000000001</c:v>
                </c:pt>
                <c:pt idx="91">
                  <c:v>344.142</c:v>
                </c:pt>
                <c:pt idx="92">
                  <c:v>381.49799999999999</c:v>
                </c:pt>
                <c:pt idx="93">
                  <c:v>425</c:v>
                </c:pt>
                <c:pt idx="94">
                  <c:v>440.78399999999999</c:v>
                </c:pt>
                <c:pt idx="95">
                  <c:v>466.07600000000002</c:v>
                </c:pt>
                <c:pt idx="96">
                  <c:v>428.517</c:v>
                </c:pt>
                <c:pt idx="97">
                  <c:v>399.07400000000001</c:v>
                </c:pt>
                <c:pt idx="98">
                  <c:v>397.56400000000002</c:v>
                </c:pt>
                <c:pt idx="99">
                  <c:v>372.02600000000001</c:v>
                </c:pt>
                <c:pt idx="100">
                  <c:v>367.29500000000002</c:v>
                </c:pt>
                <c:pt idx="101">
                  <c:v>358.863</c:v>
                </c:pt>
                <c:pt idx="102">
                  <c:v>371.02699999999999</c:v>
                </c:pt>
                <c:pt idx="103">
                  <c:v>349.20299999999997</c:v>
                </c:pt>
                <c:pt idx="104">
                  <c:v>382.99</c:v>
                </c:pt>
                <c:pt idx="105">
                  <c:v>398.08499999999998</c:v>
                </c:pt>
                <c:pt idx="106">
                  <c:v>403.4</c:v>
                </c:pt>
                <c:pt idx="107">
                  <c:v>379.62200000000001</c:v>
                </c:pt>
                <c:pt idx="108">
                  <c:v>420.08199999999999</c:v>
                </c:pt>
                <c:pt idx="109">
                  <c:v>382.21600000000001</c:v>
                </c:pt>
                <c:pt idx="110">
                  <c:v>382.56700000000001</c:v>
                </c:pt>
                <c:pt idx="111">
                  <c:v>377.32799999999997</c:v>
                </c:pt>
                <c:pt idx="112">
                  <c:v>360.827</c:v>
                </c:pt>
                <c:pt idx="113">
                  <c:v>347.721</c:v>
                </c:pt>
                <c:pt idx="114">
                  <c:v>351.31900000000002</c:v>
                </c:pt>
                <c:pt idx="115">
                  <c:v>358.428</c:v>
                </c:pt>
                <c:pt idx="116">
                  <c:v>325.22300000000001</c:v>
                </c:pt>
                <c:pt idx="117">
                  <c:v>308.01900000000001</c:v>
                </c:pt>
                <c:pt idx="118">
                  <c:v>330.48899999999998</c:v>
                </c:pt>
                <c:pt idx="119">
                  <c:v>336.33499999999998</c:v>
                </c:pt>
                <c:pt idx="120">
                  <c:v>367.339</c:v>
                </c:pt>
                <c:pt idx="121">
                  <c:v>370.17099999999999</c:v>
                </c:pt>
                <c:pt idx="122">
                  <c:v>368.86099999999999</c:v>
                </c:pt>
                <c:pt idx="123">
                  <c:v>363.13299999999998</c:v>
                </c:pt>
                <c:pt idx="124">
                  <c:v>382.9</c:v>
                </c:pt>
                <c:pt idx="125">
                  <c:v>370.666</c:v>
                </c:pt>
                <c:pt idx="126">
                  <c:v>367.59199999999998</c:v>
                </c:pt>
                <c:pt idx="127">
                  <c:v>380.66899999999998</c:v>
                </c:pt>
                <c:pt idx="128">
                  <c:v>413.75900000000001</c:v>
                </c:pt>
                <c:pt idx="129">
                  <c:v>373.76299999999998</c:v>
                </c:pt>
                <c:pt idx="130">
                  <c:v>404.846</c:v>
                </c:pt>
                <c:pt idx="131">
                  <c:v>406.84800000000001</c:v>
                </c:pt>
                <c:pt idx="132">
                  <c:v>444.08800000000002</c:v>
                </c:pt>
                <c:pt idx="133">
                  <c:v>437.28199999999998</c:v>
                </c:pt>
                <c:pt idx="134">
                  <c:v>414.89</c:v>
                </c:pt>
                <c:pt idx="135">
                  <c:v>387.93400000000003</c:v>
                </c:pt>
                <c:pt idx="136">
                  <c:v>367.005</c:v>
                </c:pt>
                <c:pt idx="137">
                  <c:v>373.733</c:v>
                </c:pt>
                <c:pt idx="138">
                  <c:v>395.50099999999998</c:v>
                </c:pt>
                <c:pt idx="139">
                  <c:v>390.94600000000003</c:v>
                </c:pt>
                <c:pt idx="140">
                  <c:v>385.952</c:v>
                </c:pt>
                <c:pt idx="141">
                  <c:v>354.15499999999997</c:v>
                </c:pt>
                <c:pt idx="142">
                  <c:v>332.82400000000001</c:v>
                </c:pt>
                <c:pt idx="143">
                  <c:v>323.26799999999997</c:v>
                </c:pt>
                <c:pt idx="144">
                  <c:v>338.56299999999999</c:v>
                </c:pt>
                <c:pt idx="145">
                  <c:v>367.50299999999999</c:v>
                </c:pt>
                <c:pt idx="146">
                  <c:v>364.25799999999998</c:v>
                </c:pt>
                <c:pt idx="147">
                  <c:v>400</c:v>
                </c:pt>
                <c:pt idx="148">
                  <c:v>436.96499999999997</c:v>
                </c:pt>
                <c:pt idx="149">
                  <c:v>441.108</c:v>
                </c:pt>
                <c:pt idx="150">
                  <c:v>419.60399999999998</c:v>
                </c:pt>
                <c:pt idx="151">
                  <c:v>441.50299999999999</c:v>
                </c:pt>
                <c:pt idx="152">
                  <c:v>451.33300000000003</c:v>
                </c:pt>
                <c:pt idx="153">
                  <c:v>432.36399999999998</c:v>
                </c:pt>
                <c:pt idx="154">
                  <c:v>455.666</c:v>
                </c:pt>
                <c:pt idx="155">
                  <c:v>468.52499999999998</c:v>
                </c:pt>
                <c:pt idx="156">
                  <c:v>494.73200000000003</c:v>
                </c:pt>
                <c:pt idx="157">
                  <c:v>528.32500000000005</c:v>
                </c:pt>
                <c:pt idx="158">
                  <c:v>517.18899999999996</c:v>
                </c:pt>
                <c:pt idx="159">
                  <c:v>523.49699999999996</c:v>
                </c:pt>
                <c:pt idx="160">
                  <c:v>488.21800000000002</c:v>
                </c:pt>
                <c:pt idx="161">
                  <c:v>489.29399999999998</c:v>
                </c:pt>
                <c:pt idx="162">
                  <c:v>472.90699999999998</c:v>
                </c:pt>
                <c:pt idx="163">
                  <c:v>473.93599999999998</c:v>
                </c:pt>
                <c:pt idx="164">
                  <c:v>505.37599999999998</c:v>
                </c:pt>
                <c:pt idx="165">
                  <c:v>466.58199999999999</c:v>
                </c:pt>
                <c:pt idx="166">
                  <c:v>384.49900000000002</c:v>
                </c:pt>
                <c:pt idx="167">
                  <c:v>302.98700000000002</c:v>
                </c:pt>
                <c:pt idx="168">
                  <c:v>294.95400000000001</c:v>
                </c:pt>
                <c:pt idx="169">
                  <c:v>299.601</c:v>
                </c:pt>
                <c:pt idx="170">
                  <c:v>314.791</c:v>
                </c:pt>
                <c:pt idx="171">
                  <c:v>287.8</c:v>
                </c:pt>
                <c:pt idx="172">
                  <c:v>297.209</c:v>
                </c:pt>
                <c:pt idx="173">
                  <c:v>286</c:v>
                </c:pt>
                <c:pt idx="174">
                  <c:v>277.661</c:v>
                </c:pt>
                <c:pt idx="175">
                  <c:v>247.64699999999999</c:v>
                </c:pt>
                <c:pt idx="176">
                  <c:v>264.40100000000001</c:v>
                </c:pt>
                <c:pt idx="177">
                  <c:v>213.304</c:v>
                </c:pt>
                <c:pt idx="178">
                  <c:v>189.59200000000001</c:v>
                </c:pt>
                <c:pt idx="179">
                  <c:v>160.321</c:v>
                </c:pt>
                <c:pt idx="180">
                  <c:v>196.733</c:v>
                </c:pt>
                <c:pt idx="181">
                  <c:v>186.07900000000001</c:v>
                </c:pt>
                <c:pt idx="182">
                  <c:v>200.054</c:v>
                </c:pt>
                <c:pt idx="183">
                  <c:v>186.32300000000001</c:v>
                </c:pt>
                <c:pt idx="184">
                  <c:v>181.417</c:v>
                </c:pt>
                <c:pt idx="185">
                  <c:v>166.51300000000001</c:v>
                </c:pt>
                <c:pt idx="186">
                  <c:v>147.53</c:v>
                </c:pt>
                <c:pt idx="187">
                  <c:v>146.81100000000001</c:v>
                </c:pt>
                <c:pt idx="188">
                  <c:v>127.765</c:v>
                </c:pt>
                <c:pt idx="189">
                  <c:v>114.212</c:v>
                </c:pt>
                <c:pt idx="190">
                  <c:v>127.00700000000001</c:v>
                </c:pt>
                <c:pt idx="191">
                  <c:v>117.479</c:v>
                </c:pt>
                <c:pt idx="192">
                  <c:v>110.48099999999999</c:v>
                </c:pt>
                <c:pt idx="193">
                  <c:v>114.82299999999999</c:v>
                </c:pt>
                <c:pt idx="194">
                  <c:v>115.191</c:v>
                </c:pt>
                <c:pt idx="195">
                  <c:v>119.68899999999999</c:v>
                </c:pt>
                <c:pt idx="196">
                  <c:v>114.271</c:v>
                </c:pt>
                <c:pt idx="197">
                  <c:v>93.778000000000006</c:v>
                </c:pt>
                <c:pt idx="198">
                  <c:v>85.768000000000001</c:v>
                </c:pt>
                <c:pt idx="199">
                  <c:v>90.710999999999999</c:v>
                </c:pt>
                <c:pt idx="200">
                  <c:v>88.48</c:v>
                </c:pt>
                <c:pt idx="201">
                  <c:v>81</c:v>
                </c:pt>
                <c:pt idx="202">
                  <c:v>78.135999999999996</c:v>
                </c:pt>
                <c:pt idx="203">
                  <c:v>81.832999999999998</c:v>
                </c:pt>
                <c:pt idx="204">
                  <c:v>76.751000000000005</c:v>
                </c:pt>
                <c:pt idx="205">
                  <c:v>75.055000000000007</c:v>
                </c:pt>
                <c:pt idx="206">
                  <c:v>79.658000000000001</c:v>
                </c:pt>
                <c:pt idx="207">
                  <c:v>80.665000000000006</c:v>
                </c:pt>
                <c:pt idx="208">
                  <c:v>75.718000000000004</c:v>
                </c:pt>
                <c:pt idx="209">
                  <c:v>84.33</c:v>
                </c:pt>
                <c:pt idx="210">
                  <c:v>80.757000000000005</c:v>
                </c:pt>
                <c:pt idx="211">
                  <c:v>85.629000000000005</c:v>
                </c:pt>
                <c:pt idx="212">
                  <c:v>88.983000000000004</c:v>
                </c:pt>
                <c:pt idx="213">
                  <c:v>90.424000000000007</c:v>
                </c:pt>
                <c:pt idx="214">
                  <c:v>85.034000000000006</c:v>
                </c:pt>
                <c:pt idx="215">
                  <c:v>87.542000000000002</c:v>
                </c:pt>
                <c:pt idx="216">
                  <c:v>87.067999999999998</c:v>
                </c:pt>
                <c:pt idx="217">
                  <c:v>86.295000000000002</c:v>
                </c:pt>
                <c:pt idx="218">
                  <c:v>83.929000000000002</c:v>
                </c:pt>
                <c:pt idx="219">
                  <c:v>77.837999999999994</c:v>
                </c:pt>
                <c:pt idx="220">
                  <c:v>74.646000000000001</c:v>
                </c:pt>
                <c:pt idx="221">
                  <c:v>76.323999999999998</c:v>
                </c:pt>
                <c:pt idx="222">
                  <c:v>82.57</c:v>
                </c:pt>
                <c:pt idx="223">
                  <c:v>80.067999999999998</c:v>
                </c:pt>
                <c:pt idx="224">
                  <c:v>90.688000000000002</c:v>
                </c:pt>
                <c:pt idx="225">
                  <c:v>87.837999999999994</c:v>
                </c:pt>
                <c:pt idx="226">
                  <c:v>92.713999999999999</c:v>
                </c:pt>
                <c:pt idx="227">
                  <c:v>80.679000000000002</c:v>
                </c:pt>
                <c:pt idx="228">
                  <c:v>91.558000000000007</c:v>
                </c:pt>
                <c:pt idx="229">
                  <c:v>86.647000000000006</c:v>
                </c:pt>
                <c:pt idx="230">
                  <c:v>74.3</c:v>
                </c:pt>
                <c:pt idx="231">
                  <c:v>76</c:v>
                </c:pt>
                <c:pt idx="232">
                  <c:v>68.885999999999996</c:v>
                </c:pt>
                <c:pt idx="233">
                  <c:v>63.944000000000003</c:v>
                </c:pt>
                <c:pt idx="234">
                  <c:v>60.802</c:v>
                </c:pt>
                <c:pt idx="235">
                  <c:v>64.210999999999999</c:v>
                </c:pt>
                <c:pt idx="236">
                  <c:v>61.723999999999997</c:v>
                </c:pt>
                <c:pt idx="237">
                  <c:v>66.781999999999996</c:v>
                </c:pt>
                <c:pt idx="238">
                  <c:v>72.322999999999993</c:v>
                </c:pt>
                <c:pt idx="239">
                  <c:v>68.811000000000007</c:v>
                </c:pt>
                <c:pt idx="240">
                  <c:v>70.486999999999995</c:v>
                </c:pt>
                <c:pt idx="241">
                  <c:v>74.944999999999993</c:v>
                </c:pt>
                <c:pt idx="242">
                  <c:v>76.28</c:v>
                </c:pt>
                <c:pt idx="243">
                  <c:v>75.150000000000006</c:v>
                </c:pt>
                <c:pt idx="244">
                  <c:v>79.263000000000005</c:v>
                </c:pt>
                <c:pt idx="245">
                  <c:v>72.974999999999994</c:v>
                </c:pt>
                <c:pt idx="246">
                  <c:v>64.256</c:v>
                </c:pt>
                <c:pt idx="247">
                  <c:v>66.83</c:v>
                </c:pt>
                <c:pt idx="248">
                  <c:v>63.456000000000003</c:v>
                </c:pt>
                <c:pt idx="249">
                  <c:v>51.793999999999997</c:v>
                </c:pt>
                <c:pt idx="250">
                  <c:v>54.436999999999998</c:v>
                </c:pt>
                <c:pt idx="251">
                  <c:v>66.988</c:v>
                </c:pt>
                <c:pt idx="252">
                  <c:v>55.113</c:v>
                </c:pt>
                <c:pt idx="253">
                  <c:v>53.930999999999997</c:v>
                </c:pt>
                <c:pt idx="254">
                  <c:v>44.529000000000003</c:v>
                </c:pt>
                <c:pt idx="255">
                  <c:v>38.65</c:v>
                </c:pt>
                <c:pt idx="256">
                  <c:v>30.995000000000001</c:v>
                </c:pt>
                <c:pt idx="257">
                  <c:v>27.686</c:v>
                </c:pt>
                <c:pt idx="258">
                  <c:v>28.122</c:v>
                </c:pt>
                <c:pt idx="259">
                  <c:v>29.724</c:v>
                </c:pt>
                <c:pt idx="260">
                  <c:v>30.757000000000001</c:v>
                </c:pt>
                <c:pt idx="261">
                  <c:v>29.7</c:v>
                </c:pt>
                <c:pt idx="262">
                  <c:v>31.087</c:v>
                </c:pt>
                <c:pt idx="263">
                  <c:v>29.244</c:v>
                </c:pt>
                <c:pt idx="264">
                  <c:v>32.421999999999997</c:v>
                </c:pt>
                <c:pt idx="265">
                  <c:v>34.869</c:v>
                </c:pt>
                <c:pt idx="266">
                  <c:v>35.950000000000003</c:v>
                </c:pt>
                <c:pt idx="267">
                  <c:v>37.895000000000003</c:v>
                </c:pt>
                <c:pt idx="268">
                  <c:v>39.436999999999998</c:v>
                </c:pt>
                <c:pt idx="269">
                  <c:v>41.680999999999997</c:v>
                </c:pt>
                <c:pt idx="270">
                  <c:v>37.835999999999999</c:v>
                </c:pt>
                <c:pt idx="271">
                  <c:v>35.073</c:v>
                </c:pt>
                <c:pt idx="272">
                  <c:v>32.159999999999997</c:v>
                </c:pt>
                <c:pt idx="273">
                  <c:v>35.979999999999997</c:v>
                </c:pt>
                <c:pt idx="274">
                  <c:v>40.75</c:v>
                </c:pt>
                <c:pt idx="275">
                  <c:v>41.365000000000002</c:v>
                </c:pt>
                <c:pt idx="276">
                  <c:v>39.460999999999999</c:v>
                </c:pt>
                <c:pt idx="277">
                  <c:v>42.999000000000002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B6-4A21-93EB-28BFEE0913E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(1)'!$A$197:$A$474</c:f>
              <c:numCache>
                <c:formatCode>m/d/yyyy</c:formatCode>
                <c:ptCount val="278"/>
                <c:pt idx="0">
                  <c:v>44396</c:v>
                </c:pt>
                <c:pt idx="1">
                  <c:v>44395</c:v>
                </c:pt>
                <c:pt idx="2">
                  <c:v>44394</c:v>
                </c:pt>
                <c:pt idx="3">
                  <c:v>44393</c:v>
                </c:pt>
                <c:pt idx="4">
                  <c:v>44392</c:v>
                </c:pt>
                <c:pt idx="5">
                  <c:v>44391</c:v>
                </c:pt>
                <c:pt idx="6">
                  <c:v>44390</c:v>
                </c:pt>
                <c:pt idx="7">
                  <c:v>44389</c:v>
                </c:pt>
                <c:pt idx="8">
                  <c:v>44388</c:v>
                </c:pt>
                <c:pt idx="9">
                  <c:v>44387</c:v>
                </c:pt>
                <c:pt idx="10">
                  <c:v>44386</c:v>
                </c:pt>
                <c:pt idx="11">
                  <c:v>44385</c:v>
                </c:pt>
                <c:pt idx="12">
                  <c:v>44384</c:v>
                </c:pt>
                <c:pt idx="13">
                  <c:v>44383</c:v>
                </c:pt>
                <c:pt idx="14">
                  <c:v>44382</c:v>
                </c:pt>
                <c:pt idx="15">
                  <c:v>44381</c:v>
                </c:pt>
                <c:pt idx="16">
                  <c:v>44380</c:v>
                </c:pt>
                <c:pt idx="17">
                  <c:v>44379</c:v>
                </c:pt>
                <c:pt idx="18">
                  <c:v>44378</c:v>
                </c:pt>
                <c:pt idx="19">
                  <c:v>44377</c:v>
                </c:pt>
                <c:pt idx="20">
                  <c:v>44376</c:v>
                </c:pt>
                <c:pt idx="21">
                  <c:v>44375</c:v>
                </c:pt>
                <c:pt idx="22">
                  <c:v>44374</c:v>
                </c:pt>
                <c:pt idx="23">
                  <c:v>44373</c:v>
                </c:pt>
                <c:pt idx="24">
                  <c:v>44372</c:v>
                </c:pt>
                <c:pt idx="25">
                  <c:v>44371</c:v>
                </c:pt>
                <c:pt idx="26">
                  <c:v>44370</c:v>
                </c:pt>
                <c:pt idx="27">
                  <c:v>44369</c:v>
                </c:pt>
                <c:pt idx="28">
                  <c:v>44368</c:v>
                </c:pt>
                <c:pt idx="29">
                  <c:v>44367</c:v>
                </c:pt>
                <c:pt idx="30">
                  <c:v>44366</c:v>
                </c:pt>
                <c:pt idx="31">
                  <c:v>44365</c:v>
                </c:pt>
                <c:pt idx="32">
                  <c:v>44364</c:v>
                </c:pt>
                <c:pt idx="33">
                  <c:v>44363</c:v>
                </c:pt>
                <c:pt idx="34">
                  <c:v>44362</c:v>
                </c:pt>
                <c:pt idx="35">
                  <c:v>44361</c:v>
                </c:pt>
                <c:pt idx="36">
                  <c:v>44360</c:v>
                </c:pt>
                <c:pt idx="37">
                  <c:v>44359</c:v>
                </c:pt>
                <c:pt idx="38">
                  <c:v>44358</c:v>
                </c:pt>
                <c:pt idx="39">
                  <c:v>44357</c:v>
                </c:pt>
                <c:pt idx="40">
                  <c:v>44356</c:v>
                </c:pt>
                <c:pt idx="41">
                  <c:v>44355</c:v>
                </c:pt>
                <c:pt idx="42">
                  <c:v>44354</c:v>
                </c:pt>
                <c:pt idx="43">
                  <c:v>44353</c:v>
                </c:pt>
                <c:pt idx="44">
                  <c:v>44352</c:v>
                </c:pt>
                <c:pt idx="45">
                  <c:v>44351</c:v>
                </c:pt>
                <c:pt idx="46">
                  <c:v>44350</c:v>
                </c:pt>
                <c:pt idx="47">
                  <c:v>44349</c:v>
                </c:pt>
                <c:pt idx="48">
                  <c:v>44348</c:v>
                </c:pt>
                <c:pt idx="49">
                  <c:v>44347</c:v>
                </c:pt>
                <c:pt idx="50">
                  <c:v>44346</c:v>
                </c:pt>
                <c:pt idx="51">
                  <c:v>44345</c:v>
                </c:pt>
                <c:pt idx="52">
                  <c:v>44344</c:v>
                </c:pt>
                <c:pt idx="53">
                  <c:v>44343</c:v>
                </c:pt>
                <c:pt idx="54">
                  <c:v>44342</c:v>
                </c:pt>
                <c:pt idx="55">
                  <c:v>44341</c:v>
                </c:pt>
                <c:pt idx="56">
                  <c:v>44340</c:v>
                </c:pt>
                <c:pt idx="57">
                  <c:v>44339</c:v>
                </c:pt>
                <c:pt idx="58">
                  <c:v>44338</c:v>
                </c:pt>
                <c:pt idx="59">
                  <c:v>44337</c:v>
                </c:pt>
                <c:pt idx="60">
                  <c:v>44336</c:v>
                </c:pt>
                <c:pt idx="61">
                  <c:v>44335</c:v>
                </c:pt>
                <c:pt idx="62">
                  <c:v>44334</c:v>
                </c:pt>
                <c:pt idx="63">
                  <c:v>44333</c:v>
                </c:pt>
                <c:pt idx="64">
                  <c:v>44332</c:v>
                </c:pt>
                <c:pt idx="65">
                  <c:v>44331</c:v>
                </c:pt>
                <c:pt idx="66">
                  <c:v>44330</c:v>
                </c:pt>
                <c:pt idx="67">
                  <c:v>44329</c:v>
                </c:pt>
                <c:pt idx="68">
                  <c:v>44328</c:v>
                </c:pt>
                <c:pt idx="69">
                  <c:v>44327</c:v>
                </c:pt>
                <c:pt idx="70">
                  <c:v>44326</c:v>
                </c:pt>
                <c:pt idx="71">
                  <c:v>44325</c:v>
                </c:pt>
                <c:pt idx="72">
                  <c:v>44324</c:v>
                </c:pt>
                <c:pt idx="73">
                  <c:v>44323</c:v>
                </c:pt>
                <c:pt idx="74">
                  <c:v>44322</c:v>
                </c:pt>
                <c:pt idx="75">
                  <c:v>44321</c:v>
                </c:pt>
                <c:pt idx="76">
                  <c:v>44320</c:v>
                </c:pt>
                <c:pt idx="77">
                  <c:v>44319</c:v>
                </c:pt>
                <c:pt idx="78">
                  <c:v>44318</c:v>
                </c:pt>
                <c:pt idx="79">
                  <c:v>44317</c:v>
                </c:pt>
                <c:pt idx="80">
                  <c:v>44316</c:v>
                </c:pt>
                <c:pt idx="81">
                  <c:v>44315</c:v>
                </c:pt>
                <c:pt idx="82">
                  <c:v>44314</c:v>
                </c:pt>
                <c:pt idx="83">
                  <c:v>44313</c:v>
                </c:pt>
                <c:pt idx="84">
                  <c:v>44312</c:v>
                </c:pt>
                <c:pt idx="85">
                  <c:v>44311</c:v>
                </c:pt>
                <c:pt idx="86">
                  <c:v>44310</c:v>
                </c:pt>
                <c:pt idx="87">
                  <c:v>44309</c:v>
                </c:pt>
                <c:pt idx="88">
                  <c:v>44308</c:v>
                </c:pt>
                <c:pt idx="89">
                  <c:v>44307</c:v>
                </c:pt>
                <c:pt idx="90">
                  <c:v>44306</c:v>
                </c:pt>
                <c:pt idx="91">
                  <c:v>44305</c:v>
                </c:pt>
                <c:pt idx="92">
                  <c:v>44304</c:v>
                </c:pt>
                <c:pt idx="93">
                  <c:v>44303</c:v>
                </c:pt>
                <c:pt idx="94">
                  <c:v>44302</c:v>
                </c:pt>
                <c:pt idx="95">
                  <c:v>44301</c:v>
                </c:pt>
                <c:pt idx="96">
                  <c:v>44300</c:v>
                </c:pt>
                <c:pt idx="97">
                  <c:v>44299</c:v>
                </c:pt>
                <c:pt idx="98">
                  <c:v>44298</c:v>
                </c:pt>
                <c:pt idx="99">
                  <c:v>44297</c:v>
                </c:pt>
                <c:pt idx="100">
                  <c:v>44296</c:v>
                </c:pt>
                <c:pt idx="101">
                  <c:v>44295</c:v>
                </c:pt>
                <c:pt idx="102">
                  <c:v>44294</c:v>
                </c:pt>
                <c:pt idx="103">
                  <c:v>44293</c:v>
                </c:pt>
                <c:pt idx="104">
                  <c:v>44292</c:v>
                </c:pt>
                <c:pt idx="105">
                  <c:v>44291</c:v>
                </c:pt>
                <c:pt idx="106">
                  <c:v>44290</c:v>
                </c:pt>
                <c:pt idx="107">
                  <c:v>44289</c:v>
                </c:pt>
                <c:pt idx="108">
                  <c:v>44288</c:v>
                </c:pt>
                <c:pt idx="109">
                  <c:v>44287</c:v>
                </c:pt>
                <c:pt idx="110">
                  <c:v>44286</c:v>
                </c:pt>
                <c:pt idx="111">
                  <c:v>44285</c:v>
                </c:pt>
                <c:pt idx="112">
                  <c:v>44284</c:v>
                </c:pt>
                <c:pt idx="113">
                  <c:v>44283</c:v>
                </c:pt>
                <c:pt idx="114">
                  <c:v>44282</c:v>
                </c:pt>
                <c:pt idx="115">
                  <c:v>44281</c:v>
                </c:pt>
                <c:pt idx="116">
                  <c:v>44280</c:v>
                </c:pt>
                <c:pt idx="117">
                  <c:v>44279</c:v>
                </c:pt>
                <c:pt idx="118">
                  <c:v>44278</c:v>
                </c:pt>
                <c:pt idx="119">
                  <c:v>44277</c:v>
                </c:pt>
                <c:pt idx="120">
                  <c:v>44276</c:v>
                </c:pt>
                <c:pt idx="121">
                  <c:v>44275</c:v>
                </c:pt>
                <c:pt idx="122">
                  <c:v>44274</c:v>
                </c:pt>
                <c:pt idx="123">
                  <c:v>44273</c:v>
                </c:pt>
                <c:pt idx="124">
                  <c:v>44272</c:v>
                </c:pt>
                <c:pt idx="125">
                  <c:v>44271</c:v>
                </c:pt>
                <c:pt idx="126">
                  <c:v>44270</c:v>
                </c:pt>
                <c:pt idx="127">
                  <c:v>44269</c:v>
                </c:pt>
                <c:pt idx="128">
                  <c:v>44268</c:v>
                </c:pt>
                <c:pt idx="129">
                  <c:v>44267</c:v>
                </c:pt>
                <c:pt idx="130">
                  <c:v>44266</c:v>
                </c:pt>
                <c:pt idx="131">
                  <c:v>44265</c:v>
                </c:pt>
                <c:pt idx="132">
                  <c:v>44264</c:v>
                </c:pt>
                <c:pt idx="133">
                  <c:v>44263</c:v>
                </c:pt>
                <c:pt idx="134">
                  <c:v>44262</c:v>
                </c:pt>
                <c:pt idx="135">
                  <c:v>44261</c:v>
                </c:pt>
                <c:pt idx="136">
                  <c:v>44260</c:v>
                </c:pt>
                <c:pt idx="137">
                  <c:v>44259</c:v>
                </c:pt>
                <c:pt idx="138">
                  <c:v>44258</c:v>
                </c:pt>
                <c:pt idx="139">
                  <c:v>44257</c:v>
                </c:pt>
                <c:pt idx="140">
                  <c:v>44256</c:v>
                </c:pt>
                <c:pt idx="141">
                  <c:v>44255</c:v>
                </c:pt>
                <c:pt idx="142">
                  <c:v>44254</c:v>
                </c:pt>
                <c:pt idx="143">
                  <c:v>44253</c:v>
                </c:pt>
                <c:pt idx="144">
                  <c:v>44252</c:v>
                </c:pt>
                <c:pt idx="145">
                  <c:v>44251</c:v>
                </c:pt>
                <c:pt idx="146">
                  <c:v>44250</c:v>
                </c:pt>
                <c:pt idx="147">
                  <c:v>44249</c:v>
                </c:pt>
                <c:pt idx="148">
                  <c:v>44248</c:v>
                </c:pt>
                <c:pt idx="149">
                  <c:v>44247</c:v>
                </c:pt>
                <c:pt idx="150">
                  <c:v>44246</c:v>
                </c:pt>
                <c:pt idx="151">
                  <c:v>44245</c:v>
                </c:pt>
                <c:pt idx="152">
                  <c:v>44244</c:v>
                </c:pt>
                <c:pt idx="153">
                  <c:v>44243</c:v>
                </c:pt>
                <c:pt idx="154">
                  <c:v>44242</c:v>
                </c:pt>
                <c:pt idx="155">
                  <c:v>44241</c:v>
                </c:pt>
                <c:pt idx="156">
                  <c:v>44240</c:v>
                </c:pt>
                <c:pt idx="157">
                  <c:v>44239</c:v>
                </c:pt>
                <c:pt idx="158">
                  <c:v>44238</c:v>
                </c:pt>
                <c:pt idx="159">
                  <c:v>44237</c:v>
                </c:pt>
                <c:pt idx="160">
                  <c:v>44236</c:v>
                </c:pt>
                <c:pt idx="161">
                  <c:v>44235</c:v>
                </c:pt>
                <c:pt idx="162">
                  <c:v>44234</c:v>
                </c:pt>
                <c:pt idx="163">
                  <c:v>44233</c:v>
                </c:pt>
                <c:pt idx="164">
                  <c:v>44232</c:v>
                </c:pt>
                <c:pt idx="165">
                  <c:v>44231</c:v>
                </c:pt>
                <c:pt idx="166">
                  <c:v>44230</c:v>
                </c:pt>
                <c:pt idx="167">
                  <c:v>44229</c:v>
                </c:pt>
                <c:pt idx="168">
                  <c:v>44228</c:v>
                </c:pt>
                <c:pt idx="169">
                  <c:v>44227</c:v>
                </c:pt>
                <c:pt idx="170">
                  <c:v>44226</c:v>
                </c:pt>
                <c:pt idx="171">
                  <c:v>44225</c:v>
                </c:pt>
                <c:pt idx="172">
                  <c:v>44224</c:v>
                </c:pt>
                <c:pt idx="173">
                  <c:v>44223</c:v>
                </c:pt>
                <c:pt idx="174">
                  <c:v>44222</c:v>
                </c:pt>
                <c:pt idx="175">
                  <c:v>44221</c:v>
                </c:pt>
                <c:pt idx="176">
                  <c:v>44220</c:v>
                </c:pt>
                <c:pt idx="177">
                  <c:v>44219</c:v>
                </c:pt>
                <c:pt idx="178">
                  <c:v>44218</c:v>
                </c:pt>
                <c:pt idx="179">
                  <c:v>44217</c:v>
                </c:pt>
                <c:pt idx="180">
                  <c:v>44216</c:v>
                </c:pt>
                <c:pt idx="181">
                  <c:v>44215</c:v>
                </c:pt>
                <c:pt idx="182">
                  <c:v>44214</c:v>
                </c:pt>
                <c:pt idx="183">
                  <c:v>44213</c:v>
                </c:pt>
                <c:pt idx="184">
                  <c:v>44212</c:v>
                </c:pt>
                <c:pt idx="185">
                  <c:v>44211</c:v>
                </c:pt>
                <c:pt idx="186">
                  <c:v>44210</c:v>
                </c:pt>
                <c:pt idx="187">
                  <c:v>44209</c:v>
                </c:pt>
                <c:pt idx="188">
                  <c:v>44208</c:v>
                </c:pt>
                <c:pt idx="189">
                  <c:v>44207</c:v>
                </c:pt>
                <c:pt idx="190">
                  <c:v>44206</c:v>
                </c:pt>
                <c:pt idx="191">
                  <c:v>44205</c:v>
                </c:pt>
                <c:pt idx="192">
                  <c:v>44204</c:v>
                </c:pt>
                <c:pt idx="193">
                  <c:v>44203</c:v>
                </c:pt>
                <c:pt idx="194">
                  <c:v>44202</c:v>
                </c:pt>
                <c:pt idx="195">
                  <c:v>44201</c:v>
                </c:pt>
                <c:pt idx="196">
                  <c:v>44200</c:v>
                </c:pt>
                <c:pt idx="197">
                  <c:v>44199</c:v>
                </c:pt>
                <c:pt idx="198">
                  <c:v>44198</c:v>
                </c:pt>
                <c:pt idx="199">
                  <c:v>44197</c:v>
                </c:pt>
                <c:pt idx="200">
                  <c:v>44196</c:v>
                </c:pt>
                <c:pt idx="201">
                  <c:v>44195</c:v>
                </c:pt>
                <c:pt idx="202">
                  <c:v>44194</c:v>
                </c:pt>
                <c:pt idx="203">
                  <c:v>44193</c:v>
                </c:pt>
                <c:pt idx="204">
                  <c:v>44192</c:v>
                </c:pt>
                <c:pt idx="205">
                  <c:v>44191</c:v>
                </c:pt>
                <c:pt idx="206">
                  <c:v>44190</c:v>
                </c:pt>
                <c:pt idx="207">
                  <c:v>44189</c:v>
                </c:pt>
                <c:pt idx="208">
                  <c:v>44188</c:v>
                </c:pt>
                <c:pt idx="209">
                  <c:v>44187</c:v>
                </c:pt>
                <c:pt idx="210">
                  <c:v>44186</c:v>
                </c:pt>
                <c:pt idx="211">
                  <c:v>44185</c:v>
                </c:pt>
                <c:pt idx="212">
                  <c:v>44184</c:v>
                </c:pt>
                <c:pt idx="213">
                  <c:v>44183</c:v>
                </c:pt>
                <c:pt idx="214">
                  <c:v>44182</c:v>
                </c:pt>
                <c:pt idx="215">
                  <c:v>44181</c:v>
                </c:pt>
                <c:pt idx="216">
                  <c:v>44180</c:v>
                </c:pt>
                <c:pt idx="217">
                  <c:v>44179</c:v>
                </c:pt>
                <c:pt idx="218">
                  <c:v>44178</c:v>
                </c:pt>
                <c:pt idx="219">
                  <c:v>44177</c:v>
                </c:pt>
                <c:pt idx="220">
                  <c:v>44176</c:v>
                </c:pt>
                <c:pt idx="221">
                  <c:v>44175</c:v>
                </c:pt>
                <c:pt idx="222">
                  <c:v>44174</c:v>
                </c:pt>
                <c:pt idx="223">
                  <c:v>44173</c:v>
                </c:pt>
                <c:pt idx="224">
                  <c:v>44172</c:v>
                </c:pt>
                <c:pt idx="225">
                  <c:v>44171</c:v>
                </c:pt>
                <c:pt idx="226">
                  <c:v>44170</c:v>
                </c:pt>
                <c:pt idx="227">
                  <c:v>44169</c:v>
                </c:pt>
                <c:pt idx="228">
                  <c:v>44168</c:v>
                </c:pt>
                <c:pt idx="229">
                  <c:v>44167</c:v>
                </c:pt>
                <c:pt idx="230">
                  <c:v>44166</c:v>
                </c:pt>
                <c:pt idx="231">
                  <c:v>44165</c:v>
                </c:pt>
                <c:pt idx="232">
                  <c:v>44164</c:v>
                </c:pt>
                <c:pt idx="233">
                  <c:v>44163</c:v>
                </c:pt>
                <c:pt idx="234">
                  <c:v>44162</c:v>
                </c:pt>
                <c:pt idx="235">
                  <c:v>44161</c:v>
                </c:pt>
                <c:pt idx="236">
                  <c:v>44160</c:v>
                </c:pt>
                <c:pt idx="237">
                  <c:v>44159</c:v>
                </c:pt>
                <c:pt idx="238">
                  <c:v>44158</c:v>
                </c:pt>
                <c:pt idx="239">
                  <c:v>44157</c:v>
                </c:pt>
                <c:pt idx="240">
                  <c:v>44156</c:v>
                </c:pt>
                <c:pt idx="241">
                  <c:v>44155</c:v>
                </c:pt>
                <c:pt idx="242">
                  <c:v>44154</c:v>
                </c:pt>
                <c:pt idx="243">
                  <c:v>44153</c:v>
                </c:pt>
                <c:pt idx="244">
                  <c:v>44152</c:v>
                </c:pt>
                <c:pt idx="245">
                  <c:v>44151</c:v>
                </c:pt>
                <c:pt idx="246">
                  <c:v>44150</c:v>
                </c:pt>
                <c:pt idx="247">
                  <c:v>44149</c:v>
                </c:pt>
                <c:pt idx="248">
                  <c:v>44148</c:v>
                </c:pt>
                <c:pt idx="249">
                  <c:v>44147</c:v>
                </c:pt>
                <c:pt idx="250">
                  <c:v>44146</c:v>
                </c:pt>
                <c:pt idx="251">
                  <c:v>44145</c:v>
                </c:pt>
                <c:pt idx="252">
                  <c:v>44144</c:v>
                </c:pt>
                <c:pt idx="253">
                  <c:v>44143</c:v>
                </c:pt>
                <c:pt idx="254">
                  <c:v>44142</c:v>
                </c:pt>
                <c:pt idx="255">
                  <c:v>44141</c:v>
                </c:pt>
                <c:pt idx="256">
                  <c:v>44140</c:v>
                </c:pt>
                <c:pt idx="257">
                  <c:v>44139</c:v>
                </c:pt>
                <c:pt idx="258">
                  <c:v>44138</c:v>
                </c:pt>
                <c:pt idx="259">
                  <c:v>44137</c:v>
                </c:pt>
                <c:pt idx="260">
                  <c:v>44136</c:v>
                </c:pt>
                <c:pt idx="261">
                  <c:v>44135</c:v>
                </c:pt>
                <c:pt idx="262">
                  <c:v>44134</c:v>
                </c:pt>
                <c:pt idx="263">
                  <c:v>44133</c:v>
                </c:pt>
                <c:pt idx="264">
                  <c:v>44132</c:v>
                </c:pt>
                <c:pt idx="265">
                  <c:v>44131</c:v>
                </c:pt>
                <c:pt idx="266">
                  <c:v>44130</c:v>
                </c:pt>
                <c:pt idx="267">
                  <c:v>44129</c:v>
                </c:pt>
                <c:pt idx="268">
                  <c:v>44128</c:v>
                </c:pt>
                <c:pt idx="269">
                  <c:v>44127</c:v>
                </c:pt>
                <c:pt idx="270">
                  <c:v>44126</c:v>
                </c:pt>
                <c:pt idx="271">
                  <c:v>44125</c:v>
                </c:pt>
                <c:pt idx="272">
                  <c:v>44124</c:v>
                </c:pt>
                <c:pt idx="273">
                  <c:v>44123</c:v>
                </c:pt>
                <c:pt idx="274">
                  <c:v>44122</c:v>
                </c:pt>
                <c:pt idx="275">
                  <c:v>44121</c:v>
                </c:pt>
                <c:pt idx="276">
                  <c:v>44120</c:v>
                </c:pt>
                <c:pt idx="277">
                  <c:v>44119</c:v>
                </c:pt>
              </c:numCache>
            </c:numRef>
          </c:cat>
          <c:val>
            <c:numRef>
              <c:f>'table (1)'!$T$197:$T$474</c:f>
              <c:numCache>
                <c:formatCode>General</c:formatCode>
                <c:ptCount val="278"/>
                <c:pt idx="0">
                  <c:v>6.85408706321287E-2</c:v>
                </c:pt>
                <c:pt idx="1">
                  <c:v>6.9303454254340341E-2</c:v>
                </c:pt>
                <c:pt idx="2">
                  <c:v>7.0005118317024759E-2</c:v>
                </c:pt>
                <c:pt idx="3">
                  <c:v>6.9796655737312294E-2</c:v>
                </c:pt>
                <c:pt idx="4">
                  <c:v>7.1282721290761741E-2</c:v>
                </c:pt>
                <c:pt idx="5">
                  <c:v>7.2270156363612156E-2</c:v>
                </c:pt>
                <c:pt idx="6">
                  <c:v>7.0386361966267755E-2</c:v>
                </c:pt>
                <c:pt idx="7">
                  <c:v>7.1860502175851451E-2</c:v>
                </c:pt>
                <c:pt idx="8">
                  <c:v>7.3458316327489073E-2</c:v>
                </c:pt>
                <c:pt idx="9">
                  <c:v>7.2556138419449426E-2</c:v>
                </c:pt>
                <c:pt idx="10">
                  <c:v>7.3375212416820532E-2</c:v>
                </c:pt>
                <c:pt idx="11">
                  <c:v>7.17397919687007E-2</c:v>
                </c:pt>
                <c:pt idx="12">
                  <c:v>7.2956910169835631E-2</c:v>
                </c:pt>
                <c:pt idx="13">
                  <c:v>7.4644046253047297E-2</c:v>
                </c:pt>
                <c:pt idx="14">
                  <c:v>7.8543291351572231E-2</c:v>
                </c:pt>
                <c:pt idx="15">
                  <c:v>7.4676377832347665E-2</c:v>
                </c:pt>
                <c:pt idx="16">
                  <c:v>7.3572423592782099E-2</c:v>
                </c:pt>
                <c:pt idx="17">
                  <c:v>7.1893338777165777E-2</c:v>
                </c:pt>
                <c:pt idx="18">
                  <c:v>7.0213929125714905E-2</c:v>
                </c:pt>
                <c:pt idx="19">
                  <c:v>7.2022813945273045E-2</c:v>
                </c:pt>
                <c:pt idx="20">
                  <c:v>6.9534806788629597E-2</c:v>
                </c:pt>
                <c:pt idx="21">
                  <c:v>6.9834830033774747E-2</c:v>
                </c:pt>
                <c:pt idx="22">
                  <c:v>6.815554812757843E-2</c:v>
                </c:pt>
                <c:pt idx="23">
                  <c:v>6.6177185581242776E-2</c:v>
                </c:pt>
                <c:pt idx="24">
                  <c:v>6.5708578096716111E-2</c:v>
                </c:pt>
                <c:pt idx="25">
                  <c:v>6.7407548829673064E-2</c:v>
                </c:pt>
                <c:pt idx="26">
                  <c:v>6.642713637723037E-2</c:v>
                </c:pt>
                <c:pt idx="27">
                  <c:v>6.7684248782535719E-2</c:v>
                </c:pt>
                <c:pt idx="28">
                  <c:v>6.5756185465452213E-2</c:v>
                </c:pt>
                <c:pt idx="29">
                  <c:v>6.818216003715058E-2</c:v>
                </c:pt>
                <c:pt idx="30">
                  <c:v>6.7083094665500595E-2</c:v>
                </c:pt>
                <c:pt idx="31">
                  <c:v>6.786342306393571E-2</c:v>
                </c:pt>
                <c:pt idx="32">
                  <c:v>6.8443193286018084E-2</c:v>
                </c:pt>
                <c:pt idx="33">
                  <c:v>6.8588658212963491E-2</c:v>
                </c:pt>
                <c:pt idx="34">
                  <c:v>6.9303405931020204E-2</c:v>
                </c:pt>
                <c:pt idx="35">
                  <c:v>6.985176327653711E-2</c:v>
                </c:pt>
                <c:pt idx="36">
                  <c:v>7.0412898466156018E-2</c:v>
                </c:pt>
                <c:pt idx="37">
                  <c:v>6.8725765233963398E-2</c:v>
                </c:pt>
                <c:pt idx="38">
                  <c:v>6.8614240775509622E-2</c:v>
                </c:pt>
                <c:pt idx="39">
                  <c:v>6.9544085007693601E-2</c:v>
                </c:pt>
                <c:pt idx="40">
                  <c:v>7.0304424137818081E-2</c:v>
                </c:pt>
                <c:pt idx="41">
                  <c:v>6.8917016464273173E-2</c:v>
                </c:pt>
                <c:pt idx="42">
                  <c:v>6.7768108774856742E-2</c:v>
                </c:pt>
                <c:pt idx="43">
                  <c:v>6.9401467774459727E-2</c:v>
                </c:pt>
                <c:pt idx="44">
                  <c:v>6.9007248121893516E-2</c:v>
                </c:pt>
                <c:pt idx="45">
                  <c:v>7.0060320273024251E-2</c:v>
                </c:pt>
                <c:pt idx="46">
                  <c:v>7.0019224492128357E-2</c:v>
                </c:pt>
                <c:pt idx="47">
                  <c:v>6.9421229294254788E-2</c:v>
                </c:pt>
                <c:pt idx="48">
                  <c:v>6.9182035571865474E-2</c:v>
                </c:pt>
                <c:pt idx="49">
                  <c:v>6.9940100931816782E-2</c:v>
                </c:pt>
                <c:pt idx="50">
                  <c:v>6.6799649589545596E-2</c:v>
                </c:pt>
                <c:pt idx="51">
                  <c:v>6.58862005494706E-2</c:v>
                </c:pt>
                <c:pt idx="52">
                  <c:v>6.6797835334860986E-2</c:v>
                </c:pt>
                <c:pt idx="53">
                  <c:v>6.8982826071748049E-2</c:v>
                </c:pt>
                <c:pt idx="54">
                  <c:v>7.1216908282111288E-2</c:v>
                </c:pt>
                <c:pt idx="55">
                  <c:v>6.7646083972034698E-2</c:v>
                </c:pt>
                <c:pt idx="56">
                  <c:v>6.6912750334176013E-2</c:v>
                </c:pt>
                <c:pt idx="57">
                  <c:v>6.2031307273116169E-2</c:v>
                </c:pt>
                <c:pt idx="58">
                  <c:v>6.0512260790553933E-2</c:v>
                </c:pt>
                <c:pt idx="59">
                  <c:v>6.1892721138491272E-2</c:v>
                </c:pt>
                <c:pt idx="60">
                  <c:v>6.3657038520549186E-2</c:v>
                </c:pt>
                <c:pt idx="61">
                  <c:v>6.0776080183421143E-2</c:v>
                </c:pt>
                <c:pt idx="62">
                  <c:v>6.7517655254778111E-2</c:v>
                </c:pt>
                <c:pt idx="63">
                  <c:v>6.5687689605163344E-2</c:v>
                </c:pt>
                <c:pt idx="64">
                  <c:v>6.2130703207782599E-2</c:v>
                </c:pt>
                <c:pt idx="65">
                  <c:v>6.1579425428750389E-2</c:v>
                </c:pt>
                <c:pt idx="66">
                  <c:v>6.4314056693329319E-2</c:v>
                </c:pt>
                <c:pt idx="67">
                  <c:v>6.2605484240803019E-2</c:v>
                </c:pt>
                <c:pt idx="68">
                  <c:v>6.5595786029499864E-2</c:v>
                </c:pt>
                <c:pt idx="69">
                  <c:v>6.7503086786569022E-2</c:v>
                </c:pt>
                <c:pt idx="70">
                  <c:v>6.6223238061182271E-2</c:v>
                </c:pt>
                <c:pt idx="71">
                  <c:v>6.6586663795204823E-2</c:v>
                </c:pt>
                <c:pt idx="72">
                  <c:v>6.6275935439703809E-2</c:v>
                </c:pt>
                <c:pt idx="73">
                  <c:v>6.5675891141042428E-2</c:v>
                </c:pt>
                <c:pt idx="74">
                  <c:v>6.6159217922402522E-2</c:v>
                </c:pt>
                <c:pt idx="75">
                  <c:v>6.6924277966366116E-2</c:v>
                </c:pt>
                <c:pt idx="76">
                  <c:v>6.5171871069127585E-2</c:v>
                </c:pt>
                <c:pt idx="77">
                  <c:v>6.8345150150365339E-2</c:v>
                </c:pt>
                <c:pt idx="78">
                  <c:v>6.7282973985873129E-2</c:v>
                </c:pt>
                <c:pt idx="79">
                  <c:v>6.8135903096561951E-2</c:v>
                </c:pt>
                <c:pt idx="80">
                  <c:v>6.531344163104115E-2</c:v>
                </c:pt>
                <c:pt idx="81">
                  <c:v>6.5434991007644897E-2</c:v>
                </c:pt>
                <c:pt idx="82">
                  <c:v>6.5998706055666184E-2</c:v>
                </c:pt>
                <c:pt idx="83">
                  <c:v>6.5190058790659561E-2</c:v>
                </c:pt>
                <c:pt idx="84">
                  <c:v>6.3334634531415288E-2</c:v>
                </c:pt>
                <c:pt idx="85">
                  <c:v>6.0468594406872571E-2</c:v>
                </c:pt>
                <c:pt idx="86">
                  <c:v>5.9407150444862833E-2</c:v>
                </c:pt>
                <c:pt idx="87">
                  <c:v>6.057466529900473E-2</c:v>
                </c:pt>
                <c:pt idx="88">
                  <c:v>6.0158295158857567E-2</c:v>
                </c:pt>
                <c:pt idx="89">
                  <c:v>6.2502781019782488E-2</c:v>
                </c:pt>
                <c:pt idx="90">
                  <c:v>6.3657470266213337E-2</c:v>
                </c:pt>
                <c:pt idx="91">
                  <c:v>6.1993622785478104E-2</c:v>
                </c:pt>
                <c:pt idx="92">
                  <c:v>6.4030741802789254E-2</c:v>
                </c:pt>
                <c:pt idx="93">
                  <c:v>6.2340587667984455E-2</c:v>
                </c:pt>
                <c:pt idx="94">
                  <c:v>6.33397643062793E-2</c:v>
                </c:pt>
                <c:pt idx="95">
                  <c:v>6.3723680756372053E-2</c:v>
                </c:pt>
                <c:pt idx="96">
                  <c:v>6.2386641478421226E-2</c:v>
                </c:pt>
                <c:pt idx="97">
                  <c:v>5.9862461894599192E-2</c:v>
                </c:pt>
                <c:pt idx="98">
                  <c:v>6.0424329637366672E-2</c:v>
                </c:pt>
                <c:pt idx="99">
                  <c:v>5.9525613844452062E-2</c:v>
                </c:pt>
                <c:pt idx="100">
                  <c:v>5.9047274636461304E-2</c:v>
                </c:pt>
                <c:pt idx="101">
                  <c:v>5.886312254587478E-2</c:v>
                </c:pt>
                <c:pt idx="102">
                  <c:v>5.9447505809175183E-2</c:v>
                </c:pt>
                <c:pt idx="103">
                  <c:v>5.8275973916761613E-2</c:v>
                </c:pt>
                <c:pt idx="104">
                  <c:v>5.9414228533913489E-2</c:v>
                </c:pt>
                <c:pt idx="105">
                  <c:v>6.0822510497340047E-2</c:v>
                </c:pt>
                <c:pt idx="106">
                  <c:v>6.062184182417521E-2</c:v>
                </c:pt>
                <c:pt idx="107">
                  <c:v>5.9976683731460409E-2</c:v>
                </c:pt>
                <c:pt idx="108">
                  <c:v>6.1167809182554225E-2</c:v>
                </c:pt>
                <c:pt idx="109">
                  <c:v>5.9439835839028787E-2</c:v>
                </c:pt>
                <c:pt idx="110">
                  <c:v>5.9434419237456092E-2</c:v>
                </c:pt>
                <c:pt idx="111">
                  <c:v>5.8769215761804612E-2</c:v>
                </c:pt>
                <c:pt idx="112">
                  <c:v>5.7924412628784581E-2</c:v>
                </c:pt>
                <c:pt idx="113">
                  <c:v>5.7429035012968713E-2</c:v>
                </c:pt>
                <c:pt idx="114">
                  <c:v>5.7190597583584774E-2</c:v>
                </c:pt>
                <c:pt idx="115">
                  <c:v>5.7147222080276845E-2</c:v>
                </c:pt>
                <c:pt idx="116">
                  <c:v>5.6096172918796233E-2</c:v>
                </c:pt>
                <c:pt idx="117">
                  <c:v>5.5229837392355152E-2</c:v>
                </c:pt>
                <c:pt idx="118">
                  <c:v>5.5894326556326271E-2</c:v>
                </c:pt>
                <c:pt idx="119">
                  <c:v>5.6427285637471895E-2</c:v>
                </c:pt>
                <c:pt idx="120">
                  <c:v>5.7161194501472189E-2</c:v>
                </c:pt>
                <c:pt idx="121">
                  <c:v>5.7183495498668815E-2</c:v>
                </c:pt>
                <c:pt idx="122">
                  <c:v>5.7956248235098658E-2</c:v>
                </c:pt>
                <c:pt idx="123">
                  <c:v>5.7791326673675231E-2</c:v>
                </c:pt>
                <c:pt idx="124">
                  <c:v>5.8527196886546604E-2</c:v>
                </c:pt>
                <c:pt idx="125">
                  <c:v>5.7470597351486769E-2</c:v>
                </c:pt>
                <c:pt idx="126">
                  <c:v>5.6904472530714963E-2</c:v>
                </c:pt>
                <c:pt idx="127">
                  <c:v>5.7259449124517199E-2</c:v>
                </c:pt>
                <c:pt idx="128">
                  <c:v>5.8642820219856583E-2</c:v>
                </c:pt>
                <c:pt idx="129">
                  <c:v>5.7278636588222943E-2</c:v>
                </c:pt>
                <c:pt idx="130">
                  <c:v>5.8171857488124194E-2</c:v>
                </c:pt>
                <c:pt idx="131">
                  <c:v>5.780134820868698E-2</c:v>
                </c:pt>
                <c:pt idx="132">
                  <c:v>5.9543009097893423E-2</c:v>
                </c:pt>
                <c:pt idx="133">
                  <c:v>5.8246778276701272E-2</c:v>
                </c:pt>
                <c:pt idx="134">
                  <c:v>5.5401204562952257E-2</c:v>
                </c:pt>
                <c:pt idx="135">
                  <c:v>5.3323097716231435E-2</c:v>
                </c:pt>
                <c:pt idx="136">
                  <c:v>5.2489342293134282E-2</c:v>
                </c:pt>
                <c:pt idx="137">
                  <c:v>5.1800772124944668E-2</c:v>
                </c:pt>
                <c:pt idx="138">
                  <c:v>5.2949628216993352E-2</c:v>
                </c:pt>
                <c:pt idx="139">
                  <c:v>5.3515929401876251E-2</c:v>
                </c:pt>
                <c:pt idx="140">
                  <c:v>5.4411138432923785E-2</c:v>
                </c:pt>
                <c:pt idx="141">
                  <c:v>5.1979882613041886E-2</c:v>
                </c:pt>
                <c:pt idx="142">
                  <c:v>5.033909338564365E-2</c:v>
                </c:pt>
                <c:pt idx="143">
                  <c:v>5.0780215558300298E-2</c:v>
                </c:pt>
                <c:pt idx="144">
                  <c:v>5.1235851233376498E-2</c:v>
                </c:pt>
                <c:pt idx="145">
                  <c:v>5.2819314985579048E-2</c:v>
                </c:pt>
                <c:pt idx="146">
                  <c:v>5.3437054848391854E-2</c:v>
                </c:pt>
                <c:pt idx="147">
                  <c:v>5.1483972568939392E-2</c:v>
                </c:pt>
                <c:pt idx="148">
                  <c:v>5.1347313417063792E-2</c:v>
                </c:pt>
                <c:pt idx="149">
                  <c:v>5.1698601211047836E-2</c:v>
                </c:pt>
                <c:pt idx="150">
                  <c:v>5.3165255095990696E-2</c:v>
                </c:pt>
                <c:pt idx="151">
                  <c:v>5.4243217362271112E-2</c:v>
                </c:pt>
                <c:pt idx="152">
                  <c:v>5.5737623154076155E-2</c:v>
                </c:pt>
                <c:pt idx="153">
                  <c:v>5.4405505573550929E-2</c:v>
                </c:pt>
                <c:pt idx="154">
                  <c:v>5.5921621797603543E-2</c:v>
                </c:pt>
                <c:pt idx="155">
                  <c:v>5.4893201423479442E-2</c:v>
                </c:pt>
                <c:pt idx="156">
                  <c:v>5.5806776336231496E-2</c:v>
                </c:pt>
                <c:pt idx="157">
                  <c:v>5.7008747365138397E-2</c:v>
                </c:pt>
                <c:pt idx="158">
                  <c:v>5.647707059354324E-2</c:v>
                </c:pt>
                <c:pt idx="159">
                  <c:v>5.718574827227816E-2</c:v>
                </c:pt>
                <c:pt idx="160">
                  <c:v>5.8223635251178844E-2</c:v>
                </c:pt>
                <c:pt idx="161">
                  <c:v>5.855698017921411E-2</c:v>
                </c:pt>
                <c:pt idx="162">
                  <c:v>5.9379249058087086E-2</c:v>
                </c:pt>
                <c:pt idx="163">
                  <c:v>5.6583009645563606E-2</c:v>
                </c:pt>
                <c:pt idx="164">
                  <c:v>5.6290190344264517E-2</c:v>
                </c:pt>
                <c:pt idx="165">
                  <c:v>5.6100776663612809E-2</c:v>
                </c:pt>
                <c:pt idx="166">
                  <c:v>5.3918467643709528E-2</c:v>
                </c:pt>
                <c:pt idx="167">
                  <c:v>5.0754858970423304E-2</c:v>
                </c:pt>
                <c:pt idx="168">
                  <c:v>4.9521277896715309E-2</c:v>
                </c:pt>
                <c:pt idx="169">
                  <c:v>4.9611948839682188E-2</c:v>
                </c:pt>
                <c:pt idx="170">
                  <c:v>5.0240449212393914E-2</c:v>
                </c:pt>
                <c:pt idx="171">
                  <c:v>4.8623839835912119E-2</c:v>
                </c:pt>
                <c:pt idx="172">
                  <c:v>4.9015722063276743E-2</c:v>
                </c:pt>
                <c:pt idx="173">
                  <c:v>4.7885849056500722E-2</c:v>
                </c:pt>
                <c:pt idx="174">
                  <c:v>4.5661357463985586E-2</c:v>
                </c:pt>
                <c:pt idx="175">
                  <c:v>4.3032050326596891E-2</c:v>
                </c:pt>
                <c:pt idx="176">
                  <c:v>4.5903068305475116E-2</c:v>
                </c:pt>
                <c:pt idx="177">
                  <c:v>4.3354352971765618E-2</c:v>
                </c:pt>
                <c:pt idx="178">
                  <c:v>4.1579652873646504E-2</c:v>
                </c:pt>
                <c:pt idx="179">
                  <c:v>3.949024177721782E-2</c:v>
                </c:pt>
                <c:pt idx="180">
                  <c:v>4.2983310350631548E-2</c:v>
                </c:pt>
                <c:pt idx="181">
                  <c:v>4.0701652934472601E-2</c:v>
                </c:pt>
                <c:pt idx="182">
                  <c:v>4.3123248846868308E-2</c:v>
                </c:pt>
                <c:pt idx="183">
                  <c:v>4.0987660109423264E-2</c:v>
                </c:pt>
                <c:pt idx="184">
                  <c:v>4.1052646205053271E-2</c:v>
                </c:pt>
                <c:pt idx="185">
                  <c:v>4.2130835821052509E-2</c:v>
                </c:pt>
                <c:pt idx="186">
                  <c:v>3.9302432210149493E-2</c:v>
                </c:pt>
                <c:pt idx="187">
                  <c:v>3.9147912306175557E-2</c:v>
                </c:pt>
                <c:pt idx="188">
                  <c:v>3.5220830861333971E-2</c:v>
                </c:pt>
                <c:pt idx="189">
                  <c:v>3.3313899390441798E-2</c:v>
                </c:pt>
                <c:pt idx="190">
                  <c:v>3.2091499017151442E-2</c:v>
                </c:pt>
                <c:pt idx="191">
                  <c:v>3.0829278009901446E-2</c:v>
                </c:pt>
                <c:pt idx="192">
                  <c:v>2.9127781113641015E-2</c:v>
                </c:pt>
                <c:pt idx="193">
                  <c:v>2.8879474752344168E-2</c:v>
                </c:pt>
                <c:pt idx="194">
                  <c:v>3.0285474503146635E-2</c:v>
                </c:pt>
                <c:pt idx="195">
                  <c:v>2.9777838503758491E-2</c:v>
                </c:pt>
                <c:pt idx="196">
                  <c:v>2.6333264664819077E-2</c:v>
                </c:pt>
                <c:pt idx="197">
                  <c:v>2.0308752367082565E-2</c:v>
                </c:pt>
                <c:pt idx="198">
                  <c:v>1.7919982854816902E-2</c:v>
                </c:pt>
                <c:pt idx="199">
                  <c:v>1.8534343851331556E-2</c:v>
                </c:pt>
                <c:pt idx="200">
                  <c:v>1.6673742044195625E-2</c:v>
                </c:pt>
                <c:pt idx="201">
                  <c:v>1.4722862848005239E-2</c:v>
                </c:pt>
                <c:pt idx="202">
                  <c:v>1.5003122152022833E-2</c:v>
                </c:pt>
                <c:pt idx="203">
                  <c:v>1.5314300128152351E-2</c:v>
                </c:pt>
                <c:pt idx="204">
                  <c:v>1.4959660519567179E-2</c:v>
                </c:pt>
                <c:pt idx="205">
                  <c:v>1.5264764685116472E-2</c:v>
                </c:pt>
                <c:pt idx="206">
                  <c:v>1.6116785964419771E-2</c:v>
                </c:pt>
                <c:pt idx="207">
                  <c:v>1.577044741418691E-2</c:v>
                </c:pt>
                <c:pt idx="208">
                  <c:v>1.3316234157195973E-2</c:v>
                </c:pt>
                <c:pt idx="209">
                  <c:v>1.278561898782828E-2</c:v>
                </c:pt>
                <c:pt idx="210">
                  <c:v>1.1705344249758571E-2</c:v>
                </c:pt>
                <c:pt idx="211">
                  <c:v>1.249143891676225E-2</c:v>
                </c:pt>
                <c:pt idx="212">
                  <c:v>1.3697029786172696E-2</c:v>
                </c:pt>
                <c:pt idx="213">
                  <c:v>1.6438342595244609E-2</c:v>
                </c:pt>
                <c:pt idx="214">
                  <c:v>1.446284863442469E-2</c:v>
                </c:pt>
                <c:pt idx="215">
                  <c:v>1.5801579514130238E-2</c:v>
                </c:pt>
                <c:pt idx="216">
                  <c:v>1.3556417096404507E-2</c:v>
                </c:pt>
                <c:pt idx="217">
                  <c:v>1.2998259175945418E-2</c:v>
                </c:pt>
                <c:pt idx="218">
                  <c:v>1.2621705704827018E-2</c:v>
                </c:pt>
                <c:pt idx="219">
                  <c:v>1.0700071664928146E-2</c:v>
                </c:pt>
                <c:pt idx="220">
                  <c:v>1.0380470022820948E-2</c:v>
                </c:pt>
                <c:pt idx="221">
                  <c:v>1.0885403816924643E-2</c:v>
                </c:pt>
                <c:pt idx="222">
                  <c:v>1.3013249748844057E-2</c:v>
                </c:pt>
                <c:pt idx="223">
                  <c:v>1.1536427462619483E-2</c:v>
                </c:pt>
                <c:pt idx="224">
                  <c:v>1.4503844666552941E-2</c:v>
                </c:pt>
                <c:pt idx="225">
                  <c:v>1.4598482327465074E-2</c:v>
                </c:pt>
                <c:pt idx="226">
                  <c:v>1.5084570039412633E-2</c:v>
                </c:pt>
                <c:pt idx="227">
                  <c:v>1.2164742613286934E-2</c:v>
                </c:pt>
                <c:pt idx="228">
                  <c:v>1.5047291104026124E-2</c:v>
                </c:pt>
                <c:pt idx="229">
                  <c:v>1.3264943587490951E-2</c:v>
                </c:pt>
                <c:pt idx="230">
                  <c:v>1.0068652735913364E-2</c:v>
                </c:pt>
                <c:pt idx="231">
                  <c:v>9.931370008974592E-3</c:v>
                </c:pt>
                <c:pt idx="232">
                  <c:v>8.5846885272196135E-3</c:v>
                </c:pt>
                <c:pt idx="233">
                  <c:v>6.9658699023278075E-3</c:v>
                </c:pt>
                <c:pt idx="234">
                  <c:v>6.3421847646833633E-3</c:v>
                </c:pt>
                <c:pt idx="235">
                  <c:v>7.3687411510079378E-3</c:v>
                </c:pt>
                <c:pt idx="236">
                  <c:v>1.5998538342917739E-3</c:v>
                </c:pt>
                <c:pt idx="237">
                  <c:v>2.4861241803586218E-3</c:v>
                </c:pt>
                <c:pt idx="238">
                  <c:v>5.1425945304730113E-3</c:v>
                </c:pt>
                <c:pt idx="239">
                  <c:v>3.2043245033592997E-3</c:v>
                </c:pt>
                <c:pt idx="240">
                  <c:v>3.2722042104241077E-3</c:v>
                </c:pt>
                <c:pt idx="241">
                  <c:v>4.8321443625257794E-3</c:v>
                </c:pt>
                <c:pt idx="242">
                  <c:v>7.8114025657893323E-3</c:v>
                </c:pt>
                <c:pt idx="243">
                  <c:v>7.4733578855163962E-3</c:v>
                </c:pt>
                <c:pt idx="244">
                  <c:v>6.3754407788633345E-3</c:v>
                </c:pt>
                <c:pt idx="245">
                  <c:v>2.2725113749904528E-3</c:v>
                </c:pt>
                <c:pt idx="246">
                  <c:v>-1.2335535630929443E-3</c:v>
                </c:pt>
                <c:pt idx="247">
                  <c:v>-5.8369178084436801E-4</c:v>
                </c:pt>
                <c:pt idx="248">
                  <c:v>-3.4358173439057423E-3</c:v>
                </c:pt>
                <c:pt idx="249">
                  <c:v>-7.2672556605749318E-3</c:v>
                </c:pt>
                <c:pt idx="250">
                  <c:v>-4.1347709213707638E-3</c:v>
                </c:pt>
                <c:pt idx="251">
                  <c:v>1.6394472520943194E-3</c:v>
                </c:pt>
                <c:pt idx="252">
                  <c:v>-1.5475796856310579E-3</c:v>
                </c:pt>
                <c:pt idx="253">
                  <c:v>-2.530290651773735E-3</c:v>
                </c:pt>
                <c:pt idx="254">
                  <c:v>-5.5764707351314696E-3</c:v>
                </c:pt>
                <c:pt idx="255">
                  <c:v>-5.1489686056012708E-3</c:v>
                </c:pt>
                <c:pt idx="256">
                  <c:v>-7.1690653380193058E-3</c:v>
                </c:pt>
                <c:pt idx="257">
                  <c:v>-8.1294779183322934E-3</c:v>
                </c:pt>
                <c:pt idx="258">
                  <c:v>-8.425562694738346E-3</c:v>
                </c:pt>
                <c:pt idx="259">
                  <c:v>-8.0259378876844055E-3</c:v>
                </c:pt>
                <c:pt idx="260">
                  <c:v>-6.6280488712978517E-3</c:v>
                </c:pt>
                <c:pt idx="261">
                  <c:v>-7.2508246537875938E-3</c:v>
                </c:pt>
                <c:pt idx="262">
                  <c:v>-6.239298245295042E-3</c:v>
                </c:pt>
                <c:pt idx="263">
                  <c:v>-7.2709966088453917E-3</c:v>
                </c:pt>
                <c:pt idx="264">
                  <c:v>-6.2832992090647438E-3</c:v>
                </c:pt>
                <c:pt idx="265">
                  <c:v>-5.1727075901982561E-3</c:v>
                </c:pt>
                <c:pt idx="266">
                  <c:v>-3.7697561574065552E-3</c:v>
                </c:pt>
                <c:pt idx="267">
                  <c:v>-3.2971275029841456E-3</c:v>
                </c:pt>
                <c:pt idx="268">
                  <c:v>-2.8238610068525671E-3</c:v>
                </c:pt>
                <c:pt idx="269">
                  <c:v>-2.2635640813099293E-3</c:v>
                </c:pt>
                <c:pt idx="270">
                  <c:v>-3.5117393223099273E-3</c:v>
                </c:pt>
                <c:pt idx="271">
                  <c:v>-3.9516492694574041E-3</c:v>
                </c:pt>
                <c:pt idx="272">
                  <c:v>-4.235020341892777E-3</c:v>
                </c:pt>
                <c:pt idx="273">
                  <c:v>-2.3557692475661782E-3</c:v>
                </c:pt>
                <c:pt idx="274">
                  <c:v>-1.5141245245473096E-3</c:v>
                </c:pt>
                <c:pt idx="275">
                  <c:v>-1.6142943572513666E-3</c:v>
                </c:pt>
                <c:pt idx="276">
                  <c:v>-1.7218720134991297E-3</c:v>
                </c:pt>
                <c:pt idx="277">
                  <c:v>-9.5589802106072689E-4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B6-4A21-93EB-28BFEE0913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257567"/>
        <c:axId val="574268799"/>
      </c:lineChart>
      <c:dateAx>
        <c:axId val="57425756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268799"/>
        <c:crosses val="autoZero"/>
        <c:auto val="1"/>
        <c:lblOffset val="100"/>
        <c:baseTimeUnit val="days"/>
      </c:dateAx>
      <c:valAx>
        <c:axId val="574268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257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9720EE3-0D7A-4ED5-8AC1-23545D7387A2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6E3BEDF-5855-4685-BBA5-D85D628CDD5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14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1"/>
      <c r="B2" s="1"/>
      <c r="C2" s="4">
        <f>MAX(C3:C1912)</f>
        <v>668</v>
      </c>
      <c r="D2" s="4">
        <f>MIN(D3:D1912)</f>
        <v>25.939</v>
      </c>
      <c r="E2" s="1"/>
      <c r="F2" s="1"/>
      <c r="G2" s="1"/>
    </row>
    <row r="3" spans="1:14" x14ac:dyDescent="0.25">
      <c r="A3" s="5"/>
    </row>
    <row r="4" spans="1:14" x14ac:dyDescent="0.25">
      <c r="A4" s="5"/>
      <c r="L4" t="s">
        <v>7</v>
      </c>
      <c r="M4" t="s">
        <v>8</v>
      </c>
      <c r="N4" t="s">
        <v>7</v>
      </c>
    </row>
    <row r="5" spans="1:14" x14ac:dyDescent="0.25">
      <c r="A5" s="5">
        <v>44588</v>
      </c>
      <c r="B5">
        <v>146.4</v>
      </c>
      <c r="C5">
        <v>148.5</v>
      </c>
      <c r="D5">
        <v>141.4</v>
      </c>
      <c r="E5">
        <v>141.5</v>
      </c>
      <c r="F5">
        <v>11564.011</v>
      </c>
      <c r="G5">
        <v>141.5</v>
      </c>
      <c r="L5" t="s">
        <v>7</v>
      </c>
      <c r="M5" t="s">
        <v>8</v>
      </c>
      <c r="N5" t="s">
        <v>7</v>
      </c>
    </row>
    <row r="6" spans="1:14" x14ac:dyDescent="0.25">
      <c r="A6" s="5">
        <v>44587</v>
      </c>
      <c r="B6">
        <v>151.80000000000001</v>
      </c>
      <c r="C6">
        <v>164</v>
      </c>
      <c r="D6">
        <v>142.6</v>
      </c>
      <c r="E6">
        <v>146.5</v>
      </c>
      <c r="F6">
        <v>197539.94699999999</v>
      </c>
      <c r="G6">
        <v>146.5</v>
      </c>
      <c r="L6" t="s">
        <v>8</v>
      </c>
      <c r="M6" t="s">
        <v>8</v>
      </c>
      <c r="N6" t="s">
        <v>7</v>
      </c>
    </row>
    <row r="7" spans="1:14" x14ac:dyDescent="0.25">
      <c r="A7" s="5">
        <v>44586</v>
      </c>
      <c r="B7">
        <v>152.4</v>
      </c>
      <c r="C7">
        <v>156.30000000000001</v>
      </c>
      <c r="D7">
        <v>145.80000000000001</v>
      </c>
      <c r="E7">
        <v>151.80000000000001</v>
      </c>
      <c r="F7">
        <v>137214.35800000001</v>
      </c>
      <c r="G7">
        <v>151.80000000000001</v>
      </c>
      <c r="L7" t="s">
        <v>8</v>
      </c>
      <c r="M7" t="s">
        <v>8</v>
      </c>
      <c r="N7" t="s">
        <v>7</v>
      </c>
    </row>
    <row r="8" spans="1:14" x14ac:dyDescent="0.25">
      <c r="A8" s="5">
        <v>44585</v>
      </c>
      <c r="B8">
        <v>158.5</v>
      </c>
      <c r="C8">
        <v>158.6</v>
      </c>
      <c r="D8">
        <v>131.1</v>
      </c>
      <c r="E8">
        <v>152.5</v>
      </c>
      <c r="F8">
        <v>250523.71160000001</v>
      </c>
      <c r="G8">
        <v>152.5</v>
      </c>
      <c r="L8" t="s">
        <v>7</v>
      </c>
      <c r="M8" t="s">
        <v>7</v>
      </c>
      <c r="N8" t="s">
        <v>7</v>
      </c>
    </row>
    <row r="9" spans="1:14" x14ac:dyDescent="0.25">
      <c r="A9" s="5">
        <v>44584</v>
      </c>
      <c r="B9">
        <v>147.1</v>
      </c>
      <c r="C9">
        <v>163.30000000000001</v>
      </c>
      <c r="D9">
        <v>145.4</v>
      </c>
      <c r="E9">
        <v>158.4</v>
      </c>
      <c r="F9">
        <v>171630.42600000001</v>
      </c>
      <c r="G9">
        <v>158.4</v>
      </c>
      <c r="L9" t="s">
        <v>8</v>
      </c>
      <c r="M9" t="s">
        <v>8</v>
      </c>
      <c r="N9" t="s">
        <v>7</v>
      </c>
    </row>
    <row r="10" spans="1:14" x14ac:dyDescent="0.25">
      <c r="A10" s="5">
        <v>44583</v>
      </c>
      <c r="B10">
        <v>170.9</v>
      </c>
      <c r="C10">
        <v>175.4</v>
      </c>
      <c r="D10">
        <v>135</v>
      </c>
      <c r="E10">
        <v>146.9</v>
      </c>
      <c r="F10">
        <v>279002.33289999998</v>
      </c>
      <c r="G10">
        <v>146.9</v>
      </c>
      <c r="L10" t="s">
        <v>7</v>
      </c>
      <c r="M10" t="s">
        <v>7</v>
      </c>
      <c r="N10" t="s">
        <v>7</v>
      </c>
    </row>
    <row r="11" spans="1:14" x14ac:dyDescent="0.25">
      <c r="A11" s="5">
        <v>44582</v>
      </c>
      <c r="B11">
        <v>198.3</v>
      </c>
      <c r="C11">
        <v>200.6</v>
      </c>
      <c r="D11">
        <v>163.1</v>
      </c>
      <c r="E11">
        <v>171</v>
      </c>
      <c r="F11">
        <v>295579.022</v>
      </c>
      <c r="G11">
        <v>171</v>
      </c>
      <c r="L11" t="s">
        <v>7</v>
      </c>
      <c r="M11" t="s">
        <v>7</v>
      </c>
      <c r="N11" t="s">
        <v>7</v>
      </c>
    </row>
    <row r="12" spans="1:14" x14ac:dyDescent="0.25">
      <c r="A12" s="5">
        <v>44581</v>
      </c>
      <c r="B12">
        <v>210.4</v>
      </c>
      <c r="C12">
        <v>221.4</v>
      </c>
      <c r="D12">
        <v>197</v>
      </c>
      <c r="E12">
        <v>198.4</v>
      </c>
      <c r="F12">
        <v>104323.143</v>
      </c>
      <c r="G12">
        <v>198.4</v>
      </c>
      <c r="L12" t="s">
        <v>7</v>
      </c>
      <c r="M12" t="s">
        <v>7</v>
      </c>
      <c r="N12" t="s">
        <v>7</v>
      </c>
    </row>
    <row r="13" spans="1:14" x14ac:dyDescent="0.25">
      <c r="A13" s="5">
        <v>44580</v>
      </c>
      <c r="B13">
        <v>232.4</v>
      </c>
      <c r="C13">
        <v>236.9</v>
      </c>
      <c r="D13">
        <v>210</v>
      </c>
      <c r="E13">
        <v>210.2</v>
      </c>
      <c r="F13">
        <v>147663.61199999999</v>
      </c>
      <c r="G13">
        <v>210.2</v>
      </c>
      <c r="L13" t="s">
        <v>7</v>
      </c>
      <c r="M13" t="s">
        <v>8</v>
      </c>
      <c r="N13" t="s">
        <v>7</v>
      </c>
    </row>
    <row r="14" spans="1:14" x14ac:dyDescent="0.25">
      <c r="A14" s="5">
        <v>44579</v>
      </c>
      <c r="B14">
        <v>226.6</v>
      </c>
      <c r="C14">
        <v>240.5</v>
      </c>
      <c r="D14">
        <v>222.7</v>
      </c>
      <c r="E14">
        <v>232.4</v>
      </c>
      <c r="F14">
        <v>219683.61900000001</v>
      </c>
      <c r="G14">
        <v>232.4</v>
      </c>
      <c r="L14" t="s">
        <v>8</v>
      </c>
      <c r="M14" t="s">
        <v>8</v>
      </c>
      <c r="N14" t="s">
        <v>7</v>
      </c>
    </row>
    <row r="15" spans="1:14" x14ac:dyDescent="0.25">
      <c r="A15" s="5">
        <v>44578</v>
      </c>
      <c r="B15">
        <v>242.4</v>
      </c>
      <c r="C15">
        <v>244.3</v>
      </c>
      <c r="D15">
        <v>221.3</v>
      </c>
      <c r="E15">
        <v>226.6</v>
      </c>
      <c r="F15">
        <v>152666.481</v>
      </c>
      <c r="G15">
        <v>226.6</v>
      </c>
      <c r="L15" t="s">
        <v>7</v>
      </c>
      <c r="M15" t="s">
        <v>8</v>
      </c>
      <c r="N15" t="s">
        <v>7</v>
      </c>
    </row>
    <row r="16" spans="1:14" x14ac:dyDescent="0.25">
      <c r="A16" s="5">
        <v>44577</v>
      </c>
      <c r="B16">
        <v>238.4</v>
      </c>
      <c r="C16">
        <v>245.5</v>
      </c>
      <c r="D16">
        <v>230.3</v>
      </c>
      <c r="E16">
        <v>242.5</v>
      </c>
      <c r="F16">
        <v>121073.731</v>
      </c>
      <c r="G16">
        <v>242.5</v>
      </c>
      <c r="L16" t="s">
        <v>8</v>
      </c>
      <c r="M16" t="s">
        <v>8</v>
      </c>
      <c r="N16" t="s">
        <v>7</v>
      </c>
    </row>
    <row r="17" spans="1:14" x14ac:dyDescent="0.25">
      <c r="A17" s="5">
        <v>44576</v>
      </c>
      <c r="B17">
        <v>223.8</v>
      </c>
      <c r="C17">
        <v>243.7</v>
      </c>
      <c r="D17">
        <v>222.3</v>
      </c>
      <c r="E17">
        <v>238.4</v>
      </c>
      <c r="F17">
        <v>182510.09</v>
      </c>
      <c r="G17">
        <v>238.4</v>
      </c>
      <c r="L17" t="s">
        <v>8</v>
      </c>
      <c r="M17" t="s">
        <v>8</v>
      </c>
      <c r="N17" t="s">
        <v>7</v>
      </c>
    </row>
    <row r="18" spans="1:14" x14ac:dyDescent="0.25">
      <c r="A18" s="5">
        <v>44575</v>
      </c>
      <c r="B18">
        <v>209.4</v>
      </c>
      <c r="C18">
        <v>227</v>
      </c>
      <c r="D18">
        <v>204</v>
      </c>
      <c r="E18">
        <v>223.9</v>
      </c>
      <c r="F18">
        <v>145344.43900000001</v>
      </c>
      <c r="G18">
        <v>223.9</v>
      </c>
      <c r="L18" t="s">
        <v>8</v>
      </c>
      <c r="M18" t="s">
        <v>8</v>
      </c>
      <c r="N18" t="s">
        <v>7</v>
      </c>
    </row>
    <row r="19" spans="1:14" x14ac:dyDescent="0.25">
      <c r="A19" s="5">
        <v>44574</v>
      </c>
      <c r="B19">
        <v>218.7</v>
      </c>
      <c r="C19">
        <v>222.1</v>
      </c>
      <c r="D19">
        <v>207.1</v>
      </c>
      <c r="E19">
        <v>209.3</v>
      </c>
      <c r="F19">
        <v>137541.45000000001</v>
      </c>
      <c r="G19">
        <v>209.3</v>
      </c>
      <c r="L19" t="s">
        <v>8</v>
      </c>
      <c r="M19" t="s">
        <v>7</v>
      </c>
      <c r="N19" t="s">
        <v>7</v>
      </c>
    </row>
    <row r="20" spans="1:14" x14ac:dyDescent="0.25">
      <c r="A20" s="5">
        <v>44573</v>
      </c>
      <c r="B20">
        <v>213.2</v>
      </c>
      <c r="C20">
        <v>222.6</v>
      </c>
      <c r="D20">
        <v>210.5</v>
      </c>
      <c r="E20">
        <v>218.5</v>
      </c>
      <c r="F20">
        <v>104713.621</v>
      </c>
      <c r="G20">
        <v>218.5</v>
      </c>
      <c r="L20" t="s">
        <v>8</v>
      </c>
      <c r="M20" t="s">
        <v>7</v>
      </c>
      <c r="N20" t="s">
        <v>7</v>
      </c>
    </row>
    <row r="21" spans="1:14" x14ac:dyDescent="0.25">
      <c r="A21" s="5">
        <v>44572</v>
      </c>
      <c r="B21">
        <v>199.9</v>
      </c>
      <c r="C21">
        <v>216.9</v>
      </c>
      <c r="D21">
        <v>196.6</v>
      </c>
      <c r="E21">
        <v>213.3</v>
      </c>
      <c r="F21">
        <v>108697.97900000001</v>
      </c>
      <c r="G21">
        <v>213.3</v>
      </c>
      <c r="L21" t="s">
        <v>8</v>
      </c>
      <c r="M21" t="s">
        <v>7</v>
      </c>
      <c r="N21" t="s">
        <v>7</v>
      </c>
    </row>
    <row r="22" spans="1:14" x14ac:dyDescent="0.25">
      <c r="A22" s="5">
        <v>44571</v>
      </c>
      <c r="B22">
        <v>209.5</v>
      </c>
      <c r="C22">
        <v>213.7</v>
      </c>
      <c r="D22">
        <v>186.7</v>
      </c>
      <c r="E22">
        <v>199.9</v>
      </c>
      <c r="F22">
        <v>206153.55799999999</v>
      </c>
      <c r="G22">
        <v>199.9</v>
      </c>
      <c r="L22" t="s">
        <v>7</v>
      </c>
      <c r="M22" t="s">
        <v>7</v>
      </c>
      <c r="N22" t="s">
        <v>7</v>
      </c>
    </row>
    <row r="23" spans="1:14" x14ac:dyDescent="0.25">
      <c r="A23" s="5">
        <v>44570</v>
      </c>
      <c r="B23">
        <v>212.3</v>
      </c>
      <c r="C23">
        <v>219.2</v>
      </c>
      <c r="D23">
        <v>207.7</v>
      </c>
      <c r="E23">
        <v>209.5</v>
      </c>
      <c r="F23">
        <v>125345.269</v>
      </c>
      <c r="G23">
        <v>209.5</v>
      </c>
      <c r="L23" t="s">
        <v>7</v>
      </c>
      <c r="M23" t="s">
        <v>7</v>
      </c>
      <c r="N23" t="s">
        <v>7</v>
      </c>
    </row>
    <row r="24" spans="1:14" x14ac:dyDescent="0.25">
      <c r="A24" s="5">
        <v>44569</v>
      </c>
      <c r="B24">
        <v>211.8</v>
      </c>
      <c r="C24">
        <v>231.1</v>
      </c>
      <c r="D24">
        <v>200.5</v>
      </c>
      <c r="E24">
        <v>212.3</v>
      </c>
      <c r="F24">
        <v>244685.024</v>
      </c>
      <c r="G24">
        <v>212.3</v>
      </c>
      <c r="L24" t="s">
        <v>8</v>
      </c>
      <c r="M24" t="s">
        <v>7</v>
      </c>
      <c r="N24" t="s">
        <v>7</v>
      </c>
    </row>
    <row r="25" spans="1:14" x14ac:dyDescent="0.25">
      <c r="A25" s="5">
        <v>44568</v>
      </c>
      <c r="B25">
        <v>221</v>
      </c>
      <c r="C25">
        <v>222.1</v>
      </c>
      <c r="D25">
        <v>199.7</v>
      </c>
      <c r="E25">
        <v>211.7</v>
      </c>
      <c r="F25">
        <v>215595.28099999999</v>
      </c>
      <c r="G25">
        <v>211.7</v>
      </c>
      <c r="L25" t="s">
        <v>7</v>
      </c>
      <c r="M25" t="s">
        <v>7</v>
      </c>
      <c r="N25" t="s">
        <v>7</v>
      </c>
    </row>
    <row r="26" spans="1:14" x14ac:dyDescent="0.25">
      <c r="A26" s="5">
        <v>44567</v>
      </c>
      <c r="B26">
        <v>230.1</v>
      </c>
      <c r="C26">
        <v>233.1</v>
      </c>
      <c r="D26">
        <v>214.3</v>
      </c>
      <c r="E26">
        <v>221</v>
      </c>
      <c r="F26">
        <v>222989.25200000001</v>
      </c>
      <c r="G26">
        <v>221</v>
      </c>
      <c r="L26" t="s">
        <v>8</v>
      </c>
      <c r="M26" t="s">
        <v>7</v>
      </c>
      <c r="N26" t="s">
        <v>8</v>
      </c>
    </row>
    <row r="27" spans="1:14" x14ac:dyDescent="0.25">
      <c r="A27" s="5">
        <v>44566</v>
      </c>
      <c r="B27">
        <v>252</v>
      </c>
      <c r="C27">
        <v>259.39999999999998</v>
      </c>
      <c r="D27">
        <v>214.9</v>
      </c>
      <c r="E27">
        <v>230.3</v>
      </c>
      <c r="F27">
        <v>189611.084</v>
      </c>
      <c r="G27">
        <v>230.3</v>
      </c>
      <c r="L27" t="s">
        <v>7</v>
      </c>
      <c r="M27" t="s">
        <v>7</v>
      </c>
      <c r="N27" t="s">
        <v>8</v>
      </c>
    </row>
    <row r="28" spans="1:14" x14ac:dyDescent="0.25">
      <c r="A28" s="5">
        <v>44565</v>
      </c>
      <c r="B28">
        <v>267.2</v>
      </c>
      <c r="C28">
        <v>269.5</v>
      </c>
      <c r="D28">
        <v>249.8</v>
      </c>
      <c r="E28">
        <v>252.1</v>
      </c>
      <c r="F28">
        <v>173580.45300000001</v>
      </c>
      <c r="G28">
        <v>252.1</v>
      </c>
      <c r="L28" t="s">
        <v>7</v>
      </c>
      <c r="M28" t="s">
        <v>8</v>
      </c>
      <c r="N28" t="s">
        <v>8</v>
      </c>
    </row>
    <row r="29" spans="1:14" x14ac:dyDescent="0.25">
      <c r="A29" s="5">
        <v>44564</v>
      </c>
      <c r="B29">
        <v>265.3</v>
      </c>
      <c r="C29">
        <v>286.39999999999998</v>
      </c>
      <c r="D29">
        <v>262.7</v>
      </c>
      <c r="E29">
        <v>267.2</v>
      </c>
      <c r="F29">
        <v>252013.495</v>
      </c>
      <c r="G29">
        <v>267.2</v>
      </c>
      <c r="L29" t="s">
        <v>8</v>
      </c>
      <c r="M29" t="s">
        <v>8</v>
      </c>
      <c r="N29" t="s">
        <v>8</v>
      </c>
    </row>
    <row r="30" spans="1:14" x14ac:dyDescent="0.25">
      <c r="A30" s="5">
        <v>44563</v>
      </c>
      <c r="B30">
        <v>266.3</v>
      </c>
      <c r="C30">
        <v>269.10000000000002</v>
      </c>
      <c r="D30">
        <v>253.1</v>
      </c>
      <c r="E30">
        <v>265.3</v>
      </c>
      <c r="F30">
        <v>122031.041</v>
      </c>
      <c r="G30">
        <v>265.3</v>
      </c>
      <c r="L30" t="s">
        <v>8</v>
      </c>
      <c r="M30" t="s">
        <v>8</v>
      </c>
      <c r="N30" t="s">
        <v>8</v>
      </c>
    </row>
    <row r="31" spans="1:14" x14ac:dyDescent="0.25">
      <c r="A31" s="5">
        <v>44562</v>
      </c>
      <c r="B31">
        <v>253.9</v>
      </c>
      <c r="C31">
        <v>266.8</v>
      </c>
      <c r="D31">
        <v>250.2</v>
      </c>
      <c r="E31">
        <v>266.39999999999998</v>
      </c>
      <c r="F31">
        <v>110355.452</v>
      </c>
      <c r="G31">
        <v>266.39999999999998</v>
      </c>
      <c r="L31" t="s">
        <v>7</v>
      </c>
      <c r="M31" t="s">
        <v>8</v>
      </c>
      <c r="N31" t="s">
        <v>8</v>
      </c>
    </row>
    <row r="32" spans="1:14" x14ac:dyDescent="0.25">
      <c r="A32" s="5">
        <v>44561</v>
      </c>
      <c r="B32">
        <v>262.7</v>
      </c>
      <c r="C32">
        <v>275.60000000000002</v>
      </c>
      <c r="D32">
        <v>249</v>
      </c>
      <c r="E32">
        <v>253.9</v>
      </c>
      <c r="F32">
        <v>220819.58100000001</v>
      </c>
      <c r="G32">
        <v>253.9</v>
      </c>
      <c r="L32" t="s">
        <v>8</v>
      </c>
      <c r="M32" t="s">
        <v>8</v>
      </c>
      <c r="N32" t="s">
        <v>8</v>
      </c>
    </row>
    <row r="33" spans="1:14" x14ac:dyDescent="0.25">
      <c r="A33" s="5">
        <v>44560</v>
      </c>
      <c r="B33">
        <v>236.4</v>
      </c>
      <c r="C33">
        <v>265.8</v>
      </c>
      <c r="D33">
        <v>230.8</v>
      </c>
      <c r="E33">
        <v>262.8</v>
      </c>
      <c r="F33">
        <v>205841.28899999999</v>
      </c>
      <c r="G33">
        <v>262.8</v>
      </c>
      <c r="L33" t="s">
        <v>7</v>
      </c>
      <c r="M33" t="s">
        <v>7</v>
      </c>
      <c r="N33" t="s">
        <v>8</v>
      </c>
    </row>
    <row r="34" spans="1:14" x14ac:dyDescent="0.25">
      <c r="A34" s="5">
        <v>44559</v>
      </c>
      <c r="B34">
        <v>252.6</v>
      </c>
      <c r="C34">
        <v>259.5</v>
      </c>
      <c r="D34">
        <v>234.8</v>
      </c>
      <c r="E34">
        <v>236.3</v>
      </c>
      <c r="F34">
        <v>256243.717</v>
      </c>
      <c r="G34">
        <v>236.3</v>
      </c>
      <c r="L34" t="s">
        <v>7</v>
      </c>
      <c r="M34" t="s">
        <v>7</v>
      </c>
      <c r="N34" t="s">
        <v>8</v>
      </c>
    </row>
    <row r="35" spans="1:14" x14ac:dyDescent="0.25">
      <c r="A35" s="5">
        <v>44558</v>
      </c>
      <c r="B35">
        <v>277.5</v>
      </c>
      <c r="C35">
        <v>296.8</v>
      </c>
      <c r="D35">
        <v>252.2</v>
      </c>
      <c r="E35">
        <v>252.7</v>
      </c>
      <c r="F35">
        <v>439629.19400000002</v>
      </c>
      <c r="G35">
        <v>252.7</v>
      </c>
      <c r="L35" t="s">
        <v>8</v>
      </c>
      <c r="M35" t="s">
        <v>8</v>
      </c>
      <c r="N35" t="s">
        <v>8</v>
      </c>
    </row>
    <row r="36" spans="1:14" x14ac:dyDescent="0.25">
      <c r="A36" s="5">
        <v>44557</v>
      </c>
      <c r="B36">
        <v>268.10000000000002</v>
      </c>
      <c r="C36">
        <v>293.3</v>
      </c>
      <c r="D36">
        <v>265.60000000000002</v>
      </c>
      <c r="E36">
        <v>277.5</v>
      </c>
      <c r="F36">
        <v>229927.52900000001</v>
      </c>
      <c r="G36">
        <v>277.5</v>
      </c>
      <c r="L36" t="s">
        <v>8</v>
      </c>
      <c r="M36" t="s">
        <v>8</v>
      </c>
      <c r="N36" t="s">
        <v>8</v>
      </c>
    </row>
    <row r="37" spans="1:14" x14ac:dyDescent="0.25">
      <c r="A37" s="5">
        <v>44556</v>
      </c>
      <c r="B37">
        <v>263.7</v>
      </c>
      <c r="C37">
        <v>277.5</v>
      </c>
      <c r="D37">
        <v>250.1</v>
      </c>
      <c r="E37">
        <v>267.8</v>
      </c>
      <c r="F37">
        <v>182402.86300000001</v>
      </c>
      <c r="G37">
        <v>267.8</v>
      </c>
      <c r="L37" t="s">
        <v>7</v>
      </c>
      <c r="M37" t="s">
        <v>8</v>
      </c>
      <c r="N37" t="s">
        <v>8</v>
      </c>
    </row>
    <row r="38" spans="1:14" x14ac:dyDescent="0.25">
      <c r="A38" s="5">
        <v>44555</v>
      </c>
      <c r="B38">
        <v>270.3</v>
      </c>
      <c r="C38">
        <v>280.8</v>
      </c>
      <c r="D38">
        <v>257.39999999999998</v>
      </c>
      <c r="E38">
        <v>263.7</v>
      </c>
      <c r="F38">
        <v>211797.81299999999</v>
      </c>
      <c r="G38">
        <v>263.7</v>
      </c>
      <c r="L38" t="s">
        <v>7</v>
      </c>
      <c r="M38" t="s">
        <v>8</v>
      </c>
      <c r="N38" t="s">
        <v>8</v>
      </c>
    </row>
    <row r="39" spans="1:14" x14ac:dyDescent="0.25">
      <c r="A39" s="5">
        <v>44554</v>
      </c>
      <c r="B39">
        <v>247</v>
      </c>
      <c r="C39">
        <v>279.39999999999998</v>
      </c>
      <c r="D39">
        <v>243.1</v>
      </c>
      <c r="E39">
        <v>270.39999999999998</v>
      </c>
      <c r="F39">
        <v>374399.92700000003</v>
      </c>
      <c r="G39">
        <v>270.39999999999998</v>
      </c>
      <c r="L39" t="s">
        <v>8</v>
      </c>
      <c r="M39" t="s">
        <v>8</v>
      </c>
      <c r="N39" t="s">
        <v>8</v>
      </c>
    </row>
    <row r="40" spans="1:14" x14ac:dyDescent="0.25">
      <c r="A40" s="5">
        <v>44553</v>
      </c>
      <c r="B40">
        <v>206.6</v>
      </c>
      <c r="C40">
        <v>248.4</v>
      </c>
      <c r="D40">
        <v>203.8</v>
      </c>
      <c r="E40">
        <v>246.9</v>
      </c>
      <c r="F40">
        <v>448038.8</v>
      </c>
      <c r="G40">
        <v>246.9</v>
      </c>
      <c r="L40" t="s">
        <v>8</v>
      </c>
      <c r="M40" t="s">
        <v>8</v>
      </c>
      <c r="N40" t="s">
        <v>8</v>
      </c>
    </row>
    <row r="41" spans="1:14" x14ac:dyDescent="0.25">
      <c r="A41" s="5">
        <v>44552</v>
      </c>
      <c r="B41">
        <v>185.9</v>
      </c>
      <c r="C41">
        <v>216.5</v>
      </c>
      <c r="D41">
        <v>185.7</v>
      </c>
      <c r="E41">
        <v>206.5</v>
      </c>
      <c r="F41">
        <v>285902.03700000001</v>
      </c>
      <c r="G41">
        <v>206.5</v>
      </c>
      <c r="L41" t="s">
        <v>8</v>
      </c>
      <c r="M41" t="s">
        <v>8</v>
      </c>
      <c r="N41" t="s">
        <v>7</v>
      </c>
    </row>
    <row r="42" spans="1:14" x14ac:dyDescent="0.25">
      <c r="A42" s="5">
        <v>44551</v>
      </c>
      <c r="B42">
        <v>181</v>
      </c>
      <c r="C42">
        <v>186.7</v>
      </c>
      <c r="D42">
        <v>178.8</v>
      </c>
      <c r="E42">
        <v>185.9</v>
      </c>
      <c r="F42">
        <v>92763.406000000003</v>
      </c>
      <c r="G42">
        <v>185.9</v>
      </c>
      <c r="L42" t="s">
        <v>8</v>
      </c>
      <c r="M42" t="s">
        <v>7</v>
      </c>
      <c r="N42" t="s">
        <v>7</v>
      </c>
    </row>
    <row r="43" spans="1:14" x14ac:dyDescent="0.25">
      <c r="A43" s="5">
        <v>44550</v>
      </c>
      <c r="B43">
        <v>183.3</v>
      </c>
      <c r="C43">
        <v>186.3</v>
      </c>
      <c r="D43">
        <v>167.2</v>
      </c>
      <c r="E43">
        <v>181</v>
      </c>
      <c r="F43">
        <v>105734.132</v>
      </c>
      <c r="G43">
        <v>181</v>
      </c>
      <c r="L43" t="s">
        <v>7</v>
      </c>
      <c r="M43" t="s">
        <v>7</v>
      </c>
      <c r="N43" t="s">
        <v>7</v>
      </c>
    </row>
    <row r="44" spans="1:14" x14ac:dyDescent="0.25">
      <c r="A44" s="5">
        <v>44549</v>
      </c>
      <c r="B44">
        <v>193</v>
      </c>
      <c r="C44">
        <v>193.3</v>
      </c>
      <c r="D44">
        <v>182.1</v>
      </c>
      <c r="E44">
        <v>183.3</v>
      </c>
      <c r="F44">
        <v>92553.828999999998</v>
      </c>
      <c r="G44">
        <v>183.3</v>
      </c>
      <c r="L44" t="s">
        <v>7</v>
      </c>
      <c r="M44" t="s">
        <v>8</v>
      </c>
      <c r="N44" t="s">
        <v>7</v>
      </c>
    </row>
    <row r="45" spans="1:14" x14ac:dyDescent="0.25">
      <c r="A45" s="5">
        <v>44548</v>
      </c>
      <c r="B45">
        <v>187.4</v>
      </c>
      <c r="C45">
        <v>202</v>
      </c>
      <c r="D45">
        <v>182.7</v>
      </c>
      <c r="E45">
        <v>193.1</v>
      </c>
      <c r="F45">
        <v>389522.75</v>
      </c>
      <c r="G45">
        <v>193.1</v>
      </c>
      <c r="L45" t="s">
        <v>8</v>
      </c>
      <c r="M45" t="s">
        <v>8</v>
      </c>
      <c r="N45" t="s">
        <v>7</v>
      </c>
    </row>
    <row r="46" spans="1:14" x14ac:dyDescent="0.25">
      <c r="A46" s="5">
        <v>44547</v>
      </c>
      <c r="B46">
        <v>174.1</v>
      </c>
      <c r="C46">
        <v>188.7</v>
      </c>
      <c r="D46">
        <v>162</v>
      </c>
      <c r="E46">
        <v>187.3</v>
      </c>
      <c r="F46">
        <v>144892.63399999999</v>
      </c>
      <c r="G46">
        <v>187.3</v>
      </c>
      <c r="L46" t="s">
        <v>8</v>
      </c>
      <c r="M46" t="s">
        <v>8</v>
      </c>
      <c r="N46" t="s">
        <v>7</v>
      </c>
    </row>
    <row r="47" spans="1:14" x14ac:dyDescent="0.25">
      <c r="A47" s="5">
        <v>44546</v>
      </c>
      <c r="B47">
        <v>172.8</v>
      </c>
      <c r="C47">
        <v>181</v>
      </c>
      <c r="D47">
        <v>172.2</v>
      </c>
      <c r="E47">
        <v>174.2</v>
      </c>
      <c r="F47">
        <v>88461.739000000001</v>
      </c>
      <c r="G47">
        <v>174.2</v>
      </c>
      <c r="L47" t="s">
        <v>8</v>
      </c>
      <c r="M47" t="s">
        <v>7</v>
      </c>
      <c r="N47" t="s">
        <v>7</v>
      </c>
    </row>
    <row r="48" spans="1:14" x14ac:dyDescent="0.25">
      <c r="A48" s="5">
        <v>44545</v>
      </c>
      <c r="B48">
        <v>169.3</v>
      </c>
      <c r="C48">
        <v>175.7</v>
      </c>
      <c r="D48">
        <v>158.9</v>
      </c>
      <c r="E48">
        <v>172.9</v>
      </c>
      <c r="F48">
        <v>128094.66800000001</v>
      </c>
      <c r="G48">
        <v>172.9</v>
      </c>
      <c r="L48" t="s">
        <v>8</v>
      </c>
      <c r="M48" t="s">
        <v>7</v>
      </c>
      <c r="N48" t="s">
        <v>7</v>
      </c>
    </row>
    <row r="49" spans="1:14" x14ac:dyDescent="0.25">
      <c r="A49" s="5">
        <v>44544</v>
      </c>
      <c r="B49">
        <v>162.30000000000001</v>
      </c>
      <c r="C49">
        <v>170.3</v>
      </c>
      <c r="D49">
        <v>158.4</v>
      </c>
      <c r="E49">
        <v>169.5</v>
      </c>
      <c r="F49">
        <v>87941.226999999999</v>
      </c>
      <c r="G49">
        <v>169.5</v>
      </c>
      <c r="L49" t="s">
        <v>8</v>
      </c>
      <c r="M49" t="s">
        <v>7</v>
      </c>
      <c r="N49" t="s">
        <v>7</v>
      </c>
    </row>
    <row r="50" spans="1:14" x14ac:dyDescent="0.25">
      <c r="A50" s="5">
        <v>44543</v>
      </c>
      <c r="B50">
        <v>179.7</v>
      </c>
      <c r="C50">
        <v>180.8</v>
      </c>
      <c r="D50">
        <v>157.6</v>
      </c>
      <c r="E50">
        <v>162.30000000000001</v>
      </c>
      <c r="F50">
        <v>92835.474000000002</v>
      </c>
      <c r="G50">
        <v>162.30000000000001</v>
      </c>
      <c r="L50" t="s">
        <v>7</v>
      </c>
      <c r="M50" t="s">
        <v>7</v>
      </c>
      <c r="N50" t="s">
        <v>7</v>
      </c>
    </row>
    <row r="51" spans="1:14" x14ac:dyDescent="0.25">
      <c r="A51" s="5">
        <v>44542</v>
      </c>
      <c r="B51">
        <v>181.1</v>
      </c>
      <c r="C51">
        <v>182.5</v>
      </c>
      <c r="D51">
        <v>175.6</v>
      </c>
      <c r="E51">
        <v>179.9</v>
      </c>
      <c r="F51">
        <v>54676.035000000003</v>
      </c>
      <c r="G51">
        <v>179.9</v>
      </c>
      <c r="L51" t="s">
        <v>8</v>
      </c>
      <c r="M51" t="s">
        <v>7</v>
      </c>
      <c r="N51" t="s">
        <v>7</v>
      </c>
    </row>
    <row r="52" spans="1:14" x14ac:dyDescent="0.25">
      <c r="A52" s="5">
        <v>44541</v>
      </c>
      <c r="B52">
        <v>166.8</v>
      </c>
      <c r="C52">
        <v>170.1</v>
      </c>
      <c r="D52">
        <v>162.69999999999999</v>
      </c>
      <c r="E52">
        <v>168.7</v>
      </c>
      <c r="F52">
        <v>9749.5789999999997</v>
      </c>
      <c r="G52">
        <v>168.7</v>
      </c>
      <c r="L52" t="s">
        <v>7</v>
      </c>
      <c r="M52" t="s">
        <v>7</v>
      </c>
      <c r="N52" t="s">
        <v>7</v>
      </c>
    </row>
    <row r="53" spans="1:14" x14ac:dyDescent="0.25">
      <c r="A53" s="5">
        <v>44540</v>
      </c>
      <c r="B53">
        <v>176.6</v>
      </c>
      <c r="C53">
        <v>181.4</v>
      </c>
      <c r="D53">
        <v>166.3</v>
      </c>
      <c r="E53">
        <v>166.9</v>
      </c>
      <c r="F53">
        <v>135380.546</v>
      </c>
      <c r="G53">
        <v>166.9</v>
      </c>
      <c r="L53" t="s">
        <v>7</v>
      </c>
      <c r="M53" t="s">
        <v>7</v>
      </c>
      <c r="N53" t="s">
        <v>7</v>
      </c>
    </row>
    <row r="54" spans="1:14" x14ac:dyDescent="0.25">
      <c r="A54" s="5">
        <v>44539</v>
      </c>
      <c r="B54">
        <v>203.4</v>
      </c>
      <c r="C54">
        <v>203.9</v>
      </c>
      <c r="D54">
        <v>176.5</v>
      </c>
      <c r="E54">
        <v>176.7</v>
      </c>
      <c r="F54">
        <v>136213.30799999999</v>
      </c>
      <c r="G54">
        <v>176.7</v>
      </c>
      <c r="L54" t="s">
        <v>7</v>
      </c>
      <c r="M54" t="s">
        <v>7</v>
      </c>
      <c r="N54" t="s">
        <v>7</v>
      </c>
    </row>
    <row r="55" spans="1:14" x14ac:dyDescent="0.25">
      <c r="A55" s="5">
        <v>44538</v>
      </c>
      <c r="B55">
        <v>186.8</v>
      </c>
      <c r="C55">
        <v>203.6</v>
      </c>
      <c r="D55">
        <v>179.3</v>
      </c>
      <c r="E55">
        <v>203.4</v>
      </c>
      <c r="F55">
        <v>166148.65900000001</v>
      </c>
      <c r="G55">
        <v>203.4</v>
      </c>
      <c r="L55" t="s">
        <v>8</v>
      </c>
      <c r="M55" t="s">
        <v>7</v>
      </c>
      <c r="N55" t="s">
        <v>7</v>
      </c>
    </row>
    <row r="56" spans="1:14" x14ac:dyDescent="0.25">
      <c r="A56" s="5">
        <v>44537</v>
      </c>
      <c r="B56">
        <v>184.5</v>
      </c>
      <c r="C56">
        <v>197.3</v>
      </c>
      <c r="D56">
        <v>180.6</v>
      </c>
      <c r="E56">
        <v>186.9</v>
      </c>
      <c r="F56">
        <v>163957.829</v>
      </c>
      <c r="G56">
        <v>186.9</v>
      </c>
      <c r="L56" t="s">
        <v>8</v>
      </c>
      <c r="M56" t="s">
        <v>7</v>
      </c>
      <c r="N56" t="s">
        <v>7</v>
      </c>
    </row>
    <row r="57" spans="1:14" x14ac:dyDescent="0.25">
      <c r="A57" s="5">
        <v>44536</v>
      </c>
      <c r="B57">
        <v>191.6</v>
      </c>
      <c r="C57">
        <v>191.8</v>
      </c>
      <c r="D57">
        <v>167.9</v>
      </c>
      <c r="E57">
        <v>184.6</v>
      </c>
      <c r="F57">
        <v>300726.603</v>
      </c>
      <c r="G57">
        <v>184.6</v>
      </c>
      <c r="L57" t="s">
        <v>7</v>
      </c>
      <c r="M57" t="s">
        <v>7</v>
      </c>
      <c r="N57" t="s">
        <v>7</v>
      </c>
    </row>
    <row r="58" spans="1:14" x14ac:dyDescent="0.25">
      <c r="A58" s="5">
        <v>44535</v>
      </c>
      <c r="B58">
        <v>202.8</v>
      </c>
      <c r="C58">
        <v>206.2</v>
      </c>
      <c r="D58">
        <v>186.6</v>
      </c>
      <c r="E58">
        <v>191.6</v>
      </c>
      <c r="F58">
        <v>110471.44899999999</v>
      </c>
      <c r="G58">
        <v>191.6</v>
      </c>
      <c r="L58" t="s">
        <v>8</v>
      </c>
      <c r="M58" t="s">
        <v>8</v>
      </c>
      <c r="N58" t="s">
        <v>7</v>
      </c>
    </row>
    <row r="59" spans="1:14" x14ac:dyDescent="0.25">
      <c r="A59" s="5">
        <v>44534</v>
      </c>
      <c r="B59">
        <v>225.5</v>
      </c>
      <c r="C59">
        <v>226.2</v>
      </c>
      <c r="D59">
        <v>159.19999999999999</v>
      </c>
      <c r="E59">
        <v>202.8</v>
      </c>
      <c r="F59">
        <v>408188.7291</v>
      </c>
      <c r="G59">
        <v>202.8</v>
      </c>
      <c r="L59" t="s">
        <v>7</v>
      </c>
      <c r="M59" t="s">
        <v>7</v>
      </c>
      <c r="N59" t="s">
        <v>7</v>
      </c>
    </row>
    <row r="60" spans="1:14" x14ac:dyDescent="0.25">
      <c r="A60" s="5">
        <v>44533</v>
      </c>
      <c r="B60">
        <v>244.6</v>
      </c>
      <c r="C60">
        <v>246.1</v>
      </c>
      <c r="D60">
        <v>217.6</v>
      </c>
      <c r="E60">
        <v>225.6</v>
      </c>
      <c r="F60">
        <v>99595.343299999993</v>
      </c>
      <c r="G60">
        <v>225.6</v>
      </c>
      <c r="L60" t="s">
        <v>7</v>
      </c>
      <c r="M60" t="s">
        <v>7</v>
      </c>
      <c r="N60" t="s">
        <v>7</v>
      </c>
    </row>
    <row r="61" spans="1:14" x14ac:dyDescent="0.25">
      <c r="A61" s="5">
        <v>44532</v>
      </c>
      <c r="B61">
        <v>250.5</v>
      </c>
      <c r="C61">
        <v>250.8</v>
      </c>
      <c r="D61">
        <v>240.1</v>
      </c>
      <c r="E61">
        <v>244.7</v>
      </c>
      <c r="F61">
        <v>75737.596000000005</v>
      </c>
      <c r="G61">
        <v>244.7</v>
      </c>
      <c r="L61" t="s">
        <v>7</v>
      </c>
      <c r="M61" t="s">
        <v>8</v>
      </c>
      <c r="N61" t="s">
        <v>7</v>
      </c>
    </row>
    <row r="62" spans="1:14" x14ac:dyDescent="0.25">
      <c r="A62" s="5">
        <v>44531</v>
      </c>
      <c r="B62">
        <v>256.8</v>
      </c>
      <c r="C62">
        <v>268.8</v>
      </c>
      <c r="D62">
        <v>249.1</v>
      </c>
      <c r="E62">
        <v>250.7</v>
      </c>
      <c r="F62">
        <v>112982.83500000001</v>
      </c>
      <c r="G62">
        <v>250.7</v>
      </c>
      <c r="L62" t="s">
        <v>8</v>
      </c>
      <c r="M62" t="s">
        <v>8</v>
      </c>
      <c r="N62" t="s">
        <v>7</v>
      </c>
    </row>
    <row r="63" spans="1:14" x14ac:dyDescent="0.25">
      <c r="A63" s="5">
        <v>44530</v>
      </c>
      <c r="B63">
        <v>249.7</v>
      </c>
      <c r="C63">
        <v>264.10000000000002</v>
      </c>
      <c r="D63">
        <v>244.4</v>
      </c>
      <c r="E63">
        <v>256.7</v>
      </c>
      <c r="F63">
        <v>153718.106</v>
      </c>
      <c r="G63">
        <v>256.7</v>
      </c>
      <c r="L63" t="s">
        <v>8</v>
      </c>
      <c r="M63" t="s">
        <v>8</v>
      </c>
      <c r="N63" t="s">
        <v>7</v>
      </c>
    </row>
    <row r="64" spans="1:14" x14ac:dyDescent="0.25">
      <c r="A64" s="5">
        <v>44529</v>
      </c>
      <c r="B64">
        <v>238.6</v>
      </c>
      <c r="C64">
        <v>251.2</v>
      </c>
      <c r="D64">
        <v>233.1</v>
      </c>
      <c r="E64">
        <v>249.7</v>
      </c>
      <c r="F64">
        <v>80993.387000000002</v>
      </c>
      <c r="G64">
        <v>249.7</v>
      </c>
      <c r="L64" t="s">
        <v>8</v>
      </c>
      <c r="M64" t="s">
        <v>7</v>
      </c>
      <c r="N64" t="s">
        <v>7</v>
      </c>
    </row>
    <row r="65" spans="1:14" x14ac:dyDescent="0.25">
      <c r="A65" s="5">
        <v>44528</v>
      </c>
      <c r="B65">
        <v>232.9</v>
      </c>
      <c r="C65">
        <v>239.1</v>
      </c>
      <c r="D65">
        <v>218.3</v>
      </c>
      <c r="E65">
        <v>238.6</v>
      </c>
      <c r="F65">
        <v>76326.884999999995</v>
      </c>
      <c r="G65">
        <v>238.6</v>
      </c>
      <c r="L65" t="s">
        <v>7</v>
      </c>
      <c r="M65" t="s">
        <v>7</v>
      </c>
      <c r="N65" t="s">
        <v>7</v>
      </c>
    </row>
    <row r="66" spans="1:14" x14ac:dyDescent="0.25">
      <c r="A66" s="5">
        <v>44527</v>
      </c>
      <c r="B66">
        <v>232.8</v>
      </c>
      <c r="C66">
        <v>243.4</v>
      </c>
      <c r="D66">
        <v>229.9</v>
      </c>
      <c r="E66">
        <v>232.9</v>
      </c>
      <c r="F66">
        <v>66464.069000000003</v>
      </c>
      <c r="G66">
        <v>232.9</v>
      </c>
      <c r="L66" t="s">
        <v>8</v>
      </c>
      <c r="M66" t="s">
        <v>7</v>
      </c>
      <c r="N66" t="s">
        <v>7</v>
      </c>
    </row>
    <row r="67" spans="1:14" x14ac:dyDescent="0.25">
      <c r="A67" s="5">
        <v>44526</v>
      </c>
      <c r="B67">
        <v>263.2</v>
      </c>
      <c r="C67">
        <v>263.8</v>
      </c>
      <c r="D67">
        <v>225.4</v>
      </c>
      <c r="E67">
        <v>232.8</v>
      </c>
      <c r="F67">
        <v>194860.0563</v>
      </c>
      <c r="G67">
        <v>232.8</v>
      </c>
      <c r="L67" t="s">
        <v>7</v>
      </c>
      <c r="M67" t="s">
        <v>7</v>
      </c>
      <c r="N67" t="s">
        <v>7</v>
      </c>
    </row>
    <row r="68" spans="1:14" x14ac:dyDescent="0.25">
      <c r="A68" s="5">
        <v>44525</v>
      </c>
      <c r="B68">
        <v>254.2</v>
      </c>
      <c r="C68">
        <v>264.10000000000002</v>
      </c>
      <c r="D68">
        <v>252.2</v>
      </c>
      <c r="E68">
        <v>263.10000000000002</v>
      </c>
      <c r="F68">
        <v>123678.935</v>
      </c>
      <c r="G68">
        <v>263.10000000000002</v>
      </c>
      <c r="L68" t="s">
        <v>7</v>
      </c>
      <c r="M68" t="s">
        <v>7</v>
      </c>
      <c r="N68" t="s">
        <v>7</v>
      </c>
    </row>
    <row r="69" spans="1:14" x14ac:dyDescent="0.25">
      <c r="A69" s="5">
        <v>44524</v>
      </c>
      <c r="B69">
        <v>269.8</v>
      </c>
      <c r="C69">
        <v>272.10000000000002</v>
      </c>
      <c r="D69">
        <v>260.10000000000002</v>
      </c>
      <c r="E69">
        <v>262</v>
      </c>
      <c r="F69">
        <v>32512.034</v>
      </c>
      <c r="G69">
        <v>262</v>
      </c>
      <c r="L69" t="s">
        <v>7</v>
      </c>
      <c r="M69" t="s">
        <v>7</v>
      </c>
      <c r="N69" t="s">
        <v>7</v>
      </c>
    </row>
    <row r="70" spans="1:14" x14ac:dyDescent="0.25">
      <c r="A70" s="5">
        <v>44523</v>
      </c>
      <c r="B70">
        <v>263.60000000000002</v>
      </c>
      <c r="C70">
        <v>277.60000000000002</v>
      </c>
      <c r="D70">
        <v>261.3</v>
      </c>
      <c r="E70">
        <v>269.8</v>
      </c>
      <c r="F70">
        <v>181310.95600000001</v>
      </c>
      <c r="G70">
        <v>269.8</v>
      </c>
      <c r="L70" t="s">
        <v>8</v>
      </c>
      <c r="M70" t="s">
        <v>7</v>
      </c>
      <c r="N70" t="s">
        <v>7</v>
      </c>
    </row>
    <row r="71" spans="1:14" x14ac:dyDescent="0.25">
      <c r="A71" s="5">
        <v>44522</v>
      </c>
      <c r="B71">
        <v>266.7</v>
      </c>
      <c r="C71">
        <v>268.8</v>
      </c>
      <c r="D71">
        <v>256.2</v>
      </c>
      <c r="E71">
        <v>263.8</v>
      </c>
      <c r="F71">
        <v>112151.33900000001</v>
      </c>
      <c r="G71">
        <v>263.8</v>
      </c>
      <c r="L71" t="s">
        <v>7</v>
      </c>
      <c r="M71" t="s">
        <v>7</v>
      </c>
      <c r="N71" t="s">
        <v>7</v>
      </c>
    </row>
    <row r="72" spans="1:14" x14ac:dyDescent="0.25">
      <c r="A72" s="5">
        <v>44521</v>
      </c>
      <c r="B72">
        <v>274.10000000000002</v>
      </c>
      <c r="C72">
        <v>274.3</v>
      </c>
      <c r="D72">
        <v>264</v>
      </c>
      <c r="E72">
        <v>266.39999999999998</v>
      </c>
      <c r="F72">
        <v>96813.615000000005</v>
      </c>
      <c r="G72">
        <v>266.39999999999998</v>
      </c>
      <c r="L72" t="s">
        <v>8</v>
      </c>
      <c r="M72" t="s">
        <v>7</v>
      </c>
      <c r="N72" t="s">
        <v>7</v>
      </c>
    </row>
    <row r="73" spans="1:14" x14ac:dyDescent="0.25">
      <c r="A73" s="5">
        <v>44520</v>
      </c>
      <c r="B73">
        <v>279.3</v>
      </c>
      <c r="C73">
        <v>280.89999999999998</v>
      </c>
      <c r="D73">
        <v>267.2</v>
      </c>
      <c r="E73">
        <v>274.10000000000002</v>
      </c>
      <c r="F73">
        <v>101858.04399999999</v>
      </c>
      <c r="G73">
        <v>274.10000000000002</v>
      </c>
      <c r="L73" t="s">
        <v>8</v>
      </c>
      <c r="M73" t="s">
        <v>7</v>
      </c>
      <c r="N73" t="s">
        <v>7</v>
      </c>
    </row>
    <row r="74" spans="1:14" x14ac:dyDescent="0.25">
      <c r="A74" s="5">
        <v>44519</v>
      </c>
      <c r="B74">
        <v>262.7</v>
      </c>
      <c r="C74">
        <v>280.60000000000002</v>
      </c>
      <c r="D74">
        <v>257.8</v>
      </c>
      <c r="E74">
        <v>279.10000000000002</v>
      </c>
      <c r="F74">
        <v>102580.899</v>
      </c>
      <c r="G74">
        <v>279.10000000000002</v>
      </c>
      <c r="L74" t="s">
        <v>7</v>
      </c>
      <c r="M74" t="s">
        <v>7</v>
      </c>
      <c r="N74" t="s">
        <v>7</v>
      </c>
    </row>
    <row r="75" spans="1:14" x14ac:dyDescent="0.25">
      <c r="A75" s="5">
        <v>44518</v>
      </c>
      <c r="B75">
        <v>284.39999999999998</v>
      </c>
      <c r="C75">
        <v>288.39999999999998</v>
      </c>
      <c r="D75">
        <v>255.2</v>
      </c>
      <c r="E75">
        <v>262.5</v>
      </c>
      <c r="F75">
        <v>130065.39</v>
      </c>
      <c r="G75">
        <v>262.5</v>
      </c>
      <c r="L75" t="s">
        <v>8</v>
      </c>
      <c r="M75" t="s">
        <v>7</v>
      </c>
      <c r="N75" t="s">
        <v>7</v>
      </c>
    </row>
    <row r="76" spans="1:14" x14ac:dyDescent="0.25">
      <c r="A76" s="5">
        <v>44517</v>
      </c>
      <c r="B76">
        <v>278.10000000000002</v>
      </c>
      <c r="C76">
        <v>287.89999999999998</v>
      </c>
      <c r="D76">
        <v>267.5</v>
      </c>
      <c r="E76">
        <v>284.5</v>
      </c>
      <c r="F76">
        <v>130514.08500000001</v>
      </c>
      <c r="G76">
        <v>284.5</v>
      </c>
      <c r="L76" t="s">
        <v>8</v>
      </c>
      <c r="M76" t="s">
        <v>7</v>
      </c>
      <c r="N76" t="s">
        <v>7</v>
      </c>
    </row>
    <row r="77" spans="1:14" x14ac:dyDescent="0.25">
      <c r="A77" s="5">
        <v>44516</v>
      </c>
      <c r="B77">
        <v>301.7</v>
      </c>
      <c r="C77">
        <v>301.8</v>
      </c>
      <c r="D77">
        <v>263.7</v>
      </c>
      <c r="E77">
        <v>278.2</v>
      </c>
      <c r="F77">
        <v>226930.15599999999</v>
      </c>
      <c r="G77">
        <v>278.2</v>
      </c>
      <c r="L77" t="s">
        <v>7</v>
      </c>
      <c r="M77" t="s">
        <v>7</v>
      </c>
      <c r="N77" t="s">
        <v>7</v>
      </c>
    </row>
    <row r="78" spans="1:14" x14ac:dyDescent="0.25">
      <c r="A78" s="5">
        <v>44515</v>
      </c>
      <c r="B78">
        <v>315.3</v>
      </c>
      <c r="C78">
        <v>317.3</v>
      </c>
      <c r="D78">
        <v>299.10000000000002</v>
      </c>
      <c r="E78">
        <v>301.7</v>
      </c>
      <c r="F78">
        <v>119735.534</v>
      </c>
      <c r="G78">
        <v>301.7</v>
      </c>
      <c r="L78" t="s">
        <v>7</v>
      </c>
      <c r="M78" t="s">
        <v>7</v>
      </c>
      <c r="N78" t="s">
        <v>7</v>
      </c>
    </row>
    <row r="79" spans="1:14" x14ac:dyDescent="0.25">
      <c r="A79" s="5">
        <v>44514</v>
      </c>
      <c r="B79">
        <v>312.60000000000002</v>
      </c>
      <c r="C79">
        <v>317.60000000000002</v>
      </c>
      <c r="D79">
        <v>309.60000000000002</v>
      </c>
      <c r="E79">
        <v>315.10000000000002</v>
      </c>
      <c r="F79">
        <v>84935.864000000001</v>
      </c>
      <c r="G79">
        <v>315.10000000000002</v>
      </c>
      <c r="L79" t="s">
        <v>7</v>
      </c>
      <c r="M79" t="s">
        <v>7</v>
      </c>
      <c r="N79" t="s">
        <v>7</v>
      </c>
    </row>
    <row r="80" spans="1:14" x14ac:dyDescent="0.25">
      <c r="A80" s="5">
        <v>44513</v>
      </c>
      <c r="B80">
        <v>308.5</v>
      </c>
      <c r="C80">
        <v>314.5</v>
      </c>
      <c r="D80">
        <v>302.8</v>
      </c>
      <c r="E80">
        <v>312.60000000000002</v>
      </c>
      <c r="F80">
        <v>79659.774000000005</v>
      </c>
      <c r="G80">
        <v>312.60000000000002</v>
      </c>
      <c r="L80" t="s">
        <v>7</v>
      </c>
      <c r="M80" t="s">
        <v>7</v>
      </c>
      <c r="N80" t="s">
        <v>7</v>
      </c>
    </row>
    <row r="81" spans="1:14" x14ac:dyDescent="0.25">
      <c r="A81" s="5">
        <v>44512</v>
      </c>
      <c r="B81">
        <v>311.8</v>
      </c>
      <c r="C81">
        <v>313.8</v>
      </c>
      <c r="D81">
        <v>295.89999999999998</v>
      </c>
      <c r="E81">
        <v>308.60000000000002</v>
      </c>
      <c r="F81">
        <v>117436.986</v>
      </c>
      <c r="G81">
        <v>308.60000000000002</v>
      </c>
      <c r="L81" t="s">
        <v>7</v>
      </c>
      <c r="M81" t="s">
        <v>7</v>
      </c>
      <c r="N81" t="s">
        <v>7</v>
      </c>
    </row>
    <row r="82" spans="1:14" x14ac:dyDescent="0.25">
      <c r="A82" s="5">
        <v>44511</v>
      </c>
      <c r="B82">
        <v>312.39999999999998</v>
      </c>
      <c r="C82">
        <v>319.2</v>
      </c>
      <c r="D82">
        <v>307.10000000000002</v>
      </c>
      <c r="E82">
        <v>311.89999999999998</v>
      </c>
      <c r="F82">
        <v>97829.48</v>
      </c>
      <c r="G82">
        <v>311.89999999999998</v>
      </c>
      <c r="L82" t="s">
        <v>8</v>
      </c>
      <c r="M82" t="s">
        <v>7</v>
      </c>
      <c r="N82" t="s">
        <v>7</v>
      </c>
    </row>
    <row r="83" spans="1:14" x14ac:dyDescent="0.25">
      <c r="A83" s="5">
        <v>44510</v>
      </c>
      <c r="B83">
        <v>336.5</v>
      </c>
      <c r="C83">
        <v>346.7</v>
      </c>
      <c r="D83">
        <v>295.2</v>
      </c>
      <c r="E83">
        <v>312.60000000000002</v>
      </c>
      <c r="F83">
        <v>262918.804</v>
      </c>
      <c r="G83">
        <v>312.60000000000002</v>
      </c>
      <c r="L83" t="s">
        <v>7</v>
      </c>
      <c r="M83" t="s">
        <v>7</v>
      </c>
      <c r="N83" t="s">
        <v>7</v>
      </c>
    </row>
    <row r="84" spans="1:14" x14ac:dyDescent="0.25">
      <c r="A84" s="5">
        <v>44509</v>
      </c>
      <c r="B84">
        <v>332.2</v>
      </c>
      <c r="C84">
        <v>349.9</v>
      </c>
      <c r="D84">
        <v>326.3</v>
      </c>
      <c r="E84">
        <v>336.5</v>
      </c>
      <c r="F84">
        <v>260663.84299999999</v>
      </c>
      <c r="G84">
        <v>336.5</v>
      </c>
      <c r="L84" t="s">
        <v>8</v>
      </c>
      <c r="M84" t="s">
        <v>8</v>
      </c>
      <c r="N84" t="s">
        <v>7</v>
      </c>
    </row>
    <row r="85" spans="1:14" x14ac:dyDescent="0.25">
      <c r="A85" s="5">
        <v>44508</v>
      </c>
      <c r="B85">
        <v>319.89999999999998</v>
      </c>
      <c r="C85">
        <v>335.4</v>
      </c>
      <c r="D85">
        <v>318.5</v>
      </c>
      <c r="E85">
        <v>332</v>
      </c>
      <c r="F85">
        <v>123587.065</v>
      </c>
      <c r="G85">
        <v>332</v>
      </c>
      <c r="L85" t="s">
        <v>8</v>
      </c>
      <c r="M85" t="s">
        <v>7</v>
      </c>
      <c r="N85" t="s">
        <v>7</v>
      </c>
    </row>
    <row r="86" spans="1:14" x14ac:dyDescent="0.25">
      <c r="A86" s="5">
        <v>44507</v>
      </c>
      <c r="B86">
        <v>318.3</v>
      </c>
      <c r="C86">
        <v>323.8</v>
      </c>
      <c r="D86">
        <v>316.2</v>
      </c>
      <c r="E86">
        <v>319.89999999999998</v>
      </c>
      <c r="F86">
        <v>65511.144999999997</v>
      </c>
      <c r="G86">
        <v>319.89999999999998</v>
      </c>
      <c r="L86" t="s">
        <v>7</v>
      </c>
      <c r="M86" t="s">
        <v>7</v>
      </c>
      <c r="N86" t="s">
        <v>7</v>
      </c>
    </row>
    <row r="87" spans="1:14" x14ac:dyDescent="0.25">
      <c r="A87" s="5">
        <v>44506</v>
      </c>
      <c r="B87">
        <v>326.39999999999998</v>
      </c>
      <c r="C87">
        <v>327.3</v>
      </c>
      <c r="D87">
        <v>307.10000000000002</v>
      </c>
      <c r="E87">
        <v>318.2</v>
      </c>
      <c r="F87">
        <v>114167.603</v>
      </c>
      <c r="G87">
        <v>318.2</v>
      </c>
      <c r="L87" t="s">
        <v>7</v>
      </c>
      <c r="M87" t="s">
        <v>7</v>
      </c>
      <c r="N87" t="s">
        <v>7</v>
      </c>
    </row>
    <row r="88" spans="1:14" x14ac:dyDescent="0.25">
      <c r="A88" s="5">
        <v>44505</v>
      </c>
      <c r="B88">
        <v>332.8</v>
      </c>
      <c r="C88">
        <v>347</v>
      </c>
      <c r="D88">
        <v>323.89999999999998</v>
      </c>
      <c r="E88">
        <v>326.39999999999998</v>
      </c>
      <c r="F88">
        <v>171235.49400000001</v>
      </c>
      <c r="G88">
        <v>326.39999999999998</v>
      </c>
      <c r="L88" t="s">
        <v>8</v>
      </c>
      <c r="M88" t="s">
        <v>7</v>
      </c>
      <c r="N88" t="s">
        <v>7</v>
      </c>
    </row>
    <row r="89" spans="1:14" x14ac:dyDescent="0.25">
      <c r="A89" s="5">
        <v>44504</v>
      </c>
      <c r="B89">
        <v>325.2</v>
      </c>
      <c r="C89">
        <v>335.7</v>
      </c>
      <c r="D89">
        <v>313</v>
      </c>
      <c r="E89">
        <v>332.8</v>
      </c>
      <c r="F89">
        <v>160758.022</v>
      </c>
      <c r="G89">
        <v>332.8</v>
      </c>
      <c r="L89" t="s">
        <v>8</v>
      </c>
      <c r="M89" t="s">
        <v>7</v>
      </c>
      <c r="N89" t="s">
        <v>7</v>
      </c>
    </row>
    <row r="90" spans="1:14" x14ac:dyDescent="0.25">
      <c r="A90" s="5">
        <v>44503</v>
      </c>
      <c r="B90">
        <v>324.89999999999998</v>
      </c>
      <c r="C90">
        <v>326.3</v>
      </c>
      <c r="D90">
        <v>311.10000000000002</v>
      </c>
      <c r="E90">
        <v>325.2</v>
      </c>
      <c r="F90">
        <v>150808.62599999999</v>
      </c>
      <c r="G90">
        <v>325.2</v>
      </c>
      <c r="L90" t="s">
        <v>8</v>
      </c>
      <c r="M90" t="s">
        <v>7</v>
      </c>
      <c r="N90" t="s">
        <v>7</v>
      </c>
    </row>
    <row r="91" spans="1:14" x14ac:dyDescent="0.25">
      <c r="A91" s="5">
        <v>44502</v>
      </c>
      <c r="B91">
        <v>324.2</v>
      </c>
      <c r="C91">
        <v>328.2</v>
      </c>
      <c r="D91">
        <v>317.5</v>
      </c>
      <c r="E91">
        <v>324.8</v>
      </c>
      <c r="F91">
        <v>84076.803</v>
      </c>
      <c r="G91">
        <v>324.8</v>
      </c>
      <c r="L91" t="s">
        <v>8</v>
      </c>
      <c r="M91" t="s">
        <v>7</v>
      </c>
      <c r="N91" t="s">
        <v>7</v>
      </c>
    </row>
    <row r="92" spans="1:14" x14ac:dyDescent="0.25">
      <c r="A92" s="5">
        <v>44501</v>
      </c>
      <c r="B92">
        <v>314.3</v>
      </c>
      <c r="C92">
        <v>324.39999999999998</v>
      </c>
      <c r="D92">
        <v>301.89999999999998</v>
      </c>
      <c r="E92">
        <v>324.10000000000002</v>
      </c>
      <c r="F92">
        <v>125073.516</v>
      </c>
      <c r="G92">
        <v>324.10000000000002</v>
      </c>
      <c r="L92" t="s">
        <v>7</v>
      </c>
      <c r="M92" t="s">
        <v>7</v>
      </c>
      <c r="N92" t="s">
        <v>7</v>
      </c>
    </row>
    <row r="93" spans="1:14" x14ac:dyDescent="0.25">
      <c r="A93" s="5">
        <v>44500</v>
      </c>
      <c r="B93">
        <v>318.89999999999998</v>
      </c>
      <c r="C93">
        <v>323</v>
      </c>
      <c r="D93">
        <v>300.3</v>
      </c>
      <c r="E93">
        <v>314.2</v>
      </c>
      <c r="F93">
        <v>113464.753</v>
      </c>
      <c r="G93">
        <v>314.2</v>
      </c>
      <c r="L93" t="s">
        <v>7</v>
      </c>
      <c r="M93" t="s">
        <v>7</v>
      </c>
      <c r="N93" t="s">
        <v>7</v>
      </c>
    </row>
    <row r="94" spans="1:14" x14ac:dyDescent="0.25">
      <c r="A94" s="5">
        <v>44499</v>
      </c>
      <c r="B94">
        <v>328.1</v>
      </c>
      <c r="C94">
        <v>328.6</v>
      </c>
      <c r="D94">
        <v>312.39999999999998</v>
      </c>
      <c r="E94">
        <v>319</v>
      </c>
      <c r="F94">
        <v>138900.95600000001</v>
      </c>
      <c r="G94">
        <v>319</v>
      </c>
      <c r="L94" t="s">
        <v>7</v>
      </c>
      <c r="M94" t="s">
        <v>7</v>
      </c>
      <c r="N94" t="s">
        <v>7</v>
      </c>
    </row>
    <row r="95" spans="1:14" x14ac:dyDescent="0.25">
      <c r="A95" s="5">
        <v>44498</v>
      </c>
      <c r="B95">
        <v>339.1</v>
      </c>
      <c r="C95">
        <v>347.9</v>
      </c>
      <c r="D95">
        <v>324.7</v>
      </c>
      <c r="E95">
        <v>328.1</v>
      </c>
      <c r="F95">
        <v>197835.86900000001</v>
      </c>
      <c r="G95">
        <v>328.1</v>
      </c>
      <c r="L95" t="s">
        <v>8</v>
      </c>
      <c r="M95" t="s">
        <v>7</v>
      </c>
      <c r="N95" t="s">
        <v>7</v>
      </c>
    </row>
    <row r="96" spans="1:14" x14ac:dyDescent="0.25">
      <c r="A96" s="5">
        <v>44497</v>
      </c>
      <c r="B96">
        <v>324.60000000000002</v>
      </c>
      <c r="C96">
        <v>349.7</v>
      </c>
      <c r="D96">
        <v>317.10000000000002</v>
      </c>
      <c r="E96">
        <v>339.1</v>
      </c>
      <c r="F96">
        <v>349511.77799999999</v>
      </c>
      <c r="G96">
        <v>339.1</v>
      </c>
      <c r="L96" t="s">
        <v>7</v>
      </c>
      <c r="M96" t="s">
        <v>7</v>
      </c>
      <c r="N96" t="s">
        <v>7</v>
      </c>
    </row>
    <row r="97" spans="1:14" x14ac:dyDescent="0.25">
      <c r="A97" s="5">
        <v>44496</v>
      </c>
      <c r="B97">
        <v>329.2</v>
      </c>
      <c r="C97">
        <v>459</v>
      </c>
      <c r="D97">
        <v>322.8</v>
      </c>
      <c r="E97">
        <v>324.39999999999998</v>
      </c>
      <c r="F97">
        <v>1345047.8281</v>
      </c>
      <c r="G97">
        <v>324.39999999999998</v>
      </c>
      <c r="L97" t="s">
        <v>8</v>
      </c>
      <c r="M97" t="s">
        <v>8</v>
      </c>
      <c r="N97" t="s">
        <v>8</v>
      </c>
    </row>
    <row r="98" spans="1:14" x14ac:dyDescent="0.25">
      <c r="A98" s="5">
        <v>44495</v>
      </c>
      <c r="B98">
        <v>312.8</v>
      </c>
      <c r="C98">
        <v>345.5</v>
      </c>
      <c r="D98">
        <v>312.2</v>
      </c>
      <c r="E98">
        <v>328.8</v>
      </c>
      <c r="F98">
        <v>200765.33499999999</v>
      </c>
      <c r="G98">
        <v>328.8</v>
      </c>
      <c r="L98" t="s">
        <v>8</v>
      </c>
      <c r="M98" t="s">
        <v>8</v>
      </c>
      <c r="N98" t="s">
        <v>7</v>
      </c>
    </row>
    <row r="99" spans="1:14" x14ac:dyDescent="0.25">
      <c r="A99" s="5">
        <v>44494</v>
      </c>
      <c r="B99">
        <v>307.7</v>
      </c>
      <c r="C99">
        <v>316.89999999999998</v>
      </c>
      <c r="D99">
        <v>306.39999999999998</v>
      </c>
      <c r="E99">
        <v>312.8</v>
      </c>
      <c r="F99">
        <v>65895.452000000005</v>
      </c>
      <c r="G99">
        <v>312.8</v>
      </c>
      <c r="L99" t="s">
        <v>7</v>
      </c>
      <c r="M99" t="s">
        <v>8</v>
      </c>
      <c r="N99" t="s">
        <v>7</v>
      </c>
    </row>
    <row r="100" spans="1:14" x14ac:dyDescent="0.25">
      <c r="A100" s="5">
        <v>44493</v>
      </c>
      <c r="B100">
        <v>324.10000000000002</v>
      </c>
      <c r="C100">
        <v>325.3</v>
      </c>
      <c r="D100">
        <v>299.8</v>
      </c>
      <c r="E100">
        <v>307.8</v>
      </c>
      <c r="F100">
        <v>74284.834000000003</v>
      </c>
      <c r="G100">
        <v>307.8</v>
      </c>
      <c r="L100" t="s">
        <v>7</v>
      </c>
      <c r="M100" t="s">
        <v>8</v>
      </c>
      <c r="N100" t="s">
        <v>7</v>
      </c>
    </row>
    <row r="101" spans="1:14" x14ac:dyDescent="0.25">
      <c r="A101" s="5">
        <v>44492</v>
      </c>
      <c r="B101">
        <v>310.2</v>
      </c>
      <c r="C101">
        <v>324.3</v>
      </c>
      <c r="D101">
        <v>307.3</v>
      </c>
      <c r="E101">
        <v>324</v>
      </c>
      <c r="F101">
        <v>53868.190999999999</v>
      </c>
      <c r="G101">
        <v>324</v>
      </c>
      <c r="L101" t="s">
        <v>7</v>
      </c>
      <c r="M101" t="s">
        <v>8</v>
      </c>
      <c r="N101" t="s">
        <v>7</v>
      </c>
    </row>
    <row r="102" spans="1:14" x14ac:dyDescent="0.25">
      <c r="A102" s="5">
        <v>44491</v>
      </c>
      <c r="B102">
        <v>314.8</v>
      </c>
      <c r="C102">
        <v>326.89999999999998</v>
      </c>
      <c r="D102">
        <v>305.8</v>
      </c>
      <c r="E102">
        <v>310.2</v>
      </c>
      <c r="F102">
        <v>80197.248999999996</v>
      </c>
      <c r="G102">
        <v>310.2</v>
      </c>
      <c r="L102" t="s">
        <v>7</v>
      </c>
      <c r="M102" t="s">
        <v>8</v>
      </c>
      <c r="N102" t="s">
        <v>7</v>
      </c>
    </row>
    <row r="103" spans="1:14" x14ac:dyDescent="0.25">
      <c r="A103" s="5">
        <v>44490</v>
      </c>
      <c r="B103">
        <v>316.60000000000002</v>
      </c>
      <c r="C103">
        <v>338</v>
      </c>
      <c r="D103">
        <v>310.39999999999998</v>
      </c>
      <c r="E103">
        <v>315</v>
      </c>
      <c r="F103">
        <v>144828.40599999999</v>
      </c>
      <c r="G103">
        <v>315</v>
      </c>
      <c r="L103" t="s">
        <v>8</v>
      </c>
      <c r="M103" t="s">
        <v>8</v>
      </c>
      <c r="N103" t="s">
        <v>7</v>
      </c>
    </row>
    <row r="104" spans="1:14" x14ac:dyDescent="0.25">
      <c r="A104" s="5">
        <v>44489</v>
      </c>
      <c r="B104">
        <v>303.60000000000002</v>
      </c>
      <c r="C104">
        <v>317.60000000000002</v>
      </c>
      <c r="D104">
        <v>296.39999999999998</v>
      </c>
      <c r="E104">
        <v>316.60000000000002</v>
      </c>
      <c r="F104">
        <v>84115.777000000002</v>
      </c>
      <c r="G104">
        <v>316.60000000000002</v>
      </c>
      <c r="L104" t="s">
        <v>8</v>
      </c>
      <c r="M104" t="s">
        <v>8</v>
      </c>
      <c r="N104" t="s">
        <v>7</v>
      </c>
    </row>
    <row r="105" spans="1:14" x14ac:dyDescent="0.25">
      <c r="A105" s="5">
        <v>44488</v>
      </c>
      <c r="B105">
        <v>294.10000000000002</v>
      </c>
      <c r="C105">
        <v>304.3</v>
      </c>
      <c r="D105">
        <v>292.60000000000002</v>
      </c>
      <c r="E105">
        <v>303.39999999999998</v>
      </c>
      <c r="F105">
        <v>65804.570000000007</v>
      </c>
      <c r="G105">
        <v>303.39999999999998</v>
      </c>
      <c r="L105" t="s">
        <v>7</v>
      </c>
      <c r="M105" t="s">
        <v>8</v>
      </c>
      <c r="N105" t="s">
        <v>7</v>
      </c>
    </row>
    <row r="106" spans="1:14" x14ac:dyDescent="0.25">
      <c r="A106" s="5">
        <v>44487</v>
      </c>
      <c r="B106">
        <v>304.5</v>
      </c>
      <c r="C106">
        <v>308.3</v>
      </c>
      <c r="D106">
        <v>289.7</v>
      </c>
      <c r="E106">
        <v>294.2</v>
      </c>
      <c r="F106">
        <v>65271.96</v>
      </c>
      <c r="G106">
        <v>294.2</v>
      </c>
      <c r="L106" t="s">
        <v>7</v>
      </c>
      <c r="M106" t="s">
        <v>8</v>
      </c>
      <c r="N106" t="s">
        <v>7</v>
      </c>
    </row>
    <row r="107" spans="1:14" x14ac:dyDescent="0.25">
      <c r="A107" s="5">
        <v>44486</v>
      </c>
      <c r="B107">
        <v>304.89999999999998</v>
      </c>
      <c r="C107">
        <v>321.2</v>
      </c>
      <c r="D107">
        <v>291.60000000000002</v>
      </c>
      <c r="E107">
        <v>304.39999999999998</v>
      </c>
      <c r="F107">
        <v>95845.841</v>
      </c>
      <c r="G107">
        <v>304.39999999999998</v>
      </c>
      <c r="L107" t="s">
        <v>7</v>
      </c>
      <c r="M107" t="s">
        <v>8</v>
      </c>
      <c r="N107" t="s">
        <v>7</v>
      </c>
    </row>
    <row r="108" spans="1:14" x14ac:dyDescent="0.25">
      <c r="A108" s="5">
        <v>44485</v>
      </c>
      <c r="B108">
        <v>301.5</v>
      </c>
      <c r="C108">
        <v>319.89999999999998</v>
      </c>
      <c r="D108">
        <v>299.5</v>
      </c>
      <c r="E108">
        <v>304.7</v>
      </c>
      <c r="F108">
        <v>92924.880999999994</v>
      </c>
      <c r="G108">
        <v>304.7</v>
      </c>
      <c r="L108" t="s">
        <v>8</v>
      </c>
      <c r="M108" t="s">
        <v>8</v>
      </c>
      <c r="N108" t="s">
        <v>7</v>
      </c>
    </row>
    <row r="109" spans="1:14" x14ac:dyDescent="0.25">
      <c r="A109" s="5">
        <v>44484</v>
      </c>
      <c r="B109">
        <v>303.60000000000002</v>
      </c>
      <c r="C109">
        <v>305.10000000000002</v>
      </c>
      <c r="D109">
        <v>292.10000000000002</v>
      </c>
      <c r="E109">
        <v>301.5</v>
      </c>
      <c r="F109">
        <v>89407.892000000007</v>
      </c>
      <c r="G109">
        <v>301.5</v>
      </c>
      <c r="L109" t="s">
        <v>7</v>
      </c>
      <c r="M109" t="s">
        <v>8</v>
      </c>
      <c r="N109" t="s">
        <v>7</v>
      </c>
    </row>
    <row r="110" spans="1:14" x14ac:dyDescent="0.25">
      <c r="A110" s="5">
        <v>44483</v>
      </c>
      <c r="B110">
        <v>297.39999999999998</v>
      </c>
      <c r="C110">
        <v>320</v>
      </c>
      <c r="D110">
        <v>293.2</v>
      </c>
      <c r="E110">
        <v>303.7</v>
      </c>
      <c r="F110">
        <v>124887.086</v>
      </c>
      <c r="G110">
        <v>303.7</v>
      </c>
      <c r="L110" t="s">
        <v>8</v>
      </c>
      <c r="M110" t="s">
        <v>8</v>
      </c>
      <c r="N110" t="s">
        <v>7</v>
      </c>
    </row>
    <row r="111" spans="1:14" x14ac:dyDescent="0.25">
      <c r="A111" s="5">
        <v>44482</v>
      </c>
      <c r="B111">
        <v>284</v>
      </c>
      <c r="C111">
        <v>302.8</v>
      </c>
      <c r="D111">
        <v>282</v>
      </c>
      <c r="E111">
        <v>297.39999999999998</v>
      </c>
      <c r="F111">
        <v>126532.22100000001</v>
      </c>
      <c r="G111">
        <v>297.39999999999998</v>
      </c>
      <c r="L111" t="s">
        <v>8</v>
      </c>
      <c r="M111" t="s">
        <v>7</v>
      </c>
      <c r="N111" t="s">
        <v>7</v>
      </c>
    </row>
    <row r="112" spans="1:14" x14ac:dyDescent="0.25">
      <c r="A112" s="5">
        <v>44481</v>
      </c>
      <c r="B112">
        <v>290.5</v>
      </c>
      <c r="C112">
        <v>290.60000000000002</v>
      </c>
      <c r="D112">
        <v>270.8</v>
      </c>
      <c r="E112">
        <v>284</v>
      </c>
      <c r="F112">
        <v>94921.819000000003</v>
      </c>
      <c r="G112">
        <v>284</v>
      </c>
      <c r="L112" t="s">
        <v>7</v>
      </c>
      <c r="M112" t="s">
        <v>7</v>
      </c>
      <c r="N112" t="s">
        <v>7</v>
      </c>
    </row>
    <row r="113" spans="1:14" x14ac:dyDescent="0.25">
      <c r="A113" s="5">
        <v>44480</v>
      </c>
      <c r="B113">
        <v>287.8</v>
      </c>
      <c r="C113">
        <v>302</v>
      </c>
      <c r="D113">
        <v>283</v>
      </c>
      <c r="E113">
        <v>290.60000000000002</v>
      </c>
      <c r="F113">
        <v>62940.682999999997</v>
      </c>
      <c r="G113">
        <v>290.60000000000002</v>
      </c>
      <c r="L113" t="s">
        <v>7</v>
      </c>
      <c r="M113" t="s">
        <v>8</v>
      </c>
      <c r="N113" t="s">
        <v>7</v>
      </c>
    </row>
    <row r="114" spans="1:14" x14ac:dyDescent="0.25">
      <c r="A114" s="5">
        <v>44479</v>
      </c>
      <c r="B114">
        <v>307.39999999999998</v>
      </c>
      <c r="C114">
        <v>307.89999999999998</v>
      </c>
      <c r="D114">
        <v>286.7</v>
      </c>
      <c r="E114">
        <v>287.89999999999998</v>
      </c>
      <c r="F114">
        <v>55289.417000000001</v>
      </c>
      <c r="G114">
        <v>287.89999999999998</v>
      </c>
      <c r="L114" t="s">
        <v>7</v>
      </c>
      <c r="M114" t="s">
        <v>8</v>
      </c>
      <c r="N114" t="s">
        <v>7</v>
      </c>
    </row>
    <row r="115" spans="1:14" x14ac:dyDescent="0.25">
      <c r="A115" s="5">
        <v>44478</v>
      </c>
      <c r="B115">
        <v>307.60000000000002</v>
      </c>
      <c r="C115">
        <v>313.2</v>
      </c>
      <c r="D115">
        <v>304</v>
      </c>
      <c r="E115">
        <v>307.10000000000002</v>
      </c>
      <c r="F115">
        <v>46230.589</v>
      </c>
      <c r="G115">
        <v>307.10000000000002</v>
      </c>
      <c r="L115" t="s">
        <v>7</v>
      </c>
      <c r="M115" t="s">
        <v>8</v>
      </c>
      <c r="N115" t="s">
        <v>7</v>
      </c>
    </row>
    <row r="116" spans="1:14" x14ac:dyDescent="0.25">
      <c r="A116" s="5">
        <v>44477</v>
      </c>
      <c r="B116">
        <v>305.8</v>
      </c>
      <c r="C116">
        <v>324.89999999999998</v>
      </c>
      <c r="D116">
        <v>303.2</v>
      </c>
      <c r="E116">
        <v>307</v>
      </c>
      <c r="F116">
        <v>104166.534</v>
      </c>
      <c r="G116">
        <v>307</v>
      </c>
      <c r="L116" t="s">
        <v>8</v>
      </c>
      <c r="M116" t="s">
        <v>8</v>
      </c>
      <c r="N116" t="s">
        <v>7</v>
      </c>
    </row>
    <row r="117" spans="1:14" x14ac:dyDescent="0.25">
      <c r="A117" s="5">
        <v>44476</v>
      </c>
      <c r="B117">
        <v>311.8</v>
      </c>
      <c r="C117">
        <v>313.7</v>
      </c>
      <c r="D117">
        <v>298.7</v>
      </c>
      <c r="E117">
        <v>305.89999999999998</v>
      </c>
      <c r="F117">
        <v>93383.702000000005</v>
      </c>
      <c r="G117">
        <v>305.89999999999998</v>
      </c>
      <c r="L117" t="s">
        <v>8</v>
      </c>
      <c r="M117" t="s">
        <v>8</v>
      </c>
      <c r="N117" t="s">
        <v>7</v>
      </c>
    </row>
    <row r="118" spans="1:14" x14ac:dyDescent="0.25">
      <c r="A118" s="5">
        <v>44475</v>
      </c>
      <c r="B118">
        <v>307.60000000000002</v>
      </c>
      <c r="C118">
        <v>318</v>
      </c>
      <c r="D118">
        <v>284.39999999999998</v>
      </c>
      <c r="E118">
        <v>311.8</v>
      </c>
      <c r="F118">
        <v>154231.114</v>
      </c>
      <c r="G118">
        <v>311.8</v>
      </c>
      <c r="L118" t="s">
        <v>7</v>
      </c>
      <c r="M118" t="s">
        <v>8</v>
      </c>
      <c r="N118" t="s">
        <v>7</v>
      </c>
    </row>
    <row r="119" spans="1:14" x14ac:dyDescent="0.25">
      <c r="A119" s="5">
        <v>44474</v>
      </c>
      <c r="B119">
        <v>300.8</v>
      </c>
      <c r="C119">
        <v>310</v>
      </c>
      <c r="D119">
        <v>296.10000000000002</v>
      </c>
      <c r="E119">
        <v>307.5</v>
      </c>
      <c r="F119">
        <v>98805.702000000005</v>
      </c>
      <c r="G119">
        <v>307.5</v>
      </c>
      <c r="L119" t="s">
        <v>7</v>
      </c>
      <c r="M119" t="s">
        <v>8</v>
      </c>
      <c r="N119" t="s">
        <v>7</v>
      </c>
    </row>
    <row r="120" spans="1:14" x14ac:dyDescent="0.25">
      <c r="A120" s="5">
        <v>44473</v>
      </c>
      <c r="B120">
        <v>310.5</v>
      </c>
      <c r="C120">
        <v>311.3</v>
      </c>
      <c r="D120">
        <v>290.7</v>
      </c>
      <c r="E120">
        <v>302.7</v>
      </c>
      <c r="F120">
        <v>117113.806</v>
      </c>
      <c r="G120">
        <v>302.7</v>
      </c>
      <c r="L120" t="s">
        <v>7</v>
      </c>
      <c r="M120" t="s">
        <v>8</v>
      </c>
      <c r="N120" t="s">
        <v>7</v>
      </c>
    </row>
    <row r="121" spans="1:14" x14ac:dyDescent="0.25">
      <c r="A121" s="5">
        <v>44472</v>
      </c>
      <c r="B121">
        <v>313.8</v>
      </c>
      <c r="C121">
        <v>323.5</v>
      </c>
      <c r="D121">
        <v>308.39999999999998</v>
      </c>
      <c r="E121">
        <v>309.60000000000002</v>
      </c>
      <c r="F121">
        <v>101954.571</v>
      </c>
      <c r="G121">
        <v>309.60000000000002</v>
      </c>
      <c r="L121" t="s">
        <v>8</v>
      </c>
      <c r="M121" t="s">
        <v>8</v>
      </c>
      <c r="N121" t="s">
        <v>7</v>
      </c>
    </row>
    <row r="122" spans="1:14" x14ac:dyDescent="0.25">
      <c r="A122" s="5">
        <v>44471</v>
      </c>
      <c r="B122">
        <v>302.60000000000002</v>
      </c>
      <c r="C122">
        <v>323.7</v>
      </c>
      <c r="D122">
        <v>297</v>
      </c>
      <c r="E122">
        <v>313.8</v>
      </c>
      <c r="F122">
        <v>116618.898</v>
      </c>
      <c r="G122">
        <v>313.8</v>
      </c>
      <c r="L122" t="s">
        <v>8</v>
      </c>
      <c r="M122" t="s">
        <v>8</v>
      </c>
      <c r="N122" t="s">
        <v>7</v>
      </c>
    </row>
    <row r="123" spans="1:14" x14ac:dyDescent="0.25">
      <c r="A123" s="5">
        <v>44470</v>
      </c>
      <c r="B123">
        <v>276.39999999999998</v>
      </c>
      <c r="C123">
        <v>304.39999999999998</v>
      </c>
      <c r="D123">
        <v>271.89999999999998</v>
      </c>
      <c r="E123">
        <v>302.5</v>
      </c>
      <c r="F123">
        <v>133316.66</v>
      </c>
      <c r="G123">
        <v>302.5</v>
      </c>
      <c r="L123" t="s">
        <v>8</v>
      </c>
      <c r="M123" t="s">
        <v>8</v>
      </c>
      <c r="N123" t="s">
        <v>7</v>
      </c>
    </row>
    <row r="124" spans="1:14" x14ac:dyDescent="0.25">
      <c r="A124" s="5">
        <v>44469</v>
      </c>
      <c r="B124">
        <v>265.10000000000002</v>
      </c>
      <c r="C124">
        <v>281.5</v>
      </c>
      <c r="D124">
        <v>263.7</v>
      </c>
      <c r="E124">
        <v>276.3</v>
      </c>
      <c r="F124">
        <v>74430.130999999994</v>
      </c>
      <c r="G124">
        <v>276.3</v>
      </c>
      <c r="L124" t="s">
        <v>8</v>
      </c>
      <c r="M124" t="s">
        <v>7</v>
      </c>
      <c r="N124" t="s">
        <v>7</v>
      </c>
    </row>
    <row r="125" spans="1:14" x14ac:dyDescent="0.25">
      <c r="A125" s="5">
        <v>44468</v>
      </c>
      <c r="B125">
        <v>261</v>
      </c>
      <c r="C125">
        <v>277.60000000000002</v>
      </c>
      <c r="D125">
        <v>259.10000000000002</v>
      </c>
      <c r="E125">
        <v>265.10000000000002</v>
      </c>
      <c r="F125">
        <v>78559.274000000005</v>
      </c>
      <c r="G125">
        <v>265.10000000000002</v>
      </c>
      <c r="L125" t="s">
        <v>8</v>
      </c>
      <c r="M125" t="s">
        <v>7</v>
      </c>
      <c r="N125" t="s">
        <v>7</v>
      </c>
    </row>
    <row r="126" spans="1:14" x14ac:dyDescent="0.25">
      <c r="A126" s="5">
        <v>44467</v>
      </c>
      <c r="B126">
        <v>273.2</v>
      </c>
      <c r="C126">
        <v>277.7</v>
      </c>
      <c r="D126">
        <v>259.7</v>
      </c>
      <c r="E126">
        <v>260.89999999999998</v>
      </c>
      <c r="F126">
        <v>103469.35799999999</v>
      </c>
      <c r="G126">
        <v>260.89999999999998</v>
      </c>
      <c r="L126" t="s">
        <v>7</v>
      </c>
      <c r="M126" t="s">
        <v>7</v>
      </c>
      <c r="N126" t="s">
        <v>7</v>
      </c>
    </row>
    <row r="127" spans="1:14" x14ac:dyDescent="0.25">
      <c r="A127" s="5">
        <v>44466</v>
      </c>
      <c r="B127">
        <v>293.39999999999998</v>
      </c>
      <c r="C127">
        <v>309.5</v>
      </c>
      <c r="D127">
        <v>272.89999999999998</v>
      </c>
      <c r="E127">
        <v>273.39999999999998</v>
      </c>
      <c r="F127">
        <v>121832.497</v>
      </c>
      <c r="G127">
        <v>273.39999999999998</v>
      </c>
      <c r="L127" t="s">
        <v>8</v>
      </c>
      <c r="M127" t="s">
        <v>8</v>
      </c>
      <c r="N127" t="s">
        <v>7</v>
      </c>
    </row>
    <row r="128" spans="1:14" x14ac:dyDescent="0.25">
      <c r="A128" s="5">
        <v>44465</v>
      </c>
      <c r="B128">
        <v>274.3</v>
      </c>
      <c r="C128">
        <v>300.60000000000002</v>
      </c>
      <c r="D128">
        <v>252</v>
      </c>
      <c r="E128">
        <v>293.3</v>
      </c>
      <c r="F128">
        <v>199488.43609999999</v>
      </c>
      <c r="G128">
        <v>293.3</v>
      </c>
      <c r="L128" t="s">
        <v>8</v>
      </c>
      <c r="M128" t="s">
        <v>7</v>
      </c>
      <c r="N128" t="s">
        <v>7</v>
      </c>
    </row>
    <row r="129" spans="1:14" x14ac:dyDescent="0.25">
      <c r="A129" s="5">
        <v>44464</v>
      </c>
      <c r="B129">
        <v>280.7</v>
      </c>
      <c r="C129">
        <v>284.10000000000002</v>
      </c>
      <c r="D129">
        <v>268</v>
      </c>
      <c r="E129">
        <v>274.3</v>
      </c>
      <c r="F129">
        <v>82396.758000000002</v>
      </c>
      <c r="G129">
        <v>274.3</v>
      </c>
      <c r="L129" t="s">
        <v>8</v>
      </c>
      <c r="M129" t="s">
        <v>8</v>
      </c>
      <c r="N129" t="s">
        <v>7</v>
      </c>
    </row>
    <row r="130" spans="1:14" x14ac:dyDescent="0.25">
      <c r="A130" s="5">
        <v>44463</v>
      </c>
      <c r="B130">
        <v>308.89999999999998</v>
      </c>
      <c r="C130">
        <v>311.89999999999998</v>
      </c>
      <c r="D130">
        <v>262.10000000000002</v>
      </c>
      <c r="E130">
        <v>280.8</v>
      </c>
      <c r="F130">
        <v>180971.26</v>
      </c>
      <c r="G130">
        <v>280.8</v>
      </c>
      <c r="L130" t="s">
        <v>7</v>
      </c>
      <c r="M130" t="s">
        <v>8</v>
      </c>
      <c r="N130" t="s">
        <v>7</v>
      </c>
    </row>
    <row r="131" spans="1:14" x14ac:dyDescent="0.25">
      <c r="A131" s="5">
        <v>44462</v>
      </c>
      <c r="B131">
        <v>301.8</v>
      </c>
      <c r="C131">
        <v>309.7</v>
      </c>
      <c r="D131">
        <v>294</v>
      </c>
      <c r="E131">
        <v>308.89999999999998</v>
      </c>
      <c r="F131">
        <v>99137.570999999996</v>
      </c>
      <c r="G131">
        <v>308.89999999999998</v>
      </c>
      <c r="L131" t="s">
        <v>8</v>
      </c>
      <c r="M131" t="s">
        <v>8</v>
      </c>
      <c r="N131" t="s">
        <v>7</v>
      </c>
    </row>
    <row r="132" spans="1:14" x14ac:dyDescent="0.25">
      <c r="A132" s="5">
        <v>44461</v>
      </c>
      <c r="B132">
        <v>271.5</v>
      </c>
      <c r="C132">
        <v>303.7</v>
      </c>
      <c r="D132">
        <v>266</v>
      </c>
      <c r="E132">
        <v>301.89999999999998</v>
      </c>
      <c r="F132">
        <v>165992.04800000001</v>
      </c>
      <c r="G132">
        <v>301.89999999999998</v>
      </c>
      <c r="L132" t="s">
        <v>8</v>
      </c>
      <c r="M132" t="s">
        <v>8</v>
      </c>
      <c r="N132" t="s">
        <v>7</v>
      </c>
    </row>
    <row r="133" spans="1:14" x14ac:dyDescent="0.25">
      <c r="A133" s="5">
        <v>44460</v>
      </c>
      <c r="B133">
        <v>291.89999999999998</v>
      </c>
      <c r="C133">
        <v>306.89999999999998</v>
      </c>
      <c r="D133">
        <v>259.89999999999998</v>
      </c>
      <c r="E133">
        <v>271.7</v>
      </c>
      <c r="F133">
        <v>172544.37239999999</v>
      </c>
      <c r="G133">
        <v>271.7</v>
      </c>
      <c r="L133" t="s">
        <v>7</v>
      </c>
      <c r="M133" t="s">
        <v>7</v>
      </c>
      <c r="N133" t="s">
        <v>7</v>
      </c>
    </row>
    <row r="134" spans="1:14" x14ac:dyDescent="0.25">
      <c r="A134" s="5">
        <v>44459</v>
      </c>
      <c r="B134">
        <v>340</v>
      </c>
      <c r="C134">
        <v>341</v>
      </c>
      <c r="D134">
        <v>311.39999999999998</v>
      </c>
      <c r="E134">
        <v>315.39999999999998</v>
      </c>
      <c r="F134">
        <v>75608.399999999994</v>
      </c>
      <c r="G134">
        <v>315.39999999999998</v>
      </c>
      <c r="L134" t="s">
        <v>7</v>
      </c>
      <c r="M134" t="s">
        <v>7</v>
      </c>
      <c r="N134" t="s">
        <v>8</v>
      </c>
    </row>
    <row r="135" spans="1:14" x14ac:dyDescent="0.25">
      <c r="A135" s="5">
        <v>44458</v>
      </c>
      <c r="B135">
        <v>355.3</v>
      </c>
      <c r="C135">
        <v>358</v>
      </c>
      <c r="D135">
        <v>335</v>
      </c>
      <c r="E135">
        <v>340</v>
      </c>
      <c r="F135">
        <v>88851.514999999999</v>
      </c>
      <c r="G135">
        <v>340</v>
      </c>
      <c r="L135" t="s">
        <v>7</v>
      </c>
      <c r="M135" t="s">
        <v>7</v>
      </c>
      <c r="N135" t="s">
        <v>8</v>
      </c>
    </row>
    <row r="136" spans="1:14" x14ac:dyDescent="0.25">
      <c r="A136" s="5">
        <v>44457</v>
      </c>
      <c r="B136">
        <v>353.9</v>
      </c>
      <c r="C136">
        <v>369</v>
      </c>
      <c r="D136">
        <v>346.8</v>
      </c>
      <c r="E136">
        <v>355.1</v>
      </c>
      <c r="F136">
        <v>103616.382</v>
      </c>
      <c r="G136">
        <v>355.1</v>
      </c>
      <c r="L136" t="s">
        <v>7</v>
      </c>
      <c r="M136" t="s">
        <v>7</v>
      </c>
      <c r="N136" t="s">
        <v>8</v>
      </c>
    </row>
    <row r="137" spans="1:14" x14ac:dyDescent="0.25">
      <c r="A137" s="5">
        <v>44456</v>
      </c>
      <c r="B137">
        <v>383.9</v>
      </c>
      <c r="C137">
        <v>390</v>
      </c>
      <c r="D137">
        <v>350.2</v>
      </c>
      <c r="E137">
        <v>353.9</v>
      </c>
      <c r="F137">
        <v>159639.02299999999</v>
      </c>
      <c r="G137">
        <v>353.9</v>
      </c>
      <c r="L137" t="s">
        <v>7</v>
      </c>
      <c r="M137" t="s">
        <v>8</v>
      </c>
      <c r="N137" t="s">
        <v>8</v>
      </c>
    </row>
    <row r="138" spans="1:14" x14ac:dyDescent="0.25">
      <c r="A138" s="5">
        <v>44455</v>
      </c>
      <c r="B138">
        <v>414.5</v>
      </c>
      <c r="C138">
        <v>414.9</v>
      </c>
      <c r="D138">
        <v>370.6</v>
      </c>
      <c r="E138">
        <v>384</v>
      </c>
      <c r="F138">
        <v>238619.16800000001</v>
      </c>
      <c r="G138">
        <v>384</v>
      </c>
      <c r="L138" t="s">
        <v>7</v>
      </c>
      <c r="M138" t="s">
        <v>8</v>
      </c>
      <c r="N138" t="s">
        <v>8</v>
      </c>
    </row>
    <row r="139" spans="1:14" x14ac:dyDescent="0.25">
      <c r="A139" s="5">
        <v>44454</v>
      </c>
      <c r="B139">
        <v>384.7</v>
      </c>
      <c r="C139">
        <v>418</v>
      </c>
      <c r="D139">
        <v>376.1</v>
      </c>
      <c r="E139">
        <v>414.5</v>
      </c>
      <c r="F139">
        <v>277562.717</v>
      </c>
      <c r="G139">
        <v>414.5</v>
      </c>
      <c r="L139" t="s">
        <v>8</v>
      </c>
      <c r="M139" t="s">
        <v>8</v>
      </c>
      <c r="N139" t="s">
        <v>8</v>
      </c>
    </row>
    <row r="140" spans="1:14" x14ac:dyDescent="0.25">
      <c r="A140" s="5">
        <v>44453</v>
      </c>
      <c r="B140">
        <v>331</v>
      </c>
      <c r="C140">
        <v>390.7</v>
      </c>
      <c r="D140">
        <v>327.60000000000002</v>
      </c>
      <c r="E140">
        <v>384.7</v>
      </c>
      <c r="F140">
        <v>292237.495</v>
      </c>
      <c r="G140">
        <v>384.7</v>
      </c>
      <c r="L140" t="s">
        <v>8</v>
      </c>
      <c r="M140" t="s">
        <v>8</v>
      </c>
      <c r="N140" t="s">
        <v>7</v>
      </c>
    </row>
    <row r="141" spans="1:14" x14ac:dyDescent="0.25">
      <c r="A141" s="5">
        <v>44452</v>
      </c>
      <c r="B141">
        <v>333.3</v>
      </c>
      <c r="C141">
        <v>337.4</v>
      </c>
      <c r="D141">
        <v>303.10000000000002</v>
      </c>
      <c r="E141">
        <v>330.9</v>
      </c>
      <c r="F141">
        <v>137457.19</v>
      </c>
      <c r="G141">
        <v>330.9</v>
      </c>
      <c r="L141" t="s">
        <v>7</v>
      </c>
      <c r="M141" t="s">
        <v>7</v>
      </c>
      <c r="N141" t="s">
        <v>7</v>
      </c>
    </row>
    <row r="142" spans="1:14" x14ac:dyDescent="0.25">
      <c r="A142" s="5">
        <v>44451</v>
      </c>
      <c r="B142">
        <v>328.6</v>
      </c>
      <c r="C142">
        <v>348.7</v>
      </c>
      <c r="D142">
        <v>321.60000000000002</v>
      </c>
      <c r="E142">
        <v>333.3</v>
      </c>
      <c r="F142">
        <v>112163.685</v>
      </c>
      <c r="G142">
        <v>333.3</v>
      </c>
      <c r="L142" t="s">
        <v>8</v>
      </c>
      <c r="M142" t="s">
        <v>7</v>
      </c>
      <c r="N142" t="s">
        <v>7</v>
      </c>
    </row>
    <row r="143" spans="1:14" x14ac:dyDescent="0.25">
      <c r="A143" s="5">
        <v>44450</v>
      </c>
      <c r="B143">
        <v>312.10000000000002</v>
      </c>
      <c r="C143">
        <v>340.1</v>
      </c>
      <c r="D143">
        <v>310.7</v>
      </c>
      <c r="E143">
        <v>328.6</v>
      </c>
      <c r="F143">
        <v>99820.369000000006</v>
      </c>
      <c r="G143">
        <v>328.6</v>
      </c>
      <c r="L143" t="s">
        <v>8</v>
      </c>
      <c r="M143" t="s">
        <v>7</v>
      </c>
      <c r="N143" t="s">
        <v>7</v>
      </c>
    </row>
    <row r="144" spans="1:14" x14ac:dyDescent="0.25">
      <c r="A144" s="5">
        <v>44449</v>
      </c>
      <c r="B144">
        <v>330.6</v>
      </c>
      <c r="C144">
        <v>340.2</v>
      </c>
      <c r="D144">
        <v>304.3</v>
      </c>
      <c r="E144">
        <v>312.2</v>
      </c>
      <c r="F144">
        <v>155908.73120000001</v>
      </c>
      <c r="G144">
        <v>312.2</v>
      </c>
      <c r="L144" t="s">
        <v>7</v>
      </c>
      <c r="M144" t="s">
        <v>7</v>
      </c>
      <c r="N144" t="s">
        <v>7</v>
      </c>
    </row>
    <row r="145" spans="1:14" x14ac:dyDescent="0.25">
      <c r="A145" s="5">
        <v>44448</v>
      </c>
      <c r="B145">
        <v>330.6</v>
      </c>
      <c r="C145">
        <v>350.7</v>
      </c>
      <c r="D145">
        <v>324.3</v>
      </c>
      <c r="E145">
        <v>330.5</v>
      </c>
      <c r="F145">
        <v>150482.95699999999</v>
      </c>
      <c r="G145">
        <v>330.5</v>
      </c>
      <c r="L145" t="s">
        <v>7</v>
      </c>
      <c r="M145" t="s">
        <v>7</v>
      </c>
      <c r="N145" t="s">
        <v>7</v>
      </c>
    </row>
    <row r="146" spans="1:14" x14ac:dyDescent="0.25">
      <c r="A146" s="5">
        <v>44447</v>
      </c>
      <c r="B146">
        <v>346.7</v>
      </c>
      <c r="C146">
        <v>353.2</v>
      </c>
      <c r="D146">
        <v>311.8</v>
      </c>
      <c r="E146">
        <v>330.5</v>
      </c>
      <c r="F146">
        <v>239682.595</v>
      </c>
      <c r="G146">
        <v>330.5</v>
      </c>
      <c r="L146" t="s">
        <v>8</v>
      </c>
      <c r="M146" t="s">
        <v>7</v>
      </c>
      <c r="N146" t="s">
        <v>7</v>
      </c>
    </row>
    <row r="147" spans="1:14" x14ac:dyDescent="0.25">
      <c r="A147" s="5">
        <v>44446</v>
      </c>
      <c r="B147">
        <v>408.7</v>
      </c>
      <c r="C147">
        <v>409.4</v>
      </c>
      <c r="D147">
        <v>309.10000000000002</v>
      </c>
      <c r="E147">
        <v>346.7</v>
      </c>
      <c r="F147">
        <v>328526.7329</v>
      </c>
      <c r="G147">
        <v>346.7</v>
      </c>
      <c r="L147" t="s">
        <v>7</v>
      </c>
      <c r="M147" t="s">
        <v>7</v>
      </c>
      <c r="N147" t="s">
        <v>7</v>
      </c>
    </row>
    <row r="148" spans="1:14" x14ac:dyDescent="0.25">
      <c r="A148" s="5">
        <v>44445</v>
      </c>
      <c r="B148">
        <v>416.9</v>
      </c>
      <c r="C148">
        <v>425</v>
      </c>
      <c r="D148">
        <v>395</v>
      </c>
      <c r="E148">
        <v>408.7</v>
      </c>
      <c r="F148">
        <v>143054.61499999999</v>
      </c>
      <c r="G148">
        <v>408.7</v>
      </c>
      <c r="L148" t="s">
        <v>7</v>
      </c>
      <c r="M148" t="s">
        <v>8</v>
      </c>
      <c r="N148" t="s">
        <v>8</v>
      </c>
    </row>
    <row r="149" spans="1:14" x14ac:dyDescent="0.25">
      <c r="A149" s="5">
        <v>44444</v>
      </c>
      <c r="B149">
        <v>398</v>
      </c>
      <c r="C149">
        <v>425.7</v>
      </c>
      <c r="D149">
        <v>394.6</v>
      </c>
      <c r="E149">
        <v>416.8</v>
      </c>
      <c r="F149">
        <v>178856.8499</v>
      </c>
      <c r="G149">
        <v>416.8</v>
      </c>
      <c r="L149" t="s">
        <v>8</v>
      </c>
      <c r="M149" t="s">
        <v>8</v>
      </c>
      <c r="N149" t="s">
        <v>8</v>
      </c>
    </row>
    <row r="150" spans="1:14" x14ac:dyDescent="0.25">
      <c r="A150" s="5">
        <v>44443</v>
      </c>
      <c r="B150">
        <v>395</v>
      </c>
      <c r="C150">
        <v>406.7</v>
      </c>
      <c r="D150">
        <v>390.6</v>
      </c>
      <c r="E150">
        <v>397.8</v>
      </c>
      <c r="F150">
        <v>89592.695999999996</v>
      </c>
      <c r="G150">
        <v>397.8</v>
      </c>
      <c r="L150" t="s">
        <v>7</v>
      </c>
      <c r="M150" t="s">
        <v>8</v>
      </c>
      <c r="N150" t="s">
        <v>8</v>
      </c>
    </row>
    <row r="151" spans="1:14" x14ac:dyDescent="0.25">
      <c r="A151" s="5">
        <v>44442</v>
      </c>
      <c r="B151">
        <v>399.3</v>
      </c>
      <c r="C151">
        <v>408</v>
      </c>
      <c r="D151">
        <v>387.8</v>
      </c>
      <c r="E151">
        <v>395</v>
      </c>
      <c r="F151">
        <v>127761.849</v>
      </c>
      <c r="G151">
        <v>395</v>
      </c>
      <c r="L151" t="s">
        <v>7</v>
      </c>
      <c r="M151" t="s">
        <v>8</v>
      </c>
      <c r="N151" t="s">
        <v>8</v>
      </c>
    </row>
    <row r="152" spans="1:14" x14ac:dyDescent="0.25">
      <c r="A152" s="5">
        <v>44441</v>
      </c>
      <c r="B152">
        <v>413.2</v>
      </c>
      <c r="C152">
        <v>415</v>
      </c>
      <c r="D152">
        <v>398.8</v>
      </c>
      <c r="E152">
        <v>399.4</v>
      </c>
      <c r="F152">
        <v>103052.8514</v>
      </c>
      <c r="G152">
        <v>399.4</v>
      </c>
      <c r="L152" t="s">
        <v>8</v>
      </c>
      <c r="M152" t="s">
        <v>8</v>
      </c>
      <c r="N152" t="s">
        <v>8</v>
      </c>
    </row>
    <row r="153" spans="1:14" x14ac:dyDescent="0.25">
      <c r="A153" s="5">
        <v>44440</v>
      </c>
      <c r="B153">
        <v>391.7</v>
      </c>
      <c r="C153">
        <v>414.2</v>
      </c>
      <c r="D153">
        <v>381.9</v>
      </c>
      <c r="E153">
        <v>413.1</v>
      </c>
      <c r="F153">
        <v>231975.59849999999</v>
      </c>
      <c r="G153">
        <v>413.1</v>
      </c>
      <c r="L153" t="s">
        <v>8</v>
      </c>
      <c r="M153" t="s">
        <v>8</v>
      </c>
      <c r="N153" t="s">
        <v>8</v>
      </c>
    </row>
    <row r="154" spans="1:14" x14ac:dyDescent="0.25">
      <c r="A154" s="5">
        <v>44439</v>
      </c>
      <c r="B154">
        <v>357.9</v>
      </c>
      <c r="C154">
        <v>398.2</v>
      </c>
      <c r="D154">
        <v>350.5</v>
      </c>
      <c r="E154">
        <v>391.7</v>
      </c>
      <c r="F154">
        <v>216322.43960000001</v>
      </c>
      <c r="G154">
        <v>391.7</v>
      </c>
      <c r="L154" t="s">
        <v>8</v>
      </c>
      <c r="M154" t="s">
        <v>7</v>
      </c>
      <c r="N154" t="s">
        <v>8</v>
      </c>
    </row>
    <row r="155" spans="1:14" x14ac:dyDescent="0.25">
      <c r="A155" s="5">
        <v>44438</v>
      </c>
      <c r="B155">
        <v>363.9</v>
      </c>
      <c r="C155">
        <v>377</v>
      </c>
      <c r="D155">
        <v>345.9</v>
      </c>
      <c r="E155">
        <v>357.6</v>
      </c>
      <c r="F155">
        <v>114782.011</v>
      </c>
      <c r="G155">
        <v>357.6</v>
      </c>
      <c r="L155" t="s">
        <v>7</v>
      </c>
      <c r="M155" t="s">
        <v>7</v>
      </c>
      <c r="N155" t="s">
        <v>8</v>
      </c>
    </row>
    <row r="156" spans="1:14" x14ac:dyDescent="0.25">
      <c r="A156" s="5">
        <v>44437</v>
      </c>
      <c r="B156">
        <v>367.1</v>
      </c>
      <c r="C156">
        <v>377.5</v>
      </c>
      <c r="D156">
        <v>355.5</v>
      </c>
      <c r="E156">
        <v>364.1</v>
      </c>
      <c r="F156">
        <v>83041.756599999993</v>
      </c>
      <c r="G156">
        <v>364.1</v>
      </c>
      <c r="L156" t="s">
        <v>8</v>
      </c>
      <c r="M156" t="s">
        <v>7</v>
      </c>
      <c r="N156" t="s">
        <v>8</v>
      </c>
    </row>
    <row r="157" spans="1:14" x14ac:dyDescent="0.25">
      <c r="A157" s="5">
        <v>44436</v>
      </c>
      <c r="B157">
        <v>372.6</v>
      </c>
      <c r="C157">
        <v>375.9</v>
      </c>
      <c r="D157">
        <v>361.7</v>
      </c>
      <c r="E157">
        <v>367.2</v>
      </c>
      <c r="F157">
        <v>64113.911999999997</v>
      </c>
      <c r="G157">
        <v>367.2</v>
      </c>
      <c r="L157" t="s">
        <v>8</v>
      </c>
      <c r="M157" t="s">
        <v>7</v>
      </c>
      <c r="N157" t="s">
        <v>8</v>
      </c>
    </row>
    <row r="158" spans="1:14" x14ac:dyDescent="0.25">
      <c r="A158" s="5">
        <v>44435</v>
      </c>
      <c r="B158">
        <v>350.5</v>
      </c>
      <c r="C158">
        <v>375.4</v>
      </c>
      <c r="D158">
        <v>343.8</v>
      </c>
      <c r="E158">
        <v>372.8</v>
      </c>
      <c r="F158">
        <v>113318.6367</v>
      </c>
      <c r="G158">
        <v>372.8</v>
      </c>
      <c r="L158" t="s">
        <v>8</v>
      </c>
      <c r="M158" t="s">
        <v>7</v>
      </c>
      <c r="N158" t="s">
        <v>8</v>
      </c>
    </row>
    <row r="159" spans="1:14" x14ac:dyDescent="0.25">
      <c r="A159" s="5">
        <v>44434</v>
      </c>
      <c r="B159">
        <v>384.17</v>
      </c>
      <c r="C159">
        <v>389.3</v>
      </c>
      <c r="D159">
        <v>340.9</v>
      </c>
      <c r="E159">
        <v>350.7</v>
      </c>
      <c r="F159">
        <v>112812.2271</v>
      </c>
      <c r="G159">
        <v>350.7</v>
      </c>
      <c r="L159" t="s">
        <v>7</v>
      </c>
      <c r="M159" t="s">
        <v>7</v>
      </c>
      <c r="N159" t="s">
        <v>8</v>
      </c>
    </row>
    <row r="160" spans="1:14" x14ac:dyDescent="0.25">
      <c r="A160" s="5">
        <v>44433</v>
      </c>
      <c r="B160">
        <v>377.98</v>
      </c>
      <c r="C160">
        <v>386.12</v>
      </c>
      <c r="D160">
        <v>363.5</v>
      </c>
      <c r="E160">
        <v>384.16</v>
      </c>
      <c r="F160">
        <v>103418.2501</v>
      </c>
      <c r="G160">
        <v>384.16</v>
      </c>
      <c r="L160" t="s">
        <v>7</v>
      </c>
      <c r="M160" t="s">
        <v>7</v>
      </c>
      <c r="N160" t="s">
        <v>8</v>
      </c>
    </row>
    <row r="161" spans="1:14" x14ac:dyDescent="0.25">
      <c r="A161" s="5">
        <v>44432</v>
      </c>
      <c r="B161">
        <v>408.35</v>
      </c>
      <c r="C161">
        <v>414.01</v>
      </c>
      <c r="D161">
        <v>370</v>
      </c>
      <c r="E161">
        <v>377.97</v>
      </c>
      <c r="F161">
        <v>117344.3049</v>
      </c>
      <c r="G161">
        <v>377.97</v>
      </c>
      <c r="L161" t="s">
        <v>7</v>
      </c>
      <c r="M161" t="s">
        <v>7</v>
      </c>
      <c r="N161" t="s">
        <v>8</v>
      </c>
    </row>
    <row r="162" spans="1:14" x14ac:dyDescent="0.25">
      <c r="A162" s="5">
        <v>44431</v>
      </c>
      <c r="B162">
        <v>400.98</v>
      </c>
      <c r="C162">
        <v>415.49</v>
      </c>
      <c r="D162">
        <v>399.13</v>
      </c>
      <c r="E162">
        <v>408.35</v>
      </c>
      <c r="F162">
        <v>130982.4044</v>
      </c>
      <c r="G162">
        <v>408.35</v>
      </c>
      <c r="L162" t="s">
        <v>7</v>
      </c>
      <c r="M162" t="s">
        <v>7</v>
      </c>
      <c r="N162" t="s">
        <v>8</v>
      </c>
    </row>
    <row r="163" spans="1:14" x14ac:dyDescent="0.25">
      <c r="A163" s="5">
        <v>44430</v>
      </c>
      <c r="B163">
        <v>399.91</v>
      </c>
      <c r="C163">
        <v>407</v>
      </c>
      <c r="D163">
        <v>398.49</v>
      </c>
      <c r="E163">
        <v>405.52</v>
      </c>
      <c r="F163">
        <v>19303.367300000002</v>
      </c>
      <c r="G163">
        <v>405.52</v>
      </c>
      <c r="L163" t="s">
        <v>7</v>
      </c>
      <c r="M163" t="s">
        <v>7</v>
      </c>
      <c r="N163" t="s">
        <v>8</v>
      </c>
    </row>
    <row r="164" spans="1:14" x14ac:dyDescent="0.25">
      <c r="A164" s="5">
        <v>44429</v>
      </c>
      <c r="B164">
        <v>409.27</v>
      </c>
      <c r="C164">
        <v>415.84</v>
      </c>
      <c r="D164">
        <v>393.25</v>
      </c>
      <c r="E164">
        <v>399.91</v>
      </c>
      <c r="F164">
        <v>137607.94899999999</v>
      </c>
      <c r="G164">
        <v>399.91</v>
      </c>
      <c r="L164" t="s">
        <v>7</v>
      </c>
      <c r="M164" t="s">
        <v>7</v>
      </c>
      <c r="N164" t="s">
        <v>8</v>
      </c>
    </row>
    <row r="165" spans="1:14" x14ac:dyDescent="0.25">
      <c r="A165" s="5">
        <v>44428</v>
      </c>
      <c r="B165">
        <v>405.31</v>
      </c>
      <c r="C165">
        <v>420.82</v>
      </c>
      <c r="D165">
        <v>403.22</v>
      </c>
      <c r="E165">
        <v>409.2</v>
      </c>
      <c r="F165">
        <v>143871.08600000001</v>
      </c>
      <c r="G165">
        <v>409.2</v>
      </c>
      <c r="L165" t="s">
        <v>8</v>
      </c>
      <c r="M165" t="s">
        <v>7</v>
      </c>
      <c r="N165" t="s">
        <v>8</v>
      </c>
    </row>
    <row r="166" spans="1:14" x14ac:dyDescent="0.25">
      <c r="A166" s="5">
        <v>44427</v>
      </c>
      <c r="B166">
        <v>380.25</v>
      </c>
      <c r="C166">
        <v>405.4</v>
      </c>
      <c r="D166">
        <v>370.49</v>
      </c>
      <c r="E166">
        <v>405.4</v>
      </c>
      <c r="F166">
        <v>148762.63759999999</v>
      </c>
      <c r="G166">
        <v>405.4</v>
      </c>
      <c r="L166" t="s">
        <v>8</v>
      </c>
      <c r="M166" t="s">
        <v>7</v>
      </c>
      <c r="N166" t="s">
        <v>8</v>
      </c>
    </row>
    <row r="167" spans="1:14" x14ac:dyDescent="0.25">
      <c r="A167" s="5">
        <v>44426</v>
      </c>
      <c r="B167">
        <v>381.44</v>
      </c>
      <c r="C167">
        <v>397.55</v>
      </c>
      <c r="D167">
        <v>361.27</v>
      </c>
      <c r="E167">
        <v>380.22</v>
      </c>
      <c r="F167">
        <v>218560.94579999999</v>
      </c>
      <c r="G167">
        <v>380.22</v>
      </c>
      <c r="L167" t="s">
        <v>7</v>
      </c>
      <c r="M167" t="s">
        <v>7</v>
      </c>
      <c r="N167" t="s">
        <v>8</v>
      </c>
    </row>
    <row r="168" spans="1:14" x14ac:dyDescent="0.25">
      <c r="A168" s="5">
        <v>44425</v>
      </c>
      <c r="B168">
        <v>412.59</v>
      </c>
      <c r="C168">
        <v>448.44</v>
      </c>
      <c r="D168">
        <v>380.52</v>
      </c>
      <c r="E168">
        <v>381.46</v>
      </c>
      <c r="F168">
        <v>263870.28269999998</v>
      </c>
      <c r="G168">
        <v>381.46</v>
      </c>
      <c r="L168" t="s">
        <v>7</v>
      </c>
      <c r="M168" t="s">
        <v>7</v>
      </c>
      <c r="N168" t="s">
        <v>8</v>
      </c>
    </row>
    <row r="169" spans="1:14" x14ac:dyDescent="0.25">
      <c r="A169" s="5">
        <v>44424</v>
      </c>
      <c r="B169">
        <v>410.14</v>
      </c>
      <c r="C169">
        <v>446.66</v>
      </c>
      <c r="D169">
        <v>407.87</v>
      </c>
      <c r="E169">
        <v>412.59</v>
      </c>
      <c r="F169">
        <v>265650.03730000003</v>
      </c>
      <c r="G169">
        <v>412.59</v>
      </c>
      <c r="L169" t="s">
        <v>8</v>
      </c>
      <c r="M169" t="s">
        <v>8</v>
      </c>
      <c r="N169" t="s">
        <v>8</v>
      </c>
    </row>
    <row r="170" spans="1:14" x14ac:dyDescent="0.25">
      <c r="A170" s="5">
        <v>44423</v>
      </c>
      <c r="B170">
        <v>414.39</v>
      </c>
      <c r="C170">
        <v>416.11</v>
      </c>
      <c r="D170">
        <v>391.24</v>
      </c>
      <c r="E170">
        <v>410.27</v>
      </c>
      <c r="F170">
        <v>124038.8121</v>
      </c>
      <c r="G170">
        <v>410.27</v>
      </c>
      <c r="L170" t="s">
        <v>7</v>
      </c>
      <c r="M170" t="s">
        <v>8</v>
      </c>
      <c r="N170" t="s">
        <v>8</v>
      </c>
    </row>
    <row r="171" spans="1:14" x14ac:dyDescent="0.25">
      <c r="A171" s="5">
        <v>44422</v>
      </c>
      <c r="B171">
        <v>427.52</v>
      </c>
      <c r="C171">
        <v>428.25</v>
      </c>
      <c r="D171">
        <v>404.15</v>
      </c>
      <c r="E171">
        <v>414.38</v>
      </c>
      <c r="F171">
        <v>104107.1226</v>
      </c>
      <c r="G171">
        <v>414.38</v>
      </c>
      <c r="L171" t="s">
        <v>8</v>
      </c>
      <c r="M171" t="s">
        <v>8</v>
      </c>
      <c r="N171" t="s">
        <v>8</v>
      </c>
    </row>
    <row r="172" spans="1:14" x14ac:dyDescent="0.25">
      <c r="A172" s="5">
        <v>44421</v>
      </c>
      <c r="B172">
        <v>392.27</v>
      </c>
      <c r="C172">
        <v>428.28</v>
      </c>
      <c r="D172">
        <v>387.87</v>
      </c>
      <c r="E172">
        <v>427.5</v>
      </c>
      <c r="F172">
        <v>145749.7885</v>
      </c>
      <c r="G172">
        <v>427.5</v>
      </c>
      <c r="L172" t="s">
        <v>8</v>
      </c>
      <c r="M172" t="s">
        <v>8</v>
      </c>
      <c r="N172" t="s">
        <v>8</v>
      </c>
    </row>
    <row r="173" spans="1:14" x14ac:dyDescent="0.25">
      <c r="A173" s="5">
        <v>44420</v>
      </c>
      <c r="B173">
        <v>402.62</v>
      </c>
      <c r="C173">
        <v>417.92</v>
      </c>
      <c r="D173">
        <v>375.93</v>
      </c>
      <c r="E173">
        <v>392.17</v>
      </c>
      <c r="F173">
        <v>140282.89850000001</v>
      </c>
      <c r="G173">
        <v>392.17</v>
      </c>
      <c r="L173" t="s">
        <v>7</v>
      </c>
      <c r="M173" t="s">
        <v>8</v>
      </c>
      <c r="N173" t="s">
        <v>8</v>
      </c>
    </row>
    <row r="174" spans="1:14" x14ac:dyDescent="0.25">
      <c r="A174" s="5">
        <v>44419</v>
      </c>
      <c r="B174">
        <v>383.99</v>
      </c>
      <c r="C174">
        <v>420</v>
      </c>
      <c r="D174">
        <v>382.6</v>
      </c>
      <c r="E174">
        <v>402.42</v>
      </c>
      <c r="F174">
        <v>202514.7059</v>
      </c>
      <c r="G174">
        <v>402.42</v>
      </c>
      <c r="L174" t="s">
        <v>8</v>
      </c>
      <c r="M174" t="s">
        <v>8</v>
      </c>
      <c r="N174" t="s">
        <v>8</v>
      </c>
    </row>
    <row r="175" spans="1:14" x14ac:dyDescent="0.25">
      <c r="A175" s="5">
        <v>44418</v>
      </c>
      <c r="B175">
        <v>374.02</v>
      </c>
      <c r="C175">
        <v>400</v>
      </c>
      <c r="D175">
        <v>367.86</v>
      </c>
      <c r="E175">
        <v>384.14</v>
      </c>
      <c r="F175">
        <v>168365.7513</v>
      </c>
      <c r="G175">
        <v>384.14</v>
      </c>
      <c r="L175" t="s">
        <v>8</v>
      </c>
      <c r="M175" t="s">
        <v>8</v>
      </c>
      <c r="N175" t="s">
        <v>8</v>
      </c>
    </row>
    <row r="176" spans="1:14" x14ac:dyDescent="0.25">
      <c r="A176" s="5">
        <v>44417</v>
      </c>
      <c r="B176">
        <v>360.82</v>
      </c>
      <c r="C176">
        <v>384.86</v>
      </c>
      <c r="D176">
        <v>347.36</v>
      </c>
      <c r="E176">
        <v>374.01</v>
      </c>
      <c r="F176">
        <v>141330.9613</v>
      </c>
      <c r="G176">
        <v>374.01</v>
      </c>
      <c r="L176" t="s">
        <v>7</v>
      </c>
      <c r="M176" t="s">
        <v>8</v>
      </c>
      <c r="N176" t="s">
        <v>8</v>
      </c>
    </row>
    <row r="177" spans="1:14" x14ac:dyDescent="0.25">
      <c r="A177" s="5">
        <v>44416</v>
      </c>
      <c r="B177">
        <v>385.12</v>
      </c>
      <c r="C177">
        <v>389.45</v>
      </c>
      <c r="D177">
        <v>352</v>
      </c>
      <c r="E177">
        <v>360.72</v>
      </c>
      <c r="F177">
        <v>123004.40700000001</v>
      </c>
      <c r="G177">
        <v>360.72</v>
      </c>
      <c r="L177" t="s">
        <v>7</v>
      </c>
      <c r="M177" t="s">
        <v>8</v>
      </c>
      <c r="N177" t="s">
        <v>8</v>
      </c>
    </row>
    <row r="178" spans="1:14" x14ac:dyDescent="0.25">
      <c r="A178" s="5">
        <v>44415</v>
      </c>
      <c r="B178">
        <v>369.76</v>
      </c>
      <c r="C178">
        <v>400.02</v>
      </c>
      <c r="D178">
        <v>365.1</v>
      </c>
      <c r="E178">
        <v>385.07</v>
      </c>
      <c r="F178">
        <v>201211.63159999999</v>
      </c>
      <c r="G178">
        <v>385.07</v>
      </c>
      <c r="L178" t="s">
        <v>8</v>
      </c>
      <c r="M178" t="s">
        <v>8</v>
      </c>
      <c r="N178" t="s">
        <v>8</v>
      </c>
    </row>
    <row r="179" spans="1:14" x14ac:dyDescent="0.25">
      <c r="A179" s="5">
        <v>44414</v>
      </c>
      <c r="B179">
        <v>372.97</v>
      </c>
      <c r="C179">
        <v>379.48</v>
      </c>
      <c r="D179">
        <v>356.95</v>
      </c>
      <c r="E179">
        <v>369.6</v>
      </c>
      <c r="F179">
        <v>175602.38329999999</v>
      </c>
      <c r="G179">
        <v>369.6</v>
      </c>
      <c r="L179" t="s">
        <v>7</v>
      </c>
      <c r="M179" t="s">
        <v>8</v>
      </c>
      <c r="N179" t="s">
        <v>8</v>
      </c>
    </row>
    <row r="180" spans="1:14" x14ac:dyDescent="0.25">
      <c r="A180" s="5">
        <v>44413</v>
      </c>
      <c r="B180">
        <v>339.01</v>
      </c>
      <c r="C180">
        <v>383</v>
      </c>
      <c r="D180">
        <v>336.87</v>
      </c>
      <c r="E180">
        <v>372.78</v>
      </c>
      <c r="F180">
        <v>381289.32819999999</v>
      </c>
      <c r="G180">
        <v>372.78</v>
      </c>
      <c r="L180" t="s">
        <v>8</v>
      </c>
      <c r="M180" t="s">
        <v>8</v>
      </c>
      <c r="N180" t="s">
        <v>8</v>
      </c>
    </row>
    <row r="181" spans="1:14" x14ac:dyDescent="0.25">
      <c r="A181" s="5">
        <v>44412</v>
      </c>
      <c r="B181">
        <v>308.49</v>
      </c>
      <c r="C181">
        <v>343</v>
      </c>
      <c r="D181">
        <v>300.26</v>
      </c>
      <c r="E181">
        <v>339.02</v>
      </c>
      <c r="F181">
        <v>162734.42319999999</v>
      </c>
      <c r="G181">
        <v>339.02</v>
      </c>
      <c r="L181" t="s">
        <v>8</v>
      </c>
      <c r="M181" t="s">
        <v>8</v>
      </c>
      <c r="N181" t="s">
        <v>8</v>
      </c>
    </row>
    <row r="182" spans="1:14" x14ac:dyDescent="0.25">
      <c r="A182" s="5">
        <v>44411</v>
      </c>
      <c r="B182">
        <v>320.32</v>
      </c>
      <c r="C182">
        <v>324.04000000000002</v>
      </c>
      <c r="D182">
        <v>301.97000000000003</v>
      </c>
      <c r="E182">
        <v>308.74</v>
      </c>
      <c r="F182">
        <v>113981.44500000001</v>
      </c>
      <c r="G182">
        <v>308.74</v>
      </c>
      <c r="L182" t="s">
        <v>7</v>
      </c>
      <c r="M182" t="s">
        <v>8</v>
      </c>
      <c r="N182" t="s">
        <v>8</v>
      </c>
    </row>
    <row r="183" spans="1:14" x14ac:dyDescent="0.25">
      <c r="A183" s="5">
        <v>44410</v>
      </c>
      <c r="B183">
        <v>316.38</v>
      </c>
      <c r="C183">
        <v>329.02</v>
      </c>
      <c r="D183">
        <v>309.01</v>
      </c>
      <c r="E183">
        <v>320.39999999999998</v>
      </c>
      <c r="F183">
        <v>113543.7248</v>
      </c>
      <c r="G183">
        <v>320.39999999999998</v>
      </c>
      <c r="L183" t="s">
        <v>7</v>
      </c>
      <c r="M183" t="s">
        <v>8</v>
      </c>
      <c r="N183" t="s">
        <v>8</v>
      </c>
    </row>
    <row r="184" spans="1:14" x14ac:dyDescent="0.25">
      <c r="A184" s="5">
        <v>44409</v>
      </c>
      <c r="B184">
        <v>331.11</v>
      </c>
      <c r="C184">
        <v>339.59</v>
      </c>
      <c r="D184">
        <v>313.51</v>
      </c>
      <c r="E184">
        <v>316.38</v>
      </c>
      <c r="F184">
        <v>152042.08040000001</v>
      </c>
      <c r="G184">
        <v>316.38</v>
      </c>
      <c r="L184" t="s">
        <v>8</v>
      </c>
      <c r="M184" t="s">
        <v>8</v>
      </c>
      <c r="N184" t="s">
        <v>8</v>
      </c>
    </row>
    <row r="185" spans="1:14" x14ac:dyDescent="0.25">
      <c r="A185" s="5">
        <v>44408</v>
      </c>
      <c r="B185">
        <v>320.39</v>
      </c>
      <c r="C185">
        <v>333</v>
      </c>
      <c r="D185">
        <v>312.69</v>
      </c>
      <c r="E185">
        <v>331.1</v>
      </c>
      <c r="F185">
        <v>129435.47440000001</v>
      </c>
      <c r="G185">
        <v>331.1</v>
      </c>
      <c r="L185" t="s">
        <v>8</v>
      </c>
      <c r="M185" t="s">
        <v>8</v>
      </c>
      <c r="N185" t="s">
        <v>8</v>
      </c>
    </row>
    <row r="186" spans="1:14" x14ac:dyDescent="0.25">
      <c r="A186" s="5">
        <v>44407</v>
      </c>
      <c r="B186">
        <v>312</v>
      </c>
      <c r="C186">
        <v>323.85000000000002</v>
      </c>
      <c r="D186">
        <v>300</v>
      </c>
      <c r="E186">
        <v>320.49</v>
      </c>
      <c r="F186">
        <v>178825.6618</v>
      </c>
      <c r="G186">
        <v>320.49</v>
      </c>
      <c r="L186" t="s">
        <v>8</v>
      </c>
      <c r="M186" t="s">
        <v>7</v>
      </c>
      <c r="N186" t="s">
        <v>8</v>
      </c>
    </row>
    <row r="187" spans="1:14" x14ac:dyDescent="0.25">
      <c r="A187" s="5">
        <v>44406</v>
      </c>
      <c r="B187">
        <v>298.04000000000002</v>
      </c>
      <c r="C187">
        <v>315.75</v>
      </c>
      <c r="D187">
        <v>292.41000000000003</v>
      </c>
      <c r="E187">
        <v>312</v>
      </c>
      <c r="F187">
        <v>164845.90960000001</v>
      </c>
      <c r="G187">
        <v>312</v>
      </c>
      <c r="L187" t="s">
        <v>8</v>
      </c>
      <c r="M187" t="s">
        <v>7</v>
      </c>
      <c r="N187" t="s">
        <v>8</v>
      </c>
    </row>
    <row r="188" spans="1:14" x14ac:dyDescent="0.25">
      <c r="A188" s="5">
        <v>44405</v>
      </c>
      <c r="B188">
        <v>299.98</v>
      </c>
      <c r="C188">
        <v>309</v>
      </c>
      <c r="D188">
        <v>292.02</v>
      </c>
      <c r="E188">
        <v>297.92</v>
      </c>
      <c r="F188">
        <v>188239.94380000001</v>
      </c>
      <c r="G188">
        <v>297.92</v>
      </c>
      <c r="L188" t="s">
        <v>8</v>
      </c>
      <c r="M188" t="s">
        <v>7</v>
      </c>
      <c r="N188" t="s">
        <v>8</v>
      </c>
    </row>
    <row r="189" spans="1:14" x14ac:dyDescent="0.25">
      <c r="A189" s="5">
        <v>44404</v>
      </c>
      <c r="B189">
        <v>302.52999999999997</v>
      </c>
      <c r="C189">
        <v>312.36</v>
      </c>
      <c r="D189">
        <v>283.29000000000002</v>
      </c>
      <c r="E189">
        <v>299.94</v>
      </c>
      <c r="F189">
        <v>323347.19870000001</v>
      </c>
      <c r="G189">
        <v>299.94</v>
      </c>
      <c r="L189" t="s">
        <v>7</v>
      </c>
      <c r="M189" t="s">
        <v>7</v>
      </c>
      <c r="N189" t="s">
        <v>8</v>
      </c>
    </row>
    <row r="190" spans="1:14" x14ac:dyDescent="0.25">
      <c r="A190" s="5">
        <v>44403</v>
      </c>
      <c r="B190">
        <v>287.89</v>
      </c>
      <c r="C190">
        <v>335.52</v>
      </c>
      <c r="D190">
        <v>285.66000000000003</v>
      </c>
      <c r="E190">
        <v>302.43</v>
      </c>
      <c r="F190">
        <v>462405.86749999999</v>
      </c>
      <c r="G190">
        <v>302.43</v>
      </c>
      <c r="L190" t="s">
        <v>8</v>
      </c>
      <c r="M190" t="s">
        <v>8</v>
      </c>
      <c r="N190" t="s">
        <v>8</v>
      </c>
    </row>
    <row r="191" spans="1:14" x14ac:dyDescent="0.25">
      <c r="A191" s="5">
        <v>44402</v>
      </c>
      <c r="B191">
        <v>287.89</v>
      </c>
      <c r="C191">
        <v>293.18</v>
      </c>
      <c r="D191">
        <v>271.89999999999998</v>
      </c>
      <c r="E191">
        <v>288.07</v>
      </c>
      <c r="F191">
        <v>142260.1545</v>
      </c>
      <c r="G191">
        <v>288.07</v>
      </c>
      <c r="L191" t="s">
        <v>7</v>
      </c>
      <c r="M191" t="s">
        <v>8</v>
      </c>
      <c r="N191" t="s">
        <v>7</v>
      </c>
    </row>
    <row r="192" spans="1:14" x14ac:dyDescent="0.25">
      <c r="A192" s="5">
        <v>44401</v>
      </c>
      <c r="B192">
        <v>289.99</v>
      </c>
      <c r="C192">
        <v>299.05</v>
      </c>
      <c r="D192">
        <v>280.85000000000002</v>
      </c>
      <c r="E192">
        <v>287.67</v>
      </c>
      <c r="F192">
        <v>176431.3628</v>
      </c>
      <c r="G192">
        <v>287.67</v>
      </c>
      <c r="L192" t="s">
        <v>8</v>
      </c>
      <c r="M192" t="s">
        <v>8</v>
      </c>
      <c r="N192" t="s">
        <v>7</v>
      </c>
    </row>
    <row r="193" spans="1:20" x14ac:dyDescent="0.25">
      <c r="A193" s="5">
        <v>44400</v>
      </c>
      <c r="B193">
        <v>278.54000000000002</v>
      </c>
      <c r="C193">
        <v>293</v>
      </c>
      <c r="D193">
        <v>268</v>
      </c>
      <c r="E193">
        <v>290</v>
      </c>
      <c r="F193">
        <v>218991.40700000001</v>
      </c>
      <c r="G193">
        <v>290</v>
      </c>
      <c r="L193" t="s">
        <v>8</v>
      </c>
      <c r="M193" t="s">
        <v>8</v>
      </c>
      <c r="N193" t="s">
        <v>7</v>
      </c>
    </row>
    <row r="194" spans="1:20" x14ac:dyDescent="0.25">
      <c r="A194" s="5">
        <v>44399</v>
      </c>
      <c r="B194">
        <v>259.45</v>
      </c>
      <c r="C194">
        <v>280.33</v>
      </c>
      <c r="D194">
        <v>256.67</v>
      </c>
      <c r="E194">
        <v>278.66000000000003</v>
      </c>
      <c r="F194">
        <v>225622.72760000001</v>
      </c>
      <c r="G194">
        <v>278.66000000000003</v>
      </c>
      <c r="L194" t="s">
        <v>8</v>
      </c>
      <c r="M194" t="s">
        <v>8</v>
      </c>
      <c r="N194" t="s">
        <v>7</v>
      </c>
    </row>
    <row r="195" spans="1:20" x14ac:dyDescent="0.25">
      <c r="A195" s="5">
        <v>44398</v>
      </c>
      <c r="B195">
        <v>223.39</v>
      </c>
      <c r="C195">
        <v>263.48</v>
      </c>
      <c r="D195">
        <v>216.99</v>
      </c>
      <c r="E195">
        <v>259.45</v>
      </c>
      <c r="F195">
        <v>247998.9693</v>
      </c>
      <c r="G195">
        <v>259.45</v>
      </c>
      <c r="L195" t="s">
        <v>7</v>
      </c>
      <c r="M195" t="s">
        <v>7</v>
      </c>
      <c r="N195" t="s">
        <v>7</v>
      </c>
    </row>
    <row r="196" spans="1:20" x14ac:dyDescent="0.25">
      <c r="A196" s="5">
        <v>44397</v>
      </c>
      <c r="B196">
        <v>238.45</v>
      </c>
      <c r="C196">
        <v>242.41</v>
      </c>
      <c r="D196">
        <v>212.54</v>
      </c>
      <c r="E196">
        <v>223.03</v>
      </c>
      <c r="F196">
        <v>191015.8602</v>
      </c>
      <c r="G196">
        <v>223.03</v>
      </c>
    </row>
    <row r="197" spans="1:20" x14ac:dyDescent="0.25">
      <c r="A197" s="5">
        <v>44396</v>
      </c>
      <c r="B197">
        <v>253.88</v>
      </c>
      <c r="C197">
        <v>255.99</v>
      </c>
      <c r="D197">
        <v>232.93</v>
      </c>
      <c r="E197">
        <v>238.51</v>
      </c>
      <c r="F197">
        <v>147774.6078</v>
      </c>
      <c r="G197">
        <v>-6.05</v>
      </c>
      <c r="L197" t="s">
        <v>7</v>
      </c>
      <c r="M197" t="s">
        <v>7</v>
      </c>
      <c r="N197" t="s">
        <v>7</v>
      </c>
      <c r="P197">
        <f t="shared" ref="P197" si="0">IF(C197=D197,0,((E197-D197)-(C197-E197))/(C197-D197))</f>
        <v>-0.51604509973981061</v>
      </c>
      <c r="Q197">
        <f t="shared" ref="Q197" si="1">F197*P197</f>
        <v>-76258.362221162388</v>
      </c>
      <c r="R197">
        <f t="shared" ref="R197" si="2">R198+Q197</f>
        <v>6854087.0632128706</v>
      </c>
      <c r="S197">
        <f t="shared" ref="S197" si="3">R197/100000</f>
        <v>68.540870632128701</v>
      </c>
      <c r="T197">
        <f>S197/1000</f>
        <v>6.85408706321287E-2</v>
      </c>
    </row>
    <row r="198" spans="1:20" x14ac:dyDescent="0.25">
      <c r="A198" s="5">
        <v>44395</v>
      </c>
      <c r="B198">
        <v>253.14</v>
      </c>
      <c r="C198">
        <v>267.95999999999998</v>
      </c>
      <c r="D198">
        <v>250.69</v>
      </c>
      <c r="E198">
        <v>253.68</v>
      </c>
      <c r="F198">
        <v>107331.6064</v>
      </c>
      <c r="G198">
        <v>0.21</v>
      </c>
      <c r="L198" t="s">
        <v>8</v>
      </c>
      <c r="M198" t="s">
        <v>7</v>
      </c>
      <c r="N198" t="s">
        <v>7</v>
      </c>
      <c r="P198">
        <f t="shared" ref="P198:P261" si="4">IF(C198=D198,0,((E198-D198)-(C198-E198))/(C198-D198))</f>
        <v>-0.65373480023161412</v>
      </c>
      <c r="Q198">
        <f t="shared" ref="Q198:Q261" si="5">F198*P198</f>
        <v>-70166.406268442239</v>
      </c>
      <c r="R198">
        <f t="shared" ref="R198:R261" si="6">R199+Q198</f>
        <v>6930345.4254340334</v>
      </c>
      <c r="S198">
        <f t="shared" ref="S198:S261" si="7">R198/100000</f>
        <v>69.303454254340338</v>
      </c>
      <c r="T198">
        <f t="shared" ref="T198:T261" si="8">S198/1000</f>
        <v>6.9303454254340341E-2</v>
      </c>
    </row>
    <row r="199" spans="1:20" x14ac:dyDescent="0.25">
      <c r="A199" s="5">
        <v>44394</v>
      </c>
      <c r="B199">
        <v>253.14</v>
      </c>
      <c r="C199">
        <v>259.06</v>
      </c>
      <c r="D199">
        <v>245.01</v>
      </c>
      <c r="E199">
        <v>253.14</v>
      </c>
      <c r="F199">
        <v>132529.37760000001</v>
      </c>
      <c r="G199">
        <v>0</v>
      </c>
      <c r="L199" t="s">
        <v>7</v>
      </c>
      <c r="M199" t="s">
        <v>7</v>
      </c>
      <c r="N199" t="s">
        <v>7</v>
      </c>
      <c r="P199">
        <f t="shared" si="4"/>
        <v>0.15729537366547885</v>
      </c>
      <c r="Q199">
        <f t="shared" si="5"/>
        <v>20846.257971245344</v>
      </c>
      <c r="R199">
        <f t="shared" si="6"/>
        <v>7000511.8317024754</v>
      </c>
      <c r="S199">
        <f t="shared" si="7"/>
        <v>70.005118317024753</v>
      </c>
      <c r="T199">
        <f t="shared" si="8"/>
        <v>7.0005118317024759E-2</v>
      </c>
    </row>
    <row r="200" spans="1:20" x14ac:dyDescent="0.25">
      <c r="A200" s="5">
        <v>44393</v>
      </c>
      <c r="B200">
        <v>272.27999999999997</v>
      </c>
      <c r="C200">
        <v>279.79000000000002</v>
      </c>
      <c r="D200">
        <v>252.2</v>
      </c>
      <c r="E200">
        <v>253.13</v>
      </c>
      <c r="F200">
        <v>159349.1979</v>
      </c>
      <c r="G200">
        <v>-7.03</v>
      </c>
      <c r="L200" t="s">
        <v>7</v>
      </c>
      <c r="M200" t="s">
        <v>7</v>
      </c>
      <c r="N200" t="s">
        <v>8</v>
      </c>
      <c r="P200">
        <f t="shared" si="4"/>
        <v>-0.93258426966292096</v>
      </c>
      <c r="Q200">
        <f t="shared" si="5"/>
        <v>-148606.55534494377</v>
      </c>
      <c r="R200">
        <f t="shared" si="6"/>
        <v>6979665.5737312296</v>
      </c>
      <c r="S200">
        <f t="shared" si="7"/>
        <v>69.796655737312292</v>
      </c>
      <c r="T200">
        <f t="shared" si="8"/>
        <v>6.9796655737312294E-2</v>
      </c>
    </row>
    <row r="201" spans="1:20" x14ac:dyDescent="0.25">
      <c r="A201" s="5">
        <v>44392</v>
      </c>
      <c r="B201">
        <v>279.33999999999997</v>
      </c>
      <c r="C201">
        <v>288.38</v>
      </c>
      <c r="D201">
        <v>265.38</v>
      </c>
      <c r="E201">
        <v>272.3</v>
      </c>
      <c r="F201">
        <v>247936.75409999999</v>
      </c>
      <c r="G201">
        <v>-2.52</v>
      </c>
      <c r="L201" t="s">
        <v>8</v>
      </c>
      <c r="M201" t="s">
        <v>7</v>
      </c>
      <c r="N201" t="s">
        <v>8</v>
      </c>
      <c r="P201">
        <f t="shared" si="4"/>
        <v>-0.398260869565216</v>
      </c>
      <c r="Q201">
        <f t="shared" si="5"/>
        <v>-98743.507285043132</v>
      </c>
      <c r="R201">
        <f t="shared" si="6"/>
        <v>7128272.1290761735</v>
      </c>
      <c r="S201">
        <f t="shared" si="7"/>
        <v>71.282721290761742</v>
      </c>
      <c r="T201">
        <f t="shared" si="8"/>
        <v>7.1282721290761741E-2</v>
      </c>
    </row>
    <row r="202" spans="1:20" x14ac:dyDescent="0.25">
      <c r="A202" s="5">
        <v>44391</v>
      </c>
      <c r="B202">
        <v>271.23</v>
      </c>
      <c r="C202">
        <v>285.58999999999997</v>
      </c>
      <c r="D202">
        <v>251.85</v>
      </c>
      <c r="E202">
        <v>279.29000000000002</v>
      </c>
      <c r="F202">
        <v>300658.576</v>
      </c>
      <c r="G202">
        <v>2.97</v>
      </c>
      <c r="L202" t="s">
        <v>7</v>
      </c>
      <c r="M202" t="s">
        <v>7</v>
      </c>
      <c r="N202" t="s">
        <v>8</v>
      </c>
      <c r="P202">
        <f t="shared" si="4"/>
        <v>0.62655601659751281</v>
      </c>
      <c r="Q202">
        <f t="shared" si="5"/>
        <v>188379.43973444056</v>
      </c>
      <c r="R202">
        <f t="shared" si="6"/>
        <v>7227015.6363612162</v>
      </c>
      <c r="S202">
        <f t="shared" si="7"/>
        <v>72.270156363612159</v>
      </c>
      <c r="T202">
        <f t="shared" si="8"/>
        <v>7.2270156363612156E-2</v>
      </c>
    </row>
    <row r="203" spans="1:20" x14ac:dyDescent="0.25">
      <c r="A203" s="5">
        <v>44390</v>
      </c>
      <c r="B203">
        <v>296.73</v>
      </c>
      <c r="C203">
        <v>297.74</v>
      </c>
      <c r="D203">
        <v>267.45</v>
      </c>
      <c r="E203">
        <v>271.23</v>
      </c>
      <c r="F203">
        <v>196443.93729999999</v>
      </c>
      <c r="G203">
        <v>-8.59</v>
      </c>
      <c r="L203" t="s">
        <v>7</v>
      </c>
      <c r="M203" t="s">
        <v>7</v>
      </c>
      <c r="N203" t="s">
        <v>8</v>
      </c>
      <c r="P203">
        <f t="shared" si="4"/>
        <v>-0.75041267745130225</v>
      </c>
      <c r="Q203">
        <f t="shared" si="5"/>
        <v>-147414.02095836872</v>
      </c>
      <c r="R203">
        <f t="shared" si="6"/>
        <v>7038636.1966267759</v>
      </c>
      <c r="S203">
        <f t="shared" si="7"/>
        <v>70.386361966267756</v>
      </c>
      <c r="T203">
        <f t="shared" si="8"/>
        <v>7.0386361966267755E-2</v>
      </c>
    </row>
    <row r="204" spans="1:20" x14ac:dyDescent="0.25">
      <c r="A204" s="5">
        <v>44389</v>
      </c>
      <c r="B204">
        <v>305.10000000000002</v>
      </c>
      <c r="C204">
        <v>321.95</v>
      </c>
      <c r="D204">
        <v>291.18</v>
      </c>
      <c r="E204">
        <v>296.73</v>
      </c>
      <c r="F204">
        <v>249947.84669999999</v>
      </c>
      <c r="G204">
        <v>-2.74</v>
      </c>
      <c r="L204" t="s">
        <v>8</v>
      </c>
      <c r="M204" t="s">
        <v>7</v>
      </c>
      <c r="N204" t="s">
        <v>8</v>
      </c>
      <c r="P204">
        <f t="shared" si="4"/>
        <v>-0.63925901852453593</v>
      </c>
      <c r="Q204">
        <f t="shared" si="5"/>
        <v>-159781.41516376316</v>
      </c>
      <c r="R204">
        <f t="shared" si="6"/>
        <v>7186050.2175851446</v>
      </c>
      <c r="S204">
        <f t="shared" si="7"/>
        <v>71.860502175851451</v>
      </c>
      <c r="T204">
        <f t="shared" si="8"/>
        <v>7.1860502175851451E-2</v>
      </c>
    </row>
    <row r="205" spans="1:20" x14ac:dyDescent="0.25">
      <c r="A205" s="5">
        <v>44388</v>
      </c>
      <c r="B205">
        <v>294.66000000000003</v>
      </c>
      <c r="C205">
        <v>311</v>
      </c>
      <c r="D205">
        <v>286.02999999999997</v>
      </c>
      <c r="E205">
        <v>305.08999999999997</v>
      </c>
      <c r="F205">
        <v>171310.89249999999</v>
      </c>
      <c r="G205">
        <v>3.54</v>
      </c>
      <c r="L205" t="s">
        <v>7</v>
      </c>
      <c r="M205" t="s">
        <v>7</v>
      </c>
      <c r="N205" t="s">
        <v>8</v>
      </c>
      <c r="P205">
        <f t="shared" si="4"/>
        <v>0.52663195835001853</v>
      </c>
      <c r="Q205">
        <f t="shared" si="5"/>
        <v>90217.790803964497</v>
      </c>
      <c r="R205">
        <f t="shared" si="6"/>
        <v>7345831.6327489074</v>
      </c>
      <c r="S205">
        <f t="shared" si="7"/>
        <v>73.458316327489072</v>
      </c>
      <c r="T205">
        <f t="shared" si="8"/>
        <v>7.3458316327489073E-2</v>
      </c>
    </row>
    <row r="206" spans="1:20" x14ac:dyDescent="0.25">
      <c r="A206" s="5">
        <v>44387</v>
      </c>
      <c r="B206">
        <v>303.07</v>
      </c>
      <c r="C206">
        <v>311.87</v>
      </c>
      <c r="D206">
        <v>288.20999999999998</v>
      </c>
      <c r="E206">
        <v>294.7</v>
      </c>
      <c r="F206">
        <v>181454.03349999999</v>
      </c>
      <c r="G206">
        <v>-2.76</v>
      </c>
      <c r="L206" t="s">
        <v>7</v>
      </c>
      <c r="M206" t="s">
        <v>7</v>
      </c>
      <c r="N206" t="s">
        <v>8</v>
      </c>
      <c r="P206">
        <f t="shared" si="4"/>
        <v>-0.45139475908706661</v>
      </c>
      <c r="Q206">
        <f t="shared" si="5"/>
        <v>-81907.399737109008</v>
      </c>
      <c r="R206">
        <f t="shared" si="6"/>
        <v>7255613.8419449432</v>
      </c>
      <c r="S206">
        <f t="shared" si="7"/>
        <v>72.556138419449425</v>
      </c>
      <c r="T206">
        <f t="shared" si="8"/>
        <v>7.2556138419449426E-2</v>
      </c>
    </row>
    <row r="207" spans="1:20" x14ac:dyDescent="0.25">
      <c r="A207" s="5">
        <v>44386</v>
      </c>
      <c r="B207">
        <v>291.33999999999997</v>
      </c>
      <c r="C207">
        <v>314.72000000000003</v>
      </c>
      <c r="D207">
        <v>276</v>
      </c>
      <c r="E207">
        <v>303</v>
      </c>
      <c r="F207">
        <v>414420.679</v>
      </c>
      <c r="G207">
        <v>4</v>
      </c>
      <c r="L207" t="s">
        <v>8</v>
      </c>
      <c r="M207" t="s">
        <v>7</v>
      </c>
      <c r="N207" t="s">
        <v>8</v>
      </c>
      <c r="P207">
        <f t="shared" si="4"/>
        <v>0.39462809917355274</v>
      </c>
      <c r="Q207">
        <f t="shared" si="5"/>
        <v>163542.04481198307</v>
      </c>
      <c r="R207">
        <f t="shared" si="6"/>
        <v>7337521.2416820526</v>
      </c>
      <c r="S207">
        <f t="shared" si="7"/>
        <v>73.375212416820531</v>
      </c>
      <c r="T207">
        <f t="shared" si="8"/>
        <v>7.3375212416820532E-2</v>
      </c>
    </row>
    <row r="208" spans="1:20" x14ac:dyDescent="0.25">
      <c r="A208" s="5">
        <v>44385</v>
      </c>
      <c r="B208">
        <v>314.76</v>
      </c>
      <c r="C208">
        <v>315.68</v>
      </c>
      <c r="D208">
        <v>275.95999999999998</v>
      </c>
      <c r="E208">
        <v>291.36</v>
      </c>
      <c r="F208">
        <v>541972.36490000004</v>
      </c>
      <c r="G208">
        <v>-7.43</v>
      </c>
      <c r="L208" t="s">
        <v>7</v>
      </c>
      <c r="M208" t="s">
        <v>7</v>
      </c>
      <c r="N208" t="s">
        <v>8</v>
      </c>
      <c r="P208">
        <f t="shared" si="4"/>
        <v>-0.22457200402819619</v>
      </c>
      <c r="Q208">
        <f t="shared" si="5"/>
        <v>-121711.82011349383</v>
      </c>
      <c r="R208">
        <f t="shared" si="6"/>
        <v>7173979.19687007</v>
      </c>
      <c r="S208">
        <f t="shared" si="7"/>
        <v>71.7397919687007</v>
      </c>
      <c r="T208">
        <f t="shared" si="8"/>
        <v>7.17397919687007E-2</v>
      </c>
    </row>
    <row r="209" spans="1:20" x14ac:dyDescent="0.25">
      <c r="A209" s="5">
        <v>44384</v>
      </c>
      <c r="B209">
        <v>316.49</v>
      </c>
      <c r="C209">
        <v>331.7</v>
      </c>
      <c r="D209">
        <v>310.06</v>
      </c>
      <c r="E209">
        <v>314.83</v>
      </c>
      <c r="F209">
        <v>301732.43670000002</v>
      </c>
      <c r="G209">
        <v>-0.52</v>
      </c>
      <c r="L209" t="s">
        <v>7</v>
      </c>
      <c r="M209" t="s">
        <v>8</v>
      </c>
      <c r="N209" t="s">
        <v>8</v>
      </c>
      <c r="P209">
        <f t="shared" si="4"/>
        <v>-0.55914972273567609</v>
      </c>
      <c r="Q209">
        <f t="shared" si="5"/>
        <v>-168713.60832116494</v>
      </c>
      <c r="R209">
        <f t="shared" si="6"/>
        <v>7295691.016983564</v>
      </c>
      <c r="S209">
        <f t="shared" si="7"/>
        <v>72.956910169835638</v>
      </c>
      <c r="T209">
        <f t="shared" si="8"/>
        <v>7.2956910169835631E-2</v>
      </c>
    </row>
    <row r="210" spans="1:20" x14ac:dyDescent="0.25">
      <c r="A210" s="5">
        <v>44383</v>
      </c>
      <c r="B210">
        <v>308.10000000000002</v>
      </c>
      <c r="C210">
        <v>347.53</v>
      </c>
      <c r="D210">
        <v>308.06</v>
      </c>
      <c r="E210">
        <v>316.49</v>
      </c>
      <c r="F210">
        <v>680686.43980000005</v>
      </c>
      <c r="G210">
        <v>2.72</v>
      </c>
      <c r="L210" t="s">
        <v>8</v>
      </c>
      <c r="M210" t="s">
        <v>8</v>
      </c>
      <c r="N210" t="s">
        <v>8</v>
      </c>
      <c r="P210">
        <f t="shared" si="4"/>
        <v>-0.57284013174562898</v>
      </c>
      <c r="Q210">
        <f t="shared" si="5"/>
        <v>-389924.50985249516</v>
      </c>
      <c r="R210">
        <f t="shared" si="6"/>
        <v>7464404.6253047287</v>
      </c>
      <c r="S210">
        <f t="shared" si="7"/>
        <v>74.644046253047293</v>
      </c>
      <c r="T210">
        <f t="shared" si="8"/>
        <v>7.4644046253047297E-2</v>
      </c>
    </row>
    <row r="211" spans="1:20" x14ac:dyDescent="0.25">
      <c r="A211" s="5">
        <v>44382</v>
      </c>
      <c r="B211">
        <v>277</v>
      </c>
      <c r="C211">
        <v>318.39999999999998</v>
      </c>
      <c r="D211">
        <v>260.42</v>
      </c>
      <c r="E211">
        <v>308.22000000000003</v>
      </c>
      <c r="F211">
        <v>595969.28720000002</v>
      </c>
      <c r="G211">
        <v>11.27</v>
      </c>
      <c r="L211" t="s">
        <v>8</v>
      </c>
      <c r="M211" t="s">
        <v>8</v>
      </c>
      <c r="N211" t="s">
        <v>8</v>
      </c>
      <c r="P211">
        <f t="shared" si="4"/>
        <v>0.64884442911348894</v>
      </c>
      <c r="Q211">
        <f t="shared" si="5"/>
        <v>386691.35192245693</v>
      </c>
      <c r="R211">
        <f t="shared" si="6"/>
        <v>7854329.1351572238</v>
      </c>
      <c r="S211">
        <f t="shared" si="7"/>
        <v>78.543291351572236</v>
      </c>
      <c r="T211">
        <f t="shared" si="8"/>
        <v>7.8543291351572231E-2</v>
      </c>
    </row>
    <row r="212" spans="1:20" x14ac:dyDescent="0.25">
      <c r="A212" s="5">
        <v>44381</v>
      </c>
      <c r="B212">
        <v>259.41000000000003</v>
      </c>
      <c r="C212">
        <v>289.89999999999998</v>
      </c>
      <c r="D212">
        <v>248.03</v>
      </c>
      <c r="E212">
        <v>277</v>
      </c>
      <c r="F212">
        <v>287632.6323</v>
      </c>
      <c r="G212">
        <v>6.78</v>
      </c>
      <c r="L212" t="s">
        <v>8</v>
      </c>
      <c r="M212" t="s">
        <v>8</v>
      </c>
      <c r="N212" t="s">
        <v>8</v>
      </c>
      <c r="P212">
        <f t="shared" si="4"/>
        <v>0.3838070217339391</v>
      </c>
      <c r="Q212">
        <f t="shared" si="5"/>
        <v>110395.42395655622</v>
      </c>
      <c r="R212">
        <f t="shared" si="6"/>
        <v>7467637.7832347667</v>
      </c>
      <c r="S212">
        <f t="shared" si="7"/>
        <v>74.676377832347669</v>
      </c>
      <c r="T212">
        <f t="shared" si="8"/>
        <v>7.4676377832347665E-2</v>
      </c>
    </row>
    <row r="213" spans="1:20" x14ac:dyDescent="0.25">
      <c r="A213" s="5">
        <v>44380</v>
      </c>
      <c r="B213">
        <v>234.05</v>
      </c>
      <c r="C213">
        <v>267.08</v>
      </c>
      <c r="D213">
        <v>227.75</v>
      </c>
      <c r="E213">
        <v>259.42</v>
      </c>
      <c r="F213">
        <v>275045.42190000002</v>
      </c>
      <c r="G213">
        <v>10.84</v>
      </c>
      <c r="L213" t="s">
        <v>8</v>
      </c>
      <c r="M213" t="s">
        <v>8</v>
      </c>
      <c r="N213" t="s">
        <v>8</v>
      </c>
      <c r="P213">
        <f t="shared" si="4"/>
        <v>0.61047546402237629</v>
      </c>
      <c r="Q213">
        <f t="shared" si="5"/>
        <v>167908.48156163277</v>
      </c>
      <c r="R213">
        <f t="shared" si="6"/>
        <v>7357242.3592782104</v>
      </c>
      <c r="S213">
        <f t="shared" si="7"/>
        <v>73.572423592782101</v>
      </c>
      <c r="T213">
        <f t="shared" si="8"/>
        <v>7.3572423592782099E-2</v>
      </c>
    </row>
    <row r="214" spans="1:20" x14ac:dyDescent="0.25">
      <c r="A214" s="5">
        <v>44379</v>
      </c>
      <c r="B214">
        <v>230.18</v>
      </c>
      <c r="C214">
        <v>234.96</v>
      </c>
      <c r="D214">
        <v>215.62</v>
      </c>
      <c r="E214">
        <v>234.12</v>
      </c>
      <c r="F214">
        <v>183917.2291</v>
      </c>
      <c r="G214">
        <v>1.71</v>
      </c>
      <c r="L214" t="s">
        <v>7</v>
      </c>
      <c r="M214" t="s">
        <v>8</v>
      </c>
      <c r="N214" t="s">
        <v>8</v>
      </c>
      <c r="P214">
        <f t="shared" si="4"/>
        <v>0.91313340227507722</v>
      </c>
      <c r="Q214">
        <f t="shared" si="5"/>
        <v>167940.96514508783</v>
      </c>
      <c r="R214">
        <f t="shared" si="6"/>
        <v>7189333.8777165776</v>
      </c>
      <c r="S214">
        <f t="shared" si="7"/>
        <v>71.893338777165781</v>
      </c>
      <c r="T214">
        <f t="shared" si="8"/>
        <v>7.1893338777165777E-2</v>
      </c>
    </row>
    <row r="215" spans="1:20" x14ac:dyDescent="0.25">
      <c r="A215" s="5">
        <v>44378</v>
      </c>
      <c r="B215">
        <v>250.96</v>
      </c>
      <c r="C215">
        <v>253.02</v>
      </c>
      <c r="D215">
        <v>227.22</v>
      </c>
      <c r="E215">
        <v>230.17</v>
      </c>
      <c r="F215">
        <v>234518.73540000001</v>
      </c>
      <c r="G215">
        <v>-8.2799999999999994</v>
      </c>
      <c r="L215" t="s">
        <v>8</v>
      </c>
      <c r="M215" t="s">
        <v>8</v>
      </c>
      <c r="N215" t="s">
        <v>8</v>
      </c>
      <c r="P215">
        <f t="shared" si="4"/>
        <v>-0.77131782945736538</v>
      </c>
      <c r="Q215">
        <f t="shared" si="5"/>
        <v>-180888.4819558142</v>
      </c>
      <c r="R215">
        <f t="shared" si="6"/>
        <v>7021392.9125714898</v>
      </c>
      <c r="S215">
        <f t="shared" si="7"/>
        <v>70.213929125714898</v>
      </c>
      <c r="T215">
        <f t="shared" si="8"/>
        <v>7.0213929125714905E-2</v>
      </c>
    </row>
    <row r="216" spans="1:20" x14ac:dyDescent="0.25">
      <c r="A216" s="5">
        <v>44377</v>
      </c>
      <c r="B216">
        <v>238.03</v>
      </c>
      <c r="C216">
        <v>252.58</v>
      </c>
      <c r="D216">
        <v>219.71</v>
      </c>
      <c r="E216">
        <v>251.08</v>
      </c>
      <c r="F216">
        <v>273789.07010000001</v>
      </c>
      <c r="G216">
        <v>5.48</v>
      </c>
      <c r="L216" t="s">
        <v>7</v>
      </c>
      <c r="M216" t="s">
        <v>8</v>
      </c>
      <c r="N216" t="s">
        <v>8</v>
      </c>
      <c r="P216">
        <f t="shared" si="4"/>
        <v>0.90873136598722237</v>
      </c>
      <c r="Q216">
        <f t="shared" si="5"/>
        <v>248800.7156643444</v>
      </c>
      <c r="R216">
        <f t="shared" si="6"/>
        <v>7202281.394527304</v>
      </c>
      <c r="S216">
        <f t="shared" si="7"/>
        <v>72.022813945273043</v>
      </c>
      <c r="T216">
        <f t="shared" si="8"/>
        <v>7.2022813945273045E-2</v>
      </c>
    </row>
    <row r="217" spans="1:20" x14ac:dyDescent="0.25">
      <c r="A217" s="5">
        <v>44376</v>
      </c>
      <c r="B217">
        <v>227.32</v>
      </c>
      <c r="C217">
        <v>253.32</v>
      </c>
      <c r="D217">
        <v>226.04</v>
      </c>
      <c r="E217">
        <v>238.22</v>
      </c>
      <c r="F217">
        <v>280295.68930000003</v>
      </c>
      <c r="G217">
        <v>4.8</v>
      </c>
      <c r="L217" t="s">
        <v>8</v>
      </c>
      <c r="M217" t="s">
        <v>8</v>
      </c>
      <c r="N217" t="s">
        <v>8</v>
      </c>
      <c r="P217">
        <f t="shared" si="4"/>
        <v>-0.10703812316715496</v>
      </c>
      <c r="Q217">
        <f t="shared" si="5"/>
        <v>-30002.324514516</v>
      </c>
      <c r="R217">
        <f t="shared" si="6"/>
        <v>6953480.6788629591</v>
      </c>
      <c r="S217">
        <f t="shared" si="7"/>
        <v>69.534806788629595</v>
      </c>
      <c r="T217">
        <f t="shared" si="8"/>
        <v>6.9534806788629597E-2</v>
      </c>
    </row>
    <row r="218" spans="1:20" x14ac:dyDescent="0.25">
      <c r="A218" s="5">
        <v>44375</v>
      </c>
      <c r="B218">
        <v>202.93</v>
      </c>
      <c r="C218">
        <v>233.22</v>
      </c>
      <c r="D218">
        <v>200.62</v>
      </c>
      <c r="E218">
        <v>227.37</v>
      </c>
      <c r="F218">
        <v>261935.83799999999</v>
      </c>
      <c r="G218">
        <v>12.04</v>
      </c>
      <c r="L218" t="s">
        <v>8</v>
      </c>
      <c r="M218" t="s">
        <v>8</v>
      </c>
      <c r="N218" t="s">
        <v>8</v>
      </c>
      <c r="P218">
        <f t="shared" si="4"/>
        <v>0.6411042944785279</v>
      </c>
      <c r="Q218">
        <f t="shared" si="5"/>
        <v>167928.19061963196</v>
      </c>
      <c r="R218">
        <f t="shared" si="6"/>
        <v>6983483.0033774748</v>
      </c>
      <c r="S218">
        <f t="shared" si="7"/>
        <v>69.83483003377475</v>
      </c>
      <c r="T218">
        <f t="shared" si="8"/>
        <v>6.9834830033774747E-2</v>
      </c>
    </row>
    <row r="219" spans="1:20" x14ac:dyDescent="0.25">
      <c r="A219" s="5">
        <v>44374</v>
      </c>
      <c r="B219">
        <v>187.17</v>
      </c>
      <c r="C219">
        <v>203.29</v>
      </c>
      <c r="D219">
        <v>183.06</v>
      </c>
      <c r="E219">
        <v>202.87</v>
      </c>
      <c r="F219">
        <v>206406.77830000001</v>
      </c>
      <c r="G219">
        <v>8.39</v>
      </c>
      <c r="L219" t="s">
        <v>8</v>
      </c>
      <c r="M219" t="s">
        <v>7</v>
      </c>
      <c r="N219" t="s">
        <v>8</v>
      </c>
      <c r="P219">
        <f t="shared" si="4"/>
        <v>0.95847750865052028</v>
      </c>
      <c r="Q219">
        <f t="shared" si="5"/>
        <v>197836.25463356427</v>
      </c>
      <c r="R219">
        <f t="shared" si="6"/>
        <v>6815554.8127578432</v>
      </c>
      <c r="S219">
        <f t="shared" si="7"/>
        <v>68.155548127578427</v>
      </c>
      <c r="T219">
        <f t="shared" si="8"/>
        <v>6.815554812757843E-2</v>
      </c>
    </row>
    <row r="220" spans="1:20" x14ac:dyDescent="0.25">
      <c r="A220" s="5">
        <v>44373</v>
      </c>
      <c r="B220">
        <v>186.76</v>
      </c>
      <c r="C220">
        <v>193.37</v>
      </c>
      <c r="D220">
        <v>176.32</v>
      </c>
      <c r="E220">
        <v>187.29</v>
      </c>
      <c r="F220">
        <v>163389.7262</v>
      </c>
      <c r="G220">
        <v>0.28000000000000003</v>
      </c>
      <c r="L220" t="s">
        <v>7</v>
      </c>
      <c r="M220" t="s">
        <v>7</v>
      </c>
      <c r="N220" t="s">
        <v>8</v>
      </c>
      <c r="P220">
        <f t="shared" si="4"/>
        <v>0.28680351906158258</v>
      </c>
      <c r="Q220">
        <f t="shared" si="5"/>
        <v>46860.748452668457</v>
      </c>
      <c r="R220">
        <f t="shared" si="6"/>
        <v>6617718.5581242787</v>
      </c>
      <c r="S220">
        <f t="shared" si="7"/>
        <v>66.177185581242782</v>
      </c>
      <c r="T220">
        <f t="shared" si="8"/>
        <v>6.6177185581242776E-2</v>
      </c>
    </row>
    <row r="221" spans="1:20" x14ac:dyDescent="0.25">
      <c r="A221" s="5">
        <v>44372</v>
      </c>
      <c r="B221">
        <v>211.37</v>
      </c>
      <c r="C221">
        <v>214.86</v>
      </c>
      <c r="D221">
        <v>185.12</v>
      </c>
      <c r="E221">
        <v>186.86</v>
      </c>
      <c r="F221">
        <v>192411.9939</v>
      </c>
      <c r="G221">
        <v>-11.6</v>
      </c>
      <c r="L221" t="s">
        <v>7</v>
      </c>
      <c r="M221" t="s">
        <v>7</v>
      </c>
      <c r="N221" t="s">
        <v>8</v>
      </c>
      <c r="P221">
        <f t="shared" si="4"/>
        <v>-0.8829858776059174</v>
      </c>
      <c r="Q221">
        <f t="shared" si="5"/>
        <v>-169897.07329569594</v>
      </c>
      <c r="R221">
        <f t="shared" si="6"/>
        <v>6570857.8096716106</v>
      </c>
      <c r="S221">
        <f t="shared" si="7"/>
        <v>65.70857809671611</v>
      </c>
      <c r="T221">
        <f t="shared" si="8"/>
        <v>6.5708578096716111E-2</v>
      </c>
    </row>
    <row r="222" spans="1:20" x14ac:dyDescent="0.25">
      <c r="A222" s="5">
        <v>44371</v>
      </c>
      <c r="B222">
        <v>207.53</v>
      </c>
      <c r="C222">
        <v>218.38</v>
      </c>
      <c r="D222">
        <v>193.08</v>
      </c>
      <c r="E222">
        <v>211.28</v>
      </c>
      <c r="F222">
        <v>223463.37880000001</v>
      </c>
      <c r="G222">
        <v>1.81</v>
      </c>
      <c r="L222" t="s">
        <v>7</v>
      </c>
      <c r="M222" t="s">
        <v>7</v>
      </c>
      <c r="N222" t="s">
        <v>8</v>
      </c>
      <c r="P222">
        <f t="shared" si="4"/>
        <v>0.43873517786561272</v>
      </c>
      <c r="Q222">
        <f t="shared" si="5"/>
        <v>98041.245244268794</v>
      </c>
      <c r="R222">
        <f t="shared" si="6"/>
        <v>6740754.8829673063</v>
      </c>
      <c r="S222">
        <f t="shared" si="7"/>
        <v>67.407548829673061</v>
      </c>
      <c r="T222">
        <f t="shared" si="8"/>
        <v>6.7407548829673064E-2</v>
      </c>
    </row>
    <row r="223" spans="1:20" x14ac:dyDescent="0.25">
      <c r="A223" s="5">
        <v>44370</v>
      </c>
      <c r="B223">
        <v>206.14</v>
      </c>
      <c r="C223">
        <v>229.65</v>
      </c>
      <c r="D223">
        <v>196.9</v>
      </c>
      <c r="E223">
        <v>207.65</v>
      </c>
      <c r="F223">
        <v>365959.38909999997</v>
      </c>
      <c r="G223">
        <v>0.73</v>
      </c>
      <c r="L223" t="s">
        <v>8</v>
      </c>
      <c r="M223" t="s">
        <v>8</v>
      </c>
      <c r="N223" t="s">
        <v>8</v>
      </c>
      <c r="P223">
        <f t="shared" si="4"/>
        <v>-0.34351145038167941</v>
      </c>
      <c r="Q223">
        <f t="shared" si="5"/>
        <v>-125711.24053053434</v>
      </c>
      <c r="R223">
        <f t="shared" si="6"/>
        <v>6642713.637723037</v>
      </c>
      <c r="S223">
        <f t="shared" si="7"/>
        <v>66.427136377230369</v>
      </c>
      <c r="T223">
        <f t="shared" si="8"/>
        <v>6.642713637723037E-2</v>
      </c>
    </row>
    <row r="224" spans="1:20" x14ac:dyDescent="0.25">
      <c r="A224" s="5">
        <v>44369</v>
      </c>
      <c r="B224">
        <v>212.69</v>
      </c>
      <c r="C224">
        <v>224</v>
      </c>
      <c r="D224">
        <v>170.1</v>
      </c>
      <c r="E224">
        <v>206.12</v>
      </c>
      <c r="F224">
        <v>572892.022</v>
      </c>
      <c r="G224">
        <v>-3.09</v>
      </c>
      <c r="L224" t="s">
        <v>7</v>
      </c>
      <c r="M224" t="s">
        <v>7</v>
      </c>
      <c r="N224" t="s">
        <v>7</v>
      </c>
      <c r="P224">
        <f t="shared" si="4"/>
        <v>0.33654916512059391</v>
      </c>
      <c r="Q224">
        <f t="shared" si="5"/>
        <v>192806.33170834891</v>
      </c>
      <c r="R224">
        <f t="shared" si="6"/>
        <v>6768424.8782535717</v>
      </c>
      <c r="S224">
        <f t="shared" si="7"/>
        <v>67.684248782535718</v>
      </c>
      <c r="T224">
        <f t="shared" si="8"/>
        <v>6.7684248782535719E-2</v>
      </c>
    </row>
    <row r="225" spans="1:20" x14ac:dyDescent="0.25">
      <c r="A225" s="5">
        <v>44368</v>
      </c>
      <c r="B225">
        <v>272.85000000000002</v>
      </c>
      <c r="C225">
        <v>275.75</v>
      </c>
      <c r="D225">
        <v>206</v>
      </c>
      <c r="E225">
        <v>212.64</v>
      </c>
      <c r="F225">
        <v>299648.88679999998</v>
      </c>
      <c r="G225">
        <v>-22.07</v>
      </c>
      <c r="L225" t="s">
        <v>7</v>
      </c>
      <c r="M225" t="s">
        <v>7</v>
      </c>
      <c r="N225" t="s">
        <v>7</v>
      </c>
      <c r="P225">
        <f t="shared" si="4"/>
        <v>-0.80960573476702546</v>
      </c>
      <c r="Q225">
        <f t="shared" si="5"/>
        <v>-242597.45716983522</v>
      </c>
      <c r="R225">
        <f t="shared" si="6"/>
        <v>6575618.5465452224</v>
      </c>
      <c r="S225">
        <f t="shared" si="7"/>
        <v>65.756185465452219</v>
      </c>
      <c r="T225">
        <f t="shared" si="8"/>
        <v>6.5756185465452213E-2</v>
      </c>
    </row>
    <row r="226" spans="1:20" x14ac:dyDescent="0.25">
      <c r="A226" s="5">
        <v>44367</v>
      </c>
      <c r="B226">
        <v>254.68</v>
      </c>
      <c r="C226">
        <v>277.24</v>
      </c>
      <c r="D226">
        <v>242.07</v>
      </c>
      <c r="E226">
        <v>272.67</v>
      </c>
      <c r="F226">
        <v>148498.38310000001</v>
      </c>
      <c r="G226">
        <v>7.06</v>
      </c>
      <c r="L226" t="s">
        <v>7</v>
      </c>
      <c r="M226" t="s">
        <v>7</v>
      </c>
      <c r="N226" t="s">
        <v>7</v>
      </c>
      <c r="P226">
        <f t="shared" si="4"/>
        <v>0.74011941996019381</v>
      </c>
      <c r="Q226">
        <f t="shared" si="5"/>
        <v>109906.53716499865</v>
      </c>
      <c r="R226">
        <f t="shared" si="6"/>
        <v>6818216.0037150579</v>
      </c>
      <c r="S226">
        <f t="shared" si="7"/>
        <v>68.182160037150581</v>
      </c>
      <c r="T226">
        <f t="shared" si="8"/>
        <v>6.818216003715058E-2</v>
      </c>
    </row>
    <row r="227" spans="1:20" x14ac:dyDescent="0.25">
      <c r="A227" s="5">
        <v>44366</v>
      </c>
      <c r="B227">
        <v>265.08</v>
      </c>
      <c r="C227">
        <v>270.10000000000002</v>
      </c>
      <c r="D227">
        <v>254.38</v>
      </c>
      <c r="E227">
        <v>254.59</v>
      </c>
      <c r="F227">
        <v>80174.917799999996</v>
      </c>
      <c r="G227">
        <v>-3.96</v>
      </c>
      <c r="L227" t="s">
        <v>7</v>
      </c>
      <c r="M227" t="s">
        <v>7</v>
      </c>
      <c r="N227" t="s">
        <v>7</v>
      </c>
      <c r="P227">
        <f t="shared" si="4"/>
        <v>-0.97328244274809061</v>
      </c>
      <c r="Q227">
        <f t="shared" si="5"/>
        <v>-78032.839843511363</v>
      </c>
      <c r="R227">
        <f t="shared" si="6"/>
        <v>6708309.4665500596</v>
      </c>
      <c r="S227">
        <f t="shared" si="7"/>
        <v>67.083094665500596</v>
      </c>
      <c r="T227">
        <f t="shared" si="8"/>
        <v>6.7083094665500595E-2</v>
      </c>
    </row>
    <row r="228" spans="1:20" x14ac:dyDescent="0.25">
      <c r="A228" s="5">
        <v>44365</v>
      </c>
      <c r="B228">
        <v>293.25</v>
      </c>
      <c r="C228">
        <v>293.77</v>
      </c>
      <c r="D228">
        <v>252.74</v>
      </c>
      <c r="E228">
        <v>265.11</v>
      </c>
      <c r="F228">
        <v>146028.06760000001</v>
      </c>
      <c r="G228">
        <v>-9.6</v>
      </c>
      <c r="L228" t="s">
        <v>7</v>
      </c>
      <c r="M228" t="s">
        <v>7</v>
      </c>
      <c r="N228" t="s">
        <v>7</v>
      </c>
      <c r="P228">
        <f t="shared" si="4"/>
        <v>-0.39702656592736957</v>
      </c>
      <c r="Q228">
        <f t="shared" si="5"/>
        <v>-57977.02220823778</v>
      </c>
      <c r="R228">
        <f t="shared" si="6"/>
        <v>6786342.3063935712</v>
      </c>
      <c r="S228">
        <f t="shared" si="7"/>
        <v>67.863423063935713</v>
      </c>
      <c r="T228">
        <f t="shared" si="8"/>
        <v>6.786342306393571E-2</v>
      </c>
    </row>
    <row r="229" spans="1:20" x14ac:dyDescent="0.25">
      <c r="A229" s="5">
        <v>44364</v>
      </c>
      <c r="B229">
        <v>290.72000000000003</v>
      </c>
      <c r="C229">
        <v>305.49</v>
      </c>
      <c r="D229">
        <v>285.16000000000003</v>
      </c>
      <c r="E229">
        <v>293.20999999999998</v>
      </c>
      <c r="F229">
        <v>69912.576000000001</v>
      </c>
      <c r="G229">
        <v>0.86</v>
      </c>
      <c r="L229" t="s">
        <v>7</v>
      </c>
      <c r="M229" t="s">
        <v>7</v>
      </c>
      <c r="N229" t="s">
        <v>7</v>
      </c>
      <c r="P229">
        <f t="shared" si="4"/>
        <v>-0.20806689621249772</v>
      </c>
      <c r="Q229">
        <f t="shared" si="5"/>
        <v>-14546.492694540359</v>
      </c>
      <c r="R229">
        <f t="shared" si="6"/>
        <v>6844319.3286018092</v>
      </c>
      <c r="S229">
        <f t="shared" si="7"/>
        <v>68.443193286018086</v>
      </c>
      <c r="T229">
        <f t="shared" si="8"/>
        <v>6.8443193286018084E-2</v>
      </c>
    </row>
    <row r="230" spans="1:20" x14ac:dyDescent="0.25">
      <c r="A230" s="5">
        <v>44363</v>
      </c>
      <c r="B230">
        <v>311.69</v>
      </c>
      <c r="C230">
        <v>313.98</v>
      </c>
      <c r="D230">
        <v>287.35000000000002</v>
      </c>
      <c r="E230">
        <v>290.70999999999998</v>
      </c>
      <c r="F230">
        <v>95598.853499999997</v>
      </c>
      <c r="G230">
        <v>-6.73</v>
      </c>
      <c r="L230" t="s">
        <v>7</v>
      </c>
      <c r="M230" t="s">
        <v>8</v>
      </c>
      <c r="N230" t="s">
        <v>7</v>
      </c>
      <c r="P230">
        <f t="shared" si="4"/>
        <v>-0.7476530229064996</v>
      </c>
      <c r="Q230">
        <f t="shared" si="5"/>
        <v>-71474.771805670593</v>
      </c>
      <c r="R230">
        <f t="shared" si="6"/>
        <v>6858865.8212963492</v>
      </c>
      <c r="S230">
        <f t="shared" si="7"/>
        <v>68.588658212963495</v>
      </c>
      <c r="T230">
        <f t="shared" si="8"/>
        <v>6.8588658212963491E-2</v>
      </c>
    </row>
    <row r="231" spans="1:20" x14ac:dyDescent="0.25">
      <c r="A231" s="5">
        <v>44362</v>
      </c>
      <c r="B231">
        <v>318.2</v>
      </c>
      <c r="C231">
        <v>327.48</v>
      </c>
      <c r="D231">
        <v>306.77999999999997</v>
      </c>
      <c r="E231">
        <v>311.77999999999997</v>
      </c>
      <c r="F231">
        <v>106084.0846</v>
      </c>
      <c r="G231">
        <v>-2.02</v>
      </c>
      <c r="L231" t="s">
        <v>7</v>
      </c>
      <c r="M231" t="s">
        <v>8</v>
      </c>
      <c r="N231" t="s">
        <v>7</v>
      </c>
      <c r="P231">
        <f t="shared" si="4"/>
        <v>-0.51690821256038755</v>
      </c>
      <c r="Q231">
        <f t="shared" si="5"/>
        <v>-54835.734551690934</v>
      </c>
      <c r="R231">
        <f t="shared" si="6"/>
        <v>6930340.5931020202</v>
      </c>
      <c r="S231">
        <f t="shared" si="7"/>
        <v>69.303405931020208</v>
      </c>
      <c r="T231">
        <f t="shared" si="8"/>
        <v>6.9303405931020204E-2</v>
      </c>
    </row>
    <row r="232" spans="1:20" x14ac:dyDescent="0.25">
      <c r="A232" s="5">
        <v>44361</v>
      </c>
      <c r="B232">
        <v>316.3</v>
      </c>
      <c r="C232">
        <v>336.49</v>
      </c>
      <c r="D232">
        <v>308.57</v>
      </c>
      <c r="E232">
        <v>318.19</v>
      </c>
      <c r="F232">
        <v>180494.17619999999</v>
      </c>
      <c r="G232">
        <v>0.6</v>
      </c>
      <c r="L232" t="s">
        <v>8</v>
      </c>
      <c r="M232" t="s">
        <v>8</v>
      </c>
      <c r="N232" t="s">
        <v>7</v>
      </c>
      <c r="P232">
        <f t="shared" si="4"/>
        <v>-0.31088825214899718</v>
      </c>
      <c r="Q232">
        <f t="shared" si="5"/>
        <v>-56113.518961891124</v>
      </c>
      <c r="R232">
        <f t="shared" si="6"/>
        <v>6985176.3276537107</v>
      </c>
      <c r="S232">
        <f t="shared" si="7"/>
        <v>69.851763276537113</v>
      </c>
      <c r="T232">
        <f t="shared" si="8"/>
        <v>6.985176327653711E-2</v>
      </c>
    </row>
    <row r="233" spans="1:20" x14ac:dyDescent="0.25">
      <c r="A233" s="5">
        <v>44360</v>
      </c>
      <c r="B233">
        <v>278.55</v>
      </c>
      <c r="C233">
        <v>318.18</v>
      </c>
      <c r="D233">
        <v>266.68</v>
      </c>
      <c r="E233">
        <v>316.27</v>
      </c>
      <c r="F233">
        <v>182230.20439999999</v>
      </c>
      <c r="G233">
        <v>13.54</v>
      </c>
      <c r="L233" t="s">
        <v>8</v>
      </c>
      <c r="M233" t="s">
        <v>8</v>
      </c>
      <c r="N233" t="s">
        <v>7</v>
      </c>
      <c r="P233">
        <f t="shared" si="4"/>
        <v>0.92582524271844568</v>
      </c>
      <c r="Q233">
        <f t="shared" si="5"/>
        <v>168713.32321926195</v>
      </c>
      <c r="R233">
        <f t="shared" si="6"/>
        <v>7041289.8466156023</v>
      </c>
      <c r="S233">
        <f t="shared" si="7"/>
        <v>70.412898466156022</v>
      </c>
      <c r="T233">
        <f t="shared" si="8"/>
        <v>7.0412898466156018E-2</v>
      </c>
    </row>
    <row r="234" spans="1:20" x14ac:dyDescent="0.25">
      <c r="A234" s="5">
        <v>44359</v>
      </c>
      <c r="B234">
        <v>285.52999999999997</v>
      </c>
      <c r="C234">
        <v>289.37</v>
      </c>
      <c r="D234">
        <v>265.68</v>
      </c>
      <c r="E234">
        <v>278.49</v>
      </c>
      <c r="F234">
        <v>136891.93890000001</v>
      </c>
      <c r="G234">
        <v>-2.4700000000000002</v>
      </c>
      <c r="L234" t="s">
        <v>7</v>
      </c>
      <c r="M234" t="s">
        <v>7</v>
      </c>
      <c r="N234" t="s">
        <v>7</v>
      </c>
      <c r="P234">
        <f t="shared" si="4"/>
        <v>8.1468974250738999E-2</v>
      </c>
      <c r="Q234">
        <f t="shared" si="5"/>
        <v>11152.445845377837</v>
      </c>
      <c r="R234">
        <f t="shared" si="6"/>
        <v>6872576.5233963402</v>
      </c>
      <c r="S234">
        <f t="shared" si="7"/>
        <v>68.725765233963401</v>
      </c>
      <c r="T234">
        <f t="shared" si="8"/>
        <v>6.8725765233963398E-2</v>
      </c>
    </row>
    <row r="235" spans="1:20" x14ac:dyDescent="0.25">
      <c r="A235" s="5">
        <v>44358</v>
      </c>
      <c r="B235">
        <v>310.41000000000003</v>
      </c>
      <c r="C235">
        <v>315.2</v>
      </c>
      <c r="D235">
        <v>280.52</v>
      </c>
      <c r="E235">
        <v>285.33</v>
      </c>
      <c r="F235">
        <v>128679.16190000001</v>
      </c>
      <c r="G235">
        <v>-8.08</v>
      </c>
      <c r="L235" t="s">
        <v>7</v>
      </c>
      <c r="M235" t="s">
        <v>7</v>
      </c>
      <c r="N235" t="s">
        <v>7</v>
      </c>
      <c r="P235">
        <f t="shared" si="4"/>
        <v>-0.72260668973471731</v>
      </c>
      <c r="Q235">
        <f t="shared" si="5"/>
        <v>-92984.423218396769</v>
      </c>
      <c r="R235">
        <f t="shared" si="6"/>
        <v>6861424.0775509626</v>
      </c>
      <c r="S235">
        <f t="shared" si="7"/>
        <v>68.614240775509629</v>
      </c>
      <c r="T235">
        <f t="shared" si="8"/>
        <v>6.8614240775509622E-2</v>
      </c>
    </row>
    <row r="236" spans="1:20" x14ac:dyDescent="0.25">
      <c r="A236" s="5">
        <v>44357</v>
      </c>
      <c r="B236">
        <v>338.99</v>
      </c>
      <c r="C236">
        <v>339.99</v>
      </c>
      <c r="D236">
        <v>303.83999999999997</v>
      </c>
      <c r="E236">
        <v>310.29000000000002</v>
      </c>
      <c r="F236">
        <v>118220.4712</v>
      </c>
      <c r="G236">
        <v>-8.4700000000000006</v>
      </c>
      <c r="L236" t="s">
        <v>7</v>
      </c>
      <c r="M236" t="s">
        <v>7</v>
      </c>
      <c r="N236" t="s">
        <v>7</v>
      </c>
      <c r="P236">
        <f t="shared" si="4"/>
        <v>-0.64315352697095218</v>
      </c>
      <c r="Q236">
        <f t="shared" si="5"/>
        <v>-76033.913012447869</v>
      </c>
      <c r="R236">
        <f t="shared" si="6"/>
        <v>6954408.5007693591</v>
      </c>
      <c r="S236">
        <f t="shared" si="7"/>
        <v>69.544085007693596</v>
      </c>
      <c r="T236">
        <f t="shared" si="8"/>
        <v>6.9544085007693601E-2</v>
      </c>
    </row>
    <row r="237" spans="1:20" x14ac:dyDescent="0.25">
      <c r="A237" s="5">
        <v>44356</v>
      </c>
      <c r="B237">
        <v>329.31</v>
      </c>
      <c r="C237">
        <v>343.89</v>
      </c>
      <c r="D237">
        <v>305.57</v>
      </c>
      <c r="E237">
        <v>338.85</v>
      </c>
      <c r="F237">
        <v>188262.9676</v>
      </c>
      <c r="G237">
        <v>2.9</v>
      </c>
      <c r="L237" t="s">
        <v>8</v>
      </c>
      <c r="M237" t="s">
        <v>7</v>
      </c>
      <c r="N237" t="s">
        <v>7</v>
      </c>
      <c r="P237">
        <f t="shared" si="4"/>
        <v>0.7369519832985405</v>
      </c>
      <c r="Q237">
        <f t="shared" si="5"/>
        <v>138740.76735448887</v>
      </c>
      <c r="R237">
        <f t="shared" si="6"/>
        <v>7030442.4137818068</v>
      </c>
      <c r="S237">
        <f t="shared" si="7"/>
        <v>70.304424137818074</v>
      </c>
      <c r="T237">
        <f t="shared" si="8"/>
        <v>7.0304424137818081E-2</v>
      </c>
    </row>
    <row r="238" spans="1:20" x14ac:dyDescent="0.25">
      <c r="A238" s="5">
        <v>44355</v>
      </c>
      <c r="B238">
        <v>334.51</v>
      </c>
      <c r="C238">
        <v>339.21</v>
      </c>
      <c r="D238">
        <v>296.37</v>
      </c>
      <c r="E238">
        <v>329.3</v>
      </c>
      <c r="F238">
        <v>213810.62299999999</v>
      </c>
      <c r="G238">
        <v>-1.56</v>
      </c>
      <c r="L238" t="s">
        <v>7</v>
      </c>
      <c r="M238" t="s">
        <v>7</v>
      </c>
      <c r="N238" t="s">
        <v>7</v>
      </c>
      <c r="P238">
        <f t="shared" si="4"/>
        <v>0.53734827264239149</v>
      </c>
      <c r="Q238">
        <f t="shared" si="5"/>
        <v>114890.76894164358</v>
      </c>
      <c r="R238">
        <f t="shared" si="6"/>
        <v>6891701.6464273175</v>
      </c>
      <c r="S238">
        <f t="shared" si="7"/>
        <v>68.917016464273175</v>
      </c>
      <c r="T238">
        <f t="shared" si="8"/>
        <v>6.8917016464273173E-2</v>
      </c>
    </row>
    <row r="239" spans="1:20" x14ac:dyDescent="0.25">
      <c r="A239" s="5">
        <v>44354</v>
      </c>
      <c r="B239">
        <v>365.73</v>
      </c>
      <c r="C239">
        <v>387.76</v>
      </c>
      <c r="D239">
        <v>331.54</v>
      </c>
      <c r="E239">
        <v>334.54</v>
      </c>
      <c r="F239">
        <v>182850.3444</v>
      </c>
      <c r="G239">
        <v>-8.5299999999999994</v>
      </c>
      <c r="L239" t="s">
        <v>7</v>
      </c>
      <c r="M239" t="s">
        <v>7</v>
      </c>
      <c r="N239" t="s">
        <v>8</v>
      </c>
      <c r="P239">
        <f t="shared" si="4"/>
        <v>-0.89327641408751324</v>
      </c>
      <c r="Q239">
        <f t="shared" si="5"/>
        <v>-163335.89996029882</v>
      </c>
      <c r="R239">
        <f t="shared" si="6"/>
        <v>6776810.8774856739</v>
      </c>
      <c r="S239">
        <f t="shared" si="7"/>
        <v>67.768108774856742</v>
      </c>
      <c r="T239">
        <f t="shared" si="8"/>
        <v>6.7768108774856742E-2</v>
      </c>
    </row>
    <row r="240" spans="1:20" x14ac:dyDescent="0.25">
      <c r="A240" s="5">
        <v>44353</v>
      </c>
      <c r="B240">
        <v>356.24</v>
      </c>
      <c r="C240">
        <v>368.46</v>
      </c>
      <c r="D240">
        <v>354.49</v>
      </c>
      <c r="E240">
        <v>365.48</v>
      </c>
      <c r="F240">
        <v>68754.663499999995</v>
      </c>
      <c r="G240">
        <v>2.59</v>
      </c>
      <c r="L240" t="s">
        <v>7</v>
      </c>
      <c r="M240" t="s">
        <v>7</v>
      </c>
      <c r="N240" t="s">
        <v>8</v>
      </c>
      <c r="P240">
        <f t="shared" si="4"/>
        <v>0.57337151037938905</v>
      </c>
      <c r="Q240">
        <f t="shared" si="5"/>
        <v>39421.965256621646</v>
      </c>
      <c r="R240">
        <f t="shared" si="6"/>
        <v>6940146.7774459729</v>
      </c>
      <c r="S240">
        <f t="shared" si="7"/>
        <v>69.401467774459732</v>
      </c>
      <c r="T240">
        <f t="shared" si="8"/>
        <v>6.9401467774459727E-2</v>
      </c>
    </row>
    <row r="241" spans="1:20" x14ac:dyDescent="0.25">
      <c r="A241" s="5">
        <v>44352</v>
      </c>
      <c r="B241">
        <v>373.11</v>
      </c>
      <c r="C241">
        <v>391.7</v>
      </c>
      <c r="D241">
        <v>347.03</v>
      </c>
      <c r="E241">
        <v>356.22</v>
      </c>
      <c r="F241">
        <v>178930.13690000001</v>
      </c>
      <c r="G241">
        <v>-4.53</v>
      </c>
      <c r="L241" t="s">
        <v>8</v>
      </c>
      <c r="M241" t="s">
        <v>7</v>
      </c>
      <c r="N241" t="s">
        <v>8</v>
      </c>
      <c r="P241">
        <f t="shared" si="4"/>
        <v>-0.58853816879337129</v>
      </c>
      <c r="Q241">
        <f t="shared" si="5"/>
        <v>-105307.21511307324</v>
      </c>
      <c r="R241">
        <f t="shared" si="6"/>
        <v>6900724.8121893508</v>
      </c>
      <c r="S241">
        <f t="shared" si="7"/>
        <v>69.007248121893511</v>
      </c>
      <c r="T241">
        <f t="shared" si="8"/>
        <v>6.9007248121893516E-2</v>
      </c>
    </row>
    <row r="242" spans="1:20" x14ac:dyDescent="0.25">
      <c r="A242" s="5">
        <v>44351</v>
      </c>
      <c r="B242">
        <v>398.19</v>
      </c>
      <c r="C242">
        <v>398.86</v>
      </c>
      <c r="D242">
        <v>346.42</v>
      </c>
      <c r="E242">
        <v>373.11</v>
      </c>
      <c r="F242">
        <v>229261.99470000001</v>
      </c>
      <c r="G242">
        <v>-6.3</v>
      </c>
      <c r="L242" t="s">
        <v>7</v>
      </c>
      <c r="M242" t="s">
        <v>7</v>
      </c>
      <c r="N242" t="s">
        <v>8</v>
      </c>
      <c r="P242">
        <f t="shared" si="4"/>
        <v>1.7925247902364563E-2</v>
      </c>
      <c r="Q242">
        <f t="shared" si="5"/>
        <v>4109.5780895880907</v>
      </c>
      <c r="R242">
        <f t="shared" si="6"/>
        <v>7006032.0273024244</v>
      </c>
      <c r="S242">
        <f t="shared" si="7"/>
        <v>70.060320273024246</v>
      </c>
      <c r="T242">
        <f t="shared" si="8"/>
        <v>7.0060320273024251E-2</v>
      </c>
    </row>
    <row r="243" spans="1:20" x14ac:dyDescent="0.25">
      <c r="A243" s="5">
        <v>44350</v>
      </c>
      <c r="B243">
        <v>384.23</v>
      </c>
      <c r="C243">
        <v>409.38</v>
      </c>
      <c r="D243">
        <v>376.16</v>
      </c>
      <c r="E243">
        <v>398.36</v>
      </c>
      <c r="F243">
        <v>177686.94519999999</v>
      </c>
      <c r="G243">
        <v>3.68</v>
      </c>
      <c r="L243" t="s">
        <v>8</v>
      </c>
      <c r="M243" t="s">
        <v>8</v>
      </c>
      <c r="N243" t="s">
        <v>8</v>
      </c>
      <c r="P243">
        <f t="shared" si="4"/>
        <v>0.33654425045153574</v>
      </c>
      <c r="Q243">
        <f t="shared" si="5"/>
        <v>59799.519787357101</v>
      </c>
      <c r="R243">
        <f t="shared" si="6"/>
        <v>7001922.4492128361</v>
      </c>
      <c r="S243">
        <f t="shared" si="7"/>
        <v>70.019224492128359</v>
      </c>
      <c r="T243">
        <f t="shared" si="8"/>
        <v>7.0019224492128357E-2</v>
      </c>
    </row>
    <row r="244" spans="1:20" x14ac:dyDescent="0.25">
      <c r="A244" s="5">
        <v>44349</v>
      </c>
      <c r="B244">
        <v>372.85</v>
      </c>
      <c r="C244">
        <v>402.3</v>
      </c>
      <c r="D244">
        <v>361.51</v>
      </c>
      <c r="E244">
        <v>384.24</v>
      </c>
      <c r="F244">
        <v>208923.1678</v>
      </c>
      <c r="G244">
        <v>3.05</v>
      </c>
      <c r="L244" t="s">
        <v>8</v>
      </c>
      <c r="M244" t="s">
        <v>8</v>
      </c>
      <c r="N244" t="s">
        <v>7</v>
      </c>
      <c r="P244">
        <f t="shared" si="4"/>
        <v>0.1144888453052222</v>
      </c>
      <c r="Q244">
        <f t="shared" si="5"/>
        <v>23919.372238931181</v>
      </c>
      <c r="R244">
        <f t="shared" si="6"/>
        <v>6942122.9294254789</v>
      </c>
      <c r="S244">
        <f t="shared" si="7"/>
        <v>69.421229294254786</v>
      </c>
      <c r="T244">
        <f t="shared" si="8"/>
        <v>6.9421229294254788E-2</v>
      </c>
    </row>
    <row r="245" spans="1:20" x14ac:dyDescent="0.25">
      <c r="A245" s="5">
        <v>44348</v>
      </c>
      <c r="B245">
        <v>382.4</v>
      </c>
      <c r="C245">
        <v>393.56</v>
      </c>
      <c r="D245">
        <v>360.7</v>
      </c>
      <c r="E245">
        <v>373.13</v>
      </c>
      <c r="F245">
        <v>311375.34659999999</v>
      </c>
      <c r="G245">
        <v>-2.42</v>
      </c>
      <c r="L245" t="s">
        <v>8</v>
      </c>
      <c r="M245" t="s">
        <v>8</v>
      </c>
      <c r="N245" t="s">
        <v>7</v>
      </c>
      <c r="P245">
        <f t="shared" si="4"/>
        <v>-0.24345709068776619</v>
      </c>
      <c r="Q245">
        <f t="shared" si="5"/>
        <v>-75806.535995130835</v>
      </c>
      <c r="R245">
        <f t="shared" si="6"/>
        <v>6918203.5571865477</v>
      </c>
      <c r="S245">
        <f t="shared" si="7"/>
        <v>69.18203557186547</v>
      </c>
      <c r="T245">
        <f t="shared" si="8"/>
        <v>6.9182035571865474E-2</v>
      </c>
    </row>
    <row r="246" spans="1:20" x14ac:dyDescent="0.25">
      <c r="A246" s="5">
        <v>44347</v>
      </c>
      <c r="B246">
        <v>324.38</v>
      </c>
      <c r="C246">
        <v>385.41</v>
      </c>
      <c r="D246">
        <v>304.36</v>
      </c>
      <c r="E246">
        <v>382.44</v>
      </c>
      <c r="F246">
        <v>338881.08279999997</v>
      </c>
      <c r="G246">
        <v>17.899999999999999</v>
      </c>
      <c r="L246" t="s">
        <v>8</v>
      </c>
      <c r="M246" t="s">
        <v>8</v>
      </c>
      <c r="N246" t="s">
        <v>7</v>
      </c>
      <c r="P246">
        <f t="shared" si="4"/>
        <v>0.92671190623072108</v>
      </c>
      <c r="Q246">
        <f t="shared" si="5"/>
        <v>314045.1342271188</v>
      </c>
      <c r="R246">
        <f t="shared" si="6"/>
        <v>6994010.0931816781</v>
      </c>
      <c r="S246">
        <f t="shared" si="7"/>
        <v>69.940100931816787</v>
      </c>
      <c r="T246">
        <f t="shared" si="8"/>
        <v>6.9940100931816782E-2</v>
      </c>
    </row>
    <row r="247" spans="1:20" x14ac:dyDescent="0.25">
      <c r="A247" s="5">
        <v>44346</v>
      </c>
      <c r="B247">
        <v>297.87</v>
      </c>
      <c r="C247">
        <v>339.3</v>
      </c>
      <c r="D247">
        <v>281.43</v>
      </c>
      <c r="E247">
        <v>324.38</v>
      </c>
      <c r="F247">
        <v>188588.2838</v>
      </c>
      <c r="G247">
        <v>8.9</v>
      </c>
      <c r="L247" t="s">
        <v>8</v>
      </c>
      <c r="M247" t="s">
        <v>8</v>
      </c>
      <c r="N247" t="s">
        <v>7</v>
      </c>
      <c r="P247">
        <f t="shared" si="4"/>
        <v>0.48436149991359895</v>
      </c>
      <c r="Q247">
        <f t="shared" si="5"/>
        <v>91344.90400749947</v>
      </c>
      <c r="R247">
        <f t="shared" si="6"/>
        <v>6679964.9589545596</v>
      </c>
      <c r="S247">
        <f t="shared" si="7"/>
        <v>66.799649589545595</v>
      </c>
      <c r="T247">
        <f t="shared" si="8"/>
        <v>6.6799649589545596E-2</v>
      </c>
    </row>
    <row r="248" spans="1:20" x14ac:dyDescent="0.25">
      <c r="A248" s="5">
        <v>44345</v>
      </c>
      <c r="B248">
        <v>320.20999999999998</v>
      </c>
      <c r="C248">
        <v>335.81</v>
      </c>
      <c r="D248">
        <v>280.3</v>
      </c>
      <c r="E248">
        <v>298.02</v>
      </c>
      <c r="F248">
        <v>252141.73860000001</v>
      </c>
      <c r="G248">
        <v>-6.93</v>
      </c>
      <c r="L248" t="s">
        <v>7</v>
      </c>
      <c r="M248" t="s">
        <v>7</v>
      </c>
      <c r="N248" t="s">
        <v>7</v>
      </c>
      <c r="P248">
        <f t="shared" si="4"/>
        <v>-0.36155647631057564</v>
      </c>
      <c r="Q248">
        <f t="shared" si="5"/>
        <v>-91163.47853903826</v>
      </c>
      <c r="R248">
        <f t="shared" si="6"/>
        <v>6588620.0549470605</v>
      </c>
      <c r="S248">
        <f t="shared" si="7"/>
        <v>65.886200549470601</v>
      </c>
      <c r="T248">
        <f t="shared" si="8"/>
        <v>6.58862005494706E-2</v>
      </c>
    </row>
    <row r="249" spans="1:20" x14ac:dyDescent="0.25">
      <c r="A249" s="5">
        <v>44344</v>
      </c>
      <c r="B249">
        <v>372</v>
      </c>
      <c r="C249">
        <v>376.6</v>
      </c>
      <c r="D249">
        <v>304</v>
      </c>
      <c r="E249">
        <v>319.8</v>
      </c>
      <c r="F249">
        <v>386903.2378</v>
      </c>
      <c r="G249">
        <v>-14.03</v>
      </c>
      <c r="L249" t="s">
        <v>7</v>
      </c>
      <c r="M249" t="s">
        <v>7</v>
      </c>
      <c r="N249" t="s">
        <v>7</v>
      </c>
      <c r="P249">
        <f t="shared" si="4"/>
        <v>-0.56473829201101911</v>
      </c>
      <c r="Q249">
        <f t="shared" si="5"/>
        <v>-218499.07368870516</v>
      </c>
      <c r="R249">
        <f t="shared" si="6"/>
        <v>6679783.533486099</v>
      </c>
      <c r="S249">
        <f t="shared" si="7"/>
        <v>66.797835334860991</v>
      </c>
      <c r="T249">
        <f t="shared" si="8"/>
        <v>6.6797835334860986E-2</v>
      </c>
    </row>
    <row r="250" spans="1:20" x14ac:dyDescent="0.25">
      <c r="A250" s="5">
        <v>44343</v>
      </c>
      <c r="B250">
        <v>414.54</v>
      </c>
      <c r="C250">
        <v>415.07</v>
      </c>
      <c r="D250">
        <v>364.47</v>
      </c>
      <c r="E250">
        <v>371.9</v>
      </c>
      <c r="F250">
        <v>316297.03370000003</v>
      </c>
      <c r="G250">
        <v>-10.29</v>
      </c>
      <c r="L250" t="s">
        <v>7</v>
      </c>
      <c r="M250" t="s">
        <v>8</v>
      </c>
      <c r="N250" t="s">
        <v>8</v>
      </c>
      <c r="P250">
        <f t="shared" si="4"/>
        <v>-0.70632411067193857</v>
      </c>
      <c r="Q250">
        <f t="shared" si="5"/>
        <v>-223408.22103632471</v>
      </c>
      <c r="R250">
        <f t="shared" si="6"/>
        <v>6898282.6071748044</v>
      </c>
      <c r="S250">
        <f t="shared" si="7"/>
        <v>68.98282607174805</v>
      </c>
      <c r="T250">
        <f t="shared" si="8"/>
        <v>6.8982826071748049E-2</v>
      </c>
    </row>
    <row r="251" spans="1:20" x14ac:dyDescent="0.25">
      <c r="A251" s="5">
        <v>44342</v>
      </c>
      <c r="B251">
        <v>370.3</v>
      </c>
      <c r="C251">
        <v>418</v>
      </c>
      <c r="D251">
        <v>357.29</v>
      </c>
      <c r="E251">
        <v>414.57</v>
      </c>
      <c r="F251">
        <v>402571.48349999997</v>
      </c>
      <c r="G251">
        <v>11.96</v>
      </c>
      <c r="L251" t="s">
        <v>8</v>
      </c>
      <c r="M251" t="s">
        <v>8</v>
      </c>
      <c r="N251" t="s">
        <v>8</v>
      </c>
      <c r="P251">
        <f t="shared" si="4"/>
        <v>0.88700378850271755</v>
      </c>
      <c r="Q251">
        <f t="shared" si="5"/>
        <v>357082.43100765924</v>
      </c>
      <c r="R251">
        <f t="shared" si="6"/>
        <v>7121690.8282111287</v>
      </c>
      <c r="S251">
        <f t="shared" si="7"/>
        <v>71.216908282111291</v>
      </c>
      <c r="T251">
        <f t="shared" si="8"/>
        <v>7.1216908282111288E-2</v>
      </c>
    </row>
    <row r="252" spans="1:20" x14ac:dyDescent="0.25">
      <c r="A252" s="5">
        <v>44341</v>
      </c>
      <c r="B252">
        <v>387.37</v>
      </c>
      <c r="C252">
        <v>404.93</v>
      </c>
      <c r="D252">
        <v>321.64</v>
      </c>
      <c r="E252">
        <v>370.66</v>
      </c>
      <c r="F252">
        <v>414097.34710000001</v>
      </c>
      <c r="G252">
        <v>-4.3099999999999996</v>
      </c>
      <c r="L252" t="s">
        <v>8</v>
      </c>
      <c r="M252" t="s">
        <v>8</v>
      </c>
      <c r="N252" t="s">
        <v>8</v>
      </c>
      <c r="P252">
        <f t="shared" si="4"/>
        <v>0.17709208788570122</v>
      </c>
      <c r="Q252">
        <f t="shared" si="5"/>
        <v>73333.363785868918</v>
      </c>
      <c r="R252">
        <f t="shared" si="6"/>
        <v>6764608.3972034696</v>
      </c>
      <c r="S252">
        <f t="shared" si="7"/>
        <v>67.646083972034702</v>
      </c>
      <c r="T252">
        <f t="shared" si="8"/>
        <v>6.7646083972034698E-2</v>
      </c>
    </row>
    <row r="253" spans="1:20" x14ac:dyDescent="0.25">
      <c r="A253" s="5">
        <v>44340</v>
      </c>
      <c r="B253">
        <v>293.08</v>
      </c>
      <c r="C253">
        <v>397.67</v>
      </c>
      <c r="D253">
        <v>286.39</v>
      </c>
      <c r="E253">
        <v>387.06</v>
      </c>
      <c r="F253">
        <v>603161.20790000004</v>
      </c>
      <c r="G253">
        <v>32.07</v>
      </c>
      <c r="L253" t="s">
        <v>8</v>
      </c>
      <c r="M253" t="s">
        <v>8</v>
      </c>
      <c r="N253" t="s">
        <v>8</v>
      </c>
      <c r="P253">
        <f t="shared" si="4"/>
        <v>0.809309849029475</v>
      </c>
      <c r="Q253">
        <f t="shared" si="5"/>
        <v>488144.30610598484</v>
      </c>
      <c r="R253">
        <f t="shared" si="6"/>
        <v>6691275.0334176011</v>
      </c>
      <c r="S253">
        <f t="shared" si="7"/>
        <v>66.91275033417601</v>
      </c>
      <c r="T253">
        <f t="shared" si="8"/>
        <v>6.6912750334176013E-2</v>
      </c>
    </row>
    <row r="254" spans="1:20" x14ac:dyDescent="0.25">
      <c r="A254" s="5">
        <v>44339</v>
      </c>
      <c r="B254">
        <v>334.85</v>
      </c>
      <c r="C254">
        <v>350.68</v>
      </c>
      <c r="D254">
        <v>208.09</v>
      </c>
      <c r="E254">
        <v>293.31</v>
      </c>
      <c r="F254">
        <v>777740.89029999997</v>
      </c>
      <c r="G254">
        <v>-12.41</v>
      </c>
      <c r="L254" t="s">
        <v>7</v>
      </c>
      <c r="M254" t="s">
        <v>7</v>
      </c>
      <c r="N254" t="s">
        <v>7</v>
      </c>
      <c r="P254">
        <f t="shared" si="4"/>
        <v>0.19531523949786095</v>
      </c>
      <c r="Q254">
        <f t="shared" si="5"/>
        <v>151904.64825622409</v>
      </c>
      <c r="R254">
        <f t="shared" si="6"/>
        <v>6203130.7273116168</v>
      </c>
      <c r="S254">
        <f t="shared" si="7"/>
        <v>62.03130727311617</v>
      </c>
      <c r="T254">
        <f t="shared" si="8"/>
        <v>6.2031307273116169E-2</v>
      </c>
    </row>
    <row r="255" spans="1:20" x14ac:dyDescent="0.25">
      <c r="A255" s="5">
        <v>44338</v>
      </c>
      <c r="B255">
        <v>372.88</v>
      </c>
      <c r="C255">
        <v>382.78</v>
      </c>
      <c r="D255">
        <v>310</v>
      </c>
      <c r="E255">
        <v>334.87</v>
      </c>
      <c r="F255">
        <v>436067.29220000003</v>
      </c>
      <c r="G255">
        <v>-10.19</v>
      </c>
      <c r="L255" t="s">
        <v>8</v>
      </c>
      <c r="M255" t="s">
        <v>8</v>
      </c>
      <c r="N255" t="s">
        <v>7</v>
      </c>
      <c r="P255">
        <f t="shared" si="4"/>
        <v>-0.31657048639736152</v>
      </c>
      <c r="Q255">
        <f t="shared" si="5"/>
        <v>-138046.03479373438</v>
      </c>
      <c r="R255">
        <f t="shared" si="6"/>
        <v>6051226.0790553931</v>
      </c>
      <c r="S255">
        <f t="shared" si="7"/>
        <v>60.512260790553931</v>
      </c>
      <c r="T255">
        <f t="shared" si="8"/>
        <v>6.0512260790553933E-2</v>
      </c>
    </row>
    <row r="256" spans="1:20" x14ac:dyDescent="0.25">
      <c r="A256" s="5">
        <v>44337</v>
      </c>
      <c r="B256">
        <v>466.85</v>
      </c>
      <c r="C256">
        <v>494.42</v>
      </c>
      <c r="D256">
        <v>310</v>
      </c>
      <c r="E256">
        <v>373.29</v>
      </c>
      <c r="F256">
        <v>562543.93429999996</v>
      </c>
      <c r="G256">
        <v>-20.04</v>
      </c>
      <c r="L256" t="s">
        <v>7</v>
      </c>
      <c r="M256" t="s">
        <v>7</v>
      </c>
      <c r="N256" t="s">
        <v>7</v>
      </c>
      <c r="P256">
        <f t="shared" si="4"/>
        <v>-0.31363192712287152</v>
      </c>
      <c r="Q256">
        <f t="shared" si="5"/>
        <v>-176431.73820579101</v>
      </c>
      <c r="R256">
        <f t="shared" si="6"/>
        <v>6189272.1138491277</v>
      </c>
      <c r="S256">
        <f t="shared" si="7"/>
        <v>61.892721138491275</v>
      </c>
      <c r="T256">
        <f t="shared" si="8"/>
        <v>6.1892721138491272E-2</v>
      </c>
    </row>
    <row r="257" spans="1:20" x14ac:dyDescent="0.25">
      <c r="A257" s="5">
        <v>44336</v>
      </c>
      <c r="B257">
        <v>413.95</v>
      </c>
      <c r="C257">
        <v>509</v>
      </c>
      <c r="D257">
        <v>351.56</v>
      </c>
      <c r="E257">
        <v>467.22</v>
      </c>
      <c r="F257">
        <v>613938.92879999999</v>
      </c>
      <c r="G257">
        <v>12.87</v>
      </c>
      <c r="L257" t="s">
        <v>8</v>
      </c>
      <c r="M257" t="s">
        <v>8</v>
      </c>
      <c r="N257" t="s">
        <v>8</v>
      </c>
      <c r="P257">
        <f t="shared" si="4"/>
        <v>0.46925813008130113</v>
      </c>
      <c r="Q257">
        <f t="shared" si="5"/>
        <v>288095.83371280506</v>
      </c>
      <c r="R257">
        <f t="shared" si="6"/>
        <v>6365703.8520549191</v>
      </c>
      <c r="S257">
        <f t="shared" si="7"/>
        <v>63.657038520549193</v>
      </c>
      <c r="T257">
        <f t="shared" si="8"/>
        <v>6.3657038520549186E-2</v>
      </c>
    </row>
    <row r="258" spans="1:20" x14ac:dyDescent="0.25">
      <c r="A258" s="5">
        <v>44335</v>
      </c>
      <c r="B258">
        <v>628.37</v>
      </c>
      <c r="C258">
        <v>649.86</v>
      </c>
      <c r="D258">
        <v>350</v>
      </c>
      <c r="E258">
        <v>414.36</v>
      </c>
      <c r="F258">
        <v>1181213.4515</v>
      </c>
      <c r="G258">
        <v>-34.06</v>
      </c>
      <c r="L258" t="s">
        <v>7</v>
      </c>
      <c r="M258" t="s">
        <v>7</v>
      </c>
      <c r="N258" t="s">
        <v>7</v>
      </c>
      <c r="P258">
        <f t="shared" si="4"/>
        <v>-0.57073300873741073</v>
      </c>
      <c r="Q258">
        <f t="shared" si="5"/>
        <v>-674157.50713569659</v>
      </c>
      <c r="R258">
        <f t="shared" si="6"/>
        <v>6077608.0183421141</v>
      </c>
      <c r="S258">
        <f t="shared" si="7"/>
        <v>60.776080183421143</v>
      </c>
      <c r="T258">
        <f t="shared" si="8"/>
        <v>6.0776080183421143E-2</v>
      </c>
    </row>
    <row r="259" spans="1:20" x14ac:dyDescent="0.25">
      <c r="A259" s="5">
        <v>44334</v>
      </c>
      <c r="B259">
        <v>572.45000000000005</v>
      </c>
      <c r="C259">
        <v>668</v>
      </c>
      <c r="D259">
        <v>562.04</v>
      </c>
      <c r="E259">
        <v>628.75</v>
      </c>
      <c r="F259">
        <v>706129.49829999998</v>
      </c>
      <c r="G259">
        <v>9.83</v>
      </c>
      <c r="L259" t="s">
        <v>8</v>
      </c>
      <c r="M259" t="s">
        <v>8</v>
      </c>
      <c r="N259" t="s">
        <v>8</v>
      </c>
      <c r="P259">
        <f t="shared" si="4"/>
        <v>0.25915439788599498</v>
      </c>
      <c r="Q259">
        <f t="shared" si="5"/>
        <v>182996.56496147622</v>
      </c>
      <c r="R259">
        <f t="shared" si="6"/>
        <v>6751765.5254778108</v>
      </c>
      <c r="S259">
        <f t="shared" si="7"/>
        <v>67.517655254778106</v>
      </c>
      <c r="T259">
        <f t="shared" si="8"/>
        <v>6.7517655254778111E-2</v>
      </c>
    </row>
    <row r="260" spans="1:20" x14ac:dyDescent="0.25">
      <c r="A260" s="5">
        <v>44333</v>
      </c>
      <c r="B260">
        <v>527.84</v>
      </c>
      <c r="C260">
        <v>593.89</v>
      </c>
      <c r="D260">
        <v>470</v>
      </c>
      <c r="E260">
        <v>572.26</v>
      </c>
      <c r="F260">
        <v>546539.80500000005</v>
      </c>
      <c r="G260">
        <v>8.42</v>
      </c>
      <c r="L260" t="s">
        <v>7</v>
      </c>
      <c r="M260" t="s">
        <v>8</v>
      </c>
      <c r="N260" t="s">
        <v>8</v>
      </c>
      <c r="P260">
        <f t="shared" si="4"/>
        <v>0.6508192751634515</v>
      </c>
      <c r="Q260">
        <f t="shared" si="5"/>
        <v>355698.63973807415</v>
      </c>
      <c r="R260">
        <f t="shared" si="6"/>
        <v>6568768.9605163345</v>
      </c>
      <c r="S260">
        <f t="shared" si="7"/>
        <v>65.687689605163342</v>
      </c>
      <c r="T260">
        <f t="shared" si="8"/>
        <v>6.5687689605163344E-2</v>
      </c>
    </row>
    <row r="261" spans="1:20" x14ac:dyDescent="0.25">
      <c r="A261" s="5">
        <v>44332</v>
      </c>
      <c r="B261">
        <v>517.20000000000005</v>
      </c>
      <c r="C261">
        <v>562.72</v>
      </c>
      <c r="D261">
        <v>477.35</v>
      </c>
      <c r="E261">
        <v>527.88</v>
      </c>
      <c r="F261">
        <v>299952.73420000001</v>
      </c>
      <c r="G261">
        <v>2.06</v>
      </c>
      <c r="L261" t="s">
        <v>7</v>
      </c>
      <c r="M261" t="s">
        <v>7</v>
      </c>
      <c r="N261" t="s">
        <v>8</v>
      </c>
      <c r="P261">
        <f t="shared" si="4"/>
        <v>0.18378821600093639</v>
      </c>
      <c r="Q261">
        <f t="shared" si="5"/>
        <v>55127.77790322106</v>
      </c>
      <c r="R261">
        <f t="shared" si="6"/>
        <v>6213070.32077826</v>
      </c>
      <c r="S261">
        <f t="shared" si="7"/>
        <v>62.130703207782602</v>
      </c>
      <c r="T261">
        <f t="shared" si="8"/>
        <v>6.2130703207782599E-2</v>
      </c>
    </row>
    <row r="262" spans="1:20" x14ac:dyDescent="0.25">
      <c r="A262" s="5">
        <v>44331</v>
      </c>
      <c r="B262">
        <v>594.79999999999995</v>
      </c>
      <c r="C262">
        <v>611</v>
      </c>
      <c r="D262">
        <v>508.31</v>
      </c>
      <c r="E262">
        <v>517.89</v>
      </c>
      <c r="F262">
        <v>336189.73369999998</v>
      </c>
      <c r="G262">
        <v>-12.93</v>
      </c>
      <c r="L262" t="s">
        <v>7</v>
      </c>
      <c r="M262" t="s">
        <v>7</v>
      </c>
      <c r="N262" t="s">
        <v>8</v>
      </c>
      <c r="P262">
        <f t="shared" ref="P262:P325" si="9">IF(C262=D262,0,((E262-D262)-(C262-E262))/(C262-D262))</f>
        <v>-0.81341902814295486</v>
      </c>
      <c r="Q262">
        <f t="shared" ref="Q262:Q325" si="10">F262*P262</f>
        <v>-273463.12645789277</v>
      </c>
      <c r="R262">
        <f t="shared" ref="R262:R325" si="11">R263+Q262</f>
        <v>6157942.5428750394</v>
      </c>
      <c r="S262">
        <f t="shared" ref="S262:S325" si="12">R262/100000</f>
        <v>61.57942542875039</v>
      </c>
      <c r="T262">
        <f t="shared" ref="T262:T325" si="13">S262/1000</f>
        <v>6.1579425428750389E-2</v>
      </c>
    </row>
    <row r="263" spans="1:20" x14ac:dyDescent="0.25">
      <c r="A263" s="5">
        <v>44330</v>
      </c>
      <c r="B263">
        <v>508.87</v>
      </c>
      <c r="C263">
        <v>634.32000000000005</v>
      </c>
      <c r="D263">
        <v>505.61</v>
      </c>
      <c r="E263">
        <v>594.78</v>
      </c>
      <c r="F263">
        <v>443099.65820000001</v>
      </c>
      <c r="G263">
        <v>16.88</v>
      </c>
      <c r="L263" t="s">
        <v>8</v>
      </c>
      <c r="M263" t="s">
        <v>8</v>
      </c>
      <c r="N263" t="s">
        <v>8</v>
      </c>
      <c r="P263">
        <f t="shared" si="9"/>
        <v>0.38559552482324505</v>
      </c>
      <c r="Q263">
        <f t="shared" si="10"/>
        <v>170857.24525262951</v>
      </c>
      <c r="R263">
        <f t="shared" si="11"/>
        <v>6431405.6693329317</v>
      </c>
      <c r="S263">
        <f t="shared" si="12"/>
        <v>64.31405669332932</v>
      </c>
      <c r="T263">
        <f t="shared" si="13"/>
        <v>6.4314056693329319E-2</v>
      </c>
    </row>
    <row r="264" spans="1:20" x14ac:dyDescent="0.25">
      <c r="A264" s="5">
        <v>44329</v>
      </c>
      <c r="B264">
        <v>513.80999999999995</v>
      </c>
      <c r="C264">
        <v>621</v>
      </c>
      <c r="D264">
        <v>450</v>
      </c>
      <c r="E264">
        <v>509.33</v>
      </c>
      <c r="F264">
        <v>976961.41740000003</v>
      </c>
      <c r="G264">
        <v>-0.87</v>
      </c>
      <c r="L264" t="s">
        <v>8</v>
      </c>
      <c r="M264" t="s">
        <v>7</v>
      </c>
      <c r="N264" t="s">
        <v>8</v>
      </c>
      <c r="P264">
        <f t="shared" si="9"/>
        <v>-0.3060818713450294</v>
      </c>
      <c r="Q264">
        <f t="shared" si="10"/>
        <v>-299030.1788696844</v>
      </c>
      <c r="R264">
        <f t="shared" si="11"/>
        <v>6260548.424080302</v>
      </c>
      <c r="S264">
        <f t="shared" si="12"/>
        <v>62.605484240803023</v>
      </c>
      <c r="T264">
        <f t="shared" si="13"/>
        <v>6.2605484240803019E-2</v>
      </c>
    </row>
    <row r="265" spans="1:20" x14ac:dyDescent="0.25">
      <c r="A265" s="5">
        <v>44328</v>
      </c>
      <c r="B265">
        <v>457.73</v>
      </c>
      <c r="C265">
        <v>598</v>
      </c>
      <c r="D265">
        <v>455.98</v>
      </c>
      <c r="E265">
        <v>513.80999999999995</v>
      </c>
      <c r="F265">
        <v>1027598.0786</v>
      </c>
      <c r="G265">
        <v>12.25</v>
      </c>
      <c r="L265" t="s">
        <v>8</v>
      </c>
      <c r="M265" t="s">
        <v>8</v>
      </c>
      <c r="N265" t="s">
        <v>8</v>
      </c>
      <c r="P265">
        <f t="shared" si="9"/>
        <v>-0.18560766089283293</v>
      </c>
      <c r="Q265">
        <f t="shared" si="10"/>
        <v>-190730.07570691546</v>
      </c>
      <c r="R265">
        <f t="shared" si="11"/>
        <v>6559578.6029499862</v>
      </c>
      <c r="S265">
        <f t="shared" si="12"/>
        <v>65.595786029499862</v>
      </c>
      <c r="T265">
        <f t="shared" si="13"/>
        <v>6.5595786029499864E-2</v>
      </c>
    </row>
    <row r="266" spans="1:20" x14ac:dyDescent="0.25">
      <c r="A266" s="5">
        <v>44327</v>
      </c>
      <c r="B266">
        <v>433.02</v>
      </c>
      <c r="C266">
        <v>459.34</v>
      </c>
      <c r="D266">
        <v>417.4</v>
      </c>
      <c r="E266">
        <v>457.28</v>
      </c>
      <c r="F266">
        <v>141927.16959999999</v>
      </c>
      <c r="G266">
        <v>5.6</v>
      </c>
      <c r="L266" t="s">
        <v>8</v>
      </c>
      <c r="M266" t="s">
        <v>7</v>
      </c>
      <c r="N266" t="s">
        <v>8</v>
      </c>
      <c r="P266">
        <f t="shared" si="9"/>
        <v>0.90176442536957546</v>
      </c>
      <c r="Q266">
        <f t="shared" si="10"/>
        <v>127984.87253867427</v>
      </c>
      <c r="R266">
        <f t="shared" si="11"/>
        <v>6750308.6786569022</v>
      </c>
      <c r="S266">
        <f t="shared" si="12"/>
        <v>67.503086786569028</v>
      </c>
      <c r="T266">
        <f t="shared" si="13"/>
        <v>6.7503086786569022E-2</v>
      </c>
    </row>
    <row r="267" spans="1:20" x14ac:dyDescent="0.25">
      <c r="A267" s="5">
        <v>44326</v>
      </c>
      <c r="B267">
        <v>459.44</v>
      </c>
      <c r="C267">
        <v>482.46</v>
      </c>
      <c r="D267">
        <v>400</v>
      </c>
      <c r="E267">
        <v>433.48</v>
      </c>
      <c r="F267">
        <v>193342.49050000001</v>
      </c>
      <c r="G267">
        <v>-5.65</v>
      </c>
      <c r="L267" t="s">
        <v>7</v>
      </c>
      <c r="M267" t="s">
        <v>7</v>
      </c>
      <c r="N267" t="s">
        <v>8</v>
      </c>
      <c r="P267">
        <f t="shared" si="9"/>
        <v>-0.18796992481202943</v>
      </c>
      <c r="Q267">
        <f t="shared" si="10"/>
        <v>-36342.573402255519</v>
      </c>
      <c r="R267">
        <f t="shared" si="11"/>
        <v>6622323.8061182275</v>
      </c>
      <c r="S267">
        <f t="shared" si="12"/>
        <v>66.223238061182272</v>
      </c>
      <c r="T267">
        <f t="shared" si="13"/>
        <v>6.6223238061182271E-2</v>
      </c>
    </row>
    <row r="268" spans="1:20" x14ac:dyDescent="0.25">
      <c r="A268" s="5">
        <v>44325</v>
      </c>
      <c r="B268">
        <v>466.86</v>
      </c>
      <c r="C268">
        <v>469.98</v>
      </c>
      <c r="D268">
        <v>440.64</v>
      </c>
      <c r="E268">
        <v>459.51</v>
      </c>
      <c r="F268">
        <v>108532.97560000001</v>
      </c>
      <c r="G268">
        <v>-1.57</v>
      </c>
      <c r="L268" t="s">
        <v>7</v>
      </c>
      <c r="M268" t="s">
        <v>7</v>
      </c>
      <c r="N268" t="s">
        <v>8</v>
      </c>
      <c r="P268">
        <f t="shared" si="9"/>
        <v>0.2862985685071564</v>
      </c>
      <c r="Q268">
        <f t="shared" si="10"/>
        <v>31072.835550102136</v>
      </c>
      <c r="R268">
        <f t="shared" si="11"/>
        <v>6658666.3795204833</v>
      </c>
      <c r="S268">
        <f t="shared" si="12"/>
        <v>66.586663795204828</v>
      </c>
      <c r="T268">
        <f t="shared" si="13"/>
        <v>6.6586663795204823E-2</v>
      </c>
    </row>
    <row r="269" spans="1:20" x14ac:dyDescent="0.25">
      <c r="A269" s="5">
        <v>44324</v>
      </c>
      <c r="B269">
        <v>445.33</v>
      </c>
      <c r="C269">
        <v>475.65</v>
      </c>
      <c r="D269">
        <v>440.27</v>
      </c>
      <c r="E269">
        <v>466.9</v>
      </c>
      <c r="F269">
        <v>118733.5978</v>
      </c>
      <c r="G269">
        <v>4.84</v>
      </c>
      <c r="L269" t="s">
        <v>8</v>
      </c>
      <c r="M269" t="s">
        <v>7</v>
      </c>
      <c r="N269" t="s">
        <v>8</v>
      </c>
      <c r="P269">
        <f t="shared" si="9"/>
        <v>0.50537026568682863</v>
      </c>
      <c r="Q269">
        <f t="shared" si="10"/>
        <v>60004.429866139057</v>
      </c>
      <c r="R269">
        <f t="shared" si="11"/>
        <v>6627593.5439703809</v>
      </c>
      <c r="S269">
        <f t="shared" si="12"/>
        <v>66.275935439703815</v>
      </c>
      <c r="T269">
        <f t="shared" si="13"/>
        <v>6.6275935439703809E-2</v>
      </c>
    </row>
    <row r="270" spans="1:20" x14ac:dyDescent="0.25">
      <c r="A270" s="5">
        <v>44323</v>
      </c>
      <c r="B270">
        <v>452.94</v>
      </c>
      <c r="C270">
        <v>469.64</v>
      </c>
      <c r="D270">
        <v>432.15</v>
      </c>
      <c r="E270">
        <v>445.13</v>
      </c>
      <c r="F270">
        <v>157154.56229999999</v>
      </c>
      <c r="G270">
        <v>-1.72</v>
      </c>
      <c r="L270" t="s">
        <v>7</v>
      </c>
      <c r="M270" t="s">
        <v>7</v>
      </c>
      <c r="N270" t="s">
        <v>8</v>
      </c>
      <c r="P270">
        <f t="shared" si="9"/>
        <v>-0.30754867964790533</v>
      </c>
      <c r="Q270">
        <f t="shared" si="10"/>
        <v>-48332.678136009476</v>
      </c>
      <c r="R270">
        <f t="shared" si="11"/>
        <v>6567589.1141042421</v>
      </c>
      <c r="S270">
        <f t="shared" si="12"/>
        <v>65.675891141042428</v>
      </c>
      <c r="T270">
        <f t="shared" si="13"/>
        <v>6.5675891141042428E-2</v>
      </c>
    </row>
    <row r="271" spans="1:20" x14ac:dyDescent="0.25">
      <c r="A271" s="5">
        <v>44322</v>
      </c>
      <c r="B271">
        <v>480.79</v>
      </c>
      <c r="C271">
        <v>482.31</v>
      </c>
      <c r="D271">
        <v>440</v>
      </c>
      <c r="E271">
        <v>452.93</v>
      </c>
      <c r="F271">
        <v>196776.23379999999</v>
      </c>
      <c r="G271">
        <v>-5.79</v>
      </c>
      <c r="L271" t="s">
        <v>7</v>
      </c>
      <c r="M271" t="s">
        <v>7</v>
      </c>
      <c r="N271" t="s">
        <v>8</v>
      </c>
      <c r="P271">
        <f t="shared" si="9"/>
        <v>-0.38879697471047003</v>
      </c>
      <c r="Q271">
        <f t="shared" si="10"/>
        <v>-76506.004396360135</v>
      </c>
      <c r="R271">
        <f t="shared" si="11"/>
        <v>6615921.7922402518</v>
      </c>
      <c r="S271">
        <f t="shared" si="12"/>
        <v>66.159217922402519</v>
      </c>
      <c r="T271">
        <f t="shared" si="13"/>
        <v>6.6159217922402522E-2</v>
      </c>
    </row>
    <row r="272" spans="1:20" x14ac:dyDescent="0.25">
      <c r="A272" s="5">
        <v>44321</v>
      </c>
      <c r="B272">
        <v>448.03</v>
      </c>
      <c r="C272">
        <v>485</v>
      </c>
      <c r="D272">
        <v>439.43</v>
      </c>
      <c r="E272">
        <v>480.4</v>
      </c>
      <c r="F272">
        <v>219568.82680000001</v>
      </c>
      <c r="G272">
        <v>7.22</v>
      </c>
      <c r="L272" t="s">
        <v>8</v>
      </c>
      <c r="M272" t="s">
        <v>7</v>
      </c>
      <c r="N272" t="s">
        <v>8</v>
      </c>
      <c r="P272">
        <f t="shared" si="9"/>
        <v>0.7981127935044976</v>
      </c>
      <c r="Q272">
        <f t="shared" si="10"/>
        <v>175240.6897238532</v>
      </c>
      <c r="R272">
        <f t="shared" si="11"/>
        <v>6692427.7966366122</v>
      </c>
      <c r="S272">
        <f t="shared" si="12"/>
        <v>66.92427796636612</v>
      </c>
      <c r="T272">
        <f t="shared" si="13"/>
        <v>6.6924277966366116E-2</v>
      </c>
    </row>
    <row r="273" spans="1:20" x14ac:dyDescent="0.25">
      <c r="A273" s="5">
        <v>44320</v>
      </c>
      <c r="B273">
        <v>518.62</v>
      </c>
      <c r="C273">
        <v>519.95000000000005</v>
      </c>
      <c r="D273">
        <v>442.14</v>
      </c>
      <c r="E273">
        <v>448.1</v>
      </c>
      <c r="F273">
        <v>374734.92989999999</v>
      </c>
      <c r="G273">
        <v>-13.6</v>
      </c>
      <c r="L273" t="s">
        <v>7</v>
      </c>
      <c r="M273" t="s">
        <v>7</v>
      </c>
      <c r="N273" t="s">
        <v>8</v>
      </c>
      <c r="P273">
        <f t="shared" si="9"/>
        <v>-0.84680632309471704</v>
      </c>
      <c r="Q273">
        <f t="shared" si="10"/>
        <v>-317327.90812377556</v>
      </c>
      <c r="R273">
        <f t="shared" si="11"/>
        <v>6517187.1069127591</v>
      </c>
      <c r="S273">
        <f t="shared" si="12"/>
        <v>65.17187106912759</v>
      </c>
      <c r="T273">
        <f t="shared" si="13"/>
        <v>6.5171871069127585E-2</v>
      </c>
    </row>
    <row r="274" spans="1:20" x14ac:dyDescent="0.25">
      <c r="A274" s="5">
        <v>44319</v>
      </c>
      <c r="B274">
        <v>482.41</v>
      </c>
      <c r="C274">
        <v>535</v>
      </c>
      <c r="D274">
        <v>481.04</v>
      </c>
      <c r="E274">
        <v>518.22</v>
      </c>
      <c r="F274">
        <v>280956.00900000002</v>
      </c>
      <c r="G274">
        <v>7.42</v>
      </c>
      <c r="L274" t="s">
        <v>8</v>
      </c>
      <c r="M274" t="s">
        <v>8</v>
      </c>
      <c r="N274" t="s">
        <v>8</v>
      </c>
      <c r="P274">
        <f t="shared" si="9"/>
        <v>0.37805782060785847</v>
      </c>
      <c r="Q274">
        <f t="shared" si="10"/>
        <v>106217.61644922188</v>
      </c>
      <c r="R274">
        <f t="shared" si="11"/>
        <v>6834515.0150365345</v>
      </c>
      <c r="S274">
        <f t="shared" si="12"/>
        <v>68.345150150365342</v>
      </c>
      <c r="T274">
        <f t="shared" si="13"/>
        <v>6.8345150150365339E-2</v>
      </c>
    </row>
    <row r="275" spans="1:20" x14ac:dyDescent="0.25">
      <c r="A275" s="5">
        <v>44318</v>
      </c>
      <c r="B275">
        <v>504.6</v>
      </c>
      <c r="C275">
        <v>510</v>
      </c>
      <c r="D275">
        <v>470.6</v>
      </c>
      <c r="E275">
        <v>482.41</v>
      </c>
      <c r="F275">
        <v>212962.02129999999</v>
      </c>
      <c r="G275">
        <v>-4.4000000000000004</v>
      </c>
      <c r="L275" t="s">
        <v>7</v>
      </c>
      <c r="M275" t="s">
        <v>8</v>
      </c>
      <c r="N275" t="s">
        <v>8</v>
      </c>
      <c r="P275">
        <f t="shared" si="9"/>
        <v>-0.40050761421319753</v>
      </c>
      <c r="Q275">
        <f t="shared" si="10"/>
        <v>-85292.911068883157</v>
      </c>
      <c r="R275">
        <f t="shared" si="11"/>
        <v>6728297.3985873125</v>
      </c>
      <c r="S275">
        <f t="shared" si="12"/>
        <v>67.282973985873127</v>
      </c>
      <c r="T275">
        <f t="shared" si="13"/>
        <v>6.7282973985873129E-2</v>
      </c>
    </row>
    <row r="276" spans="1:20" x14ac:dyDescent="0.25">
      <c r="A276" s="5">
        <v>44317</v>
      </c>
      <c r="B276">
        <v>444.72</v>
      </c>
      <c r="C276">
        <v>512</v>
      </c>
      <c r="D276">
        <v>436.27</v>
      </c>
      <c r="E276">
        <v>504.47</v>
      </c>
      <c r="F276">
        <v>352307.57669999998</v>
      </c>
      <c r="G276">
        <v>13.44</v>
      </c>
      <c r="L276" t="s">
        <v>8</v>
      </c>
      <c r="M276" t="s">
        <v>8</v>
      </c>
      <c r="N276" t="s">
        <v>8</v>
      </c>
      <c r="P276">
        <f t="shared" si="9"/>
        <v>0.801135613363265</v>
      </c>
      <c r="Q276">
        <f t="shared" si="10"/>
        <v>282246.14655208</v>
      </c>
      <c r="R276">
        <f t="shared" si="11"/>
        <v>6813590.3096561953</v>
      </c>
      <c r="S276">
        <f t="shared" si="12"/>
        <v>68.135903096561947</v>
      </c>
      <c r="T276">
        <f t="shared" si="13"/>
        <v>6.8135903096561951E-2</v>
      </c>
    </row>
    <row r="277" spans="1:20" x14ac:dyDescent="0.25">
      <c r="A277" s="5">
        <v>44316</v>
      </c>
      <c r="B277">
        <v>438.95</v>
      </c>
      <c r="C277">
        <v>462.08</v>
      </c>
      <c r="D277">
        <v>429.07</v>
      </c>
      <c r="E277">
        <v>444.72</v>
      </c>
      <c r="F277">
        <v>234640.0539</v>
      </c>
      <c r="G277">
        <v>1.31</v>
      </c>
      <c r="L277" t="s">
        <v>8</v>
      </c>
      <c r="M277" t="s">
        <v>8</v>
      </c>
      <c r="N277" t="s">
        <v>8</v>
      </c>
      <c r="P277">
        <f t="shared" si="9"/>
        <v>-5.1802484095726242E-2</v>
      </c>
      <c r="Q277">
        <f t="shared" si="10"/>
        <v>-12154.937660375099</v>
      </c>
      <c r="R277">
        <f t="shared" si="11"/>
        <v>6531344.1631041151</v>
      </c>
      <c r="S277">
        <f t="shared" si="12"/>
        <v>65.313441631041144</v>
      </c>
      <c r="T277">
        <f t="shared" si="13"/>
        <v>6.531344163104115E-2</v>
      </c>
    </row>
    <row r="278" spans="1:20" x14ac:dyDescent="0.25">
      <c r="A278" s="5">
        <v>44315</v>
      </c>
      <c r="B278">
        <v>460.99</v>
      </c>
      <c r="C278">
        <v>463.23</v>
      </c>
      <c r="D278">
        <v>423.77</v>
      </c>
      <c r="E278">
        <v>438.96</v>
      </c>
      <c r="F278">
        <v>244980.1299</v>
      </c>
      <c r="G278">
        <v>-4.78</v>
      </c>
      <c r="L278" t="s">
        <v>7</v>
      </c>
      <c r="M278" t="s">
        <v>8</v>
      </c>
      <c r="N278" t="s">
        <v>8</v>
      </c>
      <c r="P278">
        <f t="shared" si="9"/>
        <v>-0.23010643689812552</v>
      </c>
      <c r="Q278">
        <f t="shared" si="10"/>
        <v>-56371.50480212894</v>
      </c>
      <c r="R278">
        <f t="shared" si="11"/>
        <v>6543499.1007644897</v>
      </c>
      <c r="S278">
        <f t="shared" si="12"/>
        <v>65.434991007644896</v>
      </c>
      <c r="T278">
        <f t="shared" si="13"/>
        <v>6.5434991007644897E-2</v>
      </c>
    </row>
    <row r="279" spans="1:20" x14ac:dyDescent="0.25">
      <c r="A279" s="5">
        <v>44314</v>
      </c>
      <c r="B279">
        <v>440.86</v>
      </c>
      <c r="C279">
        <v>486.71199999999999</v>
      </c>
      <c r="D279">
        <v>423.01</v>
      </c>
      <c r="E279">
        <v>460.88</v>
      </c>
      <c r="F279">
        <v>427915.33539999998</v>
      </c>
      <c r="G279">
        <v>4.54</v>
      </c>
      <c r="L279" t="s">
        <v>8</v>
      </c>
      <c r="M279" t="s">
        <v>8</v>
      </c>
      <c r="N279" t="s">
        <v>8</v>
      </c>
      <c r="P279">
        <f t="shared" si="9"/>
        <v>0.1889736585978464</v>
      </c>
      <c r="Q279">
        <f t="shared" si="10"/>
        <v>80864.726500662538</v>
      </c>
      <c r="R279">
        <f t="shared" si="11"/>
        <v>6599870.605566619</v>
      </c>
      <c r="S279">
        <f t="shared" si="12"/>
        <v>65.99870605566619</v>
      </c>
      <c r="T279">
        <f t="shared" si="13"/>
        <v>6.5998706055666184E-2</v>
      </c>
    </row>
    <row r="280" spans="1:20" x14ac:dyDescent="0.25">
      <c r="A280" s="5">
        <v>44313</v>
      </c>
      <c r="B280">
        <v>405.21</v>
      </c>
      <c r="C280">
        <v>453.01</v>
      </c>
      <c r="D280">
        <v>394.06</v>
      </c>
      <c r="E280">
        <v>440.7</v>
      </c>
      <c r="F280">
        <v>318605.47649999999</v>
      </c>
      <c r="G280">
        <v>8.76</v>
      </c>
      <c r="L280" t="s">
        <v>8</v>
      </c>
      <c r="M280" t="s">
        <v>8</v>
      </c>
      <c r="N280" t="s">
        <v>8</v>
      </c>
      <c r="P280">
        <f t="shared" si="9"/>
        <v>0.58235793044953332</v>
      </c>
      <c r="Q280">
        <f t="shared" si="10"/>
        <v>185542.42592442743</v>
      </c>
      <c r="R280">
        <f t="shared" si="11"/>
        <v>6519005.879065956</v>
      </c>
      <c r="S280">
        <f t="shared" si="12"/>
        <v>65.190058790659563</v>
      </c>
      <c r="T280">
        <f t="shared" si="13"/>
        <v>6.5190058790659561E-2</v>
      </c>
    </row>
    <row r="281" spans="1:20" x14ac:dyDescent="0.25">
      <c r="A281" s="5">
        <v>44312</v>
      </c>
      <c r="B281">
        <v>348.98</v>
      </c>
      <c r="C281">
        <v>409.11</v>
      </c>
      <c r="D281">
        <v>345.43</v>
      </c>
      <c r="E281">
        <v>405.65</v>
      </c>
      <c r="F281">
        <v>321545.8688</v>
      </c>
      <c r="G281">
        <v>16.239999999999998</v>
      </c>
      <c r="L281" t="s">
        <v>8</v>
      </c>
      <c r="M281" t="s">
        <v>8</v>
      </c>
      <c r="N281" t="s">
        <v>8</v>
      </c>
      <c r="P281">
        <f t="shared" si="9"/>
        <v>0.89133165829145611</v>
      </c>
      <c r="Q281">
        <f t="shared" si="10"/>
        <v>286604.01245427097</v>
      </c>
      <c r="R281">
        <f t="shared" si="11"/>
        <v>6333463.4531415282</v>
      </c>
      <c r="S281">
        <f t="shared" si="12"/>
        <v>63.334634531415283</v>
      </c>
      <c r="T281">
        <f t="shared" si="13"/>
        <v>6.3334634531415288E-2</v>
      </c>
    </row>
    <row r="282" spans="1:20" x14ac:dyDescent="0.25">
      <c r="A282" s="5">
        <v>44311</v>
      </c>
      <c r="B282">
        <v>317.33199999999999</v>
      </c>
      <c r="C282">
        <v>353.791</v>
      </c>
      <c r="D282">
        <v>314.75299999999999</v>
      </c>
      <c r="E282">
        <v>348.53</v>
      </c>
      <c r="F282">
        <v>145310.1746</v>
      </c>
      <c r="G282">
        <v>9.83</v>
      </c>
      <c r="L282" t="s">
        <v>8</v>
      </c>
      <c r="M282" t="s">
        <v>7</v>
      </c>
      <c r="N282" t="s">
        <v>8</v>
      </c>
      <c r="P282">
        <f t="shared" si="9"/>
        <v>0.73046774937240522</v>
      </c>
      <c r="Q282">
        <f t="shared" si="10"/>
        <v>106144.39620097323</v>
      </c>
      <c r="R282">
        <f t="shared" si="11"/>
        <v>6046859.4406872569</v>
      </c>
      <c r="S282">
        <f t="shared" si="12"/>
        <v>60.468594406872569</v>
      </c>
      <c r="T282">
        <f t="shared" si="13"/>
        <v>6.0468594406872571E-2</v>
      </c>
    </row>
    <row r="283" spans="1:20" x14ac:dyDescent="0.25">
      <c r="A283" s="5">
        <v>44310</v>
      </c>
      <c r="B283">
        <v>343.81599999999997</v>
      </c>
      <c r="C283">
        <v>344.44200000000001</v>
      </c>
      <c r="D283">
        <v>314.137</v>
      </c>
      <c r="E283">
        <v>317.33100000000002</v>
      </c>
      <c r="F283">
        <v>147934.68100000001</v>
      </c>
      <c r="G283">
        <v>-7.7</v>
      </c>
      <c r="L283" t="s">
        <v>8</v>
      </c>
      <c r="M283" t="s">
        <v>7</v>
      </c>
      <c r="N283" t="s">
        <v>8</v>
      </c>
      <c r="P283">
        <f t="shared" si="9"/>
        <v>-0.78920970136940993</v>
      </c>
      <c r="Q283">
        <f t="shared" si="10"/>
        <v>-116751.48541418894</v>
      </c>
      <c r="R283">
        <f t="shared" si="11"/>
        <v>5940715.0444862833</v>
      </c>
      <c r="S283">
        <f t="shared" si="12"/>
        <v>59.407150444862836</v>
      </c>
      <c r="T283">
        <f t="shared" si="13"/>
        <v>5.9407150444862833E-2</v>
      </c>
    </row>
    <row r="284" spans="1:20" x14ac:dyDescent="0.25">
      <c r="A284" s="5">
        <v>44309</v>
      </c>
      <c r="B284">
        <v>359.82100000000003</v>
      </c>
      <c r="C284">
        <v>372.27100000000002</v>
      </c>
      <c r="D284">
        <v>308.12</v>
      </c>
      <c r="E284">
        <v>343.38600000000002</v>
      </c>
      <c r="F284">
        <v>418595.21799999999</v>
      </c>
      <c r="G284">
        <v>-4.57</v>
      </c>
      <c r="L284" t="s">
        <v>7</v>
      </c>
      <c r="M284" t="s">
        <v>7</v>
      </c>
      <c r="N284" t="s">
        <v>8</v>
      </c>
      <c r="P284">
        <f t="shared" si="9"/>
        <v>9.9468441645493094E-2</v>
      </c>
      <c r="Q284">
        <f t="shared" si="10"/>
        <v>41637.01401471546</v>
      </c>
      <c r="R284">
        <f t="shared" si="11"/>
        <v>6057466.5299004726</v>
      </c>
      <c r="S284">
        <f t="shared" si="12"/>
        <v>60.574665299004728</v>
      </c>
      <c r="T284">
        <f t="shared" si="13"/>
        <v>6.057466529900473E-2</v>
      </c>
    </row>
    <row r="285" spans="1:20" x14ac:dyDescent="0.25">
      <c r="A285" s="5">
        <v>44308</v>
      </c>
      <c r="B285">
        <v>351.43099999999998</v>
      </c>
      <c r="C285">
        <v>415.13400000000001</v>
      </c>
      <c r="D285">
        <v>343.06200000000001</v>
      </c>
      <c r="E285">
        <v>359.709</v>
      </c>
      <c r="F285">
        <v>435741.36099999998</v>
      </c>
      <c r="G285">
        <v>2.36</v>
      </c>
      <c r="L285" t="s">
        <v>8</v>
      </c>
      <c r="M285" t="s">
        <v>8</v>
      </c>
      <c r="N285" t="s">
        <v>8</v>
      </c>
      <c r="P285">
        <f t="shared" si="9"/>
        <v>-0.53804528804528828</v>
      </c>
      <c r="Q285">
        <f t="shared" si="10"/>
        <v>-234448.58609249094</v>
      </c>
      <c r="R285">
        <f t="shared" si="11"/>
        <v>6015829.5158857573</v>
      </c>
      <c r="S285">
        <f t="shared" si="12"/>
        <v>60.15829515885757</v>
      </c>
      <c r="T285">
        <f t="shared" si="13"/>
        <v>6.0158295158857567E-2</v>
      </c>
    </row>
    <row r="286" spans="1:20" x14ac:dyDescent="0.25">
      <c r="A286" s="5">
        <v>44307</v>
      </c>
      <c r="B286">
        <v>360.69900000000001</v>
      </c>
      <c r="C286">
        <v>384.70100000000002</v>
      </c>
      <c r="D286">
        <v>341.447</v>
      </c>
      <c r="E286">
        <v>351.43099999999998</v>
      </c>
      <c r="F286">
        <v>214484.79199999999</v>
      </c>
      <c r="G286">
        <v>-2.57</v>
      </c>
      <c r="L286" t="s">
        <v>8</v>
      </c>
      <c r="M286" t="s">
        <v>8</v>
      </c>
      <c r="N286" t="s">
        <v>7</v>
      </c>
      <c r="P286">
        <f t="shared" si="9"/>
        <v>-0.5383548342349852</v>
      </c>
      <c r="Q286">
        <f t="shared" si="10"/>
        <v>-115468.92464308528</v>
      </c>
      <c r="R286">
        <f t="shared" si="11"/>
        <v>6250278.101978248</v>
      </c>
      <c r="S286">
        <f t="shared" si="12"/>
        <v>62.502781019782482</v>
      </c>
      <c r="T286">
        <f t="shared" si="13"/>
        <v>6.2502781019782488E-2</v>
      </c>
    </row>
    <row r="287" spans="1:20" x14ac:dyDescent="0.25">
      <c r="A287" s="5">
        <v>44306</v>
      </c>
      <c r="B287">
        <v>344.60199999999998</v>
      </c>
      <c r="C287">
        <v>371.35700000000003</v>
      </c>
      <c r="D287">
        <v>309.05</v>
      </c>
      <c r="E287">
        <v>360.44900000000001</v>
      </c>
      <c r="F287">
        <v>256030.587</v>
      </c>
      <c r="G287">
        <v>4.5999999999999996</v>
      </c>
      <c r="L287" t="s">
        <v>7</v>
      </c>
      <c r="M287" t="s">
        <v>7</v>
      </c>
      <c r="N287" t="s">
        <v>7</v>
      </c>
      <c r="P287">
        <f t="shared" si="9"/>
        <v>0.6498627762530691</v>
      </c>
      <c r="Q287">
        <f t="shared" si="10"/>
        <v>166384.74807352293</v>
      </c>
      <c r="R287">
        <f t="shared" si="11"/>
        <v>6365747.0266213333</v>
      </c>
      <c r="S287">
        <f t="shared" si="12"/>
        <v>63.65747026621333</v>
      </c>
      <c r="T287">
        <f t="shared" si="13"/>
        <v>6.3657470266213337E-2</v>
      </c>
    </row>
    <row r="288" spans="1:20" x14ac:dyDescent="0.25">
      <c r="A288" s="5">
        <v>44305</v>
      </c>
      <c r="B288">
        <v>381.3</v>
      </c>
      <c r="C288">
        <v>398.32900000000001</v>
      </c>
      <c r="D288">
        <v>340.54599999999999</v>
      </c>
      <c r="E288">
        <v>344.142</v>
      </c>
      <c r="F288">
        <v>232671.519</v>
      </c>
      <c r="G288">
        <v>-9.75</v>
      </c>
      <c r="L288" t="s">
        <v>8</v>
      </c>
      <c r="M288" t="s">
        <v>8</v>
      </c>
      <c r="N288" t="s">
        <v>7</v>
      </c>
      <c r="P288">
        <f t="shared" si="9"/>
        <v>-0.87553432670508613</v>
      </c>
      <c r="Q288">
        <f t="shared" si="10"/>
        <v>-203711.90173111466</v>
      </c>
      <c r="R288">
        <f t="shared" si="11"/>
        <v>6199362.2785478104</v>
      </c>
      <c r="S288">
        <f t="shared" si="12"/>
        <v>61.993622785478102</v>
      </c>
      <c r="T288">
        <f t="shared" si="13"/>
        <v>6.1993622785478104E-2</v>
      </c>
    </row>
    <row r="289" spans="1:20" x14ac:dyDescent="0.25">
      <c r="A289" s="5">
        <v>44304</v>
      </c>
      <c r="B289">
        <v>425.00099999999998</v>
      </c>
      <c r="C289">
        <v>428.77499999999998</v>
      </c>
      <c r="D289">
        <v>280.72699999999998</v>
      </c>
      <c r="E289">
        <v>381.49799999999999</v>
      </c>
      <c r="F289">
        <v>467760.75699999998</v>
      </c>
      <c r="G289">
        <v>-10.24</v>
      </c>
      <c r="L289" t="s">
        <v>7</v>
      </c>
      <c r="M289" t="s">
        <v>7</v>
      </c>
      <c r="N289" t="s">
        <v>7</v>
      </c>
      <c r="P289">
        <f t="shared" si="9"/>
        <v>0.36132875824057081</v>
      </c>
      <c r="Q289">
        <f t="shared" si="10"/>
        <v>169015.41348047939</v>
      </c>
      <c r="R289">
        <f t="shared" si="11"/>
        <v>6403074.1802789252</v>
      </c>
      <c r="S289">
        <f t="shared" si="12"/>
        <v>64.030741802789251</v>
      </c>
      <c r="T289">
        <f t="shared" si="13"/>
        <v>6.4030741802789254E-2</v>
      </c>
    </row>
    <row r="290" spans="1:20" x14ac:dyDescent="0.25">
      <c r="A290" s="5">
        <v>44303</v>
      </c>
      <c r="B290">
        <v>441.31799999999998</v>
      </c>
      <c r="C290">
        <v>462.17599999999999</v>
      </c>
      <c r="D290">
        <v>418.262</v>
      </c>
      <c r="E290">
        <v>425</v>
      </c>
      <c r="F290">
        <v>144154.81599999999</v>
      </c>
      <c r="G290">
        <v>-3.7</v>
      </c>
      <c r="L290" t="s">
        <v>8</v>
      </c>
      <c r="M290" t="s">
        <v>8</v>
      </c>
      <c r="N290" t="s">
        <v>8</v>
      </c>
      <c r="P290">
        <f t="shared" si="9"/>
        <v>-0.69312747643120642</v>
      </c>
      <c r="Q290">
        <f t="shared" si="10"/>
        <v>-99917.663829484896</v>
      </c>
      <c r="R290">
        <f t="shared" si="11"/>
        <v>6234058.766798446</v>
      </c>
      <c r="S290">
        <f t="shared" si="12"/>
        <v>62.340587667984458</v>
      </c>
      <c r="T290">
        <f t="shared" si="13"/>
        <v>6.2340587667984455E-2</v>
      </c>
    </row>
    <row r="291" spans="1:20" x14ac:dyDescent="0.25">
      <c r="A291" s="5">
        <v>44302</v>
      </c>
      <c r="B291">
        <v>466.07600000000002</v>
      </c>
      <c r="C291">
        <v>470.07299999999998</v>
      </c>
      <c r="D291">
        <v>418.529</v>
      </c>
      <c r="E291">
        <v>440.78399999999999</v>
      </c>
      <c r="F291">
        <v>281327.68699999998</v>
      </c>
      <c r="G291">
        <v>-5.43</v>
      </c>
      <c r="L291" t="s">
        <v>7</v>
      </c>
      <c r="M291" t="s">
        <v>8</v>
      </c>
      <c r="N291" t="s">
        <v>8</v>
      </c>
      <c r="P291">
        <f t="shared" si="9"/>
        <v>-0.13646593201924559</v>
      </c>
      <c r="Q291">
        <f t="shared" si="10"/>
        <v>-38391.645009273598</v>
      </c>
      <c r="R291">
        <f t="shared" si="11"/>
        <v>6333976.4306279309</v>
      </c>
      <c r="S291">
        <f t="shared" si="12"/>
        <v>63.339764306279307</v>
      </c>
      <c r="T291">
        <f t="shared" si="13"/>
        <v>6.33397643062793E-2</v>
      </c>
    </row>
    <row r="292" spans="1:20" x14ac:dyDescent="0.25">
      <c r="A292" s="5">
        <v>44301</v>
      </c>
      <c r="B292">
        <v>428.47399999999999</v>
      </c>
      <c r="C292">
        <v>489</v>
      </c>
      <c r="D292">
        <v>422.3</v>
      </c>
      <c r="E292">
        <v>466.07600000000002</v>
      </c>
      <c r="F292">
        <v>427683.29100000003</v>
      </c>
      <c r="G292">
        <v>8.7799999999999994</v>
      </c>
      <c r="L292" t="s">
        <v>8</v>
      </c>
      <c r="M292" t="s">
        <v>8</v>
      </c>
      <c r="N292" t="s">
        <v>8</v>
      </c>
      <c r="P292">
        <f t="shared" si="9"/>
        <v>0.31262368815592256</v>
      </c>
      <c r="Q292">
        <f t="shared" si="10"/>
        <v>133703.92779508268</v>
      </c>
      <c r="R292">
        <f t="shared" si="11"/>
        <v>6372368.0756372046</v>
      </c>
      <c r="S292">
        <f t="shared" si="12"/>
        <v>63.723680756372048</v>
      </c>
      <c r="T292">
        <f t="shared" si="13"/>
        <v>6.3723680756372053E-2</v>
      </c>
    </row>
    <row r="293" spans="1:20" x14ac:dyDescent="0.25">
      <c r="A293" s="5">
        <v>44300</v>
      </c>
      <c r="B293">
        <v>398.95299999999997</v>
      </c>
      <c r="C293">
        <v>431.1</v>
      </c>
      <c r="D293">
        <v>386.88799999999998</v>
      </c>
      <c r="E293">
        <v>428.517</v>
      </c>
      <c r="F293">
        <v>285814.239</v>
      </c>
      <c r="G293">
        <v>7.41</v>
      </c>
      <c r="L293" t="s">
        <v>8</v>
      </c>
      <c r="M293" t="s">
        <v>8</v>
      </c>
      <c r="N293" t="s">
        <v>8</v>
      </c>
      <c r="P293">
        <f t="shared" si="9"/>
        <v>0.88315389487016993</v>
      </c>
      <c r="Q293">
        <f t="shared" si="10"/>
        <v>252417.95838220362</v>
      </c>
      <c r="R293">
        <f t="shared" si="11"/>
        <v>6238664.1478421222</v>
      </c>
      <c r="S293">
        <f t="shared" si="12"/>
        <v>62.386641478421225</v>
      </c>
      <c r="T293">
        <f t="shared" si="13"/>
        <v>6.2386641478421226E-2</v>
      </c>
    </row>
    <row r="294" spans="1:20" x14ac:dyDescent="0.25">
      <c r="A294" s="5">
        <v>44299</v>
      </c>
      <c r="B294">
        <v>397.50200000000001</v>
      </c>
      <c r="C294">
        <v>420.91800000000001</v>
      </c>
      <c r="D294">
        <v>384.38299999999998</v>
      </c>
      <c r="E294">
        <v>399.07400000000001</v>
      </c>
      <c r="F294">
        <v>286982.217</v>
      </c>
      <c r="G294">
        <v>0.4</v>
      </c>
      <c r="L294" t="s">
        <v>8</v>
      </c>
      <c r="M294" t="s">
        <v>8</v>
      </c>
      <c r="N294" t="s">
        <v>8</v>
      </c>
      <c r="P294">
        <f t="shared" si="9"/>
        <v>-0.19578486382920374</v>
      </c>
      <c r="Q294">
        <f t="shared" si="10"/>
        <v>-56186.774276748001</v>
      </c>
      <c r="R294">
        <f t="shared" si="11"/>
        <v>5986246.189459919</v>
      </c>
      <c r="S294">
        <f t="shared" si="12"/>
        <v>59.862461894599193</v>
      </c>
      <c r="T294">
        <f t="shared" si="13"/>
        <v>5.9862461894599192E-2</v>
      </c>
    </row>
    <row r="295" spans="1:20" x14ac:dyDescent="0.25">
      <c r="A295" s="5">
        <v>44298</v>
      </c>
      <c r="B295">
        <v>372.23099999999999</v>
      </c>
      <c r="C295">
        <v>418.05</v>
      </c>
      <c r="D295">
        <v>365</v>
      </c>
      <c r="E295">
        <v>397.56400000000002</v>
      </c>
      <c r="F295">
        <v>394741.45400000003</v>
      </c>
      <c r="G295">
        <v>6.81</v>
      </c>
      <c r="L295" t="s">
        <v>8</v>
      </c>
      <c r="M295" t="s">
        <v>8</v>
      </c>
      <c r="N295" t="s">
        <v>8</v>
      </c>
      <c r="P295">
        <f t="shared" si="9"/>
        <v>0.22767200754005709</v>
      </c>
      <c r="Q295">
        <f t="shared" si="10"/>
        <v>89871.579291461108</v>
      </c>
      <c r="R295">
        <f t="shared" si="11"/>
        <v>6042432.9637366673</v>
      </c>
      <c r="S295">
        <f t="shared" si="12"/>
        <v>60.424329637366675</v>
      </c>
      <c r="T295">
        <f t="shared" si="13"/>
        <v>6.0424329637366672E-2</v>
      </c>
    </row>
    <row r="296" spans="1:20" x14ac:dyDescent="0.25">
      <c r="A296" s="5">
        <v>44297</v>
      </c>
      <c r="B296">
        <v>367.33100000000002</v>
      </c>
      <c r="C296">
        <v>375</v>
      </c>
      <c r="D296">
        <v>360.28300000000002</v>
      </c>
      <c r="E296">
        <v>372.02600000000001</v>
      </c>
      <c r="F296">
        <v>80279.600000000006</v>
      </c>
      <c r="G296">
        <v>1.28</v>
      </c>
      <c r="L296" t="s">
        <v>8</v>
      </c>
      <c r="M296" t="s">
        <v>7</v>
      </c>
      <c r="N296" t="s">
        <v>8</v>
      </c>
      <c r="P296">
        <f t="shared" si="9"/>
        <v>0.59584154379289356</v>
      </c>
      <c r="Q296">
        <f t="shared" si="10"/>
        <v>47833.920799075982</v>
      </c>
      <c r="R296">
        <f t="shared" si="11"/>
        <v>5952561.3844452063</v>
      </c>
      <c r="S296">
        <f t="shared" si="12"/>
        <v>59.52561384445206</v>
      </c>
      <c r="T296">
        <f t="shared" si="13"/>
        <v>5.9525613844452062E-2</v>
      </c>
    </row>
    <row r="297" spans="1:20" x14ac:dyDescent="0.25">
      <c r="A297" s="5">
        <v>44296</v>
      </c>
      <c r="B297">
        <v>358.99900000000002</v>
      </c>
      <c r="C297">
        <v>375.62599999999998</v>
      </c>
      <c r="D297">
        <v>356.08699999999999</v>
      </c>
      <c r="E297">
        <v>367.29500000000002</v>
      </c>
      <c r="F297">
        <v>125065.961</v>
      </c>
      <c r="G297">
        <v>2.31</v>
      </c>
      <c r="L297" t="s">
        <v>8</v>
      </c>
      <c r="M297" t="s">
        <v>7</v>
      </c>
      <c r="N297" t="s">
        <v>8</v>
      </c>
      <c r="P297">
        <f t="shared" si="9"/>
        <v>0.14724397359128247</v>
      </c>
      <c r="Q297">
        <f t="shared" si="10"/>
        <v>18415.209058652363</v>
      </c>
      <c r="R297">
        <f t="shared" si="11"/>
        <v>5904727.4636461306</v>
      </c>
      <c r="S297">
        <f t="shared" si="12"/>
        <v>59.047274636461303</v>
      </c>
      <c r="T297">
        <f t="shared" si="13"/>
        <v>5.9047274636461304E-2</v>
      </c>
    </row>
    <row r="298" spans="1:20" x14ac:dyDescent="0.25">
      <c r="A298" s="5">
        <v>44295</v>
      </c>
      <c r="B298">
        <v>371.04599999999999</v>
      </c>
      <c r="C298">
        <v>374.22</v>
      </c>
      <c r="D298">
        <v>356.60399999999998</v>
      </c>
      <c r="E298">
        <v>358.863</v>
      </c>
      <c r="F298">
        <v>78595.934999999998</v>
      </c>
      <c r="G298">
        <v>-3.28</v>
      </c>
      <c r="L298" t="s">
        <v>8</v>
      </c>
      <c r="M298" t="s">
        <v>7</v>
      </c>
      <c r="N298" t="s">
        <v>8</v>
      </c>
      <c r="P298">
        <f t="shared" si="9"/>
        <v>-0.74352861035422235</v>
      </c>
      <c r="Q298">
        <f t="shared" si="10"/>
        <v>-58438.326330040785</v>
      </c>
      <c r="R298">
        <f t="shared" si="11"/>
        <v>5886312.254587478</v>
      </c>
      <c r="S298">
        <f t="shared" si="12"/>
        <v>58.863122545874781</v>
      </c>
      <c r="T298">
        <f t="shared" si="13"/>
        <v>5.886312254587478E-2</v>
      </c>
    </row>
    <row r="299" spans="1:20" x14ac:dyDescent="0.25">
      <c r="A299" s="5">
        <v>44294</v>
      </c>
      <c r="B299">
        <v>348.67200000000003</v>
      </c>
      <c r="C299">
        <v>371.56599999999997</v>
      </c>
      <c r="D299">
        <v>346.4</v>
      </c>
      <c r="E299">
        <v>371.02699999999999</v>
      </c>
      <c r="F299">
        <v>122396.09600000001</v>
      </c>
      <c r="G299">
        <v>6.41</v>
      </c>
      <c r="L299" t="s">
        <v>8</v>
      </c>
      <c r="M299" t="s">
        <v>7</v>
      </c>
      <c r="N299" t="s">
        <v>8</v>
      </c>
      <c r="P299">
        <f t="shared" si="9"/>
        <v>0.95716442819677439</v>
      </c>
      <c r="Q299">
        <f t="shared" si="10"/>
        <v>117153.18924135751</v>
      </c>
      <c r="R299">
        <f t="shared" si="11"/>
        <v>5944750.5809175186</v>
      </c>
      <c r="S299">
        <f t="shared" si="12"/>
        <v>59.447505809175183</v>
      </c>
      <c r="T299">
        <f t="shared" si="13"/>
        <v>5.9447505809175183E-2</v>
      </c>
    </row>
    <row r="300" spans="1:20" x14ac:dyDescent="0.25">
      <c r="A300" s="5">
        <v>44293</v>
      </c>
      <c r="B300">
        <v>383.29300000000001</v>
      </c>
      <c r="C300">
        <v>387.12900000000002</v>
      </c>
      <c r="D300">
        <v>340.20699999999999</v>
      </c>
      <c r="E300">
        <v>349.20299999999997</v>
      </c>
      <c r="F300">
        <v>184615.22</v>
      </c>
      <c r="G300">
        <v>-8.89</v>
      </c>
      <c r="L300" t="s">
        <v>7</v>
      </c>
      <c r="M300" t="s">
        <v>7</v>
      </c>
      <c r="N300" t="s">
        <v>8</v>
      </c>
      <c r="P300">
        <f t="shared" si="9"/>
        <v>-0.61655513405225792</v>
      </c>
      <c r="Q300">
        <f t="shared" si="10"/>
        <v>-113825.46171518709</v>
      </c>
      <c r="R300">
        <f t="shared" si="11"/>
        <v>5827597.3916761614</v>
      </c>
      <c r="S300">
        <f t="shared" si="12"/>
        <v>58.275973916761615</v>
      </c>
      <c r="T300">
        <f t="shared" si="13"/>
        <v>5.8275973916761613E-2</v>
      </c>
    </row>
    <row r="301" spans="1:20" x14ac:dyDescent="0.25">
      <c r="A301" s="5">
        <v>44292</v>
      </c>
      <c r="B301">
        <v>398.399</v>
      </c>
      <c r="C301">
        <v>415.12900000000002</v>
      </c>
      <c r="D301">
        <v>379.303</v>
      </c>
      <c r="E301">
        <v>382.99</v>
      </c>
      <c r="F301">
        <v>177327.111</v>
      </c>
      <c r="G301">
        <v>-3.87</v>
      </c>
      <c r="L301" t="s">
        <v>8</v>
      </c>
      <c r="M301" t="s">
        <v>8</v>
      </c>
      <c r="N301" t="s">
        <v>8</v>
      </c>
      <c r="P301">
        <f t="shared" si="9"/>
        <v>-0.79417183051415119</v>
      </c>
      <c r="Q301">
        <f t="shared" si="10"/>
        <v>-140828.19634265607</v>
      </c>
      <c r="R301">
        <f t="shared" si="11"/>
        <v>5941422.8533913484</v>
      </c>
      <c r="S301">
        <f t="shared" si="12"/>
        <v>59.414228533913487</v>
      </c>
      <c r="T301">
        <f t="shared" si="13"/>
        <v>5.9414228533913489E-2</v>
      </c>
    </row>
    <row r="302" spans="1:20" x14ac:dyDescent="0.25">
      <c r="A302" s="5">
        <v>44291</v>
      </c>
      <c r="B302">
        <v>403.49900000000002</v>
      </c>
      <c r="C302">
        <v>408.17099999999999</v>
      </c>
      <c r="D302">
        <v>383.36399999999998</v>
      </c>
      <c r="E302">
        <v>398.08499999999998</v>
      </c>
      <c r="F302">
        <v>107399.952</v>
      </c>
      <c r="G302">
        <v>-1.34</v>
      </c>
      <c r="L302" t="s">
        <v>8</v>
      </c>
      <c r="M302" t="s">
        <v>8</v>
      </c>
      <c r="N302" t="s">
        <v>8</v>
      </c>
      <c r="P302">
        <f t="shared" si="9"/>
        <v>0.18684242350949279</v>
      </c>
      <c r="Q302">
        <f t="shared" si="10"/>
        <v>20066.867316483196</v>
      </c>
      <c r="R302">
        <f t="shared" si="11"/>
        <v>6082251.0497340048</v>
      </c>
      <c r="S302">
        <f t="shared" si="12"/>
        <v>60.822510497340048</v>
      </c>
      <c r="T302">
        <f t="shared" si="13"/>
        <v>6.0822510497340047E-2</v>
      </c>
    </row>
    <row r="303" spans="1:20" x14ac:dyDescent="0.25">
      <c r="A303" s="5">
        <v>44290</v>
      </c>
      <c r="B303">
        <v>379.59800000000001</v>
      </c>
      <c r="C303">
        <v>411.66399999999999</v>
      </c>
      <c r="D303">
        <v>372</v>
      </c>
      <c r="E303">
        <v>403.4</v>
      </c>
      <c r="F303">
        <v>110604.90399999999</v>
      </c>
      <c r="G303">
        <v>6.27</v>
      </c>
      <c r="L303" t="s">
        <v>7</v>
      </c>
      <c r="M303" t="s">
        <v>8</v>
      </c>
      <c r="N303" t="s">
        <v>8</v>
      </c>
      <c r="P303">
        <f t="shared" si="9"/>
        <v>0.5832997176280752</v>
      </c>
      <c r="Q303">
        <f t="shared" si="10"/>
        <v>64515.809271480364</v>
      </c>
      <c r="R303">
        <f t="shared" si="11"/>
        <v>6062184.1824175213</v>
      </c>
      <c r="S303">
        <f t="shared" si="12"/>
        <v>60.621841824175213</v>
      </c>
      <c r="T303">
        <f t="shared" si="13"/>
        <v>6.062184182417521E-2</v>
      </c>
    </row>
    <row r="304" spans="1:20" x14ac:dyDescent="0.25">
      <c r="A304" s="5">
        <v>44289</v>
      </c>
      <c r="B304">
        <v>420</v>
      </c>
      <c r="C304">
        <v>425.5</v>
      </c>
      <c r="D304">
        <v>376.31400000000002</v>
      </c>
      <c r="E304">
        <v>379.62200000000001</v>
      </c>
      <c r="F304">
        <v>137624.375</v>
      </c>
      <c r="G304">
        <v>-9.61</v>
      </c>
      <c r="L304" t="s">
        <v>7</v>
      </c>
      <c r="M304" t="s">
        <v>8</v>
      </c>
      <c r="N304" t="s">
        <v>8</v>
      </c>
      <c r="P304">
        <f t="shared" si="9"/>
        <v>-0.8654901801325583</v>
      </c>
      <c r="Q304">
        <f t="shared" si="10"/>
        <v>-119112.54510938075</v>
      </c>
      <c r="R304">
        <f t="shared" si="11"/>
        <v>5997668.3731460413</v>
      </c>
      <c r="S304">
        <f t="shared" si="12"/>
        <v>59.976683731460412</v>
      </c>
      <c r="T304">
        <f t="shared" si="13"/>
        <v>5.9976683731460409E-2</v>
      </c>
    </row>
    <row r="305" spans="1:20" x14ac:dyDescent="0.25">
      <c r="A305" s="5">
        <v>44288</v>
      </c>
      <c r="B305">
        <v>382.24900000000002</v>
      </c>
      <c r="C305">
        <v>422.31200000000001</v>
      </c>
      <c r="D305">
        <v>377.35300000000001</v>
      </c>
      <c r="E305">
        <v>420.08199999999999</v>
      </c>
      <c r="F305">
        <v>191826.84400000001</v>
      </c>
      <c r="G305">
        <v>9.9</v>
      </c>
      <c r="L305" t="s">
        <v>8</v>
      </c>
      <c r="M305" t="s">
        <v>8</v>
      </c>
      <c r="N305" t="s">
        <v>8</v>
      </c>
      <c r="P305">
        <f t="shared" si="9"/>
        <v>0.90079850530483252</v>
      </c>
      <c r="Q305">
        <f t="shared" si="10"/>
        <v>172797.33435254329</v>
      </c>
      <c r="R305">
        <f t="shared" si="11"/>
        <v>6116780.9182554223</v>
      </c>
      <c r="S305">
        <f t="shared" si="12"/>
        <v>61.167809182554223</v>
      </c>
      <c r="T305">
        <f t="shared" si="13"/>
        <v>6.1167809182554225E-2</v>
      </c>
    </row>
    <row r="306" spans="1:20" x14ac:dyDescent="0.25">
      <c r="A306" s="5">
        <v>44287</v>
      </c>
      <c r="B306">
        <v>382.56700000000001</v>
      </c>
      <c r="C306">
        <v>393.5</v>
      </c>
      <c r="D306">
        <v>370.851</v>
      </c>
      <c r="E306">
        <v>382.21600000000001</v>
      </c>
      <c r="F306">
        <v>151457.54199999999</v>
      </c>
      <c r="G306">
        <v>-0.09</v>
      </c>
      <c r="L306" t="s">
        <v>8</v>
      </c>
      <c r="M306" t="s">
        <v>8</v>
      </c>
      <c r="N306" t="s">
        <v>7</v>
      </c>
      <c r="P306">
        <f t="shared" si="9"/>
        <v>3.5763168351811239E-3</v>
      </c>
      <c r="Q306">
        <f t="shared" si="10"/>
        <v>541.66015726975206</v>
      </c>
      <c r="R306">
        <f t="shared" si="11"/>
        <v>5943983.5839028787</v>
      </c>
      <c r="S306">
        <f t="shared" si="12"/>
        <v>59.439835839028788</v>
      </c>
      <c r="T306">
        <f t="shared" si="13"/>
        <v>5.9439835839028787E-2</v>
      </c>
    </row>
    <row r="307" spans="1:20" x14ac:dyDescent="0.25">
      <c r="A307" s="5">
        <v>44286</v>
      </c>
      <c r="B307">
        <v>377.30500000000001</v>
      </c>
      <c r="C307">
        <v>395</v>
      </c>
      <c r="D307">
        <v>357.40100000000001</v>
      </c>
      <c r="E307">
        <v>382.56700000000001</v>
      </c>
      <c r="F307">
        <v>196426.49400000001</v>
      </c>
      <c r="G307">
        <v>1.39</v>
      </c>
      <c r="L307" t="s">
        <v>8</v>
      </c>
      <c r="M307" t="s">
        <v>8</v>
      </c>
      <c r="N307" t="s">
        <v>7</v>
      </c>
      <c r="P307">
        <f t="shared" si="9"/>
        <v>0.33865262373999327</v>
      </c>
      <c r="Q307">
        <f t="shared" si="10"/>
        <v>66520.347565148055</v>
      </c>
      <c r="R307">
        <f t="shared" si="11"/>
        <v>5943441.9237456089</v>
      </c>
      <c r="S307">
        <f t="shared" si="12"/>
        <v>59.43441923745609</v>
      </c>
      <c r="T307">
        <f t="shared" si="13"/>
        <v>5.9434419237456092E-2</v>
      </c>
    </row>
    <row r="308" spans="1:20" x14ac:dyDescent="0.25">
      <c r="A308" s="5">
        <v>44285</v>
      </c>
      <c r="B308">
        <v>360.69400000000002</v>
      </c>
      <c r="C308">
        <v>383.59899999999999</v>
      </c>
      <c r="D308">
        <v>353</v>
      </c>
      <c r="E308">
        <v>377.32799999999997</v>
      </c>
      <c r="F308">
        <v>143158.50399999999</v>
      </c>
      <c r="G308">
        <v>4.6100000000000003</v>
      </c>
      <c r="L308" t="s">
        <v>8</v>
      </c>
      <c r="M308" t="s">
        <v>8</v>
      </c>
      <c r="N308" t="s">
        <v>7</v>
      </c>
      <c r="P308">
        <f t="shared" si="9"/>
        <v>0.59011732409555751</v>
      </c>
      <c r="Q308">
        <f t="shared" si="10"/>
        <v>84480.313302003153</v>
      </c>
      <c r="R308">
        <f t="shared" si="11"/>
        <v>5876921.5761804609</v>
      </c>
      <c r="S308">
        <f t="shared" si="12"/>
        <v>58.76921576180461</v>
      </c>
      <c r="T308">
        <f t="shared" si="13"/>
        <v>5.8769215761804612E-2</v>
      </c>
    </row>
    <row r="309" spans="1:20" x14ac:dyDescent="0.25">
      <c r="A309" s="5">
        <v>44284</v>
      </c>
      <c r="B309">
        <v>348.036</v>
      </c>
      <c r="C309">
        <v>367.81900000000002</v>
      </c>
      <c r="D309">
        <v>344.39</v>
      </c>
      <c r="E309">
        <v>360.827</v>
      </c>
      <c r="F309">
        <v>122881.97100000001</v>
      </c>
      <c r="G309">
        <v>3.68</v>
      </c>
      <c r="L309" t="s">
        <v>8</v>
      </c>
      <c r="M309" t="s">
        <v>8</v>
      </c>
      <c r="N309" t="s">
        <v>7</v>
      </c>
      <c r="P309">
        <f t="shared" si="9"/>
        <v>0.40313286952067867</v>
      </c>
      <c r="Q309">
        <f t="shared" si="10"/>
        <v>49537.761581586819</v>
      </c>
      <c r="R309">
        <f t="shared" si="11"/>
        <v>5792441.262878458</v>
      </c>
      <c r="S309">
        <f t="shared" si="12"/>
        <v>57.92441262878458</v>
      </c>
      <c r="T309">
        <f t="shared" si="13"/>
        <v>5.7924412628784581E-2</v>
      </c>
    </row>
    <row r="310" spans="1:20" x14ac:dyDescent="0.25">
      <c r="A310" s="5">
        <v>44283</v>
      </c>
      <c r="B310">
        <v>351.315</v>
      </c>
      <c r="C310">
        <v>356.83</v>
      </c>
      <c r="D310">
        <v>332.06</v>
      </c>
      <c r="E310">
        <v>347.721</v>
      </c>
      <c r="F310">
        <v>90141.866999999998</v>
      </c>
      <c r="G310">
        <v>-1.02</v>
      </c>
      <c r="L310" t="s">
        <v>7</v>
      </c>
      <c r="M310" t="s">
        <v>8</v>
      </c>
      <c r="N310" t="s">
        <v>7</v>
      </c>
      <c r="P310">
        <f t="shared" si="9"/>
        <v>0.26451352442470832</v>
      </c>
      <c r="Q310">
        <f t="shared" si="10"/>
        <v>23843.742938393309</v>
      </c>
      <c r="R310">
        <f t="shared" si="11"/>
        <v>5742903.5012968713</v>
      </c>
      <c r="S310">
        <f t="shared" si="12"/>
        <v>57.429035012968711</v>
      </c>
      <c r="T310">
        <f t="shared" si="13"/>
        <v>5.7429035012968713E-2</v>
      </c>
    </row>
    <row r="311" spans="1:20" x14ac:dyDescent="0.25">
      <c r="A311" s="5">
        <v>44282</v>
      </c>
      <c r="B311">
        <v>358.68200000000002</v>
      </c>
      <c r="C311">
        <v>361.97500000000002</v>
      </c>
      <c r="D311">
        <v>339.40800000000002</v>
      </c>
      <c r="E311">
        <v>351.31900000000002</v>
      </c>
      <c r="F311">
        <v>77996.413</v>
      </c>
      <c r="G311">
        <v>-2.0499999999999998</v>
      </c>
      <c r="L311" t="s">
        <v>8</v>
      </c>
      <c r="M311" t="s">
        <v>8</v>
      </c>
      <c r="N311" t="s">
        <v>7</v>
      </c>
      <c r="P311">
        <f t="shared" si="9"/>
        <v>5.5612177072716582E-2</v>
      </c>
      <c r="Q311">
        <f t="shared" si="10"/>
        <v>4337.5503307927338</v>
      </c>
      <c r="R311">
        <f t="shared" si="11"/>
        <v>5719059.7583584776</v>
      </c>
      <c r="S311">
        <f t="shared" si="12"/>
        <v>57.190597583584776</v>
      </c>
      <c r="T311">
        <f t="shared" si="13"/>
        <v>5.7190597583584774E-2</v>
      </c>
    </row>
    <row r="312" spans="1:20" x14ac:dyDescent="0.25">
      <c r="A312" s="5">
        <v>44281</v>
      </c>
      <c r="B312">
        <v>325.63400000000001</v>
      </c>
      <c r="C312">
        <v>360.58600000000001</v>
      </c>
      <c r="D312">
        <v>325.23599999999999</v>
      </c>
      <c r="E312">
        <v>358.428</v>
      </c>
      <c r="F312">
        <v>119722.201</v>
      </c>
      <c r="G312">
        <v>10.07</v>
      </c>
      <c r="L312" t="s">
        <v>8</v>
      </c>
      <c r="M312" t="s">
        <v>8</v>
      </c>
      <c r="N312" t="s">
        <v>7</v>
      </c>
      <c r="P312">
        <f t="shared" si="9"/>
        <v>0.87790664780763716</v>
      </c>
      <c r="Q312">
        <f t="shared" si="10"/>
        <v>105104.91614806214</v>
      </c>
      <c r="R312">
        <f t="shared" si="11"/>
        <v>5714722.2080276851</v>
      </c>
      <c r="S312">
        <f t="shared" si="12"/>
        <v>57.147222080276848</v>
      </c>
      <c r="T312">
        <f t="shared" si="13"/>
        <v>5.7147222080276845E-2</v>
      </c>
    </row>
    <row r="313" spans="1:20" x14ac:dyDescent="0.25">
      <c r="A313" s="5">
        <v>44280</v>
      </c>
      <c r="B313">
        <v>308.39400000000001</v>
      </c>
      <c r="C313">
        <v>333.16800000000001</v>
      </c>
      <c r="D313">
        <v>298</v>
      </c>
      <c r="E313">
        <v>325.22300000000001</v>
      </c>
      <c r="F313">
        <v>158041.74600000001</v>
      </c>
      <c r="G313">
        <v>5.46</v>
      </c>
      <c r="L313" t="s">
        <v>8</v>
      </c>
      <c r="M313" t="s">
        <v>7</v>
      </c>
      <c r="N313" t="s">
        <v>7</v>
      </c>
      <c r="P313">
        <f t="shared" si="9"/>
        <v>0.5481687898089177</v>
      </c>
      <c r="Q313">
        <f t="shared" si="10"/>
        <v>86633.552644108364</v>
      </c>
      <c r="R313">
        <f t="shared" si="11"/>
        <v>5609617.2918796232</v>
      </c>
      <c r="S313">
        <f t="shared" si="12"/>
        <v>56.096172918796235</v>
      </c>
      <c r="T313">
        <f t="shared" si="13"/>
        <v>5.6096172918796233E-2</v>
      </c>
    </row>
    <row r="314" spans="1:20" x14ac:dyDescent="0.25">
      <c r="A314" s="5">
        <v>44279</v>
      </c>
      <c r="B314">
        <v>330.29899999999998</v>
      </c>
      <c r="C314">
        <v>348.80200000000002</v>
      </c>
      <c r="D314">
        <v>296.22500000000002</v>
      </c>
      <c r="E314">
        <v>308.01900000000001</v>
      </c>
      <c r="F314">
        <v>120517.599</v>
      </c>
      <c r="G314">
        <v>-6.75</v>
      </c>
      <c r="L314" t="s">
        <v>7</v>
      </c>
      <c r="M314" t="s">
        <v>7</v>
      </c>
      <c r="N314" t="s">
        <v>7</v>
      </c>
      <c r="P314">
        <f t="shared" si="9"/>
        <v>-0.55136276318542388</v>
      </c>
      <c r="Q314">
        <f t="shared" si="10"/>
        <v>-66448.916397112873</v>
      </c>
      <c r="R314">
        <f t="shared" si="11"/>
        <v>5522983.7392355148</v>
      </c>
      <c r="S314">
        <f t="shared" si="12"/>
        <v>55.229837392355151</v>
      </c>
      <c r="T314">
        <f t="shared" si="13"/>
        <v>5.5229837392355152E-2</v>
      </c>
    </row>
    <row r="315" spans="1:20" x14ac:dyDescent="0.25">
      <c r="A315" s="5">
        <v>44278</v>
      </c>
      <c r="B315">
        <v>336.19499999999999</v>
      </c>
      <c r="C315">
        <v>345.33699999999999</v>
      </c>
      <c r="D315">
        <v>325.92399999999998</v>
      </c>
      <c r="E315">
        <v>330.48899999999998</v>
      </c>
      <c r="F315">
        <v>100615.916</v>
      </c>
      <c r="G315">
        <v>-1.7</v>
      </c>
      <c r="L315" t="s">
        <v>7</v>
      </c>
      <c r="M315" t="s">
        <v>7</v>
      </c>
      <c r="N315" t="s">
        <v>7</v>
      </c>
      <c r="P315">
        <f t="shared" si="9"/>
        <v>-0.52969659506516298</v>
      </c>
      <c r="Q315">
        <f t="shared" si="10"/>
        <v>-53295.908114562451</v>
      </c>
      <c r="R315">
        <f t="shared" si="11"/>
        <v>5589432.6556326272</v>
      </c>
      <c r="S315">
        <f t="shared" si="12"/>
        <v>55.89432655632627</v>
      </c>
      <c r="T315">
        <f t="shared" si="13"/>
        <v>5.5894326556326271E-2</v>
      </c>
    </row>
    <row r="316" spans="1:20" x14ac:dyDescent="0.25">
      <c r="A316" s="5">
        <v>44277</v>
      </c>
      <c r="B316">
        <v>367.59699999999998</v>
      </c>
      <c r="C316">
        <v>373.72</v>
      </c>
      <c r="D316">
        <v>331.94799999999998</v>
      </c>
      <c r="E316">
        <v>336.33499999999998</v>
      </c>
      <c r="F316">
        <v>92905.149000000005</v>
      </c>
      <c r="G316">
        <v>-8.5</v>
      </c>
      <c r="L316" t="s">
        <v>7</v>
      </c>
      <c r="M316" t="s">
        <v>7</v>
      </c>
      <c r="N316" t="s">
        <v>7</v>
      </c>
      <c r="P316">
        <f t="shared" si="9"/>
        <v>-0.78995499377573519</v>
      </c>
      <c r="Q316">
        <f t="shared" si="10"/>
        <v>-73390.886400028758</v>
      </c>
      <c r="R316">
        <f t="shared" si="11"/>
        <v>5642728.5637471899</v>
      </c>
      <c r="S316">
        <f t="shared" si="12"/>
        <v>56.427285637471897</v>
      </c>
      <c r="T316">
        <f t="shared" si="13"/>
        <v>5.6427285637471895E-2</v>
      </c>
    </row>
    <row r="317" spans="1:20" x14ac:dyDescent="0.25">
      <c r="A317" s="5">
        <v>44276</v>
      </c>
      <c r="B317">
        <v>370.17099999999999</v>
      </c>
      <c r="C317">
        <v>375.82299999999998</v>
      </c>
      <c r="D317">
        <v>359.43200000000002</v>
      </c>
      <c r="E317">
        <v>367.339</v>
      </c>
      <c r="F317">
        <v>63351.065000000002</v>
      </c>
      <c r="G317">
        <v>-0.77</v>
      </c>
      <c r="L317" t="s">
        <v>7</v>
      </c>
      <c r="M317" t="s">
        <v>7</v>
      </c>
      <c r="N317" t="s">
        <v>8</v>
      </c>
      <c r="P317">
        <f t="shared" si="9"/>
        <v>-3.5202245134525016E-2</v>
      </c>
      <c r="Q317">
        <f t="shared" si="10"/>
        <v>-2230.0997196632279</v>
      </c>
      <c r="R317">
        <f t="shared" si="11"/>
        <v>5716119.450147219</v>
      </c>
      <c r="S317">
        <f t="shared" si="12"/>
        <v>57.161194501472188</v>
      </c>
      <c r="T317">
        <f t="shared" si="13"/>
        <v>5.7161194501472189E-2</v>
      </c>
    </row>
    <row r="318" spans="1:20" x14ac:dyDescent="0.25">
      <c r="A318" s="5">
        <v>44275</v>
      </c>
      <c r="B318">
        <v>368.82600000000002</v>
      </c>
      <c r="C318">
        <v>396.2</v>
      </c>
      <c r="D318">
        <v>367.375</v>
      </c>
      <c r="E318">
        <v>370.17099999999999</v>
      </c>
      <c r="F318">
        <v>95874.823000000004</v>
      </c>
      <c r="G318">
        <v>0.36</v>
      </c>
      <c r="L318" t="s">
        <v>8</v>
      </c>
      <c r="M318" t="s">
        <v>7</v>
      </c>
      <c r="N318" t="s">
        <v>8</v>
      </c>
      <c r="P318">
        <f t="shared" si="9"/>
        <v>-0.80600173460537772</v>
      </c>
      <c r="Q318">
        <f t="shared" si="10"/>
        <v>-77275.273642983564</v>
      </c>
      <c r="R318">
        <f t="shared" si="11"/>
        <v>5718349.5498668822</v>
      </c>
      <c r="S318">
        <f t="shared" si="12"/>
        <v>57.183495498668819</v>
      </c>
      <c r="T318">
        <f t="shared" si="13"/>
        <v>5.7183495498668815E-2</v>
      </c>
    </row>
    <row r="319" spans="1:20" x14ac:dyDescent="0.25">
      <c r="A319" s="5">
        <v>44274</v>
      </c>
      <c r="B319">
        <v>362.99099999999999</v>
      </c>
      <c r="C319">
        <v>380</v>
      </c>
      <c r="D319">
        <v>353.339</v>
      </c>
      <c r="E319">
        <v>368.86099999999999</v>
      </c>
      <c r="F319">
        <v>100318.817</v>
      </c>
      <c r="G319">
        <v>1.62</v>
      </c>
      <c r="L319" t="s">
        <v>7</v>
      </c>
      <c r="M319" t="s">
        <v>7</v>
      </c>
      <c r="N319" t="s">
        <v>8</v>
      </c>
      <c r="P319">
        <f t="shared" si="9"/>
        <v>0.16439743445482094</v>
      </c>
      <c r="Q319">
        <f t="shared" si="10"/>
        <v>16492.156142342676</v>
      </c>
      <c r="R319">
        <f t="shared" si="11"/>
        <v>5795624.8235098654</v>
      </c>
      <c r="S319">
        <f t="shared" si="12"/>
        <v>57.956248235098656</v>
      </c>
      <c r="T319">
        <f t="shared" si="13"/>
        <v>5.7956248235098658E-2</v>
      </c>
    </row>
    <row r="320" spans="1:20" x14ac:dyDescent="0.25">
      <c r="A320" s="5">
        <v>44273</v>
      </c>
      <c r="B320">
        <v>382.899</v>
      </c>
      <c r="C320">
        <v>384.72</v>
      </c>
      <c r="D320">
        <v>360.822</v>
      </c>
      <c r="E320">
        <v>363.13299999999998</v>
      </c>
      <c r="F320">
        <v>91231.72</v>
      </c>
      <c r="G320">
        <v>-5.16</v>
      </c>
      <c r="L320" t="s">
        <v>8</v>
      </c>
      <c r="M320" t="s">
        <v>7</v>
      </c>
      <c r="N320" t="s">
        <v>8</v>
      </c>
      <c r="P320">
        <f t="shared" si="9"/>
        <v>-0.80659469411666451</v>
      </c>
      <c r="Q320">
        <f t="shared" si="10"/>
        <v>-73587.021287137191</v>
      </c>
      <c r="R320">
        <f t="shared" si="11"/>
        <v>5779132.6673675226</v>
      </c>
      <c r="S320">
        <f t="shared" si="12"/>
        <v>57.791326673675229</v>
      </c>
      <c r="T320">
        <f t="shared" si="13"/>
        <v>5.7791326673675231E-2</v>
      </c>
    </row>
    <row r="321" spans="1:20" x14ac:dyDescent="0.25">
      <c r="A321" s="5">
        <v>44272</v>
      </c>
      <c r="B321">
        <v>370.67399999999998</v>
      </c>
      <c r="C321">
        <v>384.31900000000002</v>
      </c>
      <c r="D321">
        <v>358</v>
      </c>
      <c r="E321">
        <v>382.9</v>
      </c>
      <c r="F321">
        <v>118430.40399999999</v>
      </c>
      <c r="G321">
        <v>3.3</v>
      </c>
      <c r="L321" t="s">
        <v>8</v>
      </c>
      <c r="M321" t="s">
        <v>7</v>
      </c>
      <c r="N321" t="s">
        <v>8</v>
      </c>
      <c r="P321">
        <f t="shared" si="9"/>
        <v>0.89216915536304275</v>
      </c>
      <c r="Q321">
        <f t="shared" si="10"/>
        <v>105659.95350598391</v>
      </c>
      <c r="R321">
        <f t="shared" si="11"/>
        <v>5852719.6886546602</v>
      </c>
      <c r="S321">
        <f t="shared" si="12"/>
        <v>58.527196886546605</v>
      </c>
      <c r="T321">
        <f t="shared" si="13"/>
        <v>5.8527196886546604E-2</v>
      </c>
    </row>
    <row r="322" spans="1:20" x14ac:dyDescent="0.25">
      <c r="A322" s="5">
        <v>44271</v>
      </c>
      <c r="B322">
        <v>367.59199999999998</v>
      </c>
      <c r="C322">
        <v>377.99900000000002</v>
      </c>
      <c r="D322">
        <v>350.19400000000002</v>
      </c>
      <c r="E322">
        <v>370.666</v>
      </c>
      <c r="F322">
        <v>119804.40399999999</v>
      </c>
      <c r="G322">
        <v>0.84</v>
      </c>
      <c r="L322" t="s">
        <v>7</v>
      </c>
      <c r="M322" t="s">
        <v>7</v>
      </c>
      <c r="N322" t="s">
        <v>8</v>
      </c>
      <c r="P322">
        <f t="shared" si="9"/>
        <v>0.47254090990828806</v>
      </c>
      <c r="Q322">
        <f t="shared" si="10"/>
        <v>56612.482077180146</v>
      </c>
      <c r="R322">
        <f t="shared" si="11"/>
        <v>5747059.7351486767</v>
      </c>
      <c r="S322">
        <f t="shared" si="12"/>
        <v>57.470597351486767</v>
      </c>
      <c r="T322">
        <f t="shared" si="13"/>
        <v>5.7470597351486769E-2</v>
      </c>
    </row>
    <row r="323" spans="1:20" x14ac:dyDescent="0.25">
      <c r="A323" s="5">
        <v>44270</v>
      </c>
      <c r="B323">
        <v>380.00900000000001</v>
      </c>
      <c r="C323">
        <v>389.904</v>
      </c>
      <c r="D323">
        <v>353.791</v>
      </c>
      <c r="E323">
        <v>367.59199999999998</v>
      </c>
      <c r="F323">
        <v>150620.01800000001</v>
      </c>
      <c r="G323">
        <v>-3.27</v>
      </c>
      <c r="L323" t="s">
        <v>7</v>
      </c>
      <c r="M323" t="s">
        <v>7</v>
      </c>
      <c r="N323" t="s">
        <v>8</v>
      </c>
      <c r="P323">
        <f t="shared" si="9"/>
        <v>-0.23567690305430244</v>
      </c>
      <c r="Q323">
        <f t="shared" si="10"/>
        <v>-35497.659380223289</v>
      </c>
      <c r="R323">
        <f t="shared" si="11"/>
        <v>5690447.2530714963</v>
      </c>
      <c r="S323">
        <f t="shared" si="12"/>
        <v>56.904472530714962</v>
      </c>
      <c r="T323">
        <f t="shared" si="13"/>
        <v>5.6904472530714963E-2</v>
      </c>
    </row>
    <row r="324" spans="1:20" x14ac:dyDescent="0.25">
      <c r="A324" s="5">
        <v>44269</v>
      </c>
      <c r="B324">
        <v>413.94799999999998</v>
      </c>
      <c r="C324">
        <v>418.42700000000002</v>
      </c>
      <c r="D324">
        <v>376.86599999999999</v>
      </c>
      <c r="E324">
        <v>380.66899999999998</v>
      </c>
      <c r="F324">
        <v>169324.948</v>
      </c>
      <c r="G324">
        <v>-8.0399999999999991</v>
      </c>
      <c r="L324" t="s">
        <v>7</v>
      </c>
      <c r="M324" t="s">
        <v>8</v>
      </c>
      <c r="N324" t="s">
        <v>8</v>
      </c>
      <c r="P324">
        <f t="shared" si="9"/>
        <v>-0.81699189143668371</v>
      </c>
      <c r="Q324">
        <f t="shared" si="10"/>
        <v>-138337.10953393811</v>
      </c>
      <c r="R324">
        <f t="shared" si="11"/>
        <v>5725944.9124517199</v>
      </c>
      <c r="S324">
        <f t="shared" si="12"/>
        <v>57.259449124517197</v>
      </c>
      <c r="T324">
        <f t="shared" si="13"/>
        <v>5.7259449124517199E-2</v>
      </c>
    </row>
    <row r="325" spans="1:20" x14ac:dyDescent="0.25">
      <c r="A325" s="5">
        <v>44268</v>
      </c>
      <c r="B325">
        <v>373.69400000000002</v>
      </c>
      <c r="C325">
        <v>428</v>
      </c>
      <c r="D325">
        <v>359.67399999999998</v>
      </c>
      <c r="E325">
        <v>413.75900000000001</v>
      </c>
      <c r="F325">
        <v>233935.375</v>
      </c>
      <c r="G325">
        <v>10.72</v>
      </c>
      <c r="L325" t="s">
        <v>8</v>
      </c>
      <c r="M325" t="s">
        <v>8</v>
      </c>
      <c r="N325" t="s">
        <v>8</v>
      </c>
      <c r="P325">
        <f t="shared" si="9"/>
        <v>0.58314550829845213</v>
      </c>
      <c r="Q325">
        <f t="shared" si="10"/>
        <v>136418.363163364</v>
      </c>
      <c r="R325">
        <f t="shared" si="11"/>
        <v>5864282.0219856584</v>
      </c>
      <c r="S325">
        <f t="shared" si="12"/>
        <v>58.642820219856581</v>
      </c>
      <c r="T325">
        <f t="shared" si="13"/>
        <v>5.8642820219856583E-2</v>
      </c>
    </row>
    <row r="326" spans="1:20" x14ac:dyDescent="0.25">
      <c r="A326" s="5">
        <v>44267</v>
      </c>
      <c r="B326">
        <v>405.142</v>
      </c>
      <c r="C326">
        <v>408</v>
      </c>
      <c r="D326">
        <v>360</v>
      </c>
      <c r="E326">
        <v>373.76299999999998</v>
      </c>
      <c r="F326">
        <v>209409.99900000001</v>
      </c>
      <c r="G326">
        <v>-7.75</v>
      </c>
      <c r="L326" t="s">
        <v>7</v>
      </c>
      <c r="M326" t="s">
        <v>7</v>
      </c>
      <c r="N326" t="s">
        <v>8</v>
      </c>
      <c r="P326">
        <f t="shared" ref="P326:P389" si="14">IF(C326=D326,0,((E326-D326)-(C326-E326))/(C326-D326))</f>
        <v>-0.42654166666666765</v>
      </c>
      <c r="Q326">
        <f t="shared" ref="Q326:Q389" si="15">F326*P326</f>
        <v>-89322.089990125212</v>
      </c>
      <c r="R326">
        <f t="shared" ref="R326:R389" si="16">R327+Q326</f>
        <v>5727863.6588222943</v>
      </c>
      <c r="S326">
        <f t="shared" ref="S326:S389" si="17">R326/100000</f>
        <v>57.278636588222945</v>
      </c>
      <c r="T326">
        <f t="shared" ref="T326:T389" si="18">S326/1000</f>
        <v>5.7278636588222943E-2</v>
      </c>
    </row>
    <row r="327" spans="1:20" x14ac:dyDescent="0.25">
      <c r="A327" s="5">
        <v>44266</v>
      </c>
      <c r="B327">
        <v>406.25200000000001</v>
      </c>
      <c r="C327">
        <v>416</v>
      </c>
      <c r="D327">
        <v>387.428</v>
      </c>
      <c r="E327">
        <v>404.846</v>
      </c>
      <c r="F327">
        <v>169000.497</v>
      </c>
      <c r="G327">
        <v>-0.35</v>
      </c>
      <c r="L327" t="s">
        <v>7</v>
      </c>
      <c r="M327" t="s">
        <v>8</v>
      </c>
      <c r="N327" t="s">
        <v>8</v>
      </c>
      <c r="P327">
        <f t="shared" si="14"/>
        <v>0.21923561528769459</v>
      </c>
      <c r="Q327">
        <f t="shared" si="15"/>
        <v>37050.927943721181</v>
      </c>
      <c r="R327">
        <f t="shared" si="16"/>
        <v>5817185.7488124194</v>
      </c>
      <c r="S327">
        <f t="shared" si="17"/>
        <v>58.171857488124196</v>
      </c>
      <c r="T327">
        <f t="shared" si="18"/>
        <v>5.8171857488124194E-2</v>
      </c>
    </row>
    <row r="328" spans="1:20" x14ac:dyDescent="0.25">
      <c r="A328" s="5">
        <v>44265</v>
      </c>
      <c r="B328">
        <v>444.05900000000003</v>
      </c>
      <c r="C328">
        <v>459</v>
      </c>
      <c r="D328">
        <v>399.04199999999997</v>
      </c>
      <c r="E328">
        <v>406.84800000000001</v>
      </c>
      <c r="F328">
        <v>235481.22399999999</v>
      </c>
      <c r="G328">
        <v>-8.3800000000000008</v>
      </c>
      <c r="L328" t="s">
        <v>8</v>
      </c>
      <c r="M328" t="s">
        <v>8</v>
      </c>
      <c r="N328" t="s">
        <v>8</v>
      </c>
      <c r="P328">
        <f t="shared" si="14"/>
        <v>-0.73961773241268769</v>
      </c>
      <c r="Q328">
        <f t="shared" si="15"/>
        <v>-174166.08892064416</v>
      </c>
      <c r="R328">
        <f t="shared" si="16"/>
        <v>5780134.8208686979</v>
      </c>
      <c r="S328">
        <f t="shared" si="17"/>
        <v>57.801348208686981</v>
      </c>
      <c r="T328">
        <f t="shared" si="18"/>
        <v>5.780134820868698E-2</v>
      </c>
    </row>
    <row r="329" spans="1:20" x14ac:dyDescent="0.25">
      <c r="A329" s="5">
        <v>44264</v>
      </c>
      <c r="B329">
        <v>437.21199999999999</v>
      </c>
      <c r="C329">
        <v>450</v>
      </c>
      <c r="D329">
        <v>416.83300000000003</v>
      </c>
      <c r="E329">
        <v>444.08800000000002</v>
      </c>
      <c r="F329">
        <v>201434.136</v>
      </c>
      <c r="G329">
        <v>1.57</v>
      </c>
      <c r="L329" t="s">
        <v>8</v>
      </c>
      <c r="M329" t="s">
        <v>8</v>
      </c>
      <c r="N329" t="s">
        <v>8</v>
      </c>
      <c r="P329">
        <f t="shared" si="14"/>
        <v>0.64350107034100268</v>
      </c>
      <c r="Q329">
        <f t="shared" si="15"/>
        <v>129623.08211921511</v>
      </c>
      <c r="R329">
        <f t="shared" si="16"/>
        <v>5954300.9097893424</v>
      </c>
      <c r="S329">
        <f t="shared" si="17"/>
        <v>59.543009097893425</v>
      </c>
      <c r="T329">
        <f t="shared" si="18"/>
        <v>5.9543009097893423E-2</v>
      </c>
    </row>
    <row r="330" spans="1:20" x14ac:dyDescent="0.25">
      <c r="A330" s="5">
        <v>44263</v>
      </c>
      <c r="B330">
        <v>415.03300000000002</v>
      </c>
      <c r="C330">
        <v>437.315</v>
      </c>
      <c r="D330">
        <v>391.79899999999998</v>
      </c>
      <c r="E330">
        <v>437.28199999999998</v>
      </c>
      <c r="F330">
        <v>284970.59000000003</v>
      </c>
      <c r="G330">
        <v>5.36</v>
      </c>
      <c r="L330" t="s">
        <v>8</v>
      </c>
      <c r="M330" t="s">
        <v>8</v>
      </c>
      <c r="N330" t="s">
        <v>8</v>
      </c>
      <c r="P330">
        <f t="shared" si="14"/>
        <v>0.99854996045346622</v>
      </c>
      <c r="Q330">
        <f t="shared" si="15"/>
        <v>284557.37137490098</v>
      </c>
      <c r="R330">
        <f t="shared" si="16"/>
        <v>5824677.8276701272</v>
      </c>
      <c r="S330">
        <f t="shared" si="17"/>
        <v>58.246778276701271</v>
      </c>
      <c r="T330">
        <f t="shared" si="18"/>
        <v>5.8246778276701272E-2</v>
      </c>
    </row>
    <row r="331" spans="1:20" x14ac:dyDescent="0.25">
      <c r="A331" s="5">
        <v>44262</v>
      </c>
      <c r="B331">
        <v>387.935</v>
      </c>
      <c r="C331">
        <v>419.96</v>
      </c>
      <c r="D331">
        <v>384.012</v>
      </c>
      <c r="E331">
        <v>414.89</v>
      </c>
      <c r="F331">
        <v>289459.799</v>
      </c>
      <c r="G331">
        <v>6.95</v>
      </c>
      <c r="L331" t="s">
        <v>8</v>
      </c>
      <c r="M331" t="s">
        <v>8</v>
      </c>
      <c r="N331" t="s">
        <v>8</v>
      </c>
      <c r="P331">
        <f t="shared" si="14"/>
        <v>0.71792589295649289</v>
      </c>
      <c r="Q331">
        <f t="shared" si="15"/>
        <v>207810.68467208196</v>
      </c>
      <c r="R331">
        <f t="shared" si="16"/>
        <v>5540120.4562952258</v>
      </c>
      <c r="S331">
        <f t="shared" si="17"/>
        <v>55.401204562952259</v>
      </c>
      <c r="T331">
        <f t="shared" si="18"/>
        <v>5.5401204562952257E-2</v>
      </c>
    </row>
    <row r="332" spans="1:20" x14ac:dyDescent="0.25">
      <c r="A332" s="5">
        <v>44261</v>
      </c>
      <c r="B332">
        <v>366.65800000000002</v>
      </c>
      <c r="C332">
        <v>391.18099999999998</v>
      </c>
      <c r="D332">
        <v>351.66399999999999</v>
      </c>
      <c r="E332">
        <v>387.93400000000003</v>
      </c>
      <c r="F332">
        <v>99771.410999999993</v>
      </c>
      <c r="G332">
        <v>5.8</v>
      </c>
      <c r="L332" t="s">
        <v>8</v>
      </c>
      <c r="M332" t="s">
        <v>7</v>
      </c>
      <c r="N332" t="s">
        <v>8</v>
      </c>
      <c r="P332">
        <f t="shared" si="14"/>
        <v>0.83566566287926924</v>
      </c>
      <c r="Q332">
        <f t="shared" si="15"/>
        <v>83375.542309715005</v>
      </c>
      <c r="R332">
        <f t="shared" si="16"/>
        <v>5332309.7716231439</v>
      </c>
      <c r="S332">
        <f t="shared" si="17"/>
        <v>53.323097716231437</v>
      </c>
      <c r="T332">
        <f t="shared" si="18"/>
        <v>5.3323097716231435E-2</v>
      </c>
    </row>
    <row r="333" spans="1:20" x14ac:dyDescent="0.25">
      <c r="A333" s="5">
        <v>44260</v>
      </c>
      <c r="B333">
        <v>374.25099999999998</v>
      </c>
      <c r="C333">
        <v>377.27499999999998</v>
      </c>
      <c r="D333">
        <v>339.99</v>
      </c>
      <c r="E333">
        <v>367.005</v>
      </c>
      <c r="F333">
        <v>153319.43100000001</v>
      </c>
      <c r="G333">
        <v>-1.94</v>
      </c>
      <c r="L333" t="s">
        <v>7</v>
      </c>
      <c r="M333" t="s">
        <v>7</v>
      </c>
      <c r="N333" t="s">
        <v>8</v>
      </c>
      <c r="P333">
        <f t="shared" si="14"/>
        <v>0.44910822046399407</v>
      </c>
      <c r="Q333">
        <f t="shared" si="15"/>
        <v>68857.016818962133</v>
      </c>
      <c r="R333">
        <f t="shared" si="16"/>
        <v>5248934.2293134285</v>
      </c>
      <c r="S333">
        <f t="shared" si="17"/>
        <v>52.489342293134285</v>
      </c>
      <c r="T333">
        <f t="shared" si="18"/>
        <v>5.2489342293134282E-2</v>
      </c>
    </row>
    <row r="334" spans="1:20" x14ac:dyDescent="0.25">
      <c r="A334" s="5">
        <v>44259</v>
      </c>
      <c r="B334">
        <v>395.50200000000001</v>
      </c>
      <c r="C334">
        <v>410.99799999999999</v>
      </c>
      <c r="D334">
        <v>365.69099999999997</v>
      </c>
      <c r="E334">
        <v>373.733</v>
      </c>
      <c r="F334">
        <v>178117.315</v>
      </c>
      <c r="G334">
        <v>-5.5</v>
      </c>
      <c r="L334" t="s">
        <v>7</v>
      </c>
      <c r="M334" t="s">
        <v>8</v>
      </c>
      <c r="N334" t="s">
        <v>8</v>
      </c>
      <c r="P334">
        <f t="shared" si="14"/>
        <v>-0.64499966892533045</v>
      </c>
      <c r="Q334">
        <f t="shared" si="15"/>
        <v>-114885.6092048688</v>
      </c>
      <c r="R334">
        <f t="shared" si="16"/>
        <v>5180077.2124944665</v>
      </c>
      <c r="S334">
        <f t="shared" si="17"/>
        <v>51.800772124944665</v>
      </c>
      <c r="T334">
        <f t="shared" si="18"/>
        <v>5.1800772124944668E-2</v>
      </c>
    </row>
    <row r="335" spans="1:20" x14ac:dyDescent="0.25">
      <c r="A335" s="5">
        <v>44258</v>
      </c>
      <c r="B335">
        <v>390.44400000000002</v>
      </c>
      <c r="C335">
        <v>419</v>
      </c>
      <c r="D335">
        <v>383.73399999999998</v>
      </c>
      <c r="E335">
        <v>395.50099999999998</v>
      </c>
      <c r="F335">
        <v>170228.24400000001</v>
      </c>
      <c r="G335">
        <v>1.3</v>
      </c>
      <c r="L335" t="s">
        <v>7</v>
      </c>
      <c r="M335" t="s">
        <v>8</v>
      </c>
      <c r="N335" t="s">
        <v>8</v>
      </c>
      <c r="P335">
        <f t="shared" si="14"/>
        <v>-0.33267169511711059</v>
      </c>
      <c r="Q335">
        <f t="shared" si="15"/>
        <v>-56630.11848828911</v>
      </c>
      <c r="R335">
        <f t="shared" si="16"/>
        <v>5294962.8216993352</v>
      </c>
      <c r="S335">
        <f t="shared" si="17"/>
        <v>52.949628216993354</v>
      </c>
      <c r="T335">
        <f t="shared" si="18"/>
        <v>5.2949628216993352E-2</v>
      </c>
    </row>
    <row r="336" spans="1:20" x14ac:dyDescent="0.25">
      <c r="A336" s="5">
        <v>44257</v>
      </c>
      <c r="B336">
        <v>385.54500000000002</v>
      </c>
      <c r="C336">
        <v>417.791</v>
      </c>
      <c r="D336">
        <v>376.12200000000001</v>
      </c>
      <c r="E336">
        <v>390.94600000000003</v>
      </c>
      <c r="F336">
        <v>310310.83199999999</v>
      </c>
      <c r="G336">
        <v>1.4</v>
      </c>
      <c r="L336" t="s">
        <v>8</v>
      </c>
      <c r="M336" t="s">
        <v>8</v>
      </c>
      <c r="N336" t="s">
        <v>8</v>
      </c>
      <c r="P336">
        <f t="shared" si="14"/>
        <v>-0.28848784468069699</v>
      </c>
      <c r="Q336">
        <f t="shared" si="15"/>
        <v>-89520.903104753859</v>
      </c>
      <c r="R336">
        <f t="shared" si="16"/>
        <v>5351592.9401876247</v>
      </c>
      <c r="S336">
        <f t="shared" si="17"/>
        <v>53.515929401876249</v>
      </c>
      <c r="T336">
        <f t="shared" si="18"/>
        <v>5.3515929401876251E-2</v>
      </c>
    </row>
    <row r="337" spans="1:20" x14ac:dyDescent="0.25">
      <c r="A337" s="5">
        <v>44256</v>
      </c>
      <c r="B337">
        <v>353.791</v>
      </c>
      <c r="C337">
        <v>389.255</v>
      </c>
      <c r="D337">
        <v>350.13400000000001</v>
      </c>
      <c r="E337">
        <v>385.952</v>
      </c>
      <c r="F337">
        <v>292520.864</v>
      </c>
      <c r="G337">
        <v>9.09</v>
      </c>
      <c r="L337" t="s">
        <v>8</v>
      </c>
      <c r="M337" t="s">
        <v>8</v>
      </c>
      <c r="N337" t="s">
        <v>7</v>
      </c>
      <c r="P337">
        <f t="shared" si="14"/>
        <v>0.83113928580557761</v>
      </c>
      <c r="Q337">
        <f t="shared" si="15"/>
        <v>243125.5819881905</v>
      </c>
      <c r="R337">
        <f t="shared" si="16"/>
        <v>5441113.8432923788</v>
      </c>
      <c r="S337">
        <f t="shared" si="17"/>
        <v>54.411138432923785</v>
      </c>
      <c r="T337">
        <f t="shared" si="18"/>
        <v>5.4411138432923785E-2</v>
      </c>
    </row>
    <row r="338" spans="1:20" x14ac:dyDescent="0.25">
      <c r="A338" s="5">
        <v>44255</v>
      </c>
      <c r="B338">
        <v>332.80799999999999</v>
      </c>
      <c r="C338">
        <v>365.98</v>
      </c>
      <c r="D338">
        <v>300.14</v>
      </c>
      <c r="E338">
        <v>354.15499999999997</v>
      </c>
      <c r="F338">
        <v>256054.90100000001</v>
      </c>
      <c r="G338">
        <v>6.41</v>
      </c>
      <c r="L338" t="s">
        <v>8</v>
      </c>
      <c r="M338" t="s">
        <v>7</v>
      </c>
      <c r="N338" t="s">
        <v>7</v>
      </c>
      <c r="P338">
        <f t="shared" si="14"/>
        <v>0.64079586877278127</v>
      </c>
      <c r="Q338">
        <f t="shared" si="15"/>
        <v>164078.92273982349</v>
      </c>
      <c r="R338">
        <f t="shared" si="16"/>
        <v>5197988.2613041885</v>
      </c>
      <c r="S338">
        <f t="shared" si="17"/>
        <v>51.979882613041887</v>
      </c>
      <c r="T338">
        <f t="shared" si="18"/>
        <v>5.1979882613041886E-2</v>
      </c>
    </row>
    <row r="339" spans="1:20" x14ac:dyDescent="0.25">
      <c r="A339" s="5">
        <v>44254</v>
      </c>
      <c r="B339">
        <v>323.18200000000002</v>
      </c>
      <c r="C339">
        <v>349.99799999999999</v>
      </c>
      <c r="D339">
        <v>322.78699999999998</v>
      </c>
      <c r="E339">
        <v>332.82400000000001</v>
      </c>
      <c r="F339">
        <v>168185.16800000001</v>
      </c>
      <c r="G339">
        <v>2.98</v>
      </c>
      <c r="L339" t="s">
        <v>8</v>
      </c>
      <c r="M339" t="s">
        <v>7</v>
      </c>
      <c r="N339" t="s">
        <v>7</v>
      </c>
      <c r="P339">
        <f t="shared" si="14"/>
        <v>-0.26228363529454779</v>
      </c>
      <c r="Q339">
        <f t="shared" si="15"/>
        <v>-44112.217265664251</v>
      </c>
      <c r="R339">
        <f t="shared" si="16"/>
        <v>5033909.3385643652</v>
      </c>
      <c r="S339">
        <f t="shared" si="17"/>
        <v>50.33909338564365</v>
      </c>
      <c r="T339">
        <f t="shared" si="18"/>
        <v>5.033909338564365E-2</v>
      </c>
    </row>
    <row r="340" spans="1:20" x14ac:dyDescent="0.25">
      <c r="A340" s="5">
        <v>44253</v>
      </c>
      <c r="B340">
        <v>339.29899999999998</v>
      </c>
      <c r="C340">
        <v>353.66800000000001</v>
      </c>
      <c r="D340">
        <v>302.54899999999998</v>
      </c>
      <c r="E340">
        <v>323.26799999999997</v>
      </c>
      <c r="F340">
        <v>240591.26199999999</v>
      </c>
      <c r="G340">
        <v>-4.72</v>
      </c>
      <c r="L340" t="s">
        <v>7</v>
      </c>
      <c r="M340" t="s">
        <v>7</v>
      </c>
      <c r="N340" t="s">
        <v>7</v>
      </c>
      <c r="P340">
        <f t="shared" si="14"/>
        <v>-0.18938163892094984</v>
      </c>
      <c r="Q340">
        <f t="shared" si="15"/>
        <v>-45563.567507619635</v>
      </c>
      <c r="R340">
        <f t="shared" si="16"/>
        <v>5078021.5558300298</v>
      </c>
      <c r="S340">
        <f t="shared" si="17"/>
        <v>50.780215558300299</v>
      </c>
      <c r="T340">
        <f t="shared" si="18"/>
        <v>5.0780215558300298E-2</v>
      </c>
    </row>
    <row r="341" spans="1:20" x14ac:dyDescent="0.25">
      <c r="A341" s="5">
        <v>44252</v>
      </c>
      <c r="B341">
        <v>367.08600000000001</v>
      </c>
      <c r="C341">
        <v>388.68799999999999</v>
      </c>
      <c r="D341">
        <v>334.36</v>
      </c>
      <c r="E341">
        <v>338.56299999999999</v>
      </c>
      <c r="F341">
        <v>187331.603</v>
      </c>
      <c r="G341">
        <v>-7.77</v>
      </c>
      <c r="L341" t="s">
        <v>7</v>
      </c>
      <c r="M341" t="s">
        <v>7</v>
      </c>
      <c r="N341" t="s">
        <v>8</v>
      </c>
      <c r="P341">
        <f t="shared" si="14"/>
        <v>-0.84527315564718097</v>
      </c>
      <c r="Q341">
        <f t="shared" si="15"/>
        <v>-158346.37522025491</v>
      </c>
      <c r="R341">
        <f t="shared" si="16"/>
        <v>5123585.1233376497</v>
      </c>
      <c r="S341">
        <f t="shared" si="17"/>
        <v>51.235851233376501</v>
      </c>
      <c r="T341">
        <f t="shared" si="18"/>
        <v>5.1235851233376498E-2</v>
      </c>
    </row>
    <row r="342" spans="1:20" x14ac:dyDescent="0.25">
      <c r="A342" s="5">
        <v>44251</v>
      </c>
      <c r="B342">
        <v>364.03100000000001</v>
      </c>
      <c r="C342">
        <v>406</v>
      </c>
      <c r="D342">
        <v>341.52699999999999</v>
      </c>
      <c r="E342">
        <v>367.50299999999999</v>
      </c>
      <c r="F342">
        <v>318085.95299999998</v>
      </c>
      <c r="G342">
        <v>0.95</v>
      </c>
      <c r="L342" t="s">
        <v>8</v>
      </c>
      <c r="M342" t="s">
        <v>8</v>
      </c>
      <c r="N342" t="s">
        <v>8</v>
      </c>
      <c r="P342">
        <f t="shared" si="14"/>
        <v>-0.19420532626060541</v>
      </c>
      <c r="Q342">
        <f t="shared" si="15"/>
        <v>-61773.986281280595</v>
      </c>
      <c r="R342">
        <f t="shared" si="16"/>
        <v>5281931.4985579047</v>
      </c>
      <c r="S342">
        <f t="shared" si="17"/>
        <v>52.819314985579048</v>
      </c>
      <c r="T342">
        <f t="shared" si="18"/>
        <v>5.2819314985579048E-2</v>
      </c>
    </row>
    <row r="343" spans="1:20" x14ac:dyDescent="0.25">
      <c r="A343" s="5">
        <v>44250</v>
      </c>
      <c r="B343">
        <v>400.35</v>
      </c>
      <c r="C343">
        <v>404.05200000000002</v>
      </c>
      <c r="D343">
        <v>284.62700000000001</v>
      </c>
      <c r="E343">
        <v>364.25799999999998</v>
      </c>
      <c r="F343">
        <v>585503.05299999996</v>
      </c>
      <c r="G343">
        <v>-9.02</v>
      </c>
      <c r="L343" t="s">
        <v>7</v>
      </c>
      <c r="M343" t="s">
        <v>7</v>
      </c>
      <c r="N343" t="s">
        <v>7</v>
      </c>
      <c r="P343">
        <f t="shared" si="14"/>
        <v>0.33357337240946139</v>
      </c>
      <c r="Q343">
        <f t="shared" si="15"/>
        <v>195308.2279452456</v>
      </c>
      <c r="R343">
        <f t="shared" si="16"/>
        <v>5343705.4848391851</v>
      </c>
      <c r="S343">
        <f t="shared" si="17"/>
        <v>53.437054848391853</v>
      </c>
      <c r="T343">
        <f t="shared" si="18"/>
        <v>5.3437054848391854E-2</v>
      </c>
    </row>
    <row r="344" spans="1:20" x14ac:dyDescent="0.25">
      <c r="A344" s="5">
        <v>44249</v>
      </c>
      <c r="B344">
        <v>436.98599999999999</v>
      </c>
      <c r="C344">
        <v>448.61099999999999</v>
      </c>
      <c r="D344">
        <v>347.90699999999998</v>
      </c>
      <c r="E344">
        <v>400</v>
      </c>
      <c r="F344">
        <v>395236.16399999999</v>
      </c>
      <c r="G344">
        <v>-8.4600000000000009</v>
      </c>
      <c r="L344" t="s">
        <v>7</v>
      </c>
      <c r="M344" t="s">
        <v>7</v>
      </c>
      <c r="N344" t="s">
        <v>7</v>
      </c>
      <c r="P344">
        <f t="shared" si="14"/>
        <v>3.4576580870670753E-2</v>
      </c>
      <c r="Q344">
        <f t="shared" si="15"/>
        <v>13665.915187559689</v>
      </c>
      <c r="R344">
        <f t="shared" si="16"/>
        <v>5148397.2568939393</v>
      </c>
      <c r="S344">
        <f t="shared" si="17"/>
        <v>51.483972568939393</v>
      </c>
      <c r="T344">
        <f t="shared" si="18"/>
        <v>5.1483972568939392E-2</v>
      </c>
    </row>
    <row r="345" spans="1:20" x14ac:dyDescent="0.25">
      <c r="A345" s="5">
        <v>44248</v>
      </c>
      <c r="B345">
        <v>441.05500000000001</v>
      </c>
      <c r="C345">
        <v>454.82400000000001</v>
      </c>
      <c r="D345">
        <v>424.00599999999997</v>
      </c>
      <c r="E345">
        <v>436.96499999999997</v>
      </c>
      <c r="F345">
        <v>220938.51500000001</v>
      </c>
      <c r="G345">
        <v>-0.93</v>
      </c>
      <c r="L345" t="s">
        <v>7</v>
      </c>
      <c r="M345" t="s">
        <v>7</v>
      </c>
      <c r="N345" t="s">
        <v>7</v>
      </c>
      <c r="P345">
        <f t="shared" si="14"/>
        <v>-0.15899798818872177</v>
      </c>
      <c r="Q345">
        <f t="shared" si="15"/>
        <v>-35128.779398403727</v>
      </c>
      <c r="R345">
        <f t="shared" si="16"/>
        <v>5134731.3417063793</v>
      </c>
      <c r="S345">
        <f t="shared" si="17"/>
        <v>51.347313417063795</v>
      </c>
      <c r="T345">
        <f t="shared" si="18"/>
        <v>5.1347313417063792E-2</v>
      </c>
    </row>
    <row r="346" spans="1:20" x14ac:dyDescent="0.25">
      <c r="A346" s="5">
        <v>44247</v>
      </c>
      <c r="B346">
        <v>419.58800000000002</v>
      </c>
      <c r="C346">
        <v>498</v>
      </c>
      <c r="D346">
        <v>405.6</v>
      </c>
      <c r="E346">
        <v>441.108</v>
      </c>
      <c r="F346">
        <v>633739.33299999998</v>
      </c>
      <c r="G346">
        <v>5.13</v>
      </c>
      <c r="L346" t="s">
        <v>8</v>
      </c>
      <c r="M346" t="s">
        <v>8</v>
      </c>
      <c r="N346" t="s">
        <v>7</v>
      </c>
      <c r="P346">
        <f t="shared" si="14"/>
        <v>-0.23142857142857165</v>
      </c>
      <c r="Q346">
        <f t="shared" si="15"/>
        <v>-146665.38849428584</v>
      </c>
      <c r="R346">
        <f t="shared" si="16"/>
        <v>5169860.1211047834</v>
      </c>
      <c r="S346">
        <f t="shared" si="17"/>
        <v>51.698601211047837</v>
      </c>
      <c r="T346">
        <f t="shared" si="18"/>
        <v>5.1698601211047836E-2</v>
      </c>
    </row>
    <row r="347" spans="1:20" x14ac:dyDescent="0.25">
      <c r="A347" s="5">
        <v>44246</v>
      </c>
      <c r="B347">
        <v>441.25799999999998</v>
      </c>
      <c r="C347">
        <v>452.03</v>
      </c>
      <c r="D347">
        <v>405.21300000000002</v>
      </c>
      <c r="E347">
        <v>419.60399999999998</v>
      </c>
      <c r="F347">
        <v>279827.88699999999</v>
      </c>
      <c r="G347">
        <v>-4.91</v>
      </c>
      <c r="L347" t="s">
        <v>7</v>
      </c>
      <c r="M347" t="s">
        <v>8</v>
      </c>
      <c r="N347" t="s">
        <v>7</v>
      </c>
      <c r="P347">
        <f t="shared" si="14"/>
        <v>-0.38522331631672352</v>
      </c>
      <c r="Q347">
        <f t="shared" si="15"/>
        <v>-107796.22662804136</v>
      </c>
      <c r="R347">
        <f t="shared" si="16"/>
        <v>5316525.5095990691</v>
      </c>
      <c r="S347">
        <f t="shared" si="17"/>
        <v>53.165255095990695</v>
      </c>
      <c r="T347">
        <f t="shared" si="18"/>
        <v>5.3165255095990696E-2</v>
      </c>
    </row>
    <row r="348" spans="1:20" x14ac:dyDescent="0.25">
      <c r="A348" s="5">
        <v>44245</v>
      </c>
      <c r="B348">
        <v>451.83499999999998</v>
      </c>
      <c r="C348">
        <v>480</v>
      </c>
      <c r="D348">
        <v>434.411</v>
      </c>
      <c r="E348">
        <v>441.50299999999999</v>
      </c>
      <c r="F348">
        <v>216935.092</v>
      </c>
      <c r="G348">
        <v>-2.29</v>
      </c>
      <c r="L348" t="s">
        <v>8</v>
      </c>
      <c r="M348" t="s">
        <v>8</v>
      </c>
      <c r="N348" t="s">
        <v>7</v>
      </c>
      <c r="P348">
        <f t="shared" si="14"/>
        <v>-0.68887231569018914</v>
      </c>
      <c r="Q348">
        <f t="shared" si="15"/>
        <v>-149440.57918050422</v>
      </c>
      <c r="R348">
        <f t="shared" si="16"/>
        <v>5424321.736227111</v>
      </c>
      <c r="S348">
        <f t="shared" si="17"/>
        <v>54.24321736227111</v>
      </c>
      <c r="T348">
        <f t="shared" si="18"/>
        <v>5.4243217362271112E-2</v>
      </c>
    </row>
    <row r="349" spans="1:20" x14ac:dyDescent="0.25">
      <c r="A349" s="5">
        <v>44244</v>
      </c>
      <c r="B349">
        <v>432.24099999999999</v>
      </c>
      <c r="C349">
        <v>469</v>
      </c>
      <c r="D349">
        <v>400</v>
      </c>
      <c r="E349">
        <v>451.33300000000003</v>
      </c>
      <c r="F349">
        <v>273023.56400000001</v>
      </c>
      <c r="G349">
        <v>4.42</v>
      </c>
      <c r="L349" t="s">
        <v>7</v>
      </c>
      <c r="M349" t="s">
        <v>7</v>
      </c>
      <c r="N349" t="s">
        <v>7</v>
      </c>
      <c r="P349">
        <f t="shared" si="14"/>
        <v>0.48791304347826164</v>
      </c>
      <c r="Q349">
        <f t="shared" si="15"/>
        <v>133211.75805252197</v>
      </c>
      <c r="R349">
        <f t="shared" si="16"/>
        <v>5573762.3154076152</v>
      </c>
      <c r="S349">
        <f t="shared" si="17"/>
        <v>55.737623154076154</v>
      </c>
      <c r="T349">
        <f t="shared" si="18"/>
        <v>5.5737623154076155E-2</v>
      </c>
    </row>
    <row r="350" spans="1:20" x14ac:dyDescent="0.25">
      <c r="A350" s="5">
        <v>44243</v>
      </c>
      <c r="B350">
        <v>455.76600000000002</v>
      </c>
      <c r="C350">
        <v>478.875</v>
      </c>
      <c r="D350">
        <v>421.17899999999997</v>
      </c>
      <c r="E350">
        <v>432.36399999999998</v>
      </c>
      <c r="F350">
        <v>247618.86900000001</v>
      </c>
      <c r="G350">
        <v>-5.13</v>
      </c>
      <c r="L350" t="s">
        <v>8</v>
      </c>
      <c r="M350" t="s">
        <v>8</v>
      </c>
      <c r="N350" t="s">
        <v>7</v>
      </c>
      <c r="P350">
        <f t="shared" si="14"/>
        <v>-0.61227814753189136</v>
      </c>
      <c r="Q350">
        <f t="shared" si="15"/>
        <v>-151611.62240526208</v>
      </c>
      <c r="R350">
        <f t="shared" si="16"/>
        <v>5440550.5573550928</v>
      </c>
      <c r="S350">
        <f t="shared" si="17"/>
        <v>54.405505573550926</v>
      </c>
      <c r="T350">
        <f t="shared" si="18"/>
        <v>5.4405505573550929E-2</v>
      </c>
    </row>
    <row r="351" spans="1:20" x14ac:dyDescent="0.25">
      <c r="A351" s="5">
        <v>44242</v>
      </c>
      <c r="B351">
        <v>468.43</v>
      </c>
      <c r="C351">
        <v>497</v>
      </c>
      <c r="D351">
        <v>380</v>
      </c>
      <c r="E351">
        <v>455.666</v>
      </c>
      <c r="F351">
        <v>350475.31099999999</v>
      </c>
      <c r="G351">
        <v>-2.72</v>
      </c>
      <c r="L351" t="s">
        <v>7</v>
      </c>
      <c r="M351" t="s">
        <v>7</v>
      </c>
      <c r="N351" t="s">
        <v>7</v>
      </c>
      <c r="P351">
        <f t="shared" si="14"/>
        <v>0.29343589743589737</v>
      </c>
      <c r="Q351">
        <f t="shared" si="15"/>
        <v>102842.03741241024</v>
      </c>
      <c r="R351">
        <f t="shared" si="16"/>
        <v>5592162.1797603546</v>
      </c>
      <c r="S351">
        <f t="shared" si="17"/>
        <v>55.921621797603542</v>
      </c>
      <c r="T351">
        <f t="shared" si="18"/>
        <v>5.5921621797603543E-2</v>
      </c>
    </row>
    <row r="352" spans="1:20" x14ac:dyDescent="0.25">
      <c r="A352" s="5">
        <v>44241</v>
      </c>
      <c r="B352">
        <v>494.387</v>
      </c>
      <c r="C352">
        <v>509.298</v>
      </c>
      <c r="D352">
        <v>460.28</v>
      </c>
      <c r="E352">
        <v>468.52499999999998</v>
      </c>
      <c r="F352">
        <v>137670.976</v>
      </c>
      <c r="G352">
        <v>-5.23</v>
      </c>
      <c r="L352" t="s">
        <v>7</v>
      </c>
      <c r="M352" t="s">
        <v>7</v>
      </c>
      <c r="N352" t="s">
        <v>8</v>
      </c>
      <c r="P352">
        <f t="shared" si="14"/>
        <v>-0.66359296584927985</v>
      </c>
      <c r="Q352">
        <f t="shared" si="15"/>
        <v>-91357.49127520503</v>
      </c>
      <c r="R352">
        <f t="shared" si="16"/>
        <v>5489320.142347944</v>
      </c>
      <c r="S352">
        <f t="shared" si="17"/>
        <v>54.893201423479439</v>
      </c>
      <c r="T352">
        <f t="shared" si="18"/>
        <v>5.4893201423479442E-2</v>
      </c>
    </row>
    <row r="353" spans="1:20" x14ac:dyDescent="0.25">
      <c r="A353" s="5">
        <v>44240</v>
      </c>
      <c r="B353">
        <v>528.32600000000002</v>
      </c>
      <c r="C353">
        <v>543.61900000000003</v>
      </c>
      <c r="D353">
        <v>484.685</v>
      </c>
      <c r="E353">
        <v>494.73200000000003</v>
      </c>
      <c r="F353">
        <v>182381.46400000001</v>
      </c>
      <c r="G353">
        <v>-6.36</v>
      </c>
      <c r="L353" t="s">
        <v>7</v>
      </c>
      <c r="M353" t="s">
        <v>7</v>
      </c>
      <c r="N353" t="s">
        <v>8</v>
      </c>
      <c r="P353">
        <f t="shared" si="14"/>
        <v>-0.65904231852580786</v>
      </c>
      <c r="Q353">
        <f t="shared" si="15"/>
        <v>-120197.10289069117</v>
      </c>
      <c r="R353">
        <f t="shared" si="16"/>
        <v>5580677.6336231492</v>
      </c>
      <c r="S353">
        <f t="shared" si="17"/>
        <v>55.806776336231493</v>
      </c>
      <c r="T353">
        <f t="shared" si="18"/>
        <v>5.5806776336231496E-2</v>
      </c>
    </row>
    <row r="354" spans="1:20" x14ac:dyDescent="0.25">
      <c r="A354" s="5">
        <v>44239</v>
      </c>
      <c r="B354">
        <v>517.6</v>
      </c>
      <c r="C354">
        <v>544.15200000000004</v>
      </c>
      <c r="D354">
        <v>499.00299999999999</v>
      </c>
      <c r="E354">
        <v>528.32500000000005</v>
      </c>
      <c r="F354">
        <v>177878.285</v>
      </c>
      <c r="G354">
        <v>2.0699999999999998</v>
      </c>
      <c r="L354" t="s">
        <v>7</v>
      </c>
      <c r="M354" t="s">
        <v>8</v>
      </c>
      <c r="N354" t="s">
        <v>8</v>
      </c>
      <c r="P354">
        <f t="shared" si="14"/>
        <v>0.29889920042525958</v>
      </c>
      <c r="Q354">
        <f t="shared" si="15"/>
        <v>53167.677159516446</v>
      </c>
      <c r="R354">
        <f t="shared" si="16"/>
        <v>5700874.73651384</v>
      </c>
      <c r="S354">
        <f t="shared" si="17"/>
        <v>57.008747365138397</v>
      </c>
      <c r="T354">
        <f t="shared" si="18"/>
        <v>5.7008747365138397E-2</v>
      </c>
    </row>
    <row r="355" spans="1:20" x14ac:dyDescent="0.25">
      <c r="A355" s="5">
        <v>44238</v>
      </c>
      <c r="B355">
        <v>523.34</v>
      </c>
      <c r="C355">
        <v>541.827</v>
      </c>
      <c r="D355">
        <v>507.43400000000003</v>
      </c>
      <c r="E355">
        <v>517.18899999999996</v>
      </c>
      <c r="F355">
        <v>163767.731</v>
      </c>
      <c r="G355">
        <v>-1.18</v>
      </c>
      <c r="L355" t="s">
        <v>7</v>
      </c>
      <c r="M355" t="s">
        <v>8</v>
      </c>
      <c r="N355" t="s">
        <v>8</v>
      </c>
      <c r="P355">
        <f t="shared" si="14"/>
        <v>-0.432733405053357</v>
      </c>
      <c r="Q355">
        <f t="shared" si="15"/>
        <v>-70867.767873492208</v>
      </c>
      <c r="R355">
        <f t="shared" si="16"/>
        <v>5647707.0593543239</v>
      </c>
      <c r="S355">
        <f t="shared" si="17"/>
        <v>56.477070593543239</v>
      </c>
      <c r="T355">
        <f t="shared" si="18"/>
        <v>5.647707059354324E-2</v>
      </c>
    </row>
    <row r="356" spans="1:20" x14ac:dyDescent="0.25">
      <c r="A356" s="5">
        <v>44237</v>
      </c>
      <c r="B356">
        <v>488.28</v>
      </c>
      <c r="C356">
        <v>581.66700000000003</v>
      </c>
      <c r="D356">
        <v>488</v>
      </c>
      <c r="E356">
        <v>523.49699999999996</v>
      </c>
      <c r="F356">
        <v>428773.25300000003</v>
      </c>
      <c r="G356">
        <v>7.21</v>
      </c>
      <c r="L356" t="s">
        <v>8</v>
      </c>
      <c r="M356" t="s">
        <v>8</v>
      </c>
      <c r="N356" t="s">
        <v>8</v>
      </c>
      <c r="P356">
        <f t="shared" si="14"/>
        <v>-0.24205963679844672</v>
      </c>
      <c r="Q356">
        <f t="shared" si="15"/>
        <v>-103788.69789006851</v>
      </c>
      <c r="R356">
        <f t="shared" si="16"/>
        <v>5718574.827227816</v>
      </c>
      <c r="S356">
        <f t="shared" si="17"/>
        <v>57.185748272278161</v>
      </c>
      <c r="T356">
        <f t="shared" si="18"/>
        <v>5.718574827227816E-2</v>
      </c>
    </row>
    <row r="357" spans="1:20" x14ac:dyDescent="0.25">
      <c r="A357" s="5">
        <v>44236</v>
      </c>
      <c r="B357">
        <v>488.82499999999999</v>
      </c>
      <c r="C357">
        <v>510.649</v>
      </c>
      <c r="D357">
        <v>471</v>
      </c>
      <c r="E357">
        <v>488.21800000000002</v>
      </c>
      <c r="F357">
        <v>253535.25899999999</v>
      </c>
      <c r="G357">
        <v>-0.12</v>
      </c>
      <c r="L357" t="s">
        <v>7</v>
      </c>
      <c r="M357" t="s">
        <v>8</v>
      </c>
      <c r="N357" t="s">
        <v>7</v>
      </c>
      <c r="P357">
        <f t="shared" si="14"/>
        <v>-0.13147872581906139</v>
      </c>
      <c r="Q357">
        <f t="shared" si="15"/>
        <v>-33334.492803525718</v>
      </c>
      <c r="R357">
        <f t="shared" si="16"/>
        <v>5822363.5251178844</v>
      </c>
      <c r="S357">
        <f t="shared" si="17"/>
        <v>58.223635251178841</v>
      </c>
      <c r="T357">
        <f t="shared" si="18"/>
        <v>5.8223635251178844E-2</v>
      </c>
    </row>
    <row r="358" spans="1:20" x14ac:dyDescent="0.25">
      <c r="A358" s="5">
        <v>44235</v>
      </c>
      <c r="B358">
        <v>473.125</v>
      </c>
      <c r="C358">
        <v>531.01</v>
      </c>
      <c r="D358">
        <v>462.19099999999997</v>
      </c>
      <c r="E358">
        <v>489.29399999999998</v>
      </c>
      <c r="F358">
        <v>387242.33199999999</v>
      </c>
      <c r="G358">
        <v>3.42</v>
      </c>
      <c r="L358" t="s">
        <v>8</v>
      </c>
      <c r="M358" t="s">
        <v>8</v>
      </c>
      <c r="N358" t="s">
        <v>7</v>
      </c>
      <c r="P358">
        <f t="shared" si="14"/>
        <v>-0.21233961551315764</v>
      </c>
      <c r="Q358">
        <f t="shared" si="15"/>
        <v>-82226.887887298537</v>
      </c>
      <c r="R358">
        <f t="shared" si="16"/>
        <v>5855698.0179214105</v>
      </c>
      <c r="S358">
        <f t="shared" si="17"/>
        <v>58.556980179214108</v>
      </c>
      <c r="T358">
        <f t="shared" si="18"/>
        <v>5.855698017921411E-2</v>
      </c>
    </row>
    <row r="359" spans="1:20" x14ac:dyDescent="0.25">
      <c r="A359" s="5">
        <v>44234</v>
      </c>
      <c r="B359">
        <v>473.88900000000001</v>
      </c>
      <c r="C359">
        <v>482.13</v>
      </c>
      <c r="D359">
        <v>392.5</v>
      </c>
      <c r="E359">
        <v>472.90699999999998</v>
      </c>
      <c r="F359">
        <v>352083.24699999997</v>
      </c>
      <c r="G359">
        <v>-0.21</v>
      </c>
      <c r="L359" t="s">
        <v>7</v>
      </c>
      <c r="M359" t="s">
        <v>7</v>
      </c>
      <c r="N359" t="s">
        <v>7</v>
      </c>
      <c r="P359">
        <f t="shared" si="14"/>
        <v>0.79419837108111091</v>
      </c>
      <c r="Q359">
        <f t="shared" si="15"/>
        <v>279623.94125234842</v>
      </c>
      <c r="R359">
        <f t="shared" si="16"/>
        <v>5937924.9058087086</v>
      </c>
      <c r="S359">
        <f t="shared" si="17"/>
        <v>59.379249058087083</v>
      </c>
      <c r="T359">
        <f t="shared" si="18"/>
        <v>5.9379249058087086E-2</v>
      </c>
    </row>
    <row r="360" spans="1:20" x14ac:dyDescent="0.25">
      <c r="A360" s="5">
        <v>44233</v>
      </c>
      <c r="B360">
        <v>505.63400000000001</v>
      </c>
      <c r="C360">
        <v>510.12299999999999</v>
      </c>
      <c r="D360">
        <v>432.43799999999999</v>
      </c>
      <c r="E360">
        <v>473.93599999999998</v>
      </c>
      <c r="F360">
        <v>428312.32199999999</v>
      </c>
      <c r="G360">
        <v>-6.27</v>
      </c>
      <c r="L360" t="s">
        <v>7</v>
      </c>
      <c r="M360" t="s">
        <v>7</v>
      </c>
      <c r="N360" t="s">
        <v>8</v>
      </c>
      <c r="P360">
        <f t="shared" si="14"/>
        <v>6.8365836390551313E-2</v>
      </c>
      <c r="Q360">
        <f t="shared" si="15"/>
        <v>29281.930129909131</v>
      </c>
      <c r="R360">
        <f t="shared" si="16"/>
        <v>5658300.9645563606</v>
      </c>
      <c r="S360">
        <f t="shared" si="17"/>
        <v>56.583009645563607</v>
      </c>
      <c r="T360">
        <f t="shared" si="18"/>
        <v>5.6583009645563606E-2</v>
      </c>
    </row>
    <row r="361" spans="1:20" x14ac:dyDescent="0.25">
      <c r="A361" s="5">
        <v>44232</v>
      </c>
      <c r="B361">
        <v>466.58199999999999</v>
      </c>
      <c r="C361">
        <v>542.54300000000001</v>
      </c>
      <c r="D361">
        <v>464.84</v>
      </c>
      <c r="E361">
        <v>505.37599999999998</v>
      </c>
      <c r="F361">
        <v>436865.87199999997</v>
      </c>
      <c r="G361">
        <v>8.31</v>
      </c>
      <c r="L361" t="s">
        <v>8</v>
      </c>
      <c r="M361" t="s">
        <v>8</v>
      </c>
      <c r="N361" t="s">
        <v>8</v>
      </c>
      <c r="P361">
        <f t="shared" si="14"/>
        <v>4.335739932821088E-2</v>
      </c>
      <c r="Q361">
        <f t="shared" si="15"/>
        <v>18941.36806517106</v>
      </c>
      <c r="R361">
        <f t="shared" si="16"/>
        <v>5629019.0344264517</v>
      </c>
      <c r="S361">
        <f t="shared" si="17"/>
        <v>56.290190344264516</v>
      </c>
      <c r="T361">
        <f t="shared" si="18"/>
        <v>5.6290190344264517E-2</v>
      </c>
    </row>
    <row r="362" spans="1:20" x14ac:dyDescent="0.25">
      <c r="A362" s="5">
        <v>44231</v>
      </c>
      <c r="B362">
        <v>384.21699999999998</v>
      </c>
      <c r="C362">
        <v>520.18200000000002</v>
      </c>
      <c r="D362">
        <v>384.21699999999998</v>
      </c>
      <c r="E362">
        <v>466.58199999999999</v>
      </c>
      <c r="F362">
        <v>1031523.191</v>
      </c>
      <c r="G362">
        <v>21.44</v>
      </c>
      <c r="L362" t="s">
        <v>8</v>
      </c>
      <c r="M362" t="s">
        <v>8</v>
      </c>
      <c r="N362" t="s">
        <v>8</v>
      </c>
      <c r="P362">
        <f t="shared" si="14"/>
        <v>0.21156179899238758</v>
      </c>
      <c r="Q362">
        <f t="shared" si="15"/>
        <v>218230.90199032822</v>
      </c>
      <c r="R362">
        <f t="shared" si="16"/>
        <v>5610077.6663612807</v>
      </c>
      <c r="S362">
        <f t="shared" si="17"/>
        <v>56.100776663612805</v>
      </c>
      <c r="T362">
        <f t="shared" si="18"/>
        <v>5.6100776663612809E-2</v>
      </c>
    </row>
    <row r="363" spans="1:20" x14ac:dyDescent="0.25">
      <c r="A363" s="5">
        <v>44230</v>
      </c>
      <c r="B363">
        <v>302.995</v>
      </c>
      <c r="C363">
        <v>388.5</v>
      </c>
      <c r="D363">
        <v>300.49</v>
      </c>
      <c r="E363">
        <v>384.49900000000002</v>
      </c>
      <c r="F363">
        <v>348001.69900000002</v>
      </c>
      <c r="G363">
        <v>26.9</v>
      </c>
      <c r="L363" t="s">
        <v>8</v>
      </c>
      <c r="M363" t="s">
        <v>8</v>
      </c>
      <c r="N363" t="s">
        <v>8</v>
      </c>
      <c r="P363">
        <f t="shared" si="14"/>
        <v>0.90907851380524995</v>
      </c>
      <c r="Q363">
        <f t="shared" si="15"/>
        <v>316360.86732862197</v>
      </c>
      <c r="R363">
        <f t="shared" si="16"/>
        <v>5391846.7643709527</v>
      </c>
      <c r="S363">
        <f t="shared" si="17"/>
        <v>53.918467643709526</v>
      </c>
      <c r="T363">
        <f t="shared" si="18"/>
        <v>5.3918467643709528E-2</v>
      </c>
    </row>
    <row r="364" spans="1:20" x14ac:dyDescent="0.25">
      <c r="A364" s="5">
        <v>44229</v>
      </c>
      <c r="B364">
        <v>295.28100000000001</v>
      </c>
      <c r="C364">
        <v>307</v>
      </c>
      <c r="D364">
        <v>285.66500000000002</v>
      </c>
      <c r="E364">
        <v>302.98700000000002</v>
      </c>
      <c r="F364">
        <v>197749.28400000001</v>
      </c>
      <c r="G364">
        <v>2.61</v>
      </c>
      <c r="L364" t="s">
        <v>8</v>
      </c>
      <c r="M364" t="s">
        <v>8</v>
      </c>
      <c r="N364" t="s">
        <v>8</v>
      </c>
      <c r="P364">
        <f t="shared" si="14"/>
        <v>0.62381063979376794</v>
      </c>
      <c r="Q364">
        <f t="shared" si="15"/>
        <v>123358.10737079952</v>
      </c>
      <c r="R364">
        <f t="shared" si="16"/>
        <v>5075485.8970423304</v>
      </c>
      <c r="S364">
        <f t="shared" si="17"/>
        <v>50.754858970423307</v>
      </c>
      <c r="T364">
        <f t="shared" si="18"/>
        <v>5.0754858970423304E-2</v>
      </c>
    </row>
    <row r="365" spans="1:20" x14ac:dyDescent="0.25">
      <c r="A365" s="5">
        <v>44228</v>
      </c>
      <c r="B365">
        <v>299.97500000000002</v>
      </c>
      <c r="C365">
        <v>307.36599999999999</v>
      </c>
      <c r="D365">
        <v>283.60700000000003</v>
      </c>
      <c r="E365">
        <v>294.95400000000001</v>
      </c>
      <c r="F365">
        <v>202277.08300000001</v>
      </c>
      <c r="G365">
        <v>-1.67</v>
      </c>
      <c r="L365" t="s">
        <v>7</v>
      </c>
      <c r="M365" t="s">
        <v>8</v>
      </c>
      <c r="N365" t="s">
        <v>8</v>
      </c>
      <c r="P365">
        <f t="shared" si="14"/>
        <v>-4.4825118902310689E-2</v>
      </c>
      <c r="Q365">
        <f t="shared" si="15"/>
        <v>-9067.0942966875682</v>
      </c>
      <c r="R365">
        <f t="shared" si="16"/>
        <v>4952127.7896715309</v>
      </c>
      <c r="S365">
        <f t="shared" si="17"/>
        <v>49.521277896715311</v>
      </c>
      <c r="T365">
        <f t="shared" si="18"/>
        <v>4.9521277896715309E-2</v>
      </c>
    </row>
    <row r="366" spans="1:20" x14ac:dyDescent="0.25">
      <c r="A366" s="5">
        <v>44227</v>
      </c>
      <c r="B366">
        <v>315.12400000000002</v>
      </c>
      <c r="C366">
        <v>319</v>
      </c>
      <c r="D366">
        <v>290</v>
      </c>
      <c r="E366">
        <v>299.601</v>
      </c>
      <c r="F366">
        <v>186022.76800000001</v>
      </c>
      <c r="G366">
        <v>-4.93</v>
      </c>
      <c r="L366" t="s">
        <v>7</v>
      </c>
      <c r="M366" t="s">
        <v>8</v>
      </c>
      <c r="N366" t="s">
        <v>8</v>
      </c>
      <c r="P366">
        <f t="shared" si="14"/>
        <v>-0.33786206896551729</v>
      </c>
      <c r="Q366">
        <f t="shared" si="15"/>
        <v>-62850.037271172427</v>
      </c>
      <c r="R366">
        <f t="shared" si="16"/>
        <v>4961194.8839682182</v>
      </c>
      <c r="S366">
        <f t="shared" si="17"/>
        <v>49.611948839682185</v>
      </c>
      <c r="T366">
        <f t="shared" si="18"/>
        <v>4.9611948839682188E-2</v>
      </c>
    </row>
    <row r="367" spans="1:20" x14ac:dyDescent="0.25">
      <c r="A367" s="5">
        <v>44226</v>
      </c>
      <c r="B367">
        <v>288.00599999999997</v>
      </c>
      <c r="C367">
        <v>323.70299999999997</v>
      </c>
      <c r="D367">
        <v>282</v>
      </c>
      <c r="E367">
        <v>314.791</v>
      </c>
      <c r="F367">
        <v>282329.49800000002</v>
      </c>
      <c r="G367">
        <v>9.3000000000000007</v>
      </c>
      <c r="L367" t="s">
        <v>8</v>
      </c>
      <c r="M367" t="s">
        <v>8</v>
      </c>
      <c r="N367" t="s">
        <v>8</v>
      </c>
      <c r="P367">
        <f t="shared" si="14"/>
        <v>0.57259669568136662</v>
      </c>
      <c r="Q367">
        <f t="shared" si="15"/>
        <v>161660.93764817901</v>
      </c>
      <c r="R367">
        <f t="shared" si="16"/>
        <v>5024044.921239391</v>
      </c>
      <c r="S367">
        <f t="shared" si="17"/>
        <v>50.240449212393912</v>
      </c>
      <c r="T367">
        <f t="shared" si="18"/>
        <v>5.0240449212393914E-2</v>
      </c>
    </row>
    <row r="368" spans="1:20" x14ac:dyDescent="0.25">
      <c r="A368" s="5">
        <v>44225</v>
      </c>
      <c r="B368">
        <v>297.55399999999997</v>
      </c>
      <c r="C368">
        <v>308.37299999999999</v>
      </c>
      <c r="D368">
        <v>271.274</v>
      </c>
      <c r="E368">
        <v>287.8</v>
      </c>
      <c r="F368">
        <v>359239.9</v>
      </c>
      <c r="G368">
        <v>-3.28</v>
      </c>
      <c r="L368" t="s">
        <v>7</v>
      </c>
      <c r="M368" t="s">
        <v>8</v>
      </c>
      <c r="N368" t="s">
        <v>8</v>
      </c>
      <c r="P368">
        <f t="shared" si="14"/>
        <v>-0.10908649828836275</v>
      </c>
      <c r="Q368">
        <f t="shared" si="15"/>
        <v>-39188.222736461612</v>
      </c>
      <c r="R368">
        <f t="shared" si="16"/>
        <v>4862383.983591212</v>
      </c>
      <c r="S368">
        <f t="shared" si="17"/>
        <v>48.623839835912122</v>
      </c>
      <c r="T368">
        <f t="shared" si="18"/>
        <v>4.8623839835912119E-2</v>
      </c>
    </row>
    <row r="369" spans="1:20" x14ac:dyDescent="0.25">
      <c r="A369" s="5">
        <v>44224</v>
      </c>
      <c r="B369">
        <v>286.20800000000003</v>
      </c>
      <c r="C369">
        <v>308.899</v>
      </c>
      <c r="D369">
        <v>275</v>
      </c>
      <c r="E369">
        <v>297.209</v>
      </c>
      <c r="F369">
        <v>364117.93</v>
      </c>
      <c r="G369">
        <v>3.84</v>
      </c>
      <c r="L369" t="s">
        <v>8</v>
      </c>
      <c r="M369" t="s">
        <v>8</v>
      </c>
      <c r="N369" t="s">
        <v>8</v>
      </c>
      <c r="P369">
        <f t="shared" si="14"/>
        <v>0.31030413876515545</v>
      </c>
      <c r="Q369">
        <f t="shared" si="15"/>
        <v>112987.30067760116</v>
      </c>
      <c r="R369">
        <f t="shared" si="16"/>
        <v>4901572.206327674</v>
      </c>
      <c r="S369">
        <f t="shared" si="17"/>
        <v>49.015722063276741</v>
      </c>
      <c r="T369">
        <f t="shared" si="18"/>
        <v>4.9015722063276743E-2</v>
      </c>
    </row>
    <row r="370" spans="1:20" x14ac:dyDescent="0.25">
      <c r="A370" s="5">
        <v>44223</v>
      </c>
      <c r="B370">
        <v>277.65300000000002</v>
      </c>
      <c r="C370">
        <v>298.57600000000002</v>
      </c>
      <c r="D370">
        <v>255</v>
      </c>
      <c r="E370">
        <v>286</v>
      </c>
      <c r="F370">
        <v>526131.38100000005</v>
      </c>
      <c r="G370">
        <v>3.01</v>
      </c>
      <c r="L370" t="s">
        <v>8</v>
      </c>
      <c r="M370" t="s">
        <v>8</v>
      </c>
      <c r="N370" t="s">
        <v>8</v>
      </c>
      <c r="P370">
        <f t="shared" si="14"/>
        <v>0.42280154213328364</v>
      </c>
      <c r="Q370">
        <f t="shared" si="15"/>
        <v>222449.15925151424</v>
      </c>
      <c r="R370">
        <f t="shared" si="16"/>
        <v>4788584.9056500727</v>
      </c>
      <c r="S370">
        <f t="shared" si="17"/>
        <v>47.885849056500724</v>
      </c>
      <c r="T370">
        <f t="shared" si="18"/>
        <v>4.7885849056500722E-2</v>
      </c>
    </row>
    <row r="371" spans="1:20" x14ac:dyDescent="0.25">
      <c r="A371" s="5">
        <v>44222</v>
      </c>
      <c r="B371">
        <v>247.506</v>
      </c>
      <c r="C371">
        <v>287.99799999999999</v>
      </c>
      <c r="D371">
        <v>240.29</v>
      </c>
      <c r="E371">
        <v>277.661</v>
      </c>
      <c r="F371">
        <v>464004.53100000002</v>
      </c>
      <c r="G371">
        <v>12.18</v>
      </c>
      <c r="L371" t="s">
        <v>8</v>
      </c>
      <c r="M371" t="s">
        <v>8</v>
      </c>
      <c r="N371" t="s">
        <v>8</v>
      </c>
      <c r="P371">
        <f t="shared" si="14"/>
        <v>0.56665548754925843</v>
      </c>
      <c r="Q371">
        <f t="shared" si="15"/>
        <v>262930.71373886999</v>
      </c>
      <c r="R371">
        <f t="shared" si="16"/>
        <v>4566135.7463985588</v>
      </c>
      <c r="S371">
        <f t="shared" si="17"/>
        <v>45.661357463985588</v>
      </c>
      <c r="T371">
        <f t="shared" si="18"/>
        <v>4.5661357463985586E-2</v>
      </c>
    </row>
    <row r="372" spans="1:20" x14ac:dyDescent="0.25">
      <c r="A372" s="5">
        <v>44221</v>
      </c>
      <c r="B372">
        <v>264.52600000000001</v>
      </c>
      <c r="C372">
        <v>283</v>
      </c>
      <c r="D372">
        <v>238</v>
      </c>
      <c r="E372">
        <v>247.64699999999999</v>
      </c>
      <c r="F372">
        <v>502590.092</v>
      </c>
      <c r="G372">
        <v>-6.38</v>
      </c>
      <c r="L372" t="s">
        <v>7</v>
      </c>
      <c r="M372" t="s">
        <v>7</v>
      </c>
      <c r="N372" t="s">
        <v>8</v>
      </c>
      <c r="P372">
        <f t="shared" si="14"/>
        <v>-0.57124444444444478</v>
      </c>
      <c r="Q372">
        <f t="shared" si="15"/>
        <v>-287101.79788782238</v>
      </c>
      <c r="R372">
        <f t="shared" si="16"/>
        <v>4303205.032659689</v>
      </c>
      <c r="S372">
        <f t="shared" si="17"/>
        <v>43.032050326596888</v>
      </c>
      <c r="T372">
        <f t="shared" si="18"/>
        <v>4.3032050326596891E-2</v>
      </c>
    </row>
    <row r="373" spans="1:20" x14ac:dyDescent="0.25">
      <c r="A373" s="5">
        <v>44220</v>
      </c>
      <c r="B373">
        <v>213.37299999999999</v>
      </c>
      <c r="C373">
        <v>288.89999999999998</v>
      </c>
      <c r="D373">
        <v>212.19399999999999</v>
      </c>
      <c r="E373">
        <v>264.40100000000001</v>
      </c>
      <c r="F373">
        <v>705578.74399999995</v>
      </c>
      <c r="G373">
        <v>23.91</v>
      </c>
      <c r="L373" t="s">
        <v>8</v>
      </c>
      <c r="M373" t="s">
        <v>8</v>
      </c>
      <c r="N373" t="s">
        <v>8</v>
      </c>
      <c r="P373">
        <f t="shared" si="14"/>
        <v>0.36122337235679164</v>
      </c>
      <c r="Q373">
        <f t="shared" si="15"/>
        <v>254871.53337094936</v>
      </c>
      <c r="R373">
        <f t="shared" si="16"/>
        <v>4590306.8305475116</v>
      </c>
      <c r="S373">
        <f t="shared" si="17"/>
        <v>45.903068305475117</v>
      </c>
      <c r="T373">
        <f t="shared" si="18"/>
        <v>4.5903068305475116E-2</v>
      </c>
    </row>
    <row r="374" spans="1:20" x14ac:dyDescent="0.25">
      <c r="A374" s="5">
        <v>44219</v>
      </c>
      <c r="B374">
        <v>189.59700000000001</v>
      </c>
      <c r="C374">
        <v>220</v>
      </c>
      <c r="D374">
        <v>185.548</v>
      </c>
      <c r="E374">
        <v>213.304</v>
      </c>
      <c r="F374">
        <v>290322.734</v>
      </c>
      <c r="G374">
        <v>12.5</v>
      </c>
      <c r="L374" t="s">
        <v>8</v>
      </c>
      <c r="M374" t="s">
        <v>8</v>
      </c>
      <c r="N374" t="s">
        <v>8</v>
      </c>
      <c r="P374">
        <f t="shared" si="14"/>
        <v>0.61128526645768033</v>
      </c>
      <c r="Q374">
        <f t="shared" si="15"/>
        <v>177470.00981191226</v>
      </c>
      <c r="R374">
        <f t="shared" si="16"/>
        <v>4335435.2971765622</v>
      </c>
      <c r="S374">
        <f t="shared" si="17"/>
        <v>43.354352971765621</v>
      </c>
      <c r="T374">
        <f t="shared" si="18"/>
        <v>4.3354352971765618E-2</v>
      </c>
    </row>
    <row r="375" spans="1:20" x14ac:dyDescent="0.25">
      <c r="A375" s="5">
        <v>44218</v>
      </c>
      <c r="B375">
        <v>160.29</v>
      </c>
      <c r="C375">
        <v>199.31800000000001</v>
      </c>
      <c r="D375">
        <v>147.27000000000001</v>
      </c>
      <c r="E375">
        <v>189.59200000000001</v>
      </c>
      <c r="F375">
        <v>333628.87699999998</v>
      </c>
      <c r="G375">
        <v>18.28</v>
      </c>
      <c r="L375" t="s">
        <v>7</v>
      </c>
      <c r="M375" t="s">
        <v>7</v>
      </c>
      <c r="N375" t="s">
        <v>7</v>
      </c>
      <c r="P375">
        <f t="shared" si="14"/>
        <v>0.62626806025207504</v>
      </c>
      <c r="Q375">
        <f t="shared" si="15"/>
        <v>208941.10964286813</v>
      </c>
      <c r="R375">
        <f t="shared" si="16"/>
        <v>4157965.2873646501</v>
      </c>
      <c r="S375">
        <f t="shared" si="17"/>
        <v>41.579652873646502</v>
      </c>
      <c r="T375">
        <f t="shared" si="18"/>
        <v>4.1579652873646504E-2</v>
      </c>
    </row>
    <row r="376" spans="1:20" x14ac:dyDescent="0.25">
      <c r="A376" s="5">
        <v>44217</v>
      </c>
      <c r="B376">
        <v>196.78700000000001</v>
      </c>
      <c r="C376">
        <v>199.285</v>
      </c>
      <c r="D376">
        <v>155.21</v>
      </c>
      <c r="E376">
        <v>160.321</v>
      </c>
      <c r="F376">
        <v>454780.95699999999</v>
      </c>
      <c r="G376">
        <v>-18.53</v>
      </c>
      <c r="L376" t="s">
        <v>7</v>
      </c>
      <c r="M376" t="s">
        <v>7</v>
      </c>
      <c r="N376" t="s">
        <v>7</v>
      </c>
      <c r="P376">
        <f t="shared" si="14"/>
        <v>-0.76807714123652904</v>
      </c>
      <c r="Q376">
        <f t="shared" si="15"/>
        <v>-349306.85734137282</v>
      </c>
      <c r="R376">
        <f t="shared" si="16"/>
        <v>3949024.1777217821</v>
      </c>
      <c r="S376">
        <f t="shared" si="17"/>
        <v>39.490241777217818</v>
      </c>
      <c r="T376">
        <f t="shared" si="18"/>
        <v>3.949024177721782E-2</v>
      </c>
    </row>
    <row r="377" spans="1:20" x14ac:dyDescent="0.25">
      <c r="A377" s="5">
        <v>44216</v>
      </c>
      <c r="B377">
        <v>185.88200000000001</v>
      </c>
      <c r="C377">
        <v>199.22900000000001</v>
      </c>
      <c r="D377">
        <v>171.346</v>
      </c>
      <c r="E377">
        <v>196.733</v>
      </c>
      <c r="F377">
        <v>277923.43599999999</v>
      </c>
      <c r="G377">
        <v>5.84</v>
      </c>
      <c r="L377" t="s">
        <v>7</v>
      </c>
      <c r="M377" t="s">
        <v>7</v>
      </c>
      <c r="N377" t="s">
        <v>8</v>
      </c>
      <c r="P377">
        <f t="shared" si="14"/>
        <v>0.82096618010974365</v>
      </c>
      <c r="Q377">
        <f t="shared" si="15"/>
        <v>228165.7416158948</v>
      </c>
      <c r="R377">
        <f t="shared" si="16"/>
        <v>4298331.035063155</v>
      </c>
      <c r="S377">
        <f t="shared" si="17"/>
        <v>42.983310350631548</v>
      </c>
      <c r="T377">
        <f t="shared" si="18"/>
        <v>4.2983310350631548E-2</v>
      </c>
    </row>
    <row r="378" spans="1:20" x14ac:dyDescent="0.25">
      <c r="A378" s="5">
        <v>44215</v>
      </c>
      <c r="B378">
        <v>200.054</v>
      </c>
      <c r="C378">
        <v>209.98</v>
      </c>
      <c r="D378">
        <v>183.9</v>
      </c>
      <c r="E378">
        <v>186.07900000000001</v>
      </c>
      <c r="F378">
        <v>290743.12400000001</v>
      </c>
      <c r="G378">
        <v>-6.99</v>
      </c>
      <c r="L378" t="s">
        <v>8</v>
      </c>
      <c r="M378" t="s">
        <v>8</v>
      </c>
      <c r="N378" t="s">
        <v>8</v>
      </c>
      <c r="P378">
        <f t="shared" si="14"/>
        <v>-0.83289877300613469</v>
      </c>
      <c r="Q378">
        <f t="shared" si="15"/>
        <v>-242159.59123957047</v>
      </c>
      <c r="R378">
        <f t="shared" si="16"/>
        <v>4070165.2934472598</v>
      </c>
      <c r="S378">
        <f t="shared" si="17"/>
        <v>40.701652934472598</v>
      </c>
      <c r="T378">
        <f t="shared" si="18"/>
        <v>4.0701652934472601E-2</v>
      </c>
    </row>
    <row r="379" spans="1:20" x14ac:dyDescent="0.25">
      <c r="A379" s="5">
        <v>44214</v>
      </c>
      <c r="B379">
        <v>186.25299999999999</v>
      </c>
      <c r="C379">
        <v>200.696</v>
      </c>
      <c r="D379">
        <v>180.5</v>
      </c>
      <c r="E379">
        <v>200.054</v>
      </c>
      <c r="F379">
        <v>228058.11199999999</v>
      </c>
      <c r="G379">
        <v>7.41</v>
      </c>
      <c r="L379" t="s">
        <v>8</v>
      </c>
      <c r="M379" t="s">
        <v>8</v>
      </c>
      <c r="N379" t="s">
        <v>8</v>
      </c>
      <c r="P379">
        <f t="shared" si="14"/>
        <v>0.93642305407011328</v>
      </c>
      <c r="Q379">
        <f t="shared" si="15"/>
        <v>213558.87374450394</v>
      </c>
      <c r="R379">
        <f t="shared" si="16"/>
        <v>4312324.8846868305</v>
      </c>
      <c r="S379">
        <f t="shared" si="17"/>
        <v>43.123248846868307</v>
      </c>
      <c r="T379">
        <f t="shared" si="18"/>
        <v>4.3123248846868308E-2</v>
      </c>
    </row>
    <row r="380" spans="1:20" x14ac:dyDescent="0.25">
      <c r="A380" s="5">
        <v>44213</v>
      </c>
      <c r="B380">
        <v>181.32599999999999</v>
      </c>
      <c r="C380">
        <v>198.92699999999999</v>
      </c>
      <c r="D380">
        <v>174.18100000000001</v>
      </c>
      <c r="E380">
        <v>186.32300000000001</v>
      </c>
      <c r="F380">
        <v>348083.533</v>
      </c>
      <c r="G380">
        <v>2.76</v>
      </c>
      <c r="L380" t="s">
        <v>7</v>
      </c>
      <c r="M380" t="s">
        <v>8</v>
      </c>
      <c r="N380" t="s">
        <v>8</v>
      </c>
      <c r="P380">
        <f t="shared" si="14"/>
        <v>-1.8669683989331182E-2</v>
      </c>
      <c r="Q380">
        <f t="shared" si="15"/>
        <v>-6498.6095629999318</v>
      </c>
      <c r="R380">
        <f t="shared" si="16"/>
        <v>4098766.0109423269</v>
      </c>
      <c r="S380">
        <f t="shared" si="17"/>
        <v>40.987660109423267</v>
      </c>
      <c r="T380">
        <f t="shared" si="18"/>
        <v>4.0987660109423264E-2</v>
      </c>
    </row>
    <row r="381" spans="1:20" x14ac:dyDescent="0.25">
      <c r="A381" s="5">
        <v>44212</v>
      </c>
      <c r="B381">
        <v>166.41499999999999</v>
      </c>
      <c r="C381">
        <v>203.49799999999999</v>
      </c>
      <c r="D381">
        <v>166.35</v>
      </c>
      <c r="E381">
        <v>181.417</v>
      </c>
      <c r="F381">
        <v>571037.75100000005</v>
      </c>
      <c r="G381">
        <v>9.01</v>
      </c>
      <c r="L381" t="s">
        <v>8</v>
      </c>
      <c r="M381" t="s">
        <v>8</v>
      </c>
      <c r="N381" t="s">
        <v>8</v>
      </c>
      <c r="P381">
        <f t="shared" si="14"/>
        <v>-0.18881231829438952</v>
      </c>
      <c r="Q381">
        <f t="shared" si="15"/>
        <v>-107818.96159992435</v>
      </c>
      <c r="R381">
        <f t="shared" si="16"/>
        <v>4105264.6205053269</v>
      </c>
      <c r="S381">
        <f t="shared" si="17"/>
        <v>41.052646205053271</v>
      </c>
      <c r="T381">
        <f t="shared" si="18"/>
        <v>4.1052646205053271E-2</v>
      </c>
    </row>
    <row r="382" spans="1:20" x14ac:dyDescent="0.25">
      <c r="A382" s="5">
        <v>44211</v>
      </c>
      <c r="B382">
        <v>147.69499999999999</v>
      </c>
      <c r="C382">
        <v>169.59899999999999</v>
      </c>
      <c r="D382">
        <v>139.5</v>
      </c>
      <c r="E382">
        <v>166.51300000000001</v>
      </c>
      <c r="F382">
        <v>355799.391</v>
      </c>
      <c r="G382">
        <v>12.74</v>
      </c>
      <c r="L382" t="s">
        <v>8</v>
      </c>
      <c r="M382" t="s">
        <v>8</v>
      </c>
      <c r="N382" t="s">
        <v>8</v>
      </c>
      <c r="P382">
        <f t="shared" si="14"/>
        <v>0.79494335359978829</v>
      </c>
      <c r="Q382">
        <f t="shared" si="15"/>
        <v>282840.36109030235</v>
      </c>
      <c r="R382">
        <f t="shared" si="16"/>
        <v>4213083.582105251</v>
      </c>
      <c r="S382">
        <f t="shared" si="17"/>
        <v>42.130835821052507</v>
      </c>
      <c r="T382">
        <f t="shared" si="18"/>
        <v>4.2130835821052509E-2</v>
      </c>
    </row>
    <row r="383" spans="1:20" x14ac:dyDescent="0.25">
      <c r="A383" s="5">
        <v>44210</v>
      </c>
      <c r="B383">
        <v>146.81800000000001</v>
      </c>
      <c r="C383">
        <v>154.94399999999999</v>
      </c>
      <c r="D383">
        <v>139.14099999999999</v>
      </c>
      <c r="E383">
        <v>147.53</v>
      </c>
      <c r="F383">
        <v>250449.03</v>
      </c>
      <c r="G383">
        <v>0.48</v>
      </c>
      <c r="L383" t="s">
        <v>8</v>
      </c>
      <c r="M383" t="s">
        <v>8</v>
      </c>
      <c r="N383" t="s">
        <v>8</v>
      </c>
      <c r="P383">
        <f t="shared" si="14"/>
        <v>6.1697146111499269E-2</v>
      </c>
      <c r="Q383">
        <f t="shared" si="15"/>
        <v>15451.990397393263</v>
      </c>
      <c r="R383">
        <f t="shared" si="16"/>
        <v>3930243.221014949</v>
      </c>
      <c r="S383">
        <f t="shared" si="17"/>
        <v>39.30243221014949</v>
      </c>
      <c r="T383">
        <f t="shared" si="18"/>
        <v>3.9302432210149493E-2</v>
      </c>
    </row>
    <row r="384" spans="1:20" x14ac:dyDescent="0.25">
      <c r="A384" s="5">
        <v>44209</v>
      </c>
      <c r="B384">
        <v>127.661</v>
      </c>
      <c r="C384">
        <v>147.928</v>
      </c>
      <c r="D384">
        <v>119.83799999999999</v>
      </c>
      <c r="E384">
        <v>146.81100000000001</v>
      </c>
      <c r="F384">
        <v>426638.76</v>
      </c>
      <c r="G384">
        <v>15</v>
      </c>
      <c r="L384" t="s">
        <v>8</v>
      </c>
      <c r="M384" t="s">
        <v>8</v>
      </c>
      <c r="N384" t="s">
        <v>8</v>
      </c>
      <c r="P384">
        <f t="shared" si="14"/>
        <v>0.92046991812032819</v>
      </c>
      <c r="Q384">
        <f t="shared" si="15"/>
        <v>392708.14448415837</v>
      </c>
      <c r="R384">
        <f t="shared" si="16"/>
        <v>3914791.2306175558</v>
      </c>
      <c r="S384">
        <f t="shared" si="17"/>
        <v>39.147912306175556</v>
      </c>
      <c r="T384">
        <f t="shared" si="18"/>
        <v>3.9147912306175557E-2</v>
      </c>
    </row>
    <row r="385" spans="1:20" x14ac:dyDescent="0.25">
      <c r="A385" s="5">
        <v>44208</v>
      </c>
      <c r="B385">
        <v>114.283</v>
      </c>
      <c r="C385">
        <v>135.75399999999999</v>
      </c>
      <c r="D385">
        <v>109.1</v>
      </c>
      <c r="E385">
        <v>127.765</v>
      </c>
      <c r="F385">
        <v>476089.84100000001</v>
      </c>
      <c r="G385">
        <v>11.8</v>
      </c>
      <c r="L385" t="s">
        <v>8</v>
      </c>
      <c r="M385" t="s">
        <v>8</v>
      </c>
      <c r="N385" t="s">
        <v>8</v>
      </c>
      <c r="P385">
        <f t="shared" si="14"/>
        <v>0.40054025662189607</v>
      </c>
      <c r="Q385">
        <f t="shared" si="15"/>
        <v>190693.1470892177</v>
      </c>
      <c r="R385">
        <f t="shared" si="16"/>
        <v>3522083.0861333972</v>
      </c>
      <c r="S385">
        <f t="shared" si="17"/>
        <v>35.220830861333972</v>
      </c>
      <c r="T385">
        <f t="shared" si="18"/>
        <v>3.5220830861333971E-2</v>
      </c>
    </row>
    <row r="386" spans="1:20" x14ac:dyDescent="0.25">
      <c r="A386" s="5">
        <v>44207</v>
      </c>
      <c r="B386">
        <v>126.9</v>
      </c>
      <c r="C386">
        <v>127.28700000000001</v>
      </c>
      <c r="D386">
        <v>94.02</v>
      </c>
      <c r="E386">
        <v>114.212</v>
      </c>
      <c r="F386">
        <v>571386.72499999998</v>
      </c>
      <c r="G386">
        <v>-10</v>
      </c>
      <c r="L386" t="s">
        <v>7</v>
      </c>
      <c r="M386" t="s">
        <v>7</v>
      </c>
      <c r="N386" t="s">
        <v>7</v>
      </c>
      <c r="P386">
        <f t="shared" si="14"/>
        <v>0.21393573210689279</v>
      </c>
      <c r="Q386">
        <f t="shared" si="15"/>
        <v>122240.03732903482</v>
      </c>
      <c r="R386">
        <f t="shared" si="16"/>
        <v>3331389.9390441794</v>
      </c>
      <c r="S386">
        <f t="shared" si="17"/>
        <v>33.313899390441797</v>
      </c>
      <c r="T386">
        <f t="shared" si="18"/>
        <v>3.3313899390441798E-2</v>
      </c>
    </row>
    <row r="387" spans="1:20" x14ac:dyDescent="0.25">
      <c r="A387" s="5">
        <v>44206</v>
      </c>
      <c r="B387">
        <v>117.611</v>
      </c>
      <c r="C387">
        <v>135.99</v>
      </c>
      <c r="D387">
        <v>111.43</v>
      </c>
      <c r="E387">
        <v>127.00700000000001</v>
      </c>
      <c r="F387">
        <v>470126.59899999999</v>
      </c>
      <c r="G387">
        <v>7.99</v>
      </c>
      <c r="L387" t="s">
        <v>8</v>
      </c>
      <c r="M387" t="s">
        <v>8</v>
      </c>
      <c r="N387" t="s">
        <v>8</v>
      </c>
      <c r="P387">
        <f t="shared" si="14"/>
        <v>0.26848534201954372</v>
      </c>
      <c r="Q387">
        <f t="shared" si="15"/>
        <v>126222.10072499988</v>
      </c>
      <c r="R387">
        <f t="shared" si="16"/>
        <v>3209149.9017151445</v>
      </c>
      <c r="S387">
        <f t="shared" si="17"/>
        <v>32.091499017151442</v>
      </c>
      <c r="T387">
        <f t="shared" si="18"/>
        <v>3.2091499017151442E-2</v>
      </c>
    </row>
    <row r="388" spans="1:20" x14ac:dyDescent="0.25">
      <c r="A388" s="5">
        <v>44205</v>
      </c>
      <c r="B388">
        <v>110.721</v>
      </c>
      <c r="C388">
        <v>119.21899999999999</v>
      </c>
      <c r="D388">
        <v>105.91800000000001</v>
      </c>
      <c r="E388">
        <v>117.479</v>
      </c>
      <c r="F388">
        <v>230440.99600000001</v>
      </c>
      <c r="G388">
        <v>6.1</v>
      </c>
      <c r="L388" t="s">
        <v>8</v>
      </c>
      <c r="M388" t="s">
        <v>7</v>
      </c>
      <c r="N388" t="s">
        <v>8</v>
      </c>
      <c r="P388">
        <f t="shared" si="14"/>
        <v>0.73836553642583314</v>
      </c>
      <c r="Q388">
        <f t="shared" si="15"/>
        <v>170149.68962604328</v>
      </c>
      <c r="R388">
        <f t="shared" si="16"/>
        <v>3082927.8009901447</v>
      </c>
      <c r="S388">
        <f t="shared" si="17"/>
        <v>30.829278009901447</v>
      </c>
      <c r="T388">
        <f t="shared" si="18"/>
        <v>3.0829278009901446E-2</v>
      </c>
    </row>
    <row r="389" spans="1:20" x14ac:dyDescent="0.25">
      <c r="A389" s="5">
        <v>44204</v>
      </c>
      <c r="B389">
        <v>114.999</v>
      </c>
      <c r="C389">
        <v>119.37</v>
      </c>
      <c r="D389">
        <v>100</v>
      </c>
      <c r="E389">
        <v>110.48099999999999</v>
      </c>
      <c r="F389">
        <v>302116.47100000002</v>
      </c>
      <c r="G389">
        <v>-3.93</v>
      </c>
      <c r="L389" t="s">
        <v>7</v>
      </c>
      <c r="M389" t="s">
        <v>7</v>
      </c>
      <c r="N389" t="s">
        <v>8</v>
      </c>
      <c r="P389">
        <f t="shared" si="14"/>
        <v>8.2188951987608894E-2</v>
      </c>
      <c r="Q389">
        <f t="shared" si="15"/>
        <v>24830.636129684837</v>
      </c>
      <c r="R389">
        <f t="shared" si="16"/>
        <v>2912778.1113641015</v>
      </c>
      <c r="S389">
        <f t="shared" si="17"/>
        <v>29.127781113641014</v>
      </c>
      <c r="T389">
        <f t="shared" si="18"/>
        <v>2.9127781113641015E-2</v>
      </c>
    </row>
    <row r="390" spans="1:20" x14ac:dyDescent="0.25">
      <c r="A390" s="5">
        <v>44203</v>
      </c>
      <c r="B390">
        <v>115.309</v>
      </c>
      <c r="C390">
        <v>129</v>
      </c>
      <c r="D390">
        <v>107.89</v>
      </c>
      <c r="E390">
        <v>114.82299999999999</v>
      </c>
      <c r="F390">
        <v>409727.42599999998</v>
      </c>
      <c r="G390">
        <v>-0.42</v>
      </c>
      <c r="L390" t="s">
        <v>8</v>
      </c>
      <c r="M390" t="s">
        <v>8</v>
      </c>
      <c r="N390" t="s">
        <v>8</v>
      </c>
      <c r="P390">
        <f t="shared" ref="P390:P453" si="19">IF(C390=D390,0,((E390-D390)-(C390-E390))/(C390-D390))</f>
        <v>-0.34315490288962647</v>
      </c>
      <c r="Q390">
        <f t="shared" ref="Q390:Q453" si="20">F390*P390</f>
        <v>-140599.9750802466</v>
      </c>
      <c r="R390">
        <f t="shared" ref="R390:R453" si="21">R391+Q390</f>
        <v>2887947.4752344168</v>
      </c>
      <c r="S390">
        <f t="shared" ref="S390:S453" si="22">R390/100000</f>
        <v>28.879474752344169</v>
      </c>
      <c r="T390">
        <f t="shared" ref="T390:T453" si="23">S390/1000</f>
        <v>2.8879474752344168E-2</v>
      </c>
    </row>
    <row r="391" spans="1:20" x14ac:dyDescent="0.25">
      <c r="A391" s="5">
        <v>44202</v>
      </c>
      <c r="B391">
        <v>119.68600000000001</v>
      </c>
      <c r="C391">
        <v>120.5</v>
      </c>
      <c r="D391">
        <v>107.752</v>
      </c>
      <c r="E391">
        <v>115.191</v>
      </c>
      <c r="F391">
        <v>303818.95400000003</v>
      </c>
      <c r="G391">
        <v>-3.76</v>
      </c>
      <c r="L391" t="s">
        <v>7</v>
      </c>
      <c r="M391" t="s">
        <v>8</v>
      </c>
      <c r="N391" t="s">
        <v>8</v>
      </c>
      <c r="P391">
        <f t="shared" si="19"/>
        <v>0.16708503294634522</v>
      </c>
      <c r="Q391">
        <f t="shared" si="20"/>
        <v>50763.59993881415</v>
      </c>
      <c r="R391">
        <f t="shared" si="21"/>
        <v>3028547.4503146634</v>
      </c>
      <c r="S391">
        <f t="shared" si="22"/>
        <v>30.285474503146634</v>
      </c>
      <c r="T391">
        <f t="shared" si="23"/>
        <v>3.0285474503146635E-2</v>
      </c>
    </row>
    <row r="392" spans="1:20" x14ac:dyDescent="0.25">
      <c r="A392" s="5">
        <v>44201</v>
      </c>
      <c r="B392">
        <v>114.23099999999999</v>
      </c>
      <c r="C392">
        <v>123.962</v>
      </c>
      <c r="D392">
        <v>98.41</v>
      </c>
      <c r="E392">
        <v>119.68899999999999</v>
      </c>
      <c r="F392">
        <v>517557.04300000001</v>
      </c>
      <c r="G392">
        <v>4.78</v>
      </c>
      <c r="L392" t="s">
        <v>8</v>
      </c>
      <c r="M392" t="s">
        <v>8</v>
      </c>
      <c r="N392" t="s">
        <v>8</v>
      </c>
      <c r="P392">
        <f t="shared" si="19"/>
        <v>0.6655447714464614</v>
      </c>
      <c r="Q392">
        <f t="shared" si="20"/>
        <v>344457.38389394141</v>
      </c>
      <c r="R392">
        <f t="shared" si="21"/>
        <v>2977783.8503758493</v>
      </c>
      <c r="S392">
        <f t="shared" si="22"/>
        <v>29.777838503758492</v>
      </c>
      <c r="T392">
        <f t="shared" si="23"/>
        <v>2.9777838503758491E-2</v>
      </c>
    </row>
    <row r="393" spans="1:20" x14ac:dyDescent="0.25">
      <c r="A393" s="5">
        <v>44200</v>
      </c>
      <c r="B393">
        <v>93.789000000000001</v>
      </c>
      <c r="C393">
        <v>115.52200000000001</v>
      </c>
      <c r="D393">
        <v>86.01</v>
      </c>
      <c r="E393">
        <v>114.271</v>
      </c>
      <c r="F393">
        <v>658257.70799999998</v>
      </c>
      <c r="G393">
        <v>21.84</v>
      </c>
      <c r="L393" t="s">
        <v>8</v>
      </c>
      <c r="M393" t="s">
        <v>8</v>
      </c>
      <c r="N393" t="s">
        <v>8</v>
      </c>
      <c r="P393">
        <f t="shared" si="19"/>
        <v>0.91522092708050928</v>
      </c>
      <c r="Q393">
        <f t="shared" si="20"/>
        <v>602451.22977365111</v>
      </c>
      <c r="R393">
        <f t="shared" si="21"/>
        <v>2633326.4664819078</v>
      </c>
      <c r="S393">
        <f t="shared" si="22"/>
        <v>26.333264664819076</v>
      </c>
      <c r="T393">
        <f t="shared" si="23"/>
        <v>2.6333264664819077E-2</v>
      </c>
    </row>
    <row r="394" spans="1:20" x14ac:dyDescent="0.25">
      <c r="A394" s="5">
        <v>44199</v>
      </c>
      <c r="B394">
        <v>85.754000000000005</v>
      </c>
      <c r="C394">
        <v>95</v>
      </c>
      <c r="D394">
        <v>81.290999999999997</v>
      </c>
      <c r="E394">
        <v>93.778000000000006</v>
      </c>
      <c r="F394">
        <v>290702.54100000003</v>
      </c>
      <c r="G394">
        <v>9.36</v>
      </c>
      <c r="L394" t="s">
        <v>8</v>
      </c>
      <c r="M394" t="s">
        <v>8</v>
      </c>
      <c r="N394" t="s">
        <v>8</v>
      </c>
      <c r="P394">
        <f t="shared" si="19"/>
        <v>0.82172295572251897</v>
      </c>
      <c r="Q394">
        <f t="shared" si="20"/>
        <v>238876.95122656677</v>
      </c>
      <c r="R394">
        <f t="shared" si="21"/>
        <v>2030875.2367082566</v>
      </c>
      <c r="S394">
        <f t="shared" si="22"/>
        <v>20.308752367082565</v>
      </c>
      <c r="T394">
        <f t="shared" si="23"/>
        <v>2.0308752367082565E-2</v>
      </c>
    </row>
    <row r="395" spans="1:20" x14ac:dyDescent="0.25">
      <c r="A395" s="5">
        <v>44198</v>
      </c>
      <c r="B395">
        <v>90.826999999999998</v>
      </c>
      <c r="C395">
        <v>91.99</v>
      </c>
      <c r="D395">
        <v>82.472999999999999</v>
      </c>
      <c r="E395">
        <v>85.768000000000001</v>
      </c>
      <c r="F395">
        <v>199756.52900000001</v>
      </c>
      <c r="G395">
        <v>-5.57</v>
      </c>
      <c r="L395" t="s">
        <v>8</v>
      </c>
      <c r="M395" t="s">
        <v>8</v>
      </c>
      <c r="N395" t="s">
        <v>8</v>
      </c>
      <c r="P395">
        <f t="shared" si="19"/>
        <v>-0.30755490175475397</v>
      </c>
      <c r="Q395">
        <f t="shared" si="20"/>
        <v>-61436.099651465665</v>
      </c>
      <c r="R395">
        <f t="shared" si="21"/>
        <v>1791998.28548169</v>
      </c>
      <c r="S395">
        <f t="shared" si="22"/>
        <v>17.919982854816901</v>
      </c>
      <c r="T395">
        <f t="shared" si="23"/>
        <v>1.7919982854816902E-2</v>
      </c>
    </row>
    <row r="396" spans="1:20" x14ac:dyDescent="0.25">
      <c r="A396" s="5">
        <v>44197</v>
      </c>
      <c r="B396">
        <v>88.35</v>
      </c>
      <c r="C396">
        <v>90.831999999999994</v>
      </c>
      <c r="D396">
        <v>84.644999999999996</v>
      </c>
      <c r="E396">
        <v>90.710999999999999</v>
      </c>
      <c r="F396">
        <v>193634.035</v>
      </c>
      <c r="G396">
        <v>2.67</v>
      </c>
      <c r="L396" t="s">
        <v>8</v>
      </c>
      <c r="M396" t="s">
        <v>8</v>
      </c>
      <c r="N396" t="s">
        <v>8</v>
      </c>
      <c r="P396">
        <f t="shared" si="19"/>
        <v>0.96088572813964923</v>
      </c>
      <c r="Q396">
        <f t="shared" si="20"/>
        <v>186060.18071359332</v>
      </c>
      <c r="R396">
        <f t="shared" si="21"/>
        <v>1853434.3851331556</v>
      </c>
      <c r="S396">
        <f t="shared" si="22"/>
        <v>18.534343851331556</v>
      </c>
      <c r="T396">
        <f t="shared" si="23"/>
        <v>1.8534343851331556E-2</v>
      </c>
    </row>
    <row r="397" spans="1:20" x14ac:dyDescent="0.25">
      <c r="A397" s="5">
        <v>44196</v>
      </c>
      <c r="B397">
        <v>81</v>
      </c>
      <c r="C397">
        <v>88.587000000000003</v>
      </c>
      <c r="D397">
        <v>78.25</v>
      </c>
      <c r="E397">
        <v>88.48</v>
      </c>
      <c r="F397">
        <v>199212.07399999999</v>
      </c>
      <c r="G397">
        <v>9.23</v>
      </c>
      <c r="L397" t="s">
        <v>8</v>
      </c>
      <c r="M397" t="s">
        <v>8</v>
      </c>
      <c r="N397" t="s">
        <v>8</v>
      </c>
      <c r="P397">
        <f t="shared" si="19"/>
        <v>0.97929766856921752</v>
      </c>
      <c r="Q397">
        <f t="shared" si="20"/>
        <v>195087.91961903844</v>
      </c>
      <c r="R397">
        <f t="shared" si="21"/>
        <v>1667374.2044195624</v>
      </c>
      <c r="S397">
        <f t="shared" si="22"/>
        <v>16.673742044195624</v>
      </c>
      <c r="T397">
        <f t="shared" si="23"/>
        <v>1.6673742044195625E-2</v>
      </c>
    </row>
    <row r="398" spans="1:20" x14ac:dyDescent="0.25">
      <c r="A398" s="5">
        <v>44195</v>
      </c>
      <c r="B398">
        <v>78.122</v>
      </c>
      <c r="C398">
        <v>86</v>
      </c>
      <c r="D398">
        <v>77.134</v>
      </c>
      <c r="E398">
        <v>81</v>
      </c>
      <c r="F398">
        <v>219116.31299999999</v>
      </c>
      <c r="G398">
        <v>3.68</v>
      </c>
      <c r="L398" t="s">
        <v>8</v>
      </c>
      <c r="M398" t="s">
        <v>8</v>
      </c>
      <c r="N398" t="s">
        <v>7</v>
      </c>
      <c r="P398">
        <f t="shared" si="19"/>
        <v>-0.12790435371080536</v>
      </c>
      <c r="Q398">
        <f t="shared" si="20"/>
        <v>-28025.930401759539</v>
      </c>
      <c r="R398">
        <f t="shared" si="21"/>
        <v>1472286.2848005239</v>
      </c>
      <c r="S398">
        <f t="shared" si="22"/>
        <v>14.722862848005239</v>
      </c>
      <c r="T398">
        <f t="shared" si="23"/>
        <v>1.4722862848005239E-2</v>
      </c>
    </row>
    <row r="399" spans="1:20" x14ac:dyDescent="0.25">
      <c r="A399" s="5">
        <v>44194</v>
      </c>
      <c r="B399">
        <v>81.8</v>
      </c>
      <c r="C399">
        <v>82.998999999999995</v>
      </c>
      <c r="D399">
        <v>75</v>
      </c>
      <c r="E399">
        <v>78.135999999999996</v>
      </c>
      <c r="F399">
        <v>144129.27799999999</v>
      </c>
      <c r="G399">
        <v>-4.4800000000000004</v>
      </c>
      <c r="L399" t="s">
        <v>7</v>
      </c>
      <c r="M399" t="s">
        <v>8</v>
      </c>
      <c r="N399" t="s">
        <v>7</v>
      </c>
      <c r="P399">
        <f t="shared" si="19"/>
        <v>-0.21590198774846917</v>
      </c>
      <c r="Q399">
        <f t="shared" si="20"/>
        <v>-31117.797612951705</v>
      </c>
      <c r="R399">
        <f t="shared" si="21"/>
        <v>1500312.2152022833</v>
      </c>
      <c r="S399">
        <f t="shared" si="22"/>
        <v>15.003122152022833</v>
      </c>
      <c r="T399">
        <f t="shared" si="23"/>
        <v>1.5003122152022833E-2</v>
      </c>
    </row>
    <row r="400" spans="1:20" x14ac:dyDescent="0.25">
      <c r="A400" s="5">
        <v>44193</v>
      </c>
      <c r="B400">
        <v>76.762</v>
      </c>
      <c r="C400">
        <v>85.986999999999995</v>
      </c>
      <c r="D400">
        <v>76.007000000000005</v>
      </c>
      <c r="E400">
        <v>81.832999999999998</v>
      </c>
      <c r="F400">
        <v>211680.81899999999</v>
      </c>
      <c r="G400">
        <v>6.61</v>
      </c>
      <c r="L400" t="s">
        <v>8</v>
      </c>
      <c r="M400" t="s">
        <v>8</v>
      </c>
      <c r="N400" t="s">
        <v>7</v>
      </c>
      <c r="P400">
        <f t="shared" si="19"/>
        <v>0.16753507014028043</v>
      </c>
      <c r="Q400">
        <f t="shared" si="20"/>
        <v>35463.960858517006</v>
      </c>
      <c r="R400">
        <f t="shared" si="21"/>
        <v>1531430.0128152349</v>
      </c>
      <c r="S400">
        <f t="shared" si="22"/>
        <v>15.31430012815235</v>
      </c>
      <c r="T400">
        <f t="shared" si="23"/>
        <v>1.5314300128152351E-2</v>
      </c>
    </row>
    <row r="401" spans="1:20" x14ac:dyDescent="0.25">
      <c r="A401" s="5">
        <v>44192</v>
      </c>
      <c r="B401">
        <v>75.066000000000003</v>
      </c>
      <c r="C401">
        <v>82.052000000000007</v>
      </c>
      <c r="D401">
        <v>72.649000000000001</v>
      </c>
      <c r="E401">
        <v>76.751000000000005</v>
      </c>
      <c r="F401">
        <v>239273.93400000001</v>
      </c>
      <c r="G401">
        <v>2.2400000000000002</v>
      </c>
      <c r="L401" t="s">
        <v>7</v>
      </c>
      <c r="M401" t="s">
        <v>8</v>
      </c>
      <c r="N401" t="s">
        <v>7</v>
      </c>
      <c r="P401">
        <f t="shared" si="19"/>
        <v>-0.12751249601191081</v>
      </c>
      <c r="Q401">
        <f t="shared" si="20"/>
        <v>-30510.416554929212</v>
      </c>
      <c r="R401">
        <f t="shared" si="21"/>
        <v>1495966.0519567179</v>
      </c>
      <c r="S401">
        <f t="shared" si="22"/>
        <v>14.959660519567178</v>
      </c>
      <c r="T401">
        <f t="shared" si="23"/>
        <v>1.4959660519567179E-2</v>
      </c>
    </row>
    <row r="402" spans="1:20" x14ac:dyDescent="0.25">
      <c r="A402" s="5">
        <v>44191</v>
      </c>
      <c r="B402">
        <v>79.77</v>
      </c>
      <c r="C402">
        <v>79.95</v>
      </c>
      <c r="D402">
        <v>73.778000000000006</v>
      </c>
      <c r="E402">
        <v>75.055000000000007</v>
      </c>
      <c r="F402">
        <v>145347.57699999999</v>
      </c>
      <c r="G402">
        <v>-5.91</v>
      </c>
      <c r="L402" t="s">
        <v>7</v>
      </c>
      <c r="M402" t="s">
        <v>8</v>
      </c>
      <c r="N402" t="s">
        <v>7</v>
      </c>
      <c r="P402">
        <f t="shared" si="19"/>
        <v>-0.58619572261827557</v>
      </c>
      <c r="Q402">
        <f t="shared" si="20"/>
        <v>-85202.127930330447</v>
      </c>
      <c r="R402">
        <f t="shared" si="21"/>
        <v>1526476.4685116471</v>
      </c>
      <c r="S402">
        <f t="shared" si="22"/>
        <v>15.264764685116472</v>
      </c>
      <c r="T402">
        <f t="shared" si="23"/>
        <v>1.5264764685116472E-2</v>
      </c>
    </row>
    <row r="403" spans="1:20" x14ac:dyDescent="0.25">
      <c r="A403" s="5">
        <v>44190</v>
      </c>
      <c r="B403">
        <v>80.664000000000001</v>
      </c>
      <c r="C403">
        <v>81.900000000000006</v>
      </c>
      <c r="D403">
        <v>75.844999999999999</v>
      </c>
      <c r="E403">
        <v>79.658000000000001</v>
      </c>
      <c r="F403">
        <v>133486.946</v>
      </c>
      <c r="G403">
        <v>-1.25</v>
      </c>
      <c r="L403" t="s">
        <v>8</v>
      </c>
      <c r="M403" t="s">
        <v>8</v>
      </c>
      <c r="N403" t="s">
        <v>7</v>
      </c>
      <c r="P403">
        <f t="shared" si="19"/>
        <v>0.25945499587118021</v>
      </c>
      <c r="Q403">
        <f t="shared" si="20"/>
        <v>34633.855023286451</v>
      </c>
      <c r="R403">
        <f t="shared" si="21"/>
        <v>1611678.5964419774</v>
      </c>
      <c r="S403">
        <f t="shared" si="22"/>
        <v>16.116785964419773</v>
      </c>
      <c r="T403">
        <f t="shared" si="23"/>
        <v>1.6116785964419771E-2</v>
      </c>
    </row>
    <row r="404" spans="1:20" x14ac:dyDescent="0.25">
      <c r="A404" s="5">
        <v>44189</v>
      </c>
      <c r="B404">
        <v>75.771000000000001</v>
      </c>
      <c r="C404">
        <v>80.691999999999993</v>
      </c>
      <c r="D404">
        <v>71.100999999999999</v>
      </c>
      <c r="E404">
        <v>80.665000000000006</v>
      </c>
      <c r="F404">
        <v>246810.94</v>
      </c>
      <c r="G404">
        <v>6.46</v>
      </c>
      <c r="L404" t="s">
        <v>8</v>
      </c>
      <c r="M404" t="s">
        <v>8</v>
      </c>
      <c r="N404" t="s">
        <v>7</v>
      </c>
      <c r="P404">
        <f t="shared" si="19"/>
        <v>0.99436972161401593</v>
      </c>
      <c r="Q404">
        <f t="shared" si="20"/>
        <v>245421.32569909361</v>
      </c>
      <c r="R404">
        <f t="shared" si="21"/>
        <v>1577044.7414186909</v>
      </c>
      <c r="S404">
        <f t="shared" si="22"/>
        <v>15.77044741418691</v>
      </c>
      <c r="T404">
        <f t="shared" si="23"/>
        <v>1.577044741418691E-2</v>
      </c>
    </row>
    <row r="405" spans="1:20" x14ac:dyDescent="0.25">
      <c r="A405" s="5">
        <v>44188</v>
      </c>
      <c r="B405">
        <v>84.320999999999998</v>
      </c>
      <c r="C405">
        <v>84.498000000000005</v>
      </c>
      <c r="D405">
        <v>63.021000000000001</v>
      </c>
      <c r="E405">
        <v>75.718000000000004</v>
      </c>
      <c r="F405">
        <v>290937.50300000003</v>
      </c>
      <c r="G405">
        <v>-10.199999999999999</v>
      </c>
      <c r="L405" t="s">
        <v>7</v>
      </c>
      <c r="M405" t="s">
        <v>7</v>
      </c>
      <c r="N405" t="s">
        <v>7</v>
      </c>
      <c r="P405">
        <f t="shared" si="19"/>
        <v>0.18238115192997165</v>
      </c>
      <c r="Q405">
        <f t="shared" si="20"/>
        <v>53061.516936769585</v>
      </c>
      <c r="R405">
        <f t="shared" si="21"/>
        <v>1331623.4157195974</v>
      </c>
      <c r="S405">
        <f t="shared" si="22"/>
        <v>13.316234157195973</v>
      </c>
      <c r="T405">
        <f t="shared" si="23"/>
        <v>1.3316234157195973E-2</v>
      </c>
    </row>
    <row r="406" spans="1:20" x14ac:dyDescent="0.25">
      <c r="A406" s="5">
        <v>44187</v>
      </c>
      <c r="B406">
        <v>80.846000000000004</v>
      </c>
      <c r="C406">
        <v>86.85</v>
      </c>
      <c r="D406">
        <v>75.66</v>
      </c>
      <c r="E406">
        <v>84.33</v>
      </c>
      <c r="F406">
        <v>196557.30600000001</v>
      </c>
      <c r="G406">
        <v>4.3099999999999996</v>
      </c>
      <c r="L406" t="s">
        <v>7</v>
      </c>
      <c r="M406" t="s">
        <v>7</v>
      </c>
      <c r="N406" t="s">
        <v>8</v>
      </c>
      <c r="P406">
        <f t="shared" si="19"/>
        <v>0.54959785522788263</v>
      </c>
      <c r="Q406">
        <f t="shared" si="20"/>
        <v>108027.47380697064</v>
      </c>
      <c r="R406">
        <f t="shared" si="21"/>
        <v>1278561.8987828279</v>
      </c>
      <c r="S406">
        <f t="shared" si="22"/>
        <v>12.785618987828279</v>
      </c>
      <c r="T406">
        <f t="shared" si="23"/>
        <v>1.278561898782828E-2</v>
      </c>
    </row>
    <row r="407" spans="1:20" x14ac:dyDescent="0.25">
      <c r="A407" s="5">
        <v>44186</v>
      </c>
      <c r="B407">
        <v>85.573999999999998</v>
      </c>
      <c r="C407">
        <v>87.790999999999997</v>
      </c>
      <c r="D407">
        <v>77.465000000000003</v>
      </c>
      <c r="E407">
        <v>80.757000000000005</v>
      </c>
      <c r="F407">
        <v>216921.79399999999</v>
      </c>
      <c r="G407">
        <v>-5.63</v>
      </c>
      <c r="L407" t="s">
        <v>7</v>
      </c>
      <c r="M407" t="s">
        <v>7</v>
      </c>
      <c r="N407" t="s">
        <v>8</v>
      </c>
      <c r="P407">
        <f t="shared" si="19"/>
        <v>-0.36238620956807988</v>
      </c>
      <c r="Q407">
        <f t="shared" si="20"/>
        <v>-78609.466700367848</v>
      </c>
      <c r="R407">
        <f t="shared" si="21"/>
        <v>1170534.4249758571</v>
      </c>
      <c r="S407">
        <f t="shared" si="22"/>
        <v>11.705344249758571</v>
      </c>
      <c r="T407">
        <f t="shared" si="23"/>
        <v>1.1705344249758571E-2</v>
      </c>
    </row>
    <row r="408" spans="1:20" x14ac:dyDescent="0.25">
      <c r="A408" s="5">
        <v>44185</v>
      </c>
      <c r="B408">
        <v>88.930999999999997</v>
      </c>
      <c r="C408">
        <v>90.013999999999996</v>
      </c>
      <c r="D408">
        <v>83.738</v>
      </c>
      <c r="E408">
        <v>85.629000000000005</v>
      </c>
      <c r="F408">
        <v>303379.64299999998</v>
      </c>
      <c r="G408">
        <v>-3.71</v>
      </c>
      <c r="L408" t="s">
        <v>7</v>
      </c>
      <c r="M408" t="s">
        <v>8</v>
      </c>
      <c r="N408" t="s">
        <v>8</v>
      </c>
      <c r="P408">
        <f t="shared" si="19"/>
        <v>-0.39738687061822608</v>
      </c>
      <c r="Q408">
        <f t="shared" si="20"/>
        <v>-120559.08694104462</v>
      </c>
      <c r="R408">
        <f t="shared" si="21"/>
        <v>1249143.891676225</v>
      </c>
      <c r="S408">
        <f t="shared" si="22"/>
        <v>12.491438916762251</v>
      </c>
      <c r="T408">
        <f t="shared" si="23"/>
        <v>1.249143891676225E-2</v>
      </c>
    </row>
    <row r="409" spans="1:20" x14ac:dyDescent="0.25">
      <c r="A409" s="5">
        <v>44184</v>
      </c>
      <c r="B409">
        <v>90.370999999999995</v>
      </c>
      <c r="C409">
        <v>96.328999999999994</v>
      </c>
      <c r="D409">
        <v>88</v>
      </c>
      <c r="E409">
        <v>88.983000000000004</v>
      </c>
      <c r="F409">
        <v>358830.652</v>
      </c>
      <c r="G409">
        <v>-1.54</v>
      </c>
      <c r="L409" t="s">
        <v>8</v>
      </c>
      <c r="M409" t="s">
        <v>8</v>
      </c>
      <c r="N409" t="s">
        <v>8</v>
      </c>
      <c r="P409">
        <f t="shared" si="19"/>
        <v>-0.76395725777404133</v>
      </c>
      <c r="Q409">
        <f t="shared" si="20"/>
        <v>-274131.28090719134</v>
      </c>
      <c r="R409">
        <f t="shared" si="21"/>
        <v>1369702.9786172695</v>
      </c>
      <c r="S409">
        <f t="shared" si="22"/>
        <v>13.697029786172696</v>
      </c>
      <c r="T409">
        <f t="shared" si="23"/>
        <v>1.3697029786172696E-2</v>
      </c>
    </row>
    <row r="410" spans="1:20" x14ac:dyDescent="0.25">
      <c r="A410" s="5">
        <v>44183</v>
      </c>
      <c r="B410">
        <v>84.99</v>
      </c>
      <c r="C410">
        <v>90.5</v>
      </c>
      <c r="D410">
        <v>81.742999999999995</v>
      </c>
      <c r="E410">
        <v>90.424000000000007</v>
      </c>
      <c r="F410">
        <v>201038.93799999999</v>
      </c>
      <c r="G410">
        <v>6.39</v>
      </c>
      <c r="L410" t="s">
        <v>7</v>
      </c>
      <c r="M410" t="s">
        <v>8</v>
      </c>
      <c r="N410" t="s">
        <v>8</v>
      </c>
      <c r="P410">
        <f t="shared" si="19"/>
        <v>0.98264245746260281</v>
      </c>
      <c r="Q410">
        <f t="shared" si="20"/>
        <v>197549.39608199184</v>
      </c>
      <c r="R410">
        <f t="shared" si="21"/>
        <v>1643834.2595244609</v>
      </c>
      <c r="S410">
        <f t="shared" si="22"/>
        <v>16.43834259524461</v>
      </c>
      <c r="T410">
        <f t="shared" si="23"/>
        <v>1.6438342595244609E-2</v>
      </c>
    </row>
    <row r="411" spans="1:20" x14ac:dyDescent="0.25">
      <c r="A411" s="5">
        <v>44182</v>
      </c>
      <c r="B411">
        <v>87.488</v>
      </c>
      <c r="C411">
        <v>90</v>
      </c>
      <c r="D411">
        <v>82.8</v>
      </c>
      <c r="E411">
        <v>85.034000000000006</v>
      </c>
      <c r="F411">
        <v>352813.40899999999</v>
      </c>
      <c r="G411">
        <v>-2.8</v>
      </c>
      <c r="L411" t="s">
        <v>8</v>
      </c>
      <c r="M411" t="s">
        <v>8</v>
      </c>
      <c r="N411" t="s">
        <v>8</v>
      </c>
      <c r="P411">
        <f t="shared" si="19"/>
        <v>-0.37944444444444225</v>
      </c>
      <c r="Q411">
        <f t="shared" si="20"/>
        <v>-133873.08797055477</v>
      </c>
      <c r="R411">
        <f t="shared" si="21"/>
        <v>1446284.8634424689</v>
      </c>
      <c r="S411">
        <f t="shared" si="22"/>
        <v>14.46284863442469</v>
      </c>
      <c r="T411">
        <f t="shared" si="23"/>
        <v>1.446284863442469E-2</v>
      </c>
    </row>
    <row r="412" spans="1:20" x14ac:dyDescent="0.25">
      <c r="A412" s="5">
        <v>44181</v>
      </c>
      <c r="B412">
        <v>87.123999999999995</v>
      </c>
      <c r="C412">
        <v>89.813000000000002</v>
      </c>
      <c r="D412">
        <v>80.099999999999994</v>
      </c>
      <c r="E412">
        <v>87.542000000000002</v>
      </c>
      <c r="F412">
        <v>421722.34700000001</v>
      </c>
      <c r="G412">
        <v>0.48</v>
      </c>
      <c r="L412" t="s">
        <v>7</v>
      </c>
      <c r="M412" t="s">
        <v>8</v>
      </c>
      <c r="N412" t="s">
        <v>8</v>
      </c>
      <c r="P412">
        <f t="shared" si="19"/>
        <v>0.53237928549366853</v>
      </c>
      <c r="Q412">
        <f t="shared" si="20"/>
        <v>224516.24177257295</v>
      </c>
      <c r="R412">
        <f t="shared" si="21"/>
        <v>1580157.9514130238</v>
      </c>
      <c r="S412">
        <f t="shared" si="22"/>
        <v>15.801579514130237</v>
      </c>
      <c r="T412">
        <f t="shared" si="23"/>
        <v>1.5801579514130238E-2</v>
      </c>
    </row>
    <row r="413" spans="1:20" x14ac:dyDescent="0.25">
      <c r="A413" s="5">
        <v>44180</v>
      </c>
      <c r="B413">
        <v>86.417000000000002</v>
      </c>
      <c r="C413">
        <v>88.944999999999993</v>
      </c>
      <c r="D413">
        <v>84.24</v>
      </c>
      <c r="E413">
        <v>87.067999999999998</v>
      </c>
      <c r="F413">
        <v>276144.37599999999</v>
      </c>
      <c r="G413">
        <v>0.75</v>
      </c>
      <c r="L413" t="s">
        <v>7</v>
      </c>
      <c r="M413" t="s">
        <v>8</v>
      </c>
      <c r="N413" t="s">
        <v>8</v>
      </c>
      <c r="P413">
        <f t="shared" si="19"/>
        <v>0.20212539851222272</v>
      </c>
      <c r="Q413">
        <f t="shared" si="20"/>
        <v>55815.792045909067</v>
      </c>
      <c r="R413">
        <f t="shared" si="21"/>
        <v>1355641.7096404508</v>
      </c>
      <c r="S413">
        <f t="shared" si="22"/>
        <v>13.556417096404507</v>
      </c>
      <c r="T413">
        <f t="shared" si="23"/>
        <v>1.3556417096404507E-2</v>
      </c>
    </row>
    <row r="414" spans="1:20" x14ac:dyDescent="0.25">
      <c r="A414" s="5">
        <v>44179</v>
      </c>
      <c r="B414">
        <v>83.933000000000007</v>
      </c>
      <c r="C414">
        <v>91.78</v>
      </c>
      <c r="D414">
        <v>79.584000000000003</v>
      </c>
      <c r="E414">
        <v>86.295000000000002</v>
      </c>
      <c r="F414">
        <v>374587.77600000001</v>
      </c>
      <c r="G414">
        <v>2.81</v>
      </c>
      <c r="L414" t="s">
        <v>8</v>
      </c>
      <c r="M414" t="s">
        <v>8</v>
      </c>
      <c r="N414" t="s">
        <v>8</v>
      </c>
      <c r="P414">
        <f t="shared" si="19"/>
        <v>0.10052476221712031</v>
      </c>
      <c r="Q414">
        <f t="shared" si="20"/>
        <v>37655.347111839925</v>
      </c>
      <c r="R414">
        <f t="shared" si="21"/>
        <v>1299825.9175945418</v>
      </c>
      <c r="S414">
        <f t="shared" si="22"/>
        <v>12.998259175945417</v>
      </c>
      <c r="T414">
        <f t="shared" si="23"/>
        <v>1.2998259175945418E-2</v>
      </c>
    </row>
    <row r="415" spans="1:20" x14ac:dyDescent="0.25">
      <c r="A415" s="5">
        <v>44178</v>
      </c>
      <c r="B415">
        <v>77.771000000000001</v>
      </c>
      <c r="C415">
        <v>85</v>
      </c>
      <c r="D415">
        <v>76.594999999999999</v>
      </c>
      <c r="E415">
        <v>83.929000000000002</v>
      </c>
      <c r="F415">
        <v>257884.94500000001</v>
      </c>
      <c r="G415">
        <v>7.92</v>
      </c>
      <c r="L415" t="s">
        <v>8</v>
      </c>
      <c r="M415" t="s">
        <v>8</v>
      </c>
      <c r="N415" t="s">
        <v>8</v>
      </c>
      <c r="P415">
        <f t="shared" si="19"/>
        <v>0.74515169541939374</v>
      </c>
      <c r="Q415">
        <f t="shared" si="20"/>
        <v>192163.40398988713</v>
      </c>
      <c r="R415">
        <f t="shared" si="21"/>
        <v>1262170.5704827018</v>
      </c>
      <c r="S415">
        <f t="shared" si="22"/>
        <v>12.621705704827018</v>
      </c>
      <c r="T415">
        <f t="shared" si="23"/>
        <v>1.2621705704827018E-2</v>
      </c>
    </row>
    <row r="416" spans="1:20" x14ac:dyDescent="0.25">
      <c r="A416" s="5">
        <v>44177</v>
      </c>
      <c r="B416">
        <v>74.674000000000007</v>
      </c>
      <c r="C416">
        <v>80.278999999999996</v>
      </c>
      <c r="D416">
        <v>74.569999999999993</v>
      </c>
      <c r="E416">
        <v>77.837999999999994</v>
      </c>
      <c r="F416">
        <v>220629.47700000001</v>
      </c>
      <c r="G416">
        <v>4.24</v>
      </c>
      <c r="L416" t="s">
        <v>8</v>
      </c>
      <c r="M416" t="s">
        <v>7</v>
      </c>
      <c r="N416" t="s">
        <v>8</v>
      </c>
      <c r="P416">
        <f t="shared" si="19"/>
        <v>0.14485899456997683</v>
      </c>
      <c r="Q416">
        <f t="shared" si="20"/>
        <v>31960.164210719831</v>
      </c>
      <c r="R416">
        <f t="shared" si="21"/>
        <v>1070007.1664928147</v>
      </c>
      <c r="S416">
        <f t="shared" si="22"/>
        <v>10.700071664928146</v>
      </c>
      <c r="T416">
        <f t="shared" si="23"/>
        <v>1.0700071664928146E-2</v>
      </c>
    </row>
    <row r="417" spans="1:20" x14ac:dyDescent="0.25">
      <c r="A417" s="5">
        <v>44176</v>
      </c>
      <c r="B417">
        <v>76.531999999999996</v>
      </c>
      <c r="C417">
        <v>80.052999999999997</v>
      </c>
      <c r="D417">
        <v>70.563999999999993</v>
      </c>
      <c r="E417">
        <v>74.646000000000001</v>
      </c>
      <c r="F417">
        <v>361608.81300000002</v>
      </c>
      <c r="G417">
        <v>-2.46</v>
      </c>
      <c r="L417" t="s">
        <v>7</v>
      </c>
      <c r="M417" t="s">
        <v>7</v>
      </c>
      <c r="N417" t="s">
        <v>8</v>
      </c>
      <c r="P417">
        <f t="shared" si="19"/>
        <v>-0.13963536726736095</v>
      </c>
      <c r="Q417">
        <f t="shared" si="20"/>
        <v>-50493.379410369453</v>
      </c>
      <c r="R417">
        <f t="shared" si="21"/>
        <v>1038047.0022820948</v>
      </c>
      <c r="S417">
        <f t="shared" si="22"/>
        <v>10.380470022820948</v>
      </c>
      <c r="T417">
        <f t="shared" si="23"/>
        <v>1.0380470022820948E-2</v>
      </c>
    </row>
    <row r="418" spans="1:20" x14ac:dyDescent="0.25">
      <c r="A418" s="5">
        <v>44175</v>
      </c>
      <c r="B418">
        <v>82.576999999999998</v>
      </c>
      <c r="C418">
        <v>83.046000000000006</v>
      </c>
      <c r="D418">
        <v>75.7</v>
      </c>
      <c r="E418">
        <v>76.323999999999998</v>
      </c>
      <c r="F418">
        <v>256332.50599999999</v>
      </c>
      <c r="G418">
        <v>-7.57</v>
      </c>
      <c r="L418" t="s">
        <v>8</v>
      </c>
      <c r="M418" t="s">
        <v>7</v>
      </c>
      <c r="N418" t="s">
        <v>8</v>
      </c>
      <c r="P418">
        <f t="shared" si="19"/>
        <v>-0.83011162537435479</v>
      </c>
      <c r="Q418">
        <f t="shared" si="20"/>
        <v>-212784.59319194156</v>
      </c>
      <c r="R418">
        <f t="shared" si="21"/>
        <v>1088540.3816924642</v>
      </c>
      <c r="S418">
        <f t="shared" si="22"/>
        <v>10.885403816924642</v>
      </c>
      <c r="T418">
        <f t="shared" si="23"/>
        <v>1.0885403816924643E-2</v>
      </c>
    </row>
    <row r="419" spans="1:20" x14ac:dyDescent="0.25">
      <c r="A419" s="5">
        <v>44174</v>
      </c>
      <c r="B419">
        <v>80.046999999999997</v>
      </c>
      <c r="C419">
        <v>86.14</v>
      </c>
      <c r="D419">
        <v>74.634</v>
      </c>
      <c r="E419">
        <v>82.57</v>
      </c>
      <c r="F419">
        <v>389196.45500000002</v>
      </c>
      <c r="G419">
        <v>3.15</v>
      </c>
      <c r="L419" t="s">
        <v>7</v>
      </c>
      <c r="M419" t="s">
        <v>7</v>
      </c>
      <c r="N419" t="s">
        <v>8</v>
      </c>
      <c r="P419">
        <f t="shared" si="19"/>
        <v>0.37945419780983708</v>
      </c>
      <c r="Q419">
        <f t="shared" si="20"/>
        <v>147682.22862245736</v>
      </c>
      <c r="R419">
        <f t="shared" si="21"/>
        <v>1301324.9748844057</v>
      </c>
      <c r="S419">
        <f t="shared" si="22"/>
        <v>13.013249748844057</v>
      </c>
      <c r="T419">
        <f t="shared" si="23"/>
        <v>1.3013249748844057E-2</v>
      </c>
    </row>
    <row r="420" spans="1:20" x14ac:dyDescent="0.25">
      <c r="A420" s="5">
        <v>44173</v>
      </c>
      <c r="B420">
        <v>90.75</v>
      </c>
      <c r="C420">
        <v>91.257000000000005</v>
      </c>
      <c r="D420">
        <v>77.731999999999999</v>
      </c>
      <c r="E420">
        <v>80.067999999999998</v>
      </c>
      <c r="F420">
        <v>453341.44</v>
      </c>
      <c r="G420">
        <v>-11.77</v>
      </c>
      <c r="L420" t="s">
        <v>7</v>
      </c>
      <c r="M420" t="s">
        <v>7</v>
      </c>
      <c r="N420" t="s">
        <v>8</v>
      </c>
      <c r="P420">
        <f t="shared" si="19"/>
        <v>-0.6545656192236603</v>
      </c>
      <c r="Q420">
        <f t="shared" si="20"/>
        <v>-296741.72039334587</v>
      </c>
      <c r="R420">
        <f t="shared" si="21"/>
        <v>1153642.7462619483</v>
      </c>
      <c r="S420">
        <f t="shared" si="22"/>
        <v>11.536427462619482</v>
      </c>
      <c r="T420">
        <f t="shared" si="23"/>
        <v>1.1536427462619483E-2</v>
      </c>
    </row>
    <row r="421" spans="1:20" x14ac:dyDescent="0.25">
      <c r="A421" s="5">
        <v>44172</v>
      </c>
      <c r="B421">
        <v>87.905000000000001</v>
      </c>
      <c r="C421">
        <v>95</v>
      </c>
      <c r="D421">
        <v>86.635000000000005</v>
      </c>
      <c r="E421">
        <v>90.688000000000002</v>
      </c>
      <c r="F421">
        <v>305654.06699999998</v>
      </c>
      <c r="G421">
        <v>3.17</v>
      </c>
      <c r="L421" t="s">
        <v>8</v>
      </c>
      <c r="M421" t="s">
        <v>8</v>
      </c>
      <c r="N421" t="s">
        <v>8</v>
      </c>
      <c r="P421">
        <f t="shared" si="19"/>
        <v>-3.0962343096234371E-2</v>
      </c>
      <c r="Q421">
        <f t="shared" si="20"/>
        <v>-9463.766091213407</v>
      </c>
      <c r="R421">
        <f t="shared" si="21"/>
        <v>1450384.4666552942</v>
      </c>
      <c r="S421">
        <f t="shared" si="22"/>
        <v>14.503844666552942</v>
      </c>
      <c r="T421">
        <f t="shared" si="23"/>
        <v>1.4503844666552941E-2</v>
      </c>
    </row>
    <row r="422" spans="1:20" x14ac:dyDescent="0.25">
      <c r="A422" s="5">
        <v>44171</v>
      </c>
      <c r="B422">
        <v>92.713999999999999</v>
      </c>
      <c r="C422">
        <v>92.99</v>
      </c>
      <c r="D422">
        <v>84.6</v>
      </c>
      <c r="E422">
        <v>87.837999999999994</v>
      </c>
      <c r="F422">
        <v>213076.06599999999</v>
      </c>
      <c r="G422">
        <v>-5.26</v>
      </c>
      <c r="L422" t="s">
        <v>7</v>
      </c>
      <c r="M422" t="s">
        <v>7</v>
      </c>
      <c r="N422" t="s">
        <v>8</v>
      </c>
      <c r="P422">
        <f t="shared" si="19"/>
        <v>-0.228128724672229</v>
      </c>
      <c r="Q422">
        <f t="shared" si="20"/>
        <v>-48608.771194755696</v>
      </c>
      <c r="R422">
        <f t="shared" si="21"/>
        <v>1459848.2327465075</v>
      </c>
      <c r="S422">
        <f t="shared" si="22"/>
        <v>14.598482327465074</v>
      </c>
      <c r="T422">
        <f t="shared" si="23"/>
        <v>1.4598482327465074E-2</v>
      </c>
    </row>
    <row r="423" spans="1:20" x14ac:dyDescent="0.25">
      <c r="A423" s="5">
        <v>44170</v>
      </c>
      <c r="B423">
        <v>80.802999999999997</v>
      </c>
      <c r="C423">
        <v>92.888000000000005</v>
      </c>
      <c r="D423">
        <v>79.331999999999994</v>
      </c>
      <c r="E423">
        <v>92.713999999999999</v>
      </c>
      <c r="F423">
        <v>299675.80699999997</v>
      </c>
      <c r="G423">
        <v>14.74</v>
      </c>
      <c r="L423" t="s">
        <v>8</v>
      </c>
      <c r="M423" t="s">
        <v>7</v>
      </c>
      <c r="N423" t="s">
        <v>8</v>
      </c>
      <c r="P423">
        <f t="shared" si="19"/>
        <v>0.97432871053407988</v>
      </c>
      <c r="Q423">
        <f t="shared" si="20"/>
        <v>291982.74261256977</v>
      </c>
      <c r="R423">
        <f t="shared" si="21"/>
        <v>1508457.0039412633</v>
      </c>
      <c r="S423">
        <f t="shared" si="22"/>
        <v>15.084570039412633</v>
      </c>
      <c r="T423">
        <f t="shared" si="23"/>
        <v>1.5084570039412633E-2</v>
      </c>
    </row>
    <row r="424" spans="1:20" x14ac:dyDescent="0.25">
      <c r="A424" s="5">
        <v>44169</v>
      </c>
      <c r="B424">
        <v>91.537999999999997</v>
      </c>
      <c r="C424">
        <v>94</v>
      </c>
      <c r="D424">
        <v>79.2</v>
      </c>
      <c r="E424">
        <v>80.679000000000002</v>
      </c>
      <c r="F424">
        <v>360257.70699999999</v>
      </c>
      <c r="G424">
        <v>-11.86</v>
      </c>
      <c r="L424" t="s">
        <v>7</v>
      </c>
      <c r="M424" t="s">
        <v>7</v>
      </c>
      <c r="N424" t="s">
        <v>8</v>
      </c>
      <c r="P424">
        <f t="shared" si="19"/>
        <v>-0.80013513513513523</v>
      </c>
      <c r="Q424">
        <f t="shared" si="20"/>
        <v>-288254.84907391894</v>
      </c>
      <c r="R424">
        <f t="shared" si="21"/>
        <v>1216474.2613286935</v>
      </c>
      <c r="S424">
        <f t="shared" si="22"/>
        <v>12.164742613286935</v>
      </c>
      <c r="T424">
        <f t="shared" si="23"/>
        <v>1.2164742613286934E-2</v>
      </c>
    </row>
    <row r="425" spans="1:20" x14ac:dyDescent="0.25">
      <c r="A425" s="5">
        <v>44168</v>
      </c>
      <c r="B425">
        <v>86.653999999999996</v>
      </c>
      <c r="C425">
        <v>94.875</v>
      </c>
      <c r="D425">
        <v>82.960999999999999</v>
      </c>
      <c r="E425">
        <v>91.558000000000007</v>
      </c>
      <c r="F425">
        <v>402175.91499999998</v>
      </c>
      <c r="G425">
        <v>5.66</v>
      </c>
      <c r="L425" t="s">
        <v>8</v>
      </c>
      <c r="M425" t="s">
        <v>8</v>
      </c>
      <c r="N425" t="s">
        <v>8</v>
      </c>
      <c r="P425">
        <f t="shared" si="19"/>
        <v>0.44317609535000962</v>
      </c>
      <c r="Q425">
        <f t="shared" si="20"/>
        <v>178234.75165351736</v>
      </c>
      <c r="R425">
        <f t="shared" si="21"/>
        <v>1504729.1104026125</v>
      </c>
      <c r="S425">
        <f t="shared" si="22"/>
        <v>15.047291104026124</v>
      </c>
      <c r="T425">
        <f t="shared" si="23"/>
        <v>1.5047291104026124E-2</v>
      </c>
    </row>
    <row r="426" spans="1:20" x14ac:dyDescent="0.25">
      <c r="A426" s="5">
        <v>44167</v>
      </c>
      <c r="B426">
        <v>74.355000000000004</v>
      </c>
      <c r="C426">
        <v>90.89</v>
      </c>
      <c r="D426">
        <v>71.600999999999999</v>
      </c>
      <c r="E426">
        <v>86.647000000000006</v>
      </c>
      <c r="F426">
        <v>570704.93599999999</v>
      </c>
      <c r="G426">
        <v>16.53</v>
      </c>
      <c r="L426" t="s">
        <v>8</v>
      </c>
      <c r="M426" t="s">
        <v>8</v>
      </c>
      <c r="N426" t="s">
        <v>8</v>
      </c>
      <c r="P426">
        <f t="shared" si="19"/>
        <v>0.56006013790243203</v>
      </c>
      <c r="Q426">
        <f t="shared" si="20"/>
        <v>319629.08515775861</v>
      </c>
      <c r="R426">
        <f t="shared" si="21"/>
        <v>1326494.3587490951</v>
      </c>
      <c r="S426">
        <f t="shared" si="22"/>
        <v>13.264943587490951</v>
      </c>
      <c r="T426">
        <f t="shared" si="23"/>
        <v>1.3264943587490951E-2</v>
      </c>
    </row>
    <row r="427" spans="1:20" x14ac:dyDescent="0.25">
      <c r="A427" s="5">
        <v>44166</v>
      </c>
      <c r="B427">
        <v>76.027000000000001</v>
      </c>
      <c r="C427">
        <v>79</v>
      </c>
      <c r="D427">
        <v>69.2</v>
      </c>
      <c r="E427">
        <v>74.3</v>
      </c>
      <c r="F427">
        <v>336342.68099999998</v>
      </c>
      <c r="G427">
        <v>-2.27</v>
      </c>
      <c r="L427" t="s">
        <v>7</v>
      </c>
      <c r="M427" t="s">
        <v>8</v>
      </c>
      <c r="N427" t="s">
        <v>8</v>
      </c>
      <c r="P427">
        <f t="shared" si="19"/>
        <v>4.0816326530611388E-2</v>
      </c>
      <c r="Q427">
        <f t="shared" si="20"/>
        <v>13728.272693877263</v>
      </c>
      <c r="R427">
        <f t="shared" si="21"/>
        <v>1006865.2735913364</v>
      </c>
      <c r="S427">
        <f t="shared" si="22"/>
        <v>10.068652735913364</v>
      </c>
      <c r="T427">
        <f t="shared" si="23"/>
        <v>1.0068652735913364E-2</v>
      </c>
    </row>
    <row r="428" spans="1:20" x14ac:dyDescent="0.25">
      <c r="A428" s="5">
        <v>44165</v>
      </c>
      <c r="B428">
        <v>68.953999999999994</v>
      </c>
      <c r="C428">
        <v>79.938999999999993</v>
      </c>
      <c r="D428">
        <v>68.936000000000007</v>
      </c>
      <c r="E428">
        <v>76</v>
      </c>
      <c r="F428">
        <v>474161.163</v>
      </c>
      <c r="G428">
        <v>10.220000000000001</v>
      </c>
      <c r="L428" t="s">
        <v>8</v>
      </c>
      <c r="M428" t="s">
        <v>8</v>
      </c>
      <c r="N428" t="s">
        <v>8</v>
      </c>
      <c r="P428">
        <f t="shared" si="19"/>
        <v>0.28401345087703389</v>
      </c>
      <c r="Q428">
        <f t="shared" si="20"/>
        <v>134668.14817549777</v>
      </c>
      <c r="R428">
        <f t="shared" si="21"/>
        <v>993137.00089745922</v>
      </c>
      <c r="S428">
        <f t="shared" si="22"/>
        <v>9.9313700089745929</v>
      </c>
      <c r="T428">
        <f t="shared" si="23"/>
        <v>9.931370008974592E-3</v>
      </c>
    </row>
    <row r="429" spans="1:20" x14ac:dyDescent="0.25">
      <c r="A429" s="5">
        <v>44164</v>
      </c>
      <c r="B429">
        <v>63.923999999999999</v>
      </c>
      <c r="C429">
        <v>69.8</v>
      </c>
      <c r="D429">
        <v>61.805</v>
      </c>
      <c r="E429">
        <v>68.885999999999996</v>
      </c>
      <c r="F429">
        <v>209866.30300000001</v>
      </c>
      <c r="G429">
        <v>7.76</v>
      </c>
      <c r="L429" t="s">
        <v>8</v>
      </c>
      <c r="M429" t="s">
        <v>8</v>
      </c>
      <c r="N429" t="s">
        <v>7</v>
      </c>
      <c r="P429">
        <f t="shared" si="19"/>
        <v>0.771357098186366</v>
      </c>
      <c r="Q429">
        <f t="shared" si="20"/>
        <v>161881.86248918064</v>
      </c>
      <c r="R429">
        <f t="shared" si="21"/>
        <v>858468.85272196145</v>
      </c>
      <c r="S429">
        <f t="shared" si="22"/>
        <v>8.5846885272196136</v>
      </c>
      <c r="T429">
        <f t="shared" si="23"/>
        <v>8.5846885272196135E-3</v>
      </c>
    </row>
    <row r="430" spans="1:20" x14ac:dyDescent="0.25">
      <c r="A430" s="5">
        <v>44163</v>
      </c>
      <c r="B430">
        <v>60.804000000000002</v>
      </c>
      <c r="C430">
        <v>66.426000000000002</v>
      </c>
      <c r="D430">
        <v>58.776000000000003</v>
      </c>
      <c r="E430">
        <v>63.944000000000003</v>
      </c>
      <c r="F430">
        <v>177631.84299999999</v>
      </c>
      <c r="G430">
        <v>5.16</v>
      </c>
      <c r="L430" t="s">
        <v>7</v>
      </c>
      <c r="M430" t="s">
        <v>8</v>
      </c>
      <c r="N430" t="s">
        <v>7</v>
      </c>
      <c r="P430">
        <f t="shared" si="19"/>
        <v>0.35111111111111115</v>
      </c>
      <c r="Q430">
        <f t="shared" si="20"/>
        <v>62368.513764444448</v>
      </c>
      <c r="R430">
        <f t="shared" si="21"/>
        <v>696586.99023278081</v>
      </c>
      <c r="S430">
        <f t="shared" si="22"/>
        <v>6.9658699023278077</v>
      </c>
      <c r="T430">
        <f t="shared" si="23"/>
        <v>6.9658699023278075E-3</v>
      </c>
    </row>
    <row r="431" spans="1:20" x14ac:dyDescent="0.25">
      <c r="A431" s="5">
        <v>44162</v>
      </c>
      <c r="B431">
        <v>64.332999999999998</v>
      </c>
      <c r="C431">
        <v>69.16</v>
      </c>
      <c r="D431">
        <v>56.22</v>
      </c>
      <c r="E431">
        <v>60.802</v>
      </c>
      <c r="F431">
        <v>351791.304</v>
      </c>
      <c r="G431">
        <v>-5.49</v>
      </c>
      <c r="L431" t="s">
        <v>8</v>
      </c>
      <c r="M431" t="s">
        <v>8</v>
      </c>
      <c r="N431" t="s">
        <v>7</v>
      </c>
      <c r="P431">
        <f t="shared" si="19"/>
        <v>-0.29180834621329188</v>
      </c>
      <c r="Q431">
        <f t="shared" si="20"/>
        <v>-102655.63863245741</v>
      </c>
      <c r="R431">
        <f t="shared" si="21"/>
        <v>634218.4764683363</v>
      </c>
      <c r="S431">
        <f t="shared" si="22"/>
        <v>6.3421847646833633</v>
      </c>
      <c r="T431">
        <f t="shared" si="23"/>
        <v>6.3421847646833633E-3</v>
      </c>
    </row>
    <row r="432" spans="1:20" x14ac:dyDescent="0.25">
      <c r="A432" s="5">
        <v>44161</v>
      </c>
      <c r="B432">
        <v>61.658000000000001</v>
      </c>
      <c r="C432">
        <v>65.22</v>
      </c>
      <c r="D432">
        <v>50</v>
      </c>
      <c r="E432">
        <v>64.210999999999999</v>
      </c>
      <c r="F432">
        <v>665069.42099999997</v>
      </c>
      <c r="G432">
        <v>4.1399999999999997</v>
      </c>
      <c r="L432" t="s">
        <v>7</v>
      </c>
      <c r="M432" t="s">
        <v>7</v>
      </c>
      <c r="N432" t="s">
        <v>7</v>
      </c>
      <c r="P432">
        <f t="shared" si="19"/>
        <v>0.86741130091984231</v>
      </c>
      <c r="Q432">
        <f t="shared" si="20"/>
        <v>576888.73167161632</v>
      </c>
      <c r="R432">
        <f t="shared" si="21"/>
        <v>736874.11510079377</v>
      </c>
      <c r="S432">
        <f t="shared" si="22"/>
        <v>7.3687411510079377</v>
      </c>
      <c r="T432">
        <f t="shared" si="23"/>
        <v>7.3687411510079378E-3</v>
      </c>
    </row>
    <row r="433" spans="1:20" x14ac:dyDescent="0.25">
      <c r="A433" s="5">
        <v>44160</v>
      </c>
      <c r="B433">
        <v>66.783000000000001</v>
      </c>
      <c r="C433">
        <v>67.587999999999994</v>
      </c>
      <c r="D433">
        <v>59.091000000000001</v>
      </c>
      <c r="E433">
        <v>61.723999999999997</v>
      </c>
      <c r="F433">
        <v>233074.56299999999</v>
      </c>
      <c r="G433">
        <v>-7.58</v>
      </c>
      <c r="L433" t="s">
        <v>7</v>
      </c>
      <c r="M433" t="s">
        <v>7</v>
      </c>
      <c r="N433" t="s">
        <v>7</v>
      </c>
      <c r="P433">
        <f t="shared" si="19"/>
        <v>-0.3802518535953871</v>
      </c>
      <c r="Q433">
        <f t="shared" si="20"/>
        <v>-88627.034606684829</v>
      </c>
      <c r="R433">
        <f t="shared" si="21"/>
        <v>159985.3834291774</v>
      </c>
      <c r="S433">
        <f t="shared" si="22"/>
        <v>1.5998538342917739</v>
      </c>
      <c r="T433">
        <f t="shared" si="23"/>
        <v>1.5998538342917739E-3</v>
      </c>
    </row>
    <row r="434" spans="1:20" x14ac:dyDescent="0.25">
      <c r="A434" s="5">
        <v>44159</v>
      </c>
      <c r="B434">
        <v>72.397999999999996</v>
      </c>
      <c r="C434">
        <v>75.5</v>
      </c>
      <c r="D434">
        <v>66.058000000000007</v>
      </c>
      <c r="E434">
        <v>66.781999999999996</v>
      </c>
      <c r="F434">
        <v>313765.23700000002</v>
      </c>
      <c r="G434">
        <v>-7.76</v>
      </c>
      <c r="L434" t="s">
        <v>8</v>
      </c>
      <c r="M434" t="s">
        <v>8</v>
      </c>
      <c r="N434" t="s">
        <v>8</v>
      </c>
      <c r="P434">
        <f t="shared" si="19"/>
        <v>-0.84664266045329595</v>
      </c>
      <c r="Q434">
        <f t="shared" si="20"/>
        <v>-265647.03501143894</v>
      </c>
      <c r="R434">
        <f t="shared" si="21"/>
        <v>248612.41803586221</v>
      </c>
      <c r="S434">
        <f t="shared" si="22"/>
        <v>2.486124180358622</v>
      </c>
      <c r="T434">
        <f t="shared" si="23"/>
        <v>2.4861241803586218E-3</v>
      </c>
    </row>
    <row r="435" spans="1:20" x14ac:dyDescent="0.25">
      <c r="A435" s="5">
        <v>44158</v>
      </c>
      <c r="B435">
        <v>68.762</v>
      </c>
      <c r="C435">
        <v>74</v>
      </c>
      <c r="D435">
        <v>65.47</v>
      </c>
      <c r="E435">
        <v>72.322999999999993</v>
      </c>
      <c r="F435">
        <v>319425.103</v>
      </c>
      <c r="G435">
        <v>5.18</v>
      </c>
      <c r="L435" t="s">
        <v>8</v>
      </c>
      <c r="M435" t="s">
        <v>8</v>
      </c>
      <c r="N435" t="s">
        <v>8</v>
      </c>
      <c r="P435">
        <f t="shared" si="19"/>
        <v>0.6067995310668215</v>
      </c>
      <c r="Q435">
        <f t="shared" si="20"/>
        <v>193827.00271137117</v>
      </c>
      <c r="R435">
        <f t="shared" si="21"/>
        <v>514259.45304730115</v>
      </c>
      <c r="S435">
        <f t="shared" si="22"/>
        <v>5.1425945304730112</v>
      </c>
      <c r="T435">
        <f t="shared" si="23"/>
        <v>5.1425945304730113E-3</v>
      </c>
    </row>
    <row r="436" spans="1:20" x14ac:dyDescent="0.25">
      <c r="A436" s="5">
        <v>44157</v>
      </c>
      <c r="B436">
        <v>70.488</v>
      </c>
      <c r="C436">
        <v>74.918000000000006</v>
      </c>
      <c r="D436">
        <v>62.929000000000002</v>
      </c>
      <c r="E436">
        <v>68.811000000000007</v>
      </c>
      <c r="F436">
        <v>361693.24800000002</v>
      </c>
      <c r="G436">
        <v>-2.38</v>
      </c>
      <c r="L436" t="s">
        <v>7</v>
      </c>
      <c r="M436" t="s">
        <v>7</v>
      </c>
      <c r="N436" t="s">
        <v>8</v>
      </c>
      <c r="P436">
        <f t="shared" si="19"/>
        <v>-1.8767203269663378E-2</v>
      </c>
      <c r="Q436">
        <f t="shared" si="20"/>
        <v>-6787.9707064807671</v>
      </c>
      <c r="R436">
        <f t="shared" si="21"/>
        <v>320432.45033592999</v>
      </c>
      <c r="S436">
        <f t="shared" si="22"/>
        <v>3.2043245033592997</v>
      </c>
      <c r="T436">
        <f t="shared" si="23"/>
        <v>3.2043245033592997E-3</v>
      </c>
    </row>
    <row r="437" spans="1:20" x14ac:dyDescent="0.25">
      <c r="A437" s="5">
        <v>44156</v>
      </c>
      <c r="B437">
        <v>74.968000000000004</v>
      </c>
      <c r="C437">
        <v>77.198999999999998</v>
      </c>
      <c r="D437">
        <v>67.677999999999997</v>
      </c>
      <c r="E437">
        <v>70.486999999999995</v>
      </c>
      <c r="F437">
        <v>380532.67200000002</v>
      </c>
      <c r="G437">
        <v>-5.98</v>
      </c>
      <c r="L437" t="s">
        <v>7</v>
      </c>
      <c r="M437" t="s">
        <v>7</v>
      </c>
      <c r="N437" t="s">
        <v>8</v>
      </c>
      <c r="P437">
        <f t="shared" si="19"/>
        <v>-0.40993593109967497</v>
      </c>
      <c r="Q437">
        <f t="shared" si="20"/>
        <v>-155994.01521016721</v>
      </c>
      <c r="R437">
        <f t="shared" si="21"/>
        <v>327220.42104241077</v>
      </c>
      <c r="S437">
        <f t="shared" si="22"/>
        <v>3.2722042104241078</v>
      </c>
      <c r="T437">
        <f t="shared" si="23"/>
        <v>3.2722042104241077E-3</v>
      </c>
    </row>
    <row r="438" spans="1:20" x14ac:dyDescent="0.25">
      <c r="A438" s="5">
        <v>44155</v>
      </c>
      <c r="B438">
        <v>76.381</v>
      </c>
      <c r="C438">
        <v>82.48</v>
      </c>
      <c r="D438">
        <v>74.36</v>
      </c>
      <c r="E438">
        <v>74.944999999999993</v>
      </c>
      <c r="F438">
        <v>348080.239</v>
      </c>
      <c r="G438">
        <v>-1.88</v>
      </c>
      <c r="L438" t="s">
        <v>7</v>
      </c>
      <c r="M438" t="s">
        <v>8</v>
      </c>
      <c r="N438" t="s">
        <v>8</v>
      </c>
      <c r="P438">
        <f t="shared" si="19"/>
        <v>-0.85591133004926268</v>
      </c>
      <c r="Q438">
        <f t="shared" si="20"/>
        <v>-297925.82032635523</v>
      </c>
      <c r="R438">
        <f t="shared" si="21"/>
        <v>483214.43625257799</v>
      </c>
      <c r="S438">
        <f t="shared" si="22"/>
        <v>4.8321443625257796</v>
      </c>
      <c r="T438">
        <f t="shared" si="23"/>
        <v>4.8321443625257794E-3</v>
      </c>
    </row>
    <row r="439" spans="1:20" x14ac:dyDescent="0.25">
      <c r="A439" s="5">
        <v>44154</v>
      </c>
      <c r="B439">
        <v>75.186999999999998</v>
      </c>
      <c r="C439">
        <v>81.444999999999993</v>
      </c>
      <c r="D439">
        <v>70.27</v>
      </c>
      <c r="E439">
        <v>76.28</v>
      </c>
      <c r="F439">
        <v>447059.08899999998</v>
      </c>
      <c r="G439">
        <v>1.45</v>
      </c>
      <c r="L439" t="s">
        <v>8</v>
      </c>
      <c r="M439" t="s">
        <v>8</v>
      </c>
      <c r="N439" t="s">
        <v>8</v>
      </c>
      <c r="P439">
        <f t="shared" si="19"/>
        <v>7.5615212527965395E-2</v>
      </c>
      <c r="Q439">
        <f t="shared" si="20"/>
        <v>33804.468027293595</v>
      </c>
      <c r="R439">
        <f t="shared" si="21"/>
        <v>781140.25657893321</v>
      </c>
      <c r="S439">
        <f t="shared" si="22"/>
        <v>7.811402565789332</v>
      </c>
      <c r="T439">
        <f t="shared" si="23"/>
        <v>7.8114025657893323E-3</v>
      </c>
    </row>
    <row r="440" spans="1:20" x14ac:dyDescent="0.25">
      <c r="A440" s="5">
        <v>44153</v>
      </c>
      <c r="B440">
        <v>79.262</v>
      </c>
      <c r="C440">
        <v>79.998999999999995</v>
      </c>
      <c r="D440">
        <v>67.02</v>
      </c>
      <c r="E440">
        <v>75.150000000000006</v>
      </c>
      <c r="F440">
        <v>434314.72499999998</v>
      </c>
      <c r="G440">
        <v>-5.19</v>
      </c>
      <c r="L440" t="s">
        <v>7</v>
      </c>
      <c r="M440" t="s">
        <v>8</v>
      </c>
      <c r="N440" t="s">
        <v>8</v>
      </c>
      <c r="P440">
        <f t="shared" si="19"/>
        <v>0.25279297326450578</v>
      </c>
      <c r="Q440">
        <f t="shared" si="20"/>
        <v>109791.71066530618</v>
      </c>
      <c r="R440">
        <f t="shared" si="21"/>
        <v>747335.78855163965</v>
      </c>
      <c r="S440">
        <f t="shared" si="22"/>
        <v>7.4733578855163962</v>
      </c>
      <c r="T440">
        <f t="shared" si="23"/>
        <v>7.4733578855163962E-3</v>
      </c>
    </row>
    <row r="441" spans="1:20" x14ac:dyDescent="0.25">
      <c r="A441" s="5">
        <v>44152</v>
      </c>
      <c r="B441">
        <v>72.957999999999998</v>
      </c>
      <c r="C441">
        <v>80</v>
      </c>
      <c r="D441">
        <v>68.515000000000001</v>
      </c>
      <c r="E441">
        <v>79.263000000000005</v>
      </c>
      <c r="F441">
        <v>470703.66800000001</v>
      </c>
      <c r="G441">
        <v>8.64</v>
      </c>
      <c r="L441" t="s">
        <v>8</v>
      </c>
      <c r="M441" t="s">
        <v>8</v>
      </c>
      <c r="N441" t="s">
        <v>8</v>
      </c>
      <c r="P441">
        <f t="shared" si="19"/>
        <v>0.87165868524162038</v>
      </c>
      <c r="Q441">
        <f t="shared" si="20"/>
        <v>410292.94038728817</v>
      </c>
      <c r="R441">
        <f t="shared" si="21"/>
        <v>637544.07788633346</v>
      </c>
      <c r="S441">
        <f t="shared" si="22"/>
        <v>6.3754407788633349</v>
      </c>
      <c r="T441">
        <f t="shared" si="23"/>
        <v>6.3754407788633345E-3</v>
      </c>
    </row>
    <row r="442" spans="1:20" x14ac:dyDescent="0.25">
      <c r="A442" s="5">
        <v>44151</v>
      </c>
      <c r="B442">
        <v>64.251000000000005</v>
      </c>
      <c r="C442">
        <v>74.5</v>
      </c>
      <c r="D442">
        <v>60.902999999999999</v>
      </c>
      <c r="E442">
        <v>72.974999999999994</v>
      </c>
      <c r="F442">
        <v>451995.49599999998</v>
      </c>
      <c r="G442">
        <v>13.58</v>
      </c>
      <c r="L442" t="s">
        <v>8</v>
      </c>
      <c r="M442" t="s">
        <v>8</v>
      </c>
      <c r="N442" t="s">
        <v>8</v>
      </c>
      <c r="P442">
        <f t="shared" si="19"/>
        <v>0.7756858130469948</v>
      </c>
      <c r="Q442">
        <f t="shared" si="20"/>
        <v>350606.4938083397</v>
      </c>
      <c r="R442">
        <f t="shared" si="21"/>
        <v>227251.13749904526</v>
      </c>
      <c r="S442">
        <f t="shared" si="22"/>
        <v>2.2725113749904526</v>
      </c>
      <c r="T442">
        <f t="shared" si="23"/>
        <v>2.2725113749904528E-3</v>
      </c>
    </row>
    <row r="443" spans="1:20" x14ac:dyDescent="0.25">
      <c r="A443" s="5">
        <v>44150</v>
      </c>
      <c r="B443">
        <v>66.855000000000004</v>
      </c>
      <c r="C443">
        <v>71.414000000000001</v>
      </c>
      <c r="D443">
        <v>58.765999999999998</v>
      </c>
      <c r="E443">
        <v>64.256</v>
      </c>
      <c r="F443">
        <v>492772.891</v>
      </c>
      <c r="G443">
        <v>-3.89</v>
      </c>
      <c r="L443" t="s">
        <v>8</v>
      </c>
      <c r="M443" t="s">
        <v>8</v>
      </c>
      <c r="N443" t="s">
        <v>8</v>
      </c>
      <c r="P443">
        <f t="shared" si="19"/>
        <v>-0.13187855787476271</v>
      </c>
      <c r="Q443">
        <f t="shared" si="20"/>
        <v>-64986.178224857642</v>
      </c>
      <c r="R443">
        <f t="shared" si="21"/>
        <v>-123355.35630929444</v>
      </c>
      <c r="S443">
        <f t="shared" si="22"/>
        <v>-1.2335535630929444</v>
      </c>
      <c r="T443">
        <f t="shared" si="23"/>
        <v>-1.2335535630929443E-3</v>
      </c>
    </row>
    <row r="444" spans="1:20" x14ac:dyDescent="0.25">
      <c r="A444" s="5">
        <v>44149</v>
      </c>
      <c r="B444">
        <v>63.456000000000003</v>
      </c>
      <c r="C444">
        <v>68.873999999999995</v>
      </c>
      <c r="D444">
        <v>57.793999999999997</v>
      </c>
      <c r="E444">
        <v>66.83</v>
      </c>
      <c r="F444">
        <v>451967.266</v>
      </c>
      <c r="G444">
        <v>5.32</v>
      </c>
      <c r="L444" t="s">
        <v>8</v>
      </c>
      <c r="M444" t="s">
        <v>8</v>
      </c>
      <c r="N444" t="s">
        <v>8</v>
      </c>
      <c r="P444">
        <f t="shared" si="19"/>
        <v>0.63104693140794277</v>
      </c>
      <c r="Q444">
        <f t="shared" si="20"/>
        <v>285212.55630613741</v>
      </c>
      <c r="R444">
        <f t="shared" si="21"/>
        <v>-58369.178084436804</v>
      </c>
      <c r="S444">
        <f t="shared" si="22"/>
        <v>-0.58369178084436801</v>
      </c>
      <c r="T444">
        <f t="shared" si="23"/>
        <v>-5.8369178084436801E-4</v>
      </c>
    </row>
    <row r="445" spans="1:20" x14ac:dyDescent="0.25">
      <c r="A445" s="5">
        <v>44148</v>
      </c>
      <c r="B445">
        <v>51.759</v>
      </c>
      <c r="C445">
        <v>66.888000000000005</v>
      </c>
      <c r="D445">
        <v>51.045000000000002</v>
      </c>
      <c r="E445">
        <v>63.456000000000003</v>
      </c>
      <c r="F445">
        <v>676038.28099999996</v>
      </c>
      <c r="G445">
        <v>22.6</v>
      </c>
      <c r="L445" t="s">
        <v>8</v>
      </c>
      <c r="M445" t="s">
        <v>8</v>
      </c>
      <c r="N445" t="s">
        <v>8</v>
      </c>
      <c r="P445">
        <f t="shared" si="19"/>
        <v>0.56674872183298597</v>
      </c>
      <c r="Q445">
        <f t="shared" si="20"/>
        <v>383143.831666919</v>
      </c>
      <c r="R445">
        <f t="shared" si="21"/>
        <v>-343581.73439057422</v>
      </c>
      <c r="S445">
        <f t="shared" si="22"/>
        <v>-3.4358173439057422</v>
      </c>
      <c r="T445">
        <f t="shared" si="23"/>
        <v>-3.4358173439057423E-3</v>
      </c>
    </row>
    <row r="446" spans="1:20" x14ac:dyDescent="0.25">
      <c r="A446" s="5">
        <v>44147</v>
      </c>
      <c r="B446">
        <v>54.521000000000001</v>
      </c>
      <c r="C446">
        <v>60</v>
      </c>
      <c r="D446">
        <v>50.4</v>
      </c>
      <c r="E446">
        <v>51.793999999999997</v>
      </c>
      <c r="F446">
        <v>441454.103</v>
      </c>
      <c r="G446">
        <v>-5</v>
      </c>
      <c r="L446" t="s">
        <v>7</v>
      </c>
      <c r="M446" t="s">
        <v>7</v>
      </c>
      <c r="N446" t="s">
        <v>8</v>
      </c>
      <c r="P446">
        <f t="shared" si="19"/>
        <v>-0.70958333333333368</v>
      </c>
      <c r="Q446">
        <f t="shared" si="20"/>
        <v>-313248.47392041684</v>
      </c>
      <c r="R446">
        <f t="shared" si="21"/>
        <v>-726725.56605749321</v>
      </c>
      <c r="S446">
        <f t="shared" si="22"/>
        <v>-7.2672556605749321</v>
      </c>
      <c r="T446">
        <f t="shared" si="23"/>
        <v>-7.2672556605749318E-3</v>
      </c>
    </row>
    <row r="447" spans="1:20" x14ac:dyDescent="0.25">
      <c r="A447" s="5">
        <v>44146</v>
      </c>
      <c r="B447">
        <v>67.066000000000003</v>
      </c>
      <c r="C447">
        <v>69.260000000000005</v>
      </c>
      <c r="D447">
        <v>53.295000000000002</v>
      </c>
      <c r="E447">
        <v>54.436999999999998</v>
      </c>
      <c r="F447">
        <v>673820.57700000005</v>
      </c>
      <c r="G447">
        <v>-18.829999999999998</v>
      </c>
      <c r="L447" t="s">
        <v>7</v>
      </c>
      <c r="M447" t="s">
        <v>7</v>
      </c>
      <c r="N447" t="s">
        <v>8</v>
      </c>
      <c r="P447">
        <f t="shared" si="19"/>
        <v>-0.85693704979643026</v>
      </c>
      <c r="Q447">
        <f t="shared" si="20"/>
        <v>-577421.81734650838</v>
      </c>
      <c r="R447">
        <f t="shared" si="21"/>
        <v>-413477.09213707643</v>
      </c>
      <c r="S447">
        <f t="shared" si="22"/>
        <v>-4.1347709213707642</v>
      </c>
      <c r="T447">
        <f t="shared" si="23"/>
        <v>-4.1347709213707638E-3</v>
      </c>
    </row>
    <row r="448" spans="1:20" x14ac:dyDescent="0.25">
      <c r="A448" s="5">
        <v>44145</v>
      </c>
      <c r="B448">
        <v>55.191000000000003</v>
      </c>
      <c r="C448">
        <v>70.825000000000003</v>
      </c>
      <c r="D448">
        <v>52.822000000000003</v>
      </c>
      <c r="E448">
        <v>66.988</v>
      </c>
      <c r="F448">
        <v>555485.00300000003</v>
      </c>
      <c r="G448">
        <v>21.37</v>
      </c>
      <c r="L448" t="s">
        <v>8</v>
      </c>
      <c r="M448" t="s">
        <v>8</v>
      </c>
      <c r="N448" t="s">
        <v>8</v>
      </c>
      <c r="P448">
        <f t="shared" si="19"/>
        <v>0.57373771038160271</v>
      </c>
      <c r="Q448">
        <f t="shared" si="20"/>
        <v>318702.69377253775</v>
      </c>
      <c r="R448">
        <f t="shared" si="21"/>
        <v>163944.72520943196</v>
      </c>
      <c r="S448">
        <f t="shared" si="22"/>
        <v>1.6394472520943195</v>
      </c>
      <c r="T448">
        <f t="shared" si="23"/>
        <v>1.6394472520943194E-3</v>
      </c>
    </row>
    <row r="449" spans="1:20" x14ac:dyDescent="0.25">
      <c r="A449" s="5">
        <v>44144</v>
      </c>
      <c r="B449">
        <v>53.95</v>
      </c>
      <c r="C449">
        <v>59.094000000000001</v>
      </c>
      <c r="D449">
        <v>49.45</v>
      </c>
      <c r="E449">
        <v>55.113</v>
      </c>
      <c r="F449">
        <v>563452.11399999994</v>
      </c>
      <c r="G449">
        <v>2.16</v>
      </c>
      <c r="L449" t="s">
        <v>8</v>
      </c>
      <c r="M449" t="s">
        <v>8</v>
      </c>
      <c r="N449" t="s">
        <v>8</v>
      </c>
      <c r="P449">
        <f t="shared" si="19"/>
        <v>0.17440895893819944</v>
      </c>
      <c r="Q449">
        <f t="shared" si="20"/>
        <v>98271.096614267663</v>
      </c>
      <c r="R449">
        <f t="shared" si="21"/>
        <v>-154757.96856310579</v>
      </c>
      <c r="S449">
        <f t="shared" si="22"/>
        <v>-1.547579685631058</v>
      </c>
      <c r="T449">
        <f t="shared" si="23"/>
        <v>-1.5475796856310579E-3</v>
      </c>
    </row>
    <row r="450" spans="1:20" x14ac:dyDescent="0.25">
      <c r="A450" s="5">
        <v>44143</v>
      </c>
      <c r="B450">
        <v>44.426000000000002</v>
      </c>
      <c r="C450">
        <v>54.9</v>
      </c>
      <c r="D450">
        <v>42.606000000000002</v>
      </c>
      <c r="E450">
        <v>53.930999999999997</v>
      </c>
      <c r="F450">
        <v>361623.58</v>
      </c>
      <c r="G450">
        <v>21.4</v>
      </c>
      <c r="L450" t="s">
        <v>8</v>
      </c>
      <c r="M450" t="s">
        <v>8</v>
      </c>
      <c r="N450" t="s">
        <v>8</v>
      </c>
      <c r="P450">
        <f t="shared" si="19"/>
        <v>0.84236212786725206</v>
      </c>
      <c r="Q450">
        <f t="shared" si="20"/>
        <v>304618.00833577348</v>
      </c>
      <c r="R450">
        <f t="shared" si="21"/>
        <v>-253029.06517737347</v>
      </c>
      <c r="S450">
        <f t="shared" si="22"/>
        <v>-2.5302906517737349</v>
      </c>
      <c r="T450">
        <f t="shared" si="23"/>
        <v>-2.530290651773735E-3</v>
      </c>
    </row>
    <row r="451" spans="1:20" x14ac:dyDescent="0.25">
      <c r="A451" s="5">
        <v>44142</v>
      </c>
      <c r="B451">
        <v>38.555</v>
      </c>
      <c r="C451">
        <v>51.9</v>
      </c>
      <c r="D451">
        <v>38.341000000000001</v>
      </c>
      <c r="E451">
        <v>44.529000000000003</v>
      </c>
      <c r="F451">
        <v>489983.21</v>
      </c>
      <c r="G451">
        <v>15.49</v>
      </c>
      <c r="L451" t="s">
        <v>8</v>
      </c>
      <c r="M451" t="s">
        <v>8</v>
      </c>
      <c r="N451" t="s">
        <v>8</v>
      </c>
      <c r="P451">
        <f t="shared" si="19"/>
        <v>-8.7248322147650492E-2</v>
      </c>
      <c r="Q451">
        <f t="shared" si="20"/>
        <v>-42750.212953019887</v>
      </c>
      <c r="R451">
        <f t="shared" si="21"/>
        <v>-557647.07351314696</v>
      </c>
      <c r="S451">
        <f t="shared" si="22"/>
        <v>-5.57647073513147</v>
      </c>
      <c r="T451">
        <f t="shared" si="23"/>
        <v>-5.5764707351314696E-3</v>
      </c>
    </row>
    <row r="452" spans="1:20" x14ac:dyDescent="0.25">
      <c r="A452" s="5">
        <v>44141</v>
      </c>
      <c r="B452">
        <v>30.997</v>
      </c>
      <c r="C452">
        <v>41</v>
      </c>
      <c r="D452">
        <v>30.843</v>
      </c>
      <c r="E452">
        <v>38.65</v>
      </c>
      <c r="F452">
        <v>375996.38099999999</v>
      </c>
      <c r="G452">
        <v>24.69</v>
      </c>
      <c r="L452" t="s">
        <v>8</v>
      </c>
      <c r="M452" t="s">
        <v>8</v>
      </c>
      <c r="N452" t="s">
        <v>8</v>
      </c>
      <c r="P452">
        <f t="shared" si="19"/>
        <v>0.53726494043516759</v>
      </c>
      <c r="Q452">
        <f t="shared" si="20"/>
        <v>202009.67324180357</v>
      </c>
      <c r="R452">
        <f t="shared" si="21"/>
        <v>-514896.86056012707</v>
      </c>
      <c r="S452">
        <f t="shared" si="22"/>
        <v>-5.1489686056012705</v>
      </c>
      <c r="T452">
        <f t="shared" si="23"/>
        <v>-5.1489686056012708E-3</v>
      </c>
    </row>
    <row r="453" spans="1:20" x14ac:dyDescent="0.25">
      <c r="A453" s="5">
        <v>44140</v>
      </c>
      <c r="B453">
        <v>27.751999999999999</v>
      </c>
      <c r="C453">
        <v>33</v>
      </c>
      <c r="D453">
        <v>25.939</v>
      </c>
      <c r="E453">
        <v>30.995000000000001</v>
      </c>
      <c r="F453">
        <v>222270.50899999999</v>
      </c>
      <c r="G453">
        <v>11.69</v>
      </c>
      <c r="L453" t="s">
        <v>8</v>
      </c>
      <c r="M453" t="s">
        <v>8</v>
      </c>
      <c r="N453" t="s">
        <v>7</v>
      </c>
      <c r="P453">
        <f t="shared" si="19"/>
        <v>0.43209177170372498</v>
      </c>
      <c r="Q453">
        <f t="shared" si="20"/>
        <v>96041.258031298741</v>
      </c>
      <c r="R453">
        <f t="shared" si="21"/>
        <v>-716906.53380193061</v>
      </c>
      <c r="S453">
        <f t="shared" si="22"/>
        <v>-7.1690653380193057</v>
      </c>
      <c r="T453">
        <f t="shared" si="23"/>
        <v>-7.1690653380193058E-3</v>
      </c>
    </row>
    <row r="454" spans="1:20" x14ac:dyDescent="0.25">
      <c r="A454" s="5">
        <v>44139</v>
      </c>
      <c r="B454">
        <v>28.141999999999999</v>
      </c>
      <c r="C454">
        <v>28.443999999999999</v>
      </c>
      <c r="D454">
        <v>26.065000000000001</v>
      </c>
      <c r="E454">
        <v>27.686</v>
      </c>
      <c r="F454">
        <v>81620.589000000007</v>
      </c>
      <c r="G454">
        <v>-1.62</v>
      </c>
      <c r="L454" t="s">
        <v>7</v>
      </c>
      <c r="M454" t="s">
        <v>7</v>
      </c>
      <c r="N454" t="s">
        <v>7</v>
      </c>
      <c r="P454">
        <f t="shared" ref="P454:P517" si="24">IF(C454=D454,0,((E454-D454)-(C454-E454))/(C454-D454))</f>
        <v>0.36275746111811702</v>
      </c>
      <c r="Q454">
        <f t="shared" ref="Q454:Q517" si="25">F454*P454</f>
        <v>29608.477640605313</v>
      </c>
      <c r="R454">
        <f t="shared" ref="R454:R517" si="26">R455+Q454</f>
        <v>-812947.79183322936</v>
      </c>
      <c r="S454">
        <f t="shared" ref="S454:S517" si="27">R454/100000</f>
        <v>-8.1294779183322934</v>
      </c>
      <c r="T454">
        <f t="shared" ref="T454:T517" si="28">S454/1000</f>
        <v>-8.1294779183322934E-3</v>
      </c>
    </row>
    <row r="455" spans="1:20" x14ac:dyDescent="0.25">
      <c r="A455" s="5">
        <v>44138</v>
      </c>
      <c r="B455">
        <v>29.722999999999999</v>
      </c>
      <c r="C455">
        <v>30.074999999999999</v>
      </c>
      <c r="D455">
        <v>27.423999999999999</v>
      </c>
      <c r="E455">
        <v>28.122</v>
      </c>
      <c r="F455">
        <v>84414.77</v>
      </c>
      <c r="G455">
        <v>-5.39</v>
      </c>
      <c r="L455" t="s">
        <v>7</v>
      </c>
      <c r="M455" t="s">
        <v>7</v>
      </c>
      <c r="N455" t="s">
        <v>7</v>
      </c>
      <c r="P455">
        <f t="shared" si="24"/>
        <v>-0.47340626178800421</v>
      </c>
      <c r="Q455">
        <f t="shared" si="25"/>
        <v>-39962.480705394169</v>
      </c>
      <c r="R455">
        <f t="shared" si="26"/>
        <v>-842556.26947383466</v>
      </c>
      <c r="S455">
        <f t="shared" si="27"/>
        <v>-8.4255626947383462</v>
      </c>
      <c r="T455">
        <f t="shared" si="28"/>
        <v>-8.425562694738346E-3</v>
      </c>
    </row>
    <row r="456" spans="1:20" x14ac:dyDescent="0.25">
      <c r="A456" s="5">
        <v>44137</v>
      </c>
      <c r="B456">
        <v>30.702999999999999</v>
      </c>
      <c r="C456">
        <v>34.484999999999999</v>
      </c>
      <c r="D456">
        <v>29.13</v>
      </c>
      <c r="E456">
        <v>29.724</v>
      </c>
      <c r="F456">
        <v>179642.32500000001</v>
      </c>
      <c r="G456">
        <v>-3.19</v>
      </c>
      <c r="L456" t="s">
        <v>8</v>
      </c>
      <c r="M456" t="s">
        <v>8</v>
      </c>
      <c r="N456" t="s">
        <v>7</v>
      </c>
      <c r="P456">
        <f t="shared" si="24"/>
        <v>-0.77815126050420125</v>
      </c>
      <c r="Q456">
        <f t="shared" si="25"/>
        <v>-139788.9016386554</v>
      </c>
      <c r="R456">
        <f t="shared" si="26"/>
        <v>-802593.78876844049</v>
      </c>
      <c r="S456">
        <f t="shared" si="27"/>
        <v>-8.025937887684405</v>
      </c>
      <c r="T456">
        <f t="shared" si="28"/>
        <v>-8.0259378876844055E-3</v>
      </c>
    </row>
    <row r="457" spans="1:20" x14ac:dyDescent="0.25">
      <c r="A457" s="5">
        <v>44136</v>
      </c>
      <c r="B457">
        <v>29.736999999999998</v>
      </c>
      <c r="C457">
        <v>31.123999999999999</v>
      </c>
      <c r="D457">
        <v>28.2</v>
      </c>
      <c r="E457">
        <v>30.757000000000001</v>
      </c>
      <c r="F457">
        <v>83150.52</v>
      </c>
      <c r="G457">
        <v>3.43</v>
      </c>
      <c r="L457" t="s">
        <v>7</v>
      </c>
      <c r="M457" t="s">
        <v>7</v>
      </c>
      <c r="N457" t="s">
        <v>7</v>
      </c>
      <c r="P457">
        <f t="shared" si="24"/>
        <v>0.74897400820793614</v>
      </c>
      <c r="Q457">
        <f t="shared" si="25"/>
        <v>62277.578248974161</v>
      </c>
      <c r="R457">
        <f t="shared" si="26"/>
        <v>-662804.88712978514</v>
      </c>
      <c r="S457">
        <f t="shared" si="27"/>
        <v>-6.6280488712978514</v>
      </c>
      <c r="T457">
        <f t="shared" si="28"/>
        <v>-6.6280488712978517E-3</v>
      </c>
    </row>
    <row r="458" spans="1:20" x14ac:dyDescent="0.25">
      <c r="A458" s="5">
        <v>44135</v>
      </c>
      <c r="B458">
        <v>31.087</v>
      </c>
      <c r="C458">
        <v>32.938000000000002</v>
      </c>
      <c r="D458">
        <v>29.515000000000001</v>
      </c>
      <c r="E458">
        <v>29.7</v>
      </c>
      <c r="F458">
        <v>113411.55899999999</v>
      </c>
      <c r="G458">
        <v>-4.46</v>
      </c>
      <c r="L458" t="s">
        <v>8</v>
      </c>
      <c r="M458" t="s">
        <v>7</v>
      </c>
      <c r="N458" t="s">
        <v>7</v>
      </c>
      <c r="P458">
        <f t="shared" si="24"/>
        <v>-0.89190768331872705</v>
      </c>
      <c r="Q458">
        <f t="shared" si="25"/>
        <v>-101152.64084925513</v>
      </c>
      <c r="R458">
        <f t="shared" si="26"/>
        <v>-725082.46537875931</v>
      </c>
      <c r="S458">
        <f t="shared" si="27"/>
        <v>-7.2508246537875936</v>
      </c>
      <c r="T458">
        <f t="shared" si="28"/>
        <v>-7.2508246537875938E-3</v>
      </c>
    </row>
    <row r="459" spans="1:20" x14ac:dyDescent="0.25">
      <c r="A459" s="5">
        <v>44134</v>
      </c>
      <c r="B459">
        <v>29.178000000000001</v>
      </c>
      <c r="C459">
        <v>32</v>
      </c>
      <c r="D459">
        <v>27.73</v>
      </c>
      <c r="E459">
        <v>31.087</v>
      </c>
      <c r="F459">
        <v>180251.71900000001</v>
      </c>
      <c r="G459">
        <v>6.54</v>
      </c>
      <c r="L459" t="s">
        <v>7</v>
      </c>
      <c r="M459" t="s">
        <v>7</v>
      </c>
      <c r="N459" t="s">
        <v>7</v>
      </c>
      <c r="P459">
        <f t="shared" si="24"/>
        <v>0.57236533957845415</v>
      </c>
      <c r="Q459">
        <f t="shared" si="25"/>
        <v>103169.83635503511</v>
      </c>
      <c r="R459">
        <f t="shared" si="26"/>
        <v>-623929.82452950417</v>
      </c>
      <c r="S459">
        <f t="shared" si="27"/>
        <v>-6.2392982452950418</v>
      </c>
      <c r="T459">
        <f t="shared" si="28"/>
        <v>-6.239298245295042E-3</v>
      </c>
    </row>
    <row r="460" spans="1:20" x14ac:dyDescent="0.25">
      <c r="A460" s="5">
        <v>44133</v>
      </c>
      <c r="B460">
        <v>32.427</v>
      </c>
      <c r="C460">
        <v>33.229999999999997</v>
      </c>
      <c r="D460">
        <v>28.123999999999999</v>
      </c>
      <c r="E460">
        <v>29.244</v>
      </c>
      <c r="F460">
        <v>175965.908</v>
      </c>
      <c r="G460">
        <v>-9.82</v>
      </c>
      <c r="L460" t="s">
        <v>7</v>
      </c>
      <c r="M460" t="s">
        <v>7</v>
      </c>
      <c r="N460" t="s">
        <v>7</v>
      </c>
      <c r="P460">
        <f t="shared" si="24"/>
        <v>-0.56130043086564774</v>
      </c>
      <c r="Q460">
        <f t="shared" si="25"/>
        <v>-98769.739978064928</v>
      </c>
      <c r="R460">
        <f t="shared" si="26"/>
        <v>-727099.66088453925</v>
      </c>
      <c r="S460">
        <f t="shared" si="27"/>
        <v>-7.2709966088453921</v>
      </c>
      <c r="T460">
        <f t="shared" si="28"/>
        <v>-7.2709966088453917E-3</v>
      </c>
    </row>
    <row r="461" spans="1:20" x14ac:dyDescent="0.25">
      <c r="A461" s="5">
        <v>44132</v>
      </c>
      <c r="B461">
        <v>34.935000000000002</v>
      </c>
      <c r="C461">
        <v>35.67</v>
      </c>
      <c r="D461">
        <v>32</v>
      </c>
      <c r="E461">
        <v>32.421999999999997</v>
      </c>
      <c r="F461">
        <v>144227.57399999999</v>
      </c>
      <c r="G461">
        <v>-7.19</v>
      </c>
      <c r="L461" t="s">
        <v>7</v>
      </c>
      <c r="M461" t="s">
        <v>7</v>
      </c>
      <c r="N461" t="s">
        <v>8</v>
      </c>
      <c r="P461">
        <f t="shared" si="24"/>
        <v>-0.77002724795640498</v>
      </c>
      <c r="Q461">
        <f t="shared" si="25"/>
        <v>-111059.16188664874</v>
      </c>
      <c r="R461">
        <f t="shared" si="26"/>
        <v>-628329.92090647435</v>
      </c>
      <c r="S461">
        <f t="shared" si="27"/>
        <v>-6.2832992090647437</v>
      </c>
      <c r="T461">
        <f t="shared" si="28"/>
        <v>-6.2832992090647438E-3</v>
      </c>
    </row>
    <row r="462" spans="1:20" x14ac:dyDescent="0.25">
      <c r="A462" s="5">
        <v>44131</v>
      </c>
      <c r="B462">
        <v>35.968000000000004</v>
      </c>
      <c r="C462">
        <v>39.000999999999998</v>
      </c>
      <c r="D462">
        <v>34.372999999999998</v>
      </c>
      <c r="E462">
        <v>34.869</v>
      </c>
      <c r="F462">
        <v>178571.486</v>
      </c>
      <c r="G462">
        <v>-3.06</v>
      </c>
      <c r="L462" t="s">
        <v>7</v>
      </c>
      <c r="M462" t="s">
        <v>7</v>
      </c>
      <c r="N462" t="s">
        <v>8</v>
      </c>
      <c r="P462">
        <f t="shared" si="24"/>
        <v>-0.78565254969749254</v>
      </c>
      <c r="Q462">
        <f t="shared" si="25"/>
        <v>-140295.14327917009</v>
      </c>
      <c r="R462">
        <f t="shared" si="26"/>
        <v>-517270.75901982561</v>
      </c>
      <c r="S462">
        <f t="shared" si="27"/>
        <v>-5.1727075901982564</v>
      </c>
      <c r="T462">
        <f t="shared" si="28"/>
        <v>-5.1727075901982561E-3</v>
      </c>
    </row>
    <row r="463" spans="1:20" x14ac:dyDescent="0.25">
      <c r="A463" s="5">
        <v>44130</v>
      </c>
      <c r="B463">
        <v>37.893000000000001</v>
      </c>
      <c r="C463">
        <v>39.192</v>
      </c>
      <c r="D463">
        <v>34.854999999999997</v>
      </c>
      <c r="E463">
        <v>35.950000000000003</v>
      </c>
      <c r="F463">
        <v>95472.308999999994</v>
      </c>
      <c r="G463">
        <v>-5.13</v>
      </c>
      <c r="L463" t="s">
        <v>7</v>
      </c>
      <c r="M463" t="s">
        <v>7</v>
      </c>
      <c r="N463" t="s">
        <v>8</v>
      </c>
      <c r="P463">
        <f t="shared" si="24"/>
        <v>-0.49504265621397042</v>
      </c>
      <c r="Q463">
        <f t="shared" si="25"/>
        <v>-47262.865442240953</v>
      </c>
      <c r="R463">
        <f t="shared" si="26"/>
        <v>-376975.61574065551</v>
      </c>
      <c r="S463">
        <f t="shared" si="27"/>
        <v>-3.769756157406555</v>
      </c>
      <c r="T463">
        <f t="shared" si="28"/>
        <v>-3.7697561574065552E-3</v>
      </c>
    </row>
    <row r="464" spans="1:20" x14ac:dyDescent="0.25">
      <c r="A464" s="5">
        <v>44129</v>
      </c>
      <c r="B464">
        <v>39.438000000000002</v>
      </c>
      <c r="C464">
        <v>41</v>
      </c>
      <c r="D464">
        <v>37.200000000000003</v>
      </c>
      <c r="E464">
        <v>37.895000000000003</v>
      </c>
      <c r="F464">
        <v>74622.933000000005</v>
      </c>
      <c r="G464">
        <v>-3.91</v>
      </c>
      <c r="L464" t="s">
        <v>7</v>
      </c>
      <c r="M464" t="s">
        <v>8</v>
      </c>
      <c r="N464" t="s">
        <v>8</v>
      </c>
      <c r="P464">
        <f t="shared" si="24"/>
        <v>-0.634210526315789</v>
      </c>
      <c r="Q464">
        <f t="shared" si="25"/>
        <v>-47326.649613157861</v>
      </c>
      <c r="R464">
        <f t="shared" si="26"/>
        <v>-329712.75029841455</v>
      </c>
      <c r="S464">
        <f t="shared" si="27"/>
        <v>-3.2971275029841456</v>
      </c>
      <c r="T464">
        <f t="shared" si="28"/>
        <v>-3.2971275029841456E-3</v>
      </c>
    </row>
    <row r="465" spans="1:20" x14ac:dyDescent="0.25">
      <c r="A465" s="5">
        <v>44128</v>
      </c>
      <c r="B465">
        <v>41.680999999999997</v>
      </c>
      <c r="C465">
        <v>42.63</v>
      </c>
      <c r="D465">
        <v>38.502000000000002</v>
      </c>
      <c r="E465">
        <v>39.436999999999998</v>
      </c>
      <c r="F465">
        <v>102431.60799999999</v>
      </c>
      <c r="G465">
        <v>-5.38</v>
      </c>
      <c r="L465" t="s">
        <v>7</v>
      </c>
      <c r="M465" t="s">
        <v>8</v>
      </c>
      <c r="N465" t="s">
        <v>8</v>
      </c>
      <c r="P465">
        <f t="shared" si="24"/>
        <v>-0.54699612403101006</v>
      </c>
      <c r="Q465">
        <f t="shared" si="25"/>
        <v>-56029.692554263798</v>
      </c>
      <c r="R465">
        <f t="shared" si="26"/>
        <v>-282386.10068525671</v>
      </c>
      <c r="S465">
        <f t="shared" si="27"/>
        <v>-2.8238610068525669</v>
      </c>
      <c r="T465">
        <f t="shared" si="28"/>
        <v>-2.8238610068525671E-3</v>
      </c>
    </row>
    <row r="466" spans="1:20" x14ac:dyDescent="0.25">
      <c r="A466" s="5">
        <v>44127</v>
      </c>
      <c r="B466">
        <v>37.911000000000001</v>
      </c>
      <c r="C466">
        <v>42.658000000000001</v>
      </c>
      <c r="D466">
        <v>36.997999999999998</v>
      </c>
      <c r="E466">
        <v>41.680999999999997</v>
      </c>
      <c r="F466">
        <v>190627.951</v>
      </c>
      <c r="G466">
        <v>9.94</v>
      </c>
      <c r="L466" t="s">
        <v>8</v>
      </c>
      <c r="M466" t="s">
        <v>8</v>
      </c>
      <c r="N466" t="s">
        <v>8</v>
      </c>
      <c r="P466">
        <f t="shared" si="24"/>
        <v>0.65477031802120023</v>
      </c>
      <c r="Q466">
        <f t="shared" si="25"/>
        <v>124817.52409999978</v>
      </c>
      <c r="R466">
        <f t="shared" si="26"/>
        <v>-226356.40813099293</v>
      </c>
      <c r="S466">
        <f t="shared" si="27"/>
        <v>-2.2635640813099291</v>
      </c>
      <c r="T466">
        <f t="shared" si="28"/>
        <v>-2.2635640813099293E-3</v>
      </c>
    </row>
    <row r="467" spans="1:20" x14ac:dyDescent="0.25">
      <c r="A467" s="5">
        <v>44126</v>
      </c>
      <c r="B467">
        <v>35.033000000000001</v>
      </c>
      <c r="C467">
        <v>40.378999999999998</v>
      </c>
      <c r="D467">
        <v>33.265999999999998</v>
      </c>
      <c r="E467">
        <v>37.835999999999999</v>
      </c>
      <c r="F467">
        <v>154369.978</v>
      </c>
      <c r="G467">
        <v>8</v>
      </c>
      <c r="L467" t="s">
        <v>8</v>
      </c>
      <c r="M467" t="s">
        <v>8</v>
      </c>
      <c r="N467" t="s">
        <v>8</v>
      </c>
      <c r="P467">
        <f t="shared" si="24"/>
        <v>0.28497117953043738</v>
      </c>
      <c r="Q467">
        <f t="shared" si="25"/>
        <v>43990.994714747671</v>
      </c>
      <c r="R467">
        <f t="shared" si="26"/>
        <v>-351173.93223099271</v>
      </c>
      <c r="S467">
        <f t="shared" si="27"/>
        <v>-3.5117393223099271</v>
      </c>
      <c r="T467">
        <f t="shared" si="28"/>
        <v>-3.5117393223099273E-3</v>
      </c>
    </row>
    <row r="468" spans="1:20" x14ac:dyDescent="0.25">
      <c r="A468" s="5">
        <v>44125</v>
      </c>
      <c r="B468">
        <v>32.186</v>
      </c>
      <c r="C468">
        <v>37.145000000000003</v>
      </c>
      <c r="D468">
        <v>32</v>
      </c>
      <c r="E468">
        <v>35.073</v>
      </c>
      <c r="F468">
        <v>145648.76800000001</v>
      </c>
      <c r="G468">
        <v>8.9700000000000006</v>
      </c>
      <c r="L468" t="s">
        <v>8</v>
      </c>
      <c r="M468" t="s">
        <v>7</v>
      </c>
      <c r="N468" t="s">
        <v>8</v>
      </c>
      <c r="P468">
        <f t="shared" si="24"/>
        <v>0.19455782312925113</v>
      </c>
      <c r="Q468">
        <f t="shared" si="25"/>
        <v>28337.107243537335</v>
      </c>
      <c r="R468">
        <f t="shared" si="26"/>
        <v>-395164.92694574036</v>
      </c>
      <c r="S468">
        <f t="shared" si="27"/>
        <v>-3.9516492694574037</v>
      </c>
      <c r="T468">
        <f t="shared" si="28"/>
        <v>-3.9516492694574041E-3</v>
      </c>
    </row>
    <row r="469" spans="1:20" x14ac:dyDescent="0.25">
      <c r="A469" s="5">
        <v>44124</v>
      </c>
      <c r="B469">
        <v>36</v>
      </c>
      <c r="C469">
        <v>36.402999999999999</v>
      </c>
      <c r="D469">
        <v>32</v>
      </c>
      <c r="E469">
        <v>32.159999999999997</v>
      </c>
      <c r="F469">
        <v>202653.50399999999</v>
      </c>
      <c r="G469">
        <v>-10.67</v>
      </c>
      <c r="L469" t="s">
        <v>7</v>
      </c>
      <c r="M469" t="s">
        <v>7</v>
      </c>
      <c r="N469" t="s">
        <v>8</v>
      </c>
      <c r="P469">
        <f t="shared" si="24"/>
        <v>-0.92732228026345831</v>
      </c>
      <c r="Q469">
        <f t="shared" si="25"/>
        <v>-187925.10943265987</v>
      </c>
      <c r="R469">
        <f t="shared" si="26"/>
        <v>-423502.03418927768</v>
      </c>
      <c r="S469">
        <f t="shared" si="27"/>
        <v>-4.2350203418927768</v>
      </c>
      <c r="T469">
        <f t="shared" si="28"/>
        <v>-4.235020341892777E-3</v>
      </c>
    </row>
    <row r="470" spans="1:20" x14ac:dyDescent="0.25">
      <c r="A470" s="5">
        <v>44123</v>
      </c>
      <c r="B470">
        <v>40.82</v>
      </c>
      <c r="C470">
        <v>41</v>
      </c>
      <c r="D470">
        <v>35.911999999999999</v>
      </c>
      <c r="E470">
        <v>35.979999999999997</v>
      </c>
      <c r="F470">
        <v>86475.936000000002</v>
      </c>
      <c r="G470">
        <v>-11.86</v>
      </c>
      <c r="L470" t="s">
        <v>7</v>
      </c>
      <c r="M470" t="s">
        <v>7</v>
      </c>
      <c r="N470" t="s">
        <v>8</v>
      </c>
      <c r="P470">
        <f t="shared" si="24"/>
        <v>-0.97327044025157317</v>
      </c>
      <c r="Q470">
        <f t="shared" si="25"/>
        <v>-84164.472301886868</v>
      </c>
      <c r="R470">
        <f t="shared" si="26"/>
        <v>-235576.92475661781</v>
      </c>
      <c r="S470">
        <f t="shared" si="27"/>
        <v>-2.3557692475661782</v>
      </c>
      <c r="T470">
        <f t="shared" si="28"/>
        <v>-2.3557692475661782E-3</v>
      </c>
    </row>
    <row r="471" spans="1:20" x14ac:dyDescent="0.25">
      <c r="A471" s="5">
        <v>44122</v>
      </c>
      <c r="B471">
        <v>41.359000000000002</v>
      </c>
      <c r="C471">
        <v>41.424999999999997</v>
      </c>
      <c r="D471">
        <v>39.427999999999997</v>
      </c>
      <c r="E471">
        <v>40.75</v>
      </c>
      <c r="F471">
        <v>30917.953000000001</v>
      </c>
      <c r="G471">
        <v>-1.47</v>
      </c>
      <c r="L471" t="s">
        <v>8</v>
      </c>
      <c r="M471" t="s">
        <v>8</v>
      </c>
      <c r="N471" t="s">
        <v>8</v>
      </c>
      <c r="P471">
        <f t="shared" si="24"/>
        <v>0.32398597896845549</v>
      </c>
      <c r="Q471">
        <f t="shared" si="25"/>
        <v>10016.983270405695</v>
      </c>
      <c r="R471">
        <f t="shared" si="26"/>
        <v>-151412.45245473096</v>
      </c>
      <c r="S471">
        <f t="shared" si="27"/>
        <v>-1.5141245245473096</v>
      </c>
      <c r="T471">
        <f t="shared" si="28"/>
        <v>-1.5141245245473096E-3</v>
      </c>
    </row>
    <row r="472" spans="1:20" x14ac:dyDescent="0.25">
      <c r="A472" s="5">
        <v>44121</v>
      </c>
      <c r="B472">
        <v>39.371000000000002</v>
      </c>
      <c r="C472">
        <v>43.234999999999999</v>
      </c>
      <c r="D472">
        <v>38.206000000000003</v>
      </c>
      <c r="E472">
        <v>41.365000000000002</v>
      </c>
      <c r="F472">
        <v>41971.142999999996</v>
      </c>
      <c r="G472">
        <v>5.0599999999999996</v>
      </c>
      <c r="L472" t="s">
        <v>7</v>
      </c>
      <c r="M472" t="s">
        <v>8</v>
      </c>
      <c r="N472" t="s">
        <v>8</v>
      </c>
      <c r="P472">
        <f t="shared" si="24"/>
        <v>0.25631338238218382</v>
      </c>
      <c r="Q472">
        <f t="shared" si="25"/>
        <v>10757.765624776317</v>
      </c>
      <c r="R472">
        <f t="shared" si="26"/>
        <v>-161429.43572513666</v>
      </c>
      <c r="S472">
        <f t="shared" si="27"/>
        <v>-1.6142943572513666</v>
      </c>
      <c r="T472">
        <f t="shared" si="28"/>
        <v>-1.6142943572513666E-3</v>
      </c>
    </row>
    <row r="473" spans="1:20" x14ac:dyDescent="0.25">
      <c r="A473" s="5">
        <v>44120</v>
      </c>
      <c r="B473">
        <v>43.017000000000003</v>
      </c>
      <c r="C473">
        <v>43.8</v>
      </c>
      <c r="D473">
        <v>39.091999999999999</v>
      </c>
      <c r="E473">
        <v>39.460999999999999</v>
      </c>
      <c r="F473">
        <v>90836.411999999997</v>
      </c>
      <c r="G473">
        <v>-8.27</v>
      </c>
      <c r="L473" t="s">
        <v>8</v>
      </c>
      <c r="M473" t="s">
        <v>8</v>
      </c>
      <c r="N473" t="s">
        <v>8</v>
      </c>
      <c r="P473">
        <f t="shared" si="24"/>
        <v>-0.84324553950722181</v>
      </c>
      <c r="Q473">
        <f t="shared" si="25"/>
        <v>-76597.399243840278</v>
      </c>
      <c r="R473">
        <f t="shared" si="26"/>
        <v>-172187.20134991297</v>
      </c>
      <c r="S473">
        <f t="shared" si="27"/>
        <v>-1.7218720134991297</v>
      </c>
      <c r="T473">
        <f t="shared" si="28"/>
        <v>-1.7218720134991297E-3</v>
      </c>
    </row>
    <row r="474" spans="1:20" x14ac:dyDescent="0.25">
      <c r="A474" s="5">
        <v>44119</v>
      </c>
      <c r="B474">
        <v>51.43</v>
      </c>
      <c r="C474">
        <v>59</v>
      </c>
      <c r="D474">
        <v>42.747</v>
      </c>
      <c r="E474">
        <v>42.999000000000002</v>
      </c>
      <c r="F474">
        <v>98648.87</v>
      </c>
      <c r="G474">
        <v>-16.39</v>
      </c>
      <c r="P474">
        <f t="shared" si="24"/>
        <v>-0.96899034024487751</v>
      </c>
      <c r="Q474">
        <f t="shared" si="25"/>
        <v>-95589.80210607269</v>
      </c>
      <c r="R474">
        <f t="shared" si="26"/>
        <v>-95589.80210607269</v>
      </c>
      <c r="S474">
        <f t="shared" si="27"/>
        <v>-0.95589802106072685</v>
      </c>
      <c r="T474">
        <f t="shared" si="28"/>
        <v>-9.5589802106072689E-4</v>
      </c>
    </row>
    <row r="475" spans="1:20" x14ac:dyDescent="0.25">
      <c r="A475" s="5"/>
      <c r="C475"/>
      <c r="D475"/>
      <c r="P475">
        <f t="shared" si="24"/>
        <v>0</v>
      </c>
      <c r="Q475">
        <f t="shared" si="25"/>
        <v>0</v>
      </c>
      <c r="R475">
        <f t="shared" si="26"/>
        <v>0</v>
      </c>
      <c r="S475">
        <f t="shared" si="27"/>
        <v>0</v>
      </c>
      <c r="T475">
        <f t="shared" si="28"/>
        <v>0</v>
      </c>
    </row>
    <row r="476" spans="1:20" x14ac:dyDescent="0.25">
      <c r="A476" s="5"/>
      <c r="C476"/>
      <c r="D476"/>
      <c r="P476">
        <f t="shared" si="24"/>
        <v>0</v>
      </c>
      <c r="Q476">
        <f t="shared" si="25"/>
        <v>0</v>
      </c>
      <c r="R476">
        <f t="shared" si="26"/>
        <v>0</v>
      </c>
      <c r="S476">
        <f t="shared" si="27"/>
        <v>0</v>
      </c>
      <c r="T476">
        <f t="shared" si="28"/>
        <v>0</v>
      </c>
    </row>
    <row r="477" spans="1:20" x14ac:dyDescent="0.25">
      <c r="A477" s="5"/>
      <c r="C477"/>
      <c r="D477"/>
      <c r="P477">
        <f t="shared" si="24"/>
        <v>0</v>
      </c>
      <c r="Q477">
        <f t="shared" si="25"/>
        <v>0</v>
      </c>
      <c r="R477">
        <f t="shared" si="26"/>
        <v>0</v>
      </c>
      <c r="S477">
        <f t="shared" si="27"/>
        <v>0</v>
      </c>
      <c r="T477">
        <f t="shared" si="28"/>
        <v>0</v>
      </c>
    </row>
    <row r="478" spans="1:20" x14ac:dyDescent="0.25">
      <c r="A478" s="5"/>
      <c r="C478"/>
      <c r="D478"/>
      <c r="P478">
        <f t="shared" si="24"/>
        <v>0</v>
      </c>
      <c r="Q478">
        <f t="shared" si="25"/>
        <v>0</v>
      </c>
      <c r="R478">
        <f t="shared" si="26"/>
        <v>0</v>
      </c>
      <c r="S478">
        <f t="shared" si="27"/>
        <v>0</v>
      </c>
      <c r="T478">
        <f t="shared" si="28"/>
        <v>0</v>
      </c>
    </row>
    <row r="479" spans="1:20" x14ac:dyDescent="0.25">
      <c r="A479" s="5"/>
      <c r="C479"/>
      <c r="D479"/>
      <c r="P479">
        <f t="shared" si="24"/>
        <v>0</v>
      </c>
      <c r="Q479">
        <f t="shared" si="25"/>
        <v>0</v>
      </c>
      <c r="R479">
        <f t="shared" si="26"/>
        <v>0</v>
      </c>
      <c r="S479">
        <f t="shared" si="27"/>
        <v>0</v>
      </c>
      <c r="T479">
        <f t="shared" si="28"/>
        <v>0</v>
      </c>
    </row>
    <row r="480" spans="1:20" x14ac:dyDescent="0.25">
      <c r="A480" s="5"/>
      <c r="C480"/>
      <c r="D480"/>
      <c r="P480">
        <f t="shared" si="24"/>
        <v>0</v>
      </c>
      <c r="Q480">
        <f t="shared" si="25"/>
        <v>0</v>
      </c>
      <c r="R480">
        <f t="shared" si="26"/>
        <v>0</v>
      </c>
      <c r="S480">
        <f t="shared" si="27"/>
        <v>0</v>
      </c>
      <c r="T480">
        <f t="shared" si="28"/>
        <v>0</v>
      </c>
    </row>
    <row r="481" spans="1:20" x14ac:dyDescent="0.25">
      <c r="A481" s="5"/>
      <c r="C481"/>
      <c r="D481"/>
      <c r="P481">
        <f t="shared" si="24"/>
        <v>0</v>
      </c>
      <c r="Q481">
        <f t="shared" si="25"/>
        <v>0</v>
      </c>
      <c r="R481">
        <f t="shared" si="26"/>
        <v>0</v>
      </c>
      <c r="S481">
        <f t="shared" si="27"/>
        <v>0</v>
      </c>
      <c r="T481">
        <f t="shared" si="28"/>
        <v>0</v>
      </c>
    </row>
    <row r="482" spans="1:20" x14ac:dyDescent="0.25">
      <c r="A482" s="5"/>
      <c r="C482"/>
      <c r="D482"/>
      <c r="P482">
        <f t="shared" si="24"/>
        <v>0</v>
      </c>
      <c r="Q482">
        <f t="shared" si="25"/>
        <v>0</v>
      </c>
      <c r="R482">
        <f t="shared" si="26"/>
        <v>0</v>
      </c>
      <c r="S482">
        <f t="shared" si="27"/>
        <v>0</v>
      </c>
      <c r="T482">
        <f t="shared" si="28"/>
        <v>0</v>
      </c>
    </row>
    <row r="483" spans="1:20" x14ac:dyDescent="0.25">
      <c r="A483" s="5"/>
      <c r="C483"/>
      <c r="D483"/>
      <c r="P483">
        <f t="shared" si="24"/>
        <v>0</v>
      </c>
      <c r="Q483">
        <f t="shared" si="25"/>
        <v>0</v>
      </c>
      <c r="R483">
        <f t="shared" si="26"/>
        <v>0</v>
      </c>
      <c r="S483">
        <f t="shared" si="27"/>
        <v>0</v>
      </c>
      <c r="T483">
        <f t="shared" si="28"/>
        <v>0</v>
      </c>
    </row>
    <row r="484" spans="1:20" x14ac:dyDescent="0.25">
      <c r="A484" s="5"/>
      <c r="C484"/>
      <c r="D484"/>
      <c r="P484">
        <f t="shared" si="24"/>
        <v>0</v>
      </c>
      <c r="Q484">
        <f t="shared" si="25"/>
        <v>0</v>
      </c>
      <c r="R484">
        <f t="shared" si="26"/>
        <v>0</v>
      </c>
      <c r="S484">
        <f t="shared" si="27"/>
        <v>0</v>
      </c>
      <c r="T484">
        <f t="shared" si="28"/>
        <v>0</v>
      </c>
    </row>
    <row r="485" spans="1:20" x14ac:dyDescent="0.25">
      <c r="A485" s="5"/>
      <c r="C485"/>
      <c r="D485"/>
      <c r="P485">
        <f t="shared" si="24"/>
        <v>0</v>
      </c>
      <c r="Q485">
        <f t="shared" si="25"/>
        <v>0</v>
      </c>
      <c r="R485">
        <f t="shared" si="26"/>
        <v>0</v>
      </c>
      <c r="S485">
        <f t="shared" si="27"/>
        <v>0</v>
      </c>
      <c r="T485">
        <f t="shared" si="28"/>
        <v>0</v>
      </c>
    </row>
    <row r="486" spans="1:20" x14ac:dyDescent="0.25">
      <c r="A486" s="5"/>
      <c r="C486"/>
      <c r="D486"/>
      <c r="P486">
        <f t="shared" si="24"/>
        <v>0</v>
      </c>
      <c r="Q486">
        <f t="shared" si="25"/>
        <v>0</v>
      </c>
      <c r="R486">
        <f t="shared" si="26"/>
        <v>0</v>
      </c>
      <c r="S486">
        <f t="shared" si="27"/>
        <v>0</v>
      </c>
      <c r="T486">
        <f t="shared" si="28"/>
        <v>0</v>
      </c>
    </row>
    <row r="487" spans="1:20" x14ac:dyDescent="0.25">
      <c r="A487" s="5"/>
      <c r="C487"/>
      <c r="D487"/>
      <c r="P487">
        <f t="shared" si="24"/>
        <v>0</v>
      </c>
      <c r="Q487">
        <f t="shared" si="25"/>
        <v>0</v>
      </c>
      <c r="R487">
        <f t="shared" si="26"/>
        <v>0</v>
      </c>
      <c r="S487">
        <f t="shared" si="27"/>
        <v>0</v>
      </c>
      <c r="T487">
        <f t="shared" si="28"/>
        <v>0</v>
      </c>
    </row>
    <row r="488" spans="1:20" x14ac:dyDescent="0.25">
      <c r="A488" s="5"/>
      <c r="C488"/>
      <c r="D488"/>
      <c r="P488">
        <f t="shared" si="24"/>
        <v>0</v>
      </c>
      <c r="Q488">
        <f t="shared" si="25"/>
        <v>0</v>
      </c>
      <c r="R488">
        <f t="shared" si="26"/>
        <v>0</v>
      </c>
      <c r="S488">
        <f t="shared" si="27"/>
        <v>0</v>
      </c>
      <c r="T488">
        <f t="shared" si="28"/>
        <v>0</v>
      </c>
    </row>
    <row r="489" spans="1:20" x14ac:dyDescent="0.25">
      <c r="A489" s="5"/>
      <c r="C489"/>
      <c r="D489"/>
      <c r="P489">
        <f t="shared" si="24"/>
        <v>0</v>
      </c>
      <c r="Q489">
        <f t="shared" si="25"/>
        <v>0</v>
      </c>
      <c r="R489">
        <f t="shared" si="26"/>
        <v>0</v>
      </c>
      <c r="S489">
        <f t="shared" si="27"/>
        <v>0</v>
      </c>
      <c r="T489">
        <f t="shared" si="28"/>
        <v>0</v>
      </c>
    </row>
    <row r="490" spans="1:20" x14ac:dyDescent="0.25">
      <c r="A490" s="5"/>
      <c r="C490"/>
      <c r="D490"/>
      <c r="P490">
        <f t="shared" si="24"/>
        <v>0</v>
      </c>
      <c r="Q490">
        <f t="shared" si="25"/>
        <v>0</v>
      </c>
      <c r="R490">
        <f t="shared" si="26"/>
        <v>0</v>
      </c>
      <c r="S490">
        <f t="shared" si="27"/>
        <v>0</v>
      </c>
      <c r="T490">
        <f t="shared" si="28"/>
        <v>0</v>
      </c>
    </row>
    <row r="491" spans="1:20" x14ac:dyDescent="0.25">
      <c r="A491" s="5"/>
      <c r="C491"/>
      <c r="D491"/>
      <c r="P491">
        <f t="shared" si="24"/>
        <v>0</v>
      </c>
      <c r="Q491">
        <f t="shared" si="25"/>
        <v>0</v>
      </c>
      <c r="R491">
        <f t="shared" si="26"/>
        <v>0</v>
      </c>
      <c r="S491">
        <f t="shared" si="27"/>
        <v>0</v>
      </c>
      <c r="T491">
        <f t="shared" si="28"/>
        <v>0</v>
      </c>
    </row>
    <row r="492" spans="1:20" x14ac:dyDescent="0.25">
      <c r="A492" s="5"/>
      <c r="C492"/>
      <c r="D492"/>
      <c r="P492">
        <f t="shared" si="24"/>
        <v>0</v>
      </c>
      <c r="Q492">
        <f t="shared" si="25"/>
        <v>0</v>
      </c>
      <c r="R492">
        <f t="shared" si="26"/>
        <v>0</v>
      </c>
      <c r="S492">
        <f t="shared" si="27"/>
        <v>0</v>
      </c>
      <c r="T492">
        <f t="shared" si="28"/>
        <v>0</v>
      </c>
    </row>
    <row r="493" spans="1:20" x14ac:dyDescent="0.25">
      <c r="A493" s="5"/>
      <c r="C493"/>
      <c r="D493"/>
      <c r="P493">
        <f t="shared" si="24"/>
        <v>0</v>
      </c>
      <c r="Q493">
        <f t="shared" si="25"/>
        <v>0</v>
      </c>
      <c r="R493">
        <f t="shared" si="26"/>
        <v>0</v>
      </c>
      <c r="S493">
        <f t="shared" si="27"/>
        <v>0</v>
      </c>
      <c r="T493">
        <f t="shared" si="28"/>
        <v>0</v>
      </c>
    </row>
    <row r="494" spans="1:20" x14ac:dyDescent="0.25">
      <c r="A494" s="5"/>
      <c r="C494"/>
      <c r="D494"/>
      <c r="P494">
        <f t="shared" si="24"/>
        <v>0</v>
      </c>
      <c r="Q494">
        <f t="shared" si="25"/>
        <v>0</v>
      </c>
      <c r="R494">
        <f t="shared" si="26"/>
        <v>0</v>
      </c>
      <c r="S494">
        <f t="shared" si="27"/>
        <v>0</v>
      </c>
      <c r="T494">
        <f t="shared" si="28"/>
        <v>0</v>
      </c>
    </row>
    <row r="495" spans="1:20" x14ac:dyDescent="0.25">
      <c r="A495" s="5"/>
      <c r="C495"/>
      <c r="D495"/>
      <c r="P495">
        <f t="shared" si="24"/>
        <v>0</v>
      </c>
      <c r="Q495">
        <f t="shared" si="25"/>
        <v>0</v>
      </c>
      <c r="R495">
        <f t="shared" si="26"/>
        <v>0</v>
      </c>
      <c r="S495">
        <f t="shared" si="27"/>
        <v>0</v>
      </c>
      <c r="T495">
        <f t="shared" si="28"/>
        <v>0</v>
      </c>
    </row>
    <row r="496" spans="1:20" x14ac:dyDescent="0.25">
      <c r="A496" s="5"/>
      <c r="C496"/>
      <c r="D496"/>
      <c r="P496">
        <f t="shared" si="24"/>
        <v>0</v>
      </c>
      <c r="Q496">
        <f t="shared" si="25"/>
        <v>0</v>
      </c>
      <c r="R496">
        <f t="shared" si="26"/>
        <v>0</v>
      </c>
      <c r="S496">
        <f t="shared" si="27"/>
        <v>0</v>
      </c>
      <c r="T496">
        <f t="shared" si="28"/>
        <v>0</v>
      </c>
    </row>
    <row r="497" spans="1:20" x14ac:dyDescent="0.25">
      <c r="A497" s="5"/>
      <c r="C497"/>
      <c r="D497"/>
      <c r="P497">
        <f t="shared" si="24"/>
        <v>0</v>
      </c>
      <c r="Q497">
        <f t="shared" si="25"/>
        <v>0</v>
      </c>
      <c r="R497">
        <f t="shared" si="26"/>
        <v>0</v>
      </c>
      <c r="S497">
        <f t="shared" si="27"/>
        <v>0</v>
      </c>
      <c r="T497">
        <f t="shared" si="28"/>
        <v>0</v>
      </c>
    </row>
    <row r="498" spans="1:20" x14ac:dyDescent="0.25">
      <c r="A498" s="5"/>
      <c r="C498"/>
      <c r="D498"/>
      <c r="P498">
        <f t="shared" si="24"/>
        <v>0</v>
      </c>
      <c r="Q498">
        <f t="shared" si="25"/>
        <v>0</v>
      </c>
      <c r="R498">
        <f t="shared" si="26"/>
        <v>0</v>
      </c>
      <c r="S498">
        <f t="shared" si="27"/>
        <v>0</v>
      </c>
      <c r="T498">
        <f t="shared" si="28"/>
        <v>0</v>
      </c>
    </row>
    <row r="499" spans="1:20" x14ac:dyDescent="0.25">
      <c r="A499" s="5"/>
      <c r="C499"/>
      <c r="D499"/>
      <c r="P499">
        <f t="shared" si="24"/>
        <v>0</v>
      </c>
      <c r="Q499">
        <f t="shared" si="25"/>
        <v>0</v>
      </c>
      <c r="R499">
        <f t="shared" si="26"/>
        <v>0</v>
      </c>
      <c r="S499">
        <f t="shared" si="27"/>
        <v>0</v>
      </c>
      <c r="T499">
        <f t="shared" si="28"/>
        <v>0</v>
      </c>
    </row>
    <row r="500" spans="1:20" x14ac:dyDescent="0.25">
      <c r="A500" s="5"/>
      <c r="C500"/>
      <c r="D500"/>
      <c r="P500">
        <f t="shared" si="24"/>
        <v>0</v>
      </c>
      <c r="Q500">
        <f t="shared" si="25"/>
        <v>0</v>
      </c>
      <c r="R500">
        <f t="shared" si="26"/>
        <v>0</v>
      </c>
      <c r="S500">
        <f t="shared" si="27"/>
        <v>0</v>
      </c>
      <c r="T500">
        <f t="shared" si="28"/>
        <v>0</v>
      </c>
    </row>
    <row r="501" spans="1:20" x14ac:dyDescent="0.25">
      <c r="A501" s="5"/>
      <c r="C501"/>
      <c r="D501"/>
      <c r="P501">
        <f t="shared" si="24"/>
        <v>0</v>
      </c>
      <c r="Q501">
        <f t="shared" si="25"/>
        <v>0</v>
      </c>
      <c r="R501">
        <f t="shared" si="26"/>
        <v>0</v>
      </c>
      <c r="S501">
        <f t="shared" si="27"/>
        <v>0</v>
      </c>
      <c r="T501">
        <f t="shared" si="28"/>
        <v>0</v>
      </c>
    </row>
    <row r="502" spans="1:20" x14ac:dyDescent="0.25">
      <c r="A502" s="5"/>
      <c r="C502"/>
      <c r="D502"/>
      <c r="P502">
        <f t="shared" si="24"/>
        <v>0</v>
      </c>
      <c r="Q502">
        <f t="shared" si="25"/>
        <v>0</v>
      </c>
      <c r="R502">
        <f t="shared" si="26"/>
        <v>0</v>
      </c>
      <c r="S502">
        <f t="shared" si="27"/>
        <v>0</v>
      </c>
      <c r="T502">
        <f t="shared" si="28"/>
        <v>0</v>
      </c>
    </row>
    <row r="503" spans="1:20" x14ac:dyDescent="0.25">
      <c r="A503" s="5"/>
      <c r="C503"/>
      <c r="D503"/>
      <c r="P503">
        <f t="shared" si="24"/>
        <v>0</v>
      </c>
      <c r="Q503">
        <f t="shared" si="25"/>
        <v>0</v>
      </c>
      <c r="R503">
        <f t="shared" si="26"/>
        <v>0</v>
      </c>
      <c r="S503">
        <f t="shared" si="27"/>
        <v>0</v>
      </c>
      <c r="T503">
        <f t="shared" si="28"/>
        <v>0</v>
      </c>
    </row>
    <row r="504" spans="1:20" x14ac:dyDescent="0.25">
      <c r="A504" s="5"/>
      <c r="C504"/>
      <c r="D504"/>
      <c r="P504">
        <f t="shared" si="24"/>
        <v>0</v>
      </c>
      <c r="Q504">
        <f t="shared" si="25"/>
        <v>0</v>
      </c>
      <c r="R504">
        <f t="shared" si="26"/>
        <v>0</v>
      </c>
      <c r="S504">
        <f t="shared" si="27"/>
        <v>0</v>
      </c>
      <c r="T504">
        <f t="shared" si="28"/>
        <v>0</v>
      </c>
    </row>
    <row r="505" spans="1:20" x14ac:dyDescent="0.25">
      <c r="A505" s="5"/>
      <c r="C505"/>
      <c r="D505"/>
      <c r="P505">
        <f t="shared" si="24"/>
        <v>0</v>
      </c>
      <c r="Q505">
        <f t="shared" si="25"/>
        <v>0</v>
      </c>
      <c r="R505">
        <f t="shared" si="26"/>
        <v>0</v>
      </c>
      <c r="S505">
        <f t="shared" si="27"/>
        <v>0</v>
      </c>
      <c r="T505">
        <f t="shared" si="28"/>
        <v>0</v>
      </c>
    </row>
    <row r="506" spans="1:20" x14ac:dyDescent="0.25">
      <c r="A506" s="5"/>
      <c r="C506"/>
      <c r="D506"/>
      <c r="P506">
        <f t="shared" si="24"/>
        <v>0</v>
      </c>
      <c r="Q506">
        <f t="shared" si="25"/>
        <v>0</v>
      </c>
      <c r="R506">
        <f t="shared" si="26"/>
        <v>0</v>
      </c>
      <c r="S506">
        <f t="shared" si="27"/>
        <v>0</v>
      </c>
      <c r="T506">
        <f t="shared" si="28"/>
        <v>0</v>
      </c>
    </row>
    <row r="507" spans="1:20" x14ac:dyDescent="0.25">
      <c r="A507" s="5"/>
      <c r="C507"/>
      <c r="D507"/>
      <c r="P507">
        <f t="shared" si="24"/>
        <v>0</v>
      </c>
      <c r="Q507">
        <f t="shared" si="25"/>
        <v>0</v>
      </c>
      <c r="R507">
        <f t="shared" si="26"/>
        <v>0</v>
      </c>
      <c r="S507">
        <f t="shared" si="27"/>
        <v>0</v>
      </c>
      <c r="T507">
        <f t="shared" si="28"/>
        <v>0</v>
      </c>
    </row>
    <row r="508" spans="1:20" x14ac:dyDescent="0.25">
      <c r="A508" s="5"/>
      <c r="C508"/>
      <c r="D508"/>
      <c r="P508">
        <f t="shared" si="24"/>
        <v>0</v>
      </c>
      <c r="Q508">
        <f t="shared" si="25"/>
        <v>0</v>
      </c>
      <c r="R508">
        <f t="shared" si="26"/>
        <v>0</v>
      </c>
      <c r="S508">
        <f t="shared" si="27"/>
        <v>0</v>
      </c>
      <c r="T508">
        <f t="shared" si="28"/>
        <v>0</v>
      </c>
    </row>
    <row r="509" spans="1:20" x14ac:dyDescent="0.25">
      <c r="A509" s="5"/>
      <c r="C509"/>
      <c r="D509"/>
      <c r="P509">
        <f t="shared" si="24"/>
        <v>0</v>
      </c>
      <c r="Q509">
        <f t="shared" si="25"/>
        <v>0</v>
      </c>
      <c r="R509">
        <f t="shared" si="26"/>
        <v>0</v>
      </c>
      <c r="S509">
        <f t="shared" si="27"/>
        <v>0</v>
      </c>
      <c r="T509">
        <f t="shared" si="28"/>
        <v>0</v>
      </c>
    </row>
    <row r="510" spans="1:20" x14ac:dyDescent="0.25">
      <c r="A510" s="5"/>
      <c r="C510"/>
      <c r="D510"/>
      <c r="P510">
        <f t="shared" si="24"/>
        <v>0</v>
      </c>
      <c r="Q510">
        <f t="shared" si="25"/>
        <v>0</v>
      </c>
      <c r="R510">
        <f t="shared" si="26"/>
        <v>0</v>
      </c>
      <c r="S510">
        <f t="shared" si="27"/>
        <v>0</v>
      </c>
      <c r="T510">
        <f t="shared" si="28"/>
        <v>0</v>
      </c>
    </row>
    <row r="511" spans="1:20" x14ac:dyDescent="0.25">
      <c r="A511" s="5"/>
      <c r="C511"/>
      <c r="D511"/>
      <c r="P511">
        <f t="shared" si="24"/>
        <v>0</v>
      </c>
      <c r="Q511">
        <f t="shared" si="25"/>
        <v>0</v>
      </c>
      <c r="R511">
        <f t="shared" si="26"/>
        <v>0</v>
      </c>
      <c r="S511">
        <f t="shared" si="27"/>
        <v>0</v>
      </c>
      <c r="T511">
        <f t="shared" si="28"/>
        <v>0</v>
      </c>
    </row>
    <row r="512" spans="1:20" x14ac:dyDescent="0.25">
      <c r="A512" s="5"/>
      <c r="C512"/>
      <c r="D512"/>
      <c r="P512">
        <f t="shared" si="24"/>
        <v>0</v>
      </c>
      <c r="Q512">
        <f t="shared" si="25"/>
        <v>0</v>
      </c>
      <c r="R512">
        <f t="shared" si="26"/>
        <v>0</v>
      </c>
      <c r="S512">
        <f t="shared" si="27"/>
        <v>0</v>
      </c>
      <c r="T512">
        <f t="shared" si="28"/>
        <v>0</v>
      </c>
    </row>
    <row r="513" spans="1:20" x14ac:dyDescent="0.25">
      <c r="A513" s="5"/>
      <c r="C513"/>
      <c r="D513"/>
      <c r="P513">
        <f t="shared" si="24"/>
        <v>0</v>
      </c>
      <c r="Q513">
        <f t="shared" si="25"/>
        <v>0</v>
      </c>
      <c r="R513">
        <f t="shared" si="26"/>
        <v>0</v>
      </c>
      <c r="S513">
        <f t="shared" si="27"/>
        <v>0</v>
      </c>
      <c r="T513">
        <f t="shared" si="28"/>
        <v>0</v>
      </c>
    </row>
    <row r="514" spans="1:20" x14ac:dyDescent="0.25">
      <c r="A514" s="5"/>
      <c r="C514"/>
      <c r="D514"/>
      <c r="P514">
        <f t="shared" si="24"/>
        <v>0</v>
      </c>
      <c r="Q514">
        <f t="shared" si="25"/>
        <v>0</v>
      </c>
      <c r="R514">
        <f t="shared" si="26"/>
        <v>0</v>
      </c>
      <c r="S514">
        <f t="shared" si="27"/>
        <v>0</v>
      </c>
      <c r="T514">
        <f t="shared" si="28"/>
        <v>0</v>
      </c>
    </row>
    <row r="515" spans="1:20" x14ac:dyDescent="0.25">
      <c r="A515" s="5"/>
      <c r="C515"/>
      <c r="D515"/>
      <c r="P515">
        <f t="shared" si="24"/>
        <v>0</v>
      </c>
      <c r="Q515">
        <f t="shared" si="25"/>
        <v>0</v>
      </c>
      <c r="R515">
        <f t="shared" si="26"/>
        <v>0</v>
      </c>
      <c r="S515">
        <f t="shared" si="27"/>
        <v>0</v>
      </c>
      <c r="T515">
        <f t="shared" si="28"/>
        <v>0</v>
      </c>
    </row>
    <row r="516" spans="1:20" x14ac:dyDescent="0.25">
      <c r="A516" s="5"/>
      <c r="C516"/>
      <c r="D516"/>
      <c r="P516">
        <f t="shared" si="24"/>
        <v>0</v>
      </c>
      <c r="Q516">
        <f t="shared" si="25"/>
        <v>0</v>
      </c>
      <c r="R516">
        <f t="shared" si="26"/>
        <v>0</v>
      </c>
      <c r="S516">
        <f t="shared" si="27"/>
        <v>0</v>
      </c>
      <c r="T516">
        <f t="shared" si="28"/>
        <v>0</v>
      </c>
    </row>
    <row r="517" spans="1:20" x14ac:dyDescent="0.25">
      <c r="A517" s="5"/>
      <c r="C517"/>
      <c r="D517"/>
      <c r="P517">
        <f t="shared" si="24"/>
        <v>0</v>
      </c>
      <c r="Q517">
        <f t="shared" si="25"/>
        <v>0</v>
      </c>
      <c r="R517">
        <f t="shared" si="26"/>
        <v>0</v>
      </c>
      <c r="S517">
        <f t="shared" si="27"/>
        <v>0</v>
      </c>
      <c r="T517">
        <f t="shared" si="28"/>
        <v>0</v>
      </c>
    </row>
    <row r="518" spans="1:20" x14ac:dyDescent="0.25">
      <c r="A518" s="5"/>
      <c r="C518"/>
      <c r="D518"/>
      <c r="P518">
        <f t="shared" ref="P518:P581" si="29">IF(C518=D518,0,((E518-D518)-(C518-E518))/(C518-D518))</f>
        <v>0</v>
      </c>
      <c r="Q518">
        <f t="shared" ref="Q518:Q581" si="30">F518*P518</f>
        <v>0</v>
      </c>
      <c r="R518">
        <f t="shared" ref="R518:R581" si="31">R519+Q518</f>
        <v>0</v>
      </c>
      <c r="S518">
        <f t="shared" ref="S518:S581" si="32">R518/100000</f>
        <v>0</v>
      </c>
      <c r="T518">
        <f t="shared" ref="T518:T581" si="33">S518/1000</f>
        <v>0</v>
      </c>
    </row>
    <row r="519" spans="1:20" x14ac:dyDescent="0.25">
      <c r="A519" s="5"/>
      <c r="C519"/>
      <c r="D519"/>
      <c r="P519">
        <f t="shared" si="29"/>
        <v>0</v>
      </c>
      <c r="Q519">
        <f t="shared" si="30"/>
        <v>0</v>
      </c>
      <c r="R519">
        <f t="shared" si="31"/>
        <v>0</v>
      </c>
      <c r="S519">
        <f t="shared" si="32"/>
        <v>0</v>
      </c>
      <c r="T519">
        <f t="shared" si="33"/>
        <v>0</v>
      </c>
    </row>
    <row r="520" spans="1:20" x14ac:dyDescent="0.25">
      <c r="A520" s="5"/>
      <c r="C520"/>
      <c r="D520"/>
      <c r="P520">
        <f t="shared" si="29"/>
        <v>0</v>
      </c>
      <c r="Q520">
        <f t="shared" si="30"/>
        <v>0</v>
      </c>
      <c r="R520">
        <f t="shared" si="31"/>
        <v>0</v>
      </c>
      <c r="S520">
        <f t="shared" si="32"/>
        <v>0</v>
      </c>
      <c r="T520">
        <f t="shared" si="33"/>
        <v>0</v>
      </c>
    </row>
    <row r="521" spans="1:20" x14ac:dyDescent="0.25">
      <c r="A521" s="5"/>
      <c r="C521"/>
      <c r="D521"/>
      <c r="P521">
        <f t="shared" si="29"/>
        <v>0</v>
      </c>
      <c r="Q521">
        <f t="shared" si="30"/>
        <v>0</v>
      </c>
      <c r="R521">
        <f t="shared" si="31"/>
        <v>0</v>
      </c>
      <c r="S521">
        <f t="shared" si="32"/>
        <v>0</v>
      </c>
      <c r="T521">
        <f t="shared" si="33"/>
        <v>0</v>
      </c>
    </row>
    <row r="522" spans="1:20" x14ac:dyDescent="0.25">
      <c r="A522" s="5"/>
      <c r="C522"/>
      <c r="D522"/>
      <c r="P522">
        <f t="shared" si="29"/>
        <v>0</v>
      </c>
      <c r="Q522">
        <f t="shared" si="30"/>
        <v>0</v>
      </c>
      <c r="R522">
        <f t="shared" si="31"/>
        <v>0</v>
      </c>
      <c r="S522">
        <f t="shared" si="32"/>
        <v>0</v>
      </c>
      <c r="T522">
        <f t="shared" si="33"/>
        <v>0</v>
      </c>
    </row>
    <row r="523" spans="1:20" x14ac:dyDescent="0.25">
      <c r="A523" s="5"/>
      <c r="C523"/>
      <c r="D523"/>
      <c r="P523">
        <f t="shared" si="29"/>
        <v>0</v>
      </c>
      <c r="Q523">
        <f t="shared" si="30"/>
        <v>0</v>
      </c>
      <c r="R523">
        <f t="shared" si="31"/>
        <v>0</v>
      </c>
      <c r="S523">
        <f t="shared" si="32"/>
        <v>0</v>
      </c>
      <c r="T523">
        <f t="shared" si="33"/>
        <v>0</v>
      </c>
    </row>
    <row r="524" spans="1:20" x14ac:dyDescent="0.25">
      <c r="A524" s="5"/>
      <c r="C524"/>
      <c r="D524"/>
      <c r="P524">
        <f t="shared" si="29"/>
        <v>0</v>
      </c>
      <c r="Q524">
        <f t="shared" si="30"/>
        <v>0</v>
      </c>
      <c r="R524">
        <f t="shared" si="31"/>
        <v>0</v>
      </c>
      <c r="S524">
        <f t="shared" si="32"/>
        <v>0</v>
      </c>
      <c r="T524">
        <f t="shared" si="33"/>
        <v>0</v>
      </c>
    </row>
    <row r="525" spans="1:20" x14ac:dyDescent="0.25">
      <c r="A525" s="5"/>
      <c r="C525"/>
      <c r="D525"/>
      <c r="P525">
        <f t="shared" si="29"/>
        <v>0</v>
      </c>
      <c r="Q525">
        <f t="shared" si="30"/>
        <v>0</v>
      </c>
      <c r="R525">
        <f t="shared" si="31"/>
        <v>0</v>
      </c>
      <c r="S525">
        <f t="shared" si="32"/>
        <v>0</v>
      </c>
      <c r="T525">
        <f t="shared" si="33"/>
        <v>0</v>
      </c>
    </row>
    <row r="526" spans="1:20" x14ac:dyDescent="0.25">
      <c r="A526" s="5"/>
      <c r="C526"/>
      <c r="D526"/>
      <c r="P526">
        <f t="shared" si="29"/>
        <v>0</v>
      </c>
      <c r="Q526">
        <f t="shared" si="30"/>
        <v>0</v>
      </c>
      <c r="R526">
        <f t="shared" si="31"/>
        <v>0</v>
      </c>
      <c r="S526">
        <f t="shared" si="32"/>
        <v>0</v>
      </c>
      <c r="T526">
        <f t="shared" si="33"/>
        <v>0</v>
      </c>
    </row>
    <row r="527" spans="1:20" x14ac:dyDescent="0.25">
      <c r="A527" s="5"/>
      <c r="C527"/>
      <c r="D527"/>
      <c r="P527">
        <f t="shared" si="29"/>
        <v>0</v>
      </c>
      <c r="Q527">
        <f t="shared" si="30"/>
        <v>0</v>
      </c>
      <c r="R527">
        <f t="shared" si="31"/>
        <v>0</v>
      </c>
      <c r="S527">
        <f t="shared" si="32"/>
        <v>0</v>
      </c>
      <c r="T527">
        <f t="shared" si="33"/>
        <v>0</v>
      </c>
    </row>
    <row r="528" spans="1:20" x14ac:dyDescent="0.25">
      <c r="A528" s="5"/>
      <c r="C528"/>
      <c r="D528"/>
      <c r="P528">
        <f t="shared" si="29"/>
        <v>0</v>
      </c>
      <c r="Q528">
        <f t="shared" si="30"/>
        <v>0</v>
      </c>
      <c r="R528">
        <f t="shared" si="31"/>
        <v>0</v>
      </c>
      <c r="S528">
        <f t="shared" si="32"/>
        <v>0</v>
      </c>
      <c r="T528">
        <f t="shared" si="33"/>
        <v>0</v>
      </c>
    </row>
    <row r="529" spans="1:20" x14ac:dyDescent="0.25">
      <c r="A529" s="5"/>
      <c r="C529"/>
      <c r="D529"/>
      <c r="P529">
        <f t="shared" si="29"/>
        <v>0</v>
      </c>
      <c r="Q529">
        <f t="shared" si="30"/>
        <v>0</v>
      </c>
      <c r="R529">
        <f t="shared" si="31"/>
        <v>0</v>
      </c>
      <c r="S529">
        <f t="shared" si="32"/>
        <v>0</v>
      </c>
      <c r="T529">
        <f t="shared" si="33"/>
        <v>0</v>
      </c>
    </row>
    <row r="530" spans="1:20" x14ac:dyDescent="0.25">
      <c r="A530" s="5"/>
      <c r="C530"/>
      <c r="D530"/>
      <c r="P530">
        <f t="shared" si="29"/>
        <v>0</v>
      </c>
      <c r="Q530">
        <f t="shared" si="30"/>
        <v>0</v>
      </c>
      <c r="R530">
        <f t="shared" si="31"/>
        <v>0</v>
      </c>
      <c r="S530">
        <f t="shared" si="32"/>
        <v>0</v>
      </c>
      <c r="T530">
        <f t="shared" si="33"/>
        <v>0</v>
      </c>
    </row>
    <row r="531" spans="1:20" x14ac:dyDescent="0.25">
      <c r="A531" s="5"/>
      <c r="C531"/>
      <c r="D531"/>
      <c r="P531">
        <f t="shared" si="29"/>
        <v>0</v>
      </c>
      <c r="Q531">
        <f t="shared" si="30"/>
        <v>0</v>
      </c>
      <c r="R531">
        <f t="shared" si="31"/>
        <v>0</v>
      </c>
      <c r="S531">
        <f t="shared" si="32"/>
        <v>0</v>
      </c>
      <c r="T531">
        <f t="shared" si="33"/>
        <v>0</v>
      </c>
    </row>
    <row r="532" spans="1:20" x14ac:dyDescent="0.25">
      <c r="A532" s="5"/>
      <c r="C532"/>
      <c r="D532"/>
      <c r="P532">
        <f t="shared" si="29"/>
        <v>0</v>
      </c>
      <c r="Q532">
        <f t="shared" si="30"/>
        <v>0</v>
      </c>
      <c r="R532">
        <f t="shared" si="31"/>
        <v>0</v>
      </c>
      <c r="S532">
        <f t="shared" si="32"/>
        <v>0</v>
      </c>
      <c r="T532">
        <f t="shared" si="33"/>
        <v>0</v>
      </c>
    </row>
    <row r="533" spans="1:20" x14ac:dyDescent="0.25">
      <c r="A533" s="5"/>
      <c r="C533"/>
      <c r="D533"/>
      <c r="P533">
        <f t="shared" si="29"/>
        <v>0</v>
      </c>
      <c r="Q533">
        <f t="shared" si="30"/>
        <v>0</v>
      </c>
      <c r="R533">
        <f t="shared" si="31"/>
        <v>0</v>
      </c>
      <c r="S533">
        <f t="shared" si="32"/>
        <v>0</v>
      </c>
      <c r="T533">
        <f t="shared" si="33"/>
        <v>0</v>
      </c>
    </row>
    <row r="534" spans="1:20" x14ac:dyDescent="0.25">
      <c r="A534" s="5"/>
      <c r="C534"/>
      <c r="D534"/>
      <c r="P534">
        <f t="shared" si="29"/>
        <v>0</v>
      </c>
      <c r="Q534">
        <f t="shared" si="30"/>
        <v>0</v>
      </c>
      <c r="R534">
        <f t="shared" si="31"/>
        <v>0</v>
      </c>
      <c r="S534">
        <f t="shared" si="32"/>
        <v>0</v>
      </c>
      <c r="T534">
        <f t="shared" si="33"/>
        <v>0</v>
      </c>
    </row>
    <row r="535" spans="1:20" x14ac:dyDescent="0.25">
      <c r="A535" s="5"/>
      <c r="C535"/>
      <c r="D535"/>
      <c r="P535">
        <f t="shared" si="29"/>
        <v>0</v>
      </c>
      <c r="Q535">
        <f t="shared" si="30"/>
        <v>0</v>
      </c>
      <c r="R535">
        <f t="shared" si="31"/>
        <v>0</v>
      </c>
      <c r="S535">
        <f t="shared" si="32"/>
        <v>0</v>
      </c>
      <c r="T535">
        <f t="shared" si="33"/>
        <v>0</v>
      </c>
    </row>
    <row r="536" spans="1:20" x14ac:dyDescent="0.25">
      <c r="A536" s="5"/>
      <c r="C536"/>
      <c r="D536"/>
      <c r="P536">
        <f t="shared" si="29"/>
        <v>0</v>
      </c>
      <c r="Q536">
        <f t="shared" si="30"/>
        <v>0</v>
      </c>
      <c r="R536">
        <f t="shared" si="31"/>
        <v>0</v>
      </c>
      <c r="S536">
        <f t="shared" si="32"/>
        <v>0</v>
      </c>
      <c r="T536">
        <f t="shared" si="33"/>
        <v>0</v>
      </c>
    </row>
    <row r="537" spans="1:20" x14ac:dyDescent="0.25">
      <c r="A537" s="5"/>
      <c r="C537"/>
      <c r="D537"/>
      <c r="P537">
        <f t="shared" si="29"/>
        <v>0</v>
      </c>
      <c r="Q537">
        <f t="shared" si="30"/>
        <v>0</v>
      </c>
      <c r="R537">
        <f t="shared" si="31"/>
        <v>0</v>
      </c>
      <c r="S537">
        <f t="shared" si="32"/>
        <v>0</v>
      </c>
      <c r="T537">
        <f t="shared" si="33"/>
        <v>0</v>
      </c>
    </row>
    <row r="538" spans="1:20" x14ac:dyDescent="0.25">
      <c r="A538" s="5"/>
      <c r="C538"/>
      <c r="D538"/>
      <c r="P538">
        <f t="shared" si="29"/>
        <v>0</v>
      </c>
      <c r="Q538">
        <f t="shared" si="30"/>
        <v>0</v>
      </c>
      <c r="R538">
        <f t="shared" si="31"/>
        <v>0</v>
      </c>
      <c r="S538">
        <f t="shared" si="32"/>
        <v>0</v>
      </c>
      <c r="T538">
        <f t="shared" si="33"/>
        <v>0</v>
      </c>
    </row>
    <row r="539" spans="1:20" x14ac:dyDescent="0.25">
      <c r="A539" s="5"/>
      <c r="C539"/>
      <c r="D539"/>
      <c r="P539">
        <f t="shared" si="29"/>
        <v>0</v>
      </c>
      <c r="Q539">
        <f t="shared" si="30"/>
        <v>0</v>
      </c>
      <c r="R539">
        <f t="shared" si="31"/>
        <v>0</v>
      </c>
      <c r="S539">
        <f t="shared" si="32"/>
        <v>0</v>
      </c>
      <c r="T539">
        <f t="shared" si="33"/>
        <v>0</v>
      </c>
    </row>
    <row r="540" spans="1:20" x14ac:dyDescent="0.25">
      <c r="A540" s="5"/>
      <c r="C540"/>
      <c r="D540"/>
      <c r="P540">
        <f t="shared" si="29"/>
        <v>0</v>
      </c>
      <c r="Q540">
        <f t="shared" si="30"/>
        <v>0</v>
      </c>
      <c r="R540">
        <f t="shared" si="31"/>
        <v>0</v>
      </c>
      <c r="S540">
        <f t="shared" si="32"/>
        <v>0</v>
      </c>
      <c r="T540">
        <f t="shared" si="33"/>
        <v>0</v>
      </c>
    </row>
    <row r="541" spans="1:20" x14ac:dyDescent="0.25">
      <c r="A541" s="5"/>
      <c r="C541"/>
      <c r="D541"/>
      <c r="P541">
        <f t="shared" si="29"/>
        <v>0</v>
      </c>
      <c r="Q541">
        <f t="shared" si="30"/>
        <v>0</v>
      </c>
      <c r="R541">
        <f t="shared" si="31"/>
        <v>0</v>
      </c>
      <c r="S541">
        <f t="shared" si="32"/>
        <v>0</v>
      </c>
      <c r="T541">
        <f t="shared" si="33"/>
        <v>0</v>
      </c>
    </row>
    <row r="542" spans="1:20" x14ac:dyDescent="0.25">
      <c r="A542" s="5"/>
      <c r="C542"/>
      <c r="D542"/>
      <c r="P542">
        <f t="shared" si="29"/>
        <v>0</v>
      </c>
      <c r="Q542">
        <f t="shared" si="30"/>
        <v>0</v>
      </c>
      <c r="R542">
        <f t="shared" si="31"/>
        <v>0</v>
      </c>
      <c r="S542">
        <f t="shared" si="32"/>
        <v>0</v>
      </c>
      <c r="T542">
        <f t="shared" si="33"/>
        <v>0</v>
      </c>
    </row>
    <row r="543" spans="1:20" x14ac:dyDescent="0.25">
      <c r="A543" s="5"/>
      <c r="C543"/>
      <c r="D543"/>
      <c r="P543">
        <f t="shared" si="29"/>
        <v>0</v>
      </c>
      <c r="Q543">
        <f t="shared" si="30"/>
        <v>0</v>
      </c>
      <c r="R543">
        <f t="shared" si="31"/>
        <v>0</v>
      </c>
      <c r="S543">
        <f t="shared" si="32"/>
        <v>0</v>
      </c>
      <c r="T543">
        <f t="shared" si="33"/>
        <v>0</v>
      </c>
    </row>
    <row r="544" spans="1:20" x14ac:dyDescent="0.25">
      <c r="A544" s="5"/>
      <c r="C544"/>
      <c r="D544"/>
      <c r="P544">
        <f t="shared" si="29"/>
        <v>0</v>
      </c>
      <c r="Q544">
        <f t="shared" si="30"/>
        <v>0</v>
      </c>
      <c r="R544">
        <f t="shared" si="31"/>
        <v>0</v>
      </c>
      <c r="S544">
        <f t="shared" si="32"/>
        <v>0</v>
      </c>
      <c r="T544">
        <f t="shared" si="33"/>
        <v>0</v>
      </c>
    </row>
    <row r="545" spans="1:20" x14ac:dyDescent="0.25">
      <c r="A545" s="5"/>
      <c r="C545"/>
      <c r="D545"/>
      <c r="P545">
        <f t="shared" si="29"/>
        <v>0</v>
      </c>
      <c r="Q545">
        <f t="shared" si="30"/>
        <v>0</v>
      </c>
      <c r="R545">
        <f t="shared" si="31"/>
        <v>0</v>
      </c>
      <c r="S545">
        <f t="shared" si="32"/>
        <v>0</v>
      </c>
      <c r="T545">
        <f t="shared" si="33"/>
        <v>0</v>
      </c>
    </row>
    <row r="546" spans="1:20" x14ac:dyDescent="0.25">
      <c r="A546" s="5"/>
      <c r="C546"/>
      <c r="D546"/>
      <c r="P546">
        <f t="shared" si="29"/>
        <v>0</v>
      </c>
      <c r="Q546">
        <f t="shared" si="30"/>
        <v>0</v>
      </c>
      <c r="R546">
        <f t="shared" si="31"/>
        <v>0</v>
      </c>
      <c r="S546">
        <f t="shared" si="32"/>
        <v>0</v>
      </c>
      <c r="T546">
        <f t="shared" si="33"/>
        <v>0</v>
      </c>
    </row>
    <row r="547" spans="1:20" x14ac:dyDescent="0.25">
      <c r="A547" s="5"/>
      <c r="C547"/>
      <c r="D547"/>
      <c r="P547">
        <f t="shared" si="29"/>
        <v>0</v>
      </c>
      <c r="Q547">
        <f t="shared" si="30"/>
        <v>0</v>
      </c>
      <c r="R547">
        <f t="shared" si="31"/>
        <v>0</v>
      </c>
      <c r="S547">
        <f t="shared" si="32"/>
        <v>0</v>
      </c>
      <c r="T547">
        <f t="shared" si="33"/>
        <v>0</v>
      </c>
    </row>
    <row r="548" spans="1:20" x14ac:dyDescent="0.25">
      <c r="A548" s="5"/>
      <c r="C548"/>
      <c r="D548"/>
      <c r="P548">
        <f t="shared" si="29"/>
        <v>0</v>
      </c>
      <c r="Q548">
        <f t="shared" si="30"/>
        <v>0</v>
      </c>
      <c r="R548">
        <f t="shared" si="31"/>
        <v>0</v>
      </c>
      <c r="S548">
        <f t="shared" si="32"/>
        <v>0</v>
      </c>
      <c r="T548">
        <f t="shared" si="33"/>
        <v>0</v>
      </c>
    </row>
    <row r="549" spans="1:20" x14ac:dyDescent="0.25">
      <c r="A549" s="5"/>
      <c r="P549">
        <f t="shared" si="29"/>
        <v>0</v>
      </c>
      <c r="Q549">
        <f t="shared" si="30"/>
        <v>0</v>
      </c>
      <c r="R549">
        <f t="shared" si="31"/>
        <v>0</v>
      </c>
      <c r="S549">
        <f t="shared" si="32"/>
        <v>0</v>
      </c>
      <c r="T549">
        <f t="shared" si="33"/>
        <v>0</v>
      </c>
    </row>
    <row r="550" spans="1:20" x14ac:dyDescent="0.25">
      <c r="A550" s="5"/>
      <c r="P550">
        <f t="shared" si="29"/>
        <v>0</v>
      </c>
      <c r="Q550">
        <f t="shared" si="30"/>
        <v>0</v>
      </c>
      <c r="R550">
        <f t="shared" si="31"/>
        <v>0</v>
      </c>
      <c r="S550">
        <f t="shared" si="32"/>
        <v>0</v>
      </c>
      <c r="T550">
        <f t="shared" si="33"/>
        <v>0</v>
      </c>
    </row>
    <row r="551" spans="1:20" x14ac:dyDescent="0.25">
      <c r="A551" s="5"/>
      <c r="P551">
        <f t="shared" si="29"/>
        <v>0</v>
      </c>
      <c r="Q551">
        <f t="shared" si="30"/>
        <v>0</v>
      </c>
      <c r="R551">
        <f t="shared" si="31"/>
        <v>0</v>
      </c>
      <c r="S551">
        <f t="shared" si="32"/>
        <v>0</v>
      </c>
      <c r="T551">
        <f t="shared" si="33"/>
        <v>0</v>
      </c>
    </row>
    <row r="552" spans="1:20" x14ac:dyDescent="0.25">
      <c r="A552" s="5"/>
      <c r="P552">
        <f t="shared" si="29"/>
        <v>0</v>
      </c>
      <c r="Q552">
        <f t="shared" si="30"/>
        <v>0</v>
      </c>
      <c r="R552">
        <f t="shared" si="31"/>
        <v>0</v>
      </c>
      <c r="S552">
        <f t="shared" si="32"/>
        <v>0</v>
      </c>
      <c r="T552">
        <f t="shared" si="33"/>
        <v>0</v>
      </c>
    </row>
    <row r="553" spans="1:20" x14ac:dyDescent="0.25">
      <c r="A553" s="5"/>
      <c r="P553">
        <f t="shared" si="29"/>
        <v>0</v>
      </c>
      <c r="Q553">
        <f t="shared" si="30"/>
        <v>0</v>
      </c>
      <c r="R553">
        <f t="shared" si="31"/>
        <v>0</v>
      </c>
      <c r="S553">
        <f t="shared" si="32"/>
        <v>0</v>
      </c>
      <c r="T553">
        <f t="shared" si="33"/>
        <v>0</v>
      </c>
    </row>
    <row r="554" spans="1:20" x14ac:dyDescent="0.25">
      <c r="A554" s="5"/>
      <c r="P554">
        <f t="shared" si="29"/>
        <v>0</v>
      </c>
      <c r="Q554">
        <f t="shared" si="30"/>
        <v>0</v>
      </c>
      <c r="R554">
        <f t="shared" si="31"/>
        <v>0</v>
      </c>
      <c r="S554">
        <f t="shared" si="32"/>
        <v>0</v>
      </c>
      <c r="T554">
        <f t="shared" si="33"/>
        <v>0</v>
      </c>
    </row>
    <row r="555" spans="1:20" x14ac:dyDescent="0.25">
      <c r="A555" s="5"/>
      <c r="P555">
        <f t="shared" si="29"/>
        <v>0</v>
      </c>
      <c r="Q555">
        <f t="shared" si="30"/>
        <v>0</v>
      </c>
      <c r="R555">
        <f t="shared" si="31"/>
        <v>0</v>
      </c>
      <c r="S555">
        <f t="shared" si="32"/>
        <v>0</v>
      </c>
      <c r="T555">
        <f t="shared" si="33"/>
        <v>0</v>
      </c>
    </row>
    <row r="556" spans="1:20" x14ac:dyDescent="0.25">
      <c r="A556" s="5"/>
      <c r="P556">
        <f t="shared" si="29"/>
        <v>0</v>
      </c>
      <c r="Q556">
        <f t="shared" si="30"/>
        <v>0</v>
      </c>
      <c r="R556">
        <f t="shared" si="31"/>
        <v>0</v>
      </c>
      <c r="S556">
        <f t="shared" si="32"/>
        <v>0</v>
      </c>
      <c r="T556">
        <f t="shared" si="33"/>
        <v>0</v>
      </c>
    </row>
    <row r="557" spans="1:20" x14ac:dyDescent="0.25">
      <c r="A557" s="5"/>
      <c r="P557">
        <f t="shared" si="29"/>
        <v>0</v>
      </c>
      <c r="Q557">
        <f t="shared" si="30"/>
        <v>0</v>
      </c>
      <c r="R557">
        <f t="shared" si="31"/>
        <v>0</v>
      </c>
      <c r="S557">
        <f t="shared" si="32"/>
        <v>0</v>
      </c>
      <c r="T557">
        <f t="shared" si="33"/>
        <v>0</v>
      </c>
    </row>
    <row r="558" spans="1:20" x14ac:dyDescent="0.25">
      <c r="A558" s="5"/>
      <c r="P558">
        <f t="shared" si="29"/>
        <v>0</v>
      </c>
      <c r="Q558">
        <f t="shared" si="30"/>
        <v>0</v>
      </c>
      <c r="R558">
        <f t="shared" si="31"/>
        <v>0</v>
      </c>
      <c r="S558">
        <f t="shared" si="32"/>
        <v>0</v>
      </c>
      <c r="T558">
        <f t="shared" si="33"/>
        <v>0</v>
      </c>
    </row>
    <row r="559" spans="1:20" x14ac:dyDescent="0.25">
      <c r="A559" s="5"/>
      <c r="P559">
        <f t="shared" si="29"/>
        <v>0</v>
      </c>
      <c r="Q559">
        <f t="shared" si="30"/>
        <v>0</v>
      </c>
      <c r="R559">
        <f t="shared" si="31"/>
        <v>0</v>
      </c>
      <c r="S559">
        <f t="shared" si="32"/>
        <v>0</v>
      </c>
      <c r="T559">
        <f t="shared" si="33"/>
        <v>0</v>
      </c>
    </row>
    <row r="560" spans="1:20" x14ac:dyDescent="0.25">
      <c r="A560" s="5"/>
      <c r="P560">
        <f t="shared" si="29"/>
        <v>0</v>
      </c>
      <c r="Q560">
        <f t="shared" si="30"/>
        <v>0</v>
      </c>
      <c r="R560">
        <f t="shared" si="31"/>
        <v>0</v>
      </c>
      <c r="S560">
        <f t="shared" si="32"/>
        <v>0</v>
      </c>
      <c r="T560">
        <f t="shared" si="33"/>
        <v>0</v>
      </c>
    </row>
    <row r="561" spans="1:104" x14ac:dyDescent="0.25">
      <c r="A561" s="5"/>
      <c r="P561">
        <f t="shared" si="29"/>
        <v>0</v>
      </c>
      <c r="Q561">
        <f t="shared" si="30"/>
        <v>0</v>
      </c>
      <c r="R561">
        <f t="shared" si="31"/>
        <v>0</v>
      </c>
      <c r="S561">
        <f t="shared" si="32"/>
        <v>0</v>
      </c>
      <c r="T561">
        <f t="shared" si="33"/>
        <v>0</v>
      </c>
      <c r="CZ561" t="s">
        <v>7</v>
      </c>
    </row>
    <row r="562" spans="1:104" x14ac:dyDescent="0.25">
      <c r="A562" s="5"/>
      <c r="P562">
        <f t="shared" si="29"/>
        <v>0</v>
      </c>
      <c r="Q562">
        <f t="shared" si="30"/>
        <v>0</v>
      </c>
      <c r="R562">
        <f t="shared" si="31"/>
        <v>0</v>
      </c>
      <c r="S562">
        <f t="shared" si="32"/>
        <v>0</v>
      </c>
      <c r="T562">
        <f t="shared" si="33"/>
        <v>0</v>
      </c>
      <c r="CZ562" t="s">
        <v>7</v>
      </c>
    </row>
    <row r="563" spans="1:104" x14ac:dyDescent="0.25">
      <c r="A563" s="5"/>
      <c r="P563">
        <f t="shared" si="29"/>
        <v>0</v>
      </c>
      <c r="Q563">
        <f t="shared" si="30"/>
        <v>0</v>
      </c>
      <c r="R563">
        <f t="shared" si="31"/>
        <v>0</v>
      </c>
      <c r="S563">
        <f t="shared" si="32"/>
        <v>0</v>
      </c>
      <c r="T563">
        <f t="shared" si="33"/>
        <v>0</v>
      </c>
      <c r="CZ563" t="s">
        <v>7</v>
      </c>
    </row>
    <row r="564" spans="1:104" x14ac:dyDescent="0.25">
      <c r="A564" s="5"/>
      <c r="P564">
        <f t="shared" si="29"/>
        <v>0</v>
      </c>
      <c r="Q564">
        <f t="shared" si="30"/>
        <v>0</v>
      </c>
      <c r="R564">
        <f t="shared" si="31"/>
        <v>0</v>
      </c>
      <c r="S564">
        <f t="shared" si="32"/>
        <v>0</v>
      </c>
      <c r="T564">
        <f t="shared" si="33"/>
        <v>0</v>
      </c>
    </row>
    <row r="565" spans="1:104" x14ac:dyDescent="0.25">
      <c r="A565" s="5"/>
      <c r="C565"/>
      <c r="D565"/>
      <c r="P565">
        <f t="shared" si="29"/>
        <v>0</v>
      </c>
      <c r="Q565">
        <f t="shared" si="30"/>
        <v>0</v>
      </c>
      <c r="R565">
        <f t="shared" si="31"/>
        <v>0</v>
      </c>
      <c r="S565">
        <f t="shared" si="32"/>
        <v>0</v>
      </c>
      <c r="T565">
        <f t="shared" si="33"/>
        <v>0</v>
      </c>
    </row>
    <row r="566" spans="1:104" x14ac:dyDescent="0.25">
      <c r="A566" s="5"/>
      <c r="C566"/>
      <c r="D566"/>
      <c r="P566">
        <f t="shared" si="29"/>
        <v>0</v>
      </c>
      <c r="Q566">
        <f t="shared" si="30"/>
        <v>0</v>
      </c>
      <c r="R566">
        <f t="shared" si="31"/>
        <v>0</v>
      </c>
      <c r="S566">
        <f t="shared" si="32"/>
        <v>0</v>
      </c>
      <c r="T566">
        <f t="shared" si="33"/>
        <v>0</v>
      </c>
    </row>
    <row r="567" spans="1:104" x14ac:dyDescent="0.25">
      <c r="A567" s="5"/>
      <c r="C567"/>
      <c r="D567"/>
      <c r="P567">
        <f t="shared" si="29"/>
        <v>0</v>
      </c>
      <c r="Q567">
        <f t="shared" si="30"/>
        <v>0</v>
      </c>
      <c r="R567">
        <f t="shared" si="31"/>
        <v>0</v>
      </c>
      <c r="S567">
        <f t="shared" si="32"/>
        <v>0</v>
      </c>
      <c r="T567">
        <f t="shared" si="33"/>
        <v>0</v>
      </c>
    </row>
    <row r="568" spans="1:104" x14ac:dyDescent="0.25">
      <c r="A568" s="5"/>
      <c r="C568"/>
      <c r="D568"/>
      <c r="P568">
        <f t="shared" si="29"/>
        <v>0</v>
      </c>
      <c r="Q568">
        <f t="shared" si="30"/>
        <v>0</v>
      </c>
      <c r="R568">
        <f t="shared" si="31"/>
        <v>0</v>
      </c>
      <c r="S568">
        <f t="shared" si="32"/>
        <v>0</v>
      </c>
      <c r="T568">
        <f t="shared" si="33"/>
        <v>0</v>
      </c>
    </row>
    <row r="569" spans="1:104" x14ac:dyDescent="0.25">
      <c r="A569" s="5"/>
      <c r="C569"/>
      <c r="D569"/>
      <c r="P569">
        <f t="shared" si="29"/>
        <v>0</v>
      </c>
      <c r="Q569">
        <f t="shared" si="30"/>
        <v>0</v>
      </c>
      <c r="R569">
        <f t="shared" si="31"/>
        <v>0</v>
      </c>
      <c r="S569">
        <f t="shared" si="32"/>
        <v>0</v>
      </c>
      <c r="T569">
        <f t="shared" si="33"/>
        <v>0</v>
      </c>
    </row>
    <row r="570" spans="1:104" x14ac:dyDescent="0.25">
      <c r="A570" s="5"/>
      <c r="C570"/>
      <c r="D570"/>
      <c r="P570">
        <f t="shared" si="29"/>
        <v>0</v>
      </c>
      <c r="Q570">
        <f t="shared" si="30"/>
        <v>0</v>
      </c>
      <c r="R570">
        <f t="shared" si="31"/>
        <v>0</v>
      </c>
      <c r="S570">
        <f t="shared" si="32"/>
        <v>0</v>
      </c>
      <c r="T570">
        <f t="shared" si="33"/>
        <v>0</v>
      </c>
    </row>
    <row r="571" spans="1:104" x14ac:dyDescent="0.25">
      <c r="A571" s="5"/>
      <c r="C571"/>
      <c r="D571"/>
      <c r="P571">
        <f t="shared" si="29"/>
        <v>0</v>
      </c>
      <c r="Q571">
        <f t="shared" si="30"/>
        <v>0</v>
      </c>
      <c r="R571">
        <f t="shared" si="31"/>
        <v>0</v>
      </c>
      <c r="S571">
        <f t="shared" si="32"/>
        <v>0</v>
      </c>
      <c r="T571">
        <f t="shared" si="33"/>
        <v>0</v>
      </c>
    </row>
    <row r="572" spans="1:104" x14ac:dyDescent="0.25">
      <c r="A572" s="5"/>
      <c r="C572"/>
      <c r="D572"/>
      <c r="P572">
        <f t="shared" si="29"/>
        <v>0</v>
      </c>
      <c r="Q572">
        <f t="shared" si="30"/>
        <v>0</v>
      </c>
      <c r="R572">
        <f t="shared" si="31"/>
        <v>0</v>
      </c>
      <c r="S572">
        <f t="shared" si="32"/>
        <v>0</v>
      </c>
      <c r="T572">
        <f t="shared" si="33"/>
        <v>0</v>
      </c>
    </row>
    <row r="573" spans="1:104" x14ac:dyDescent="0.25">
      <c r="A573" s="5"/>
      <c r="C573"/>
      <c r="D573"/>
      <c r="P573">
        <f t="shared" si="29"/>
        <v>0</v>
      </c>
      <c r="Q573">
        <f t="shared" si="30"/>
        <v>0</v>
      </c>
      <c r="R573">
        <f t="shared" si="31"/>
        <v>0</v>
      </c>
      <c r="S573">
        <f t="shared" si="32"/>
        <v>0</v>
      </c>
      <c r="T573">
        <f t="shared" si="33"/>
        <v>0</v>
      </c>
    </row>
    <row r="574" spans="1:104" x14ac:dyDescent="0.25">
      <c r="A574" s="5"/>
      <c r="C574"/>
      <c r="D574"/>
      <c r="P574">
        <f t="shared" si="29"/>
        <v>0</v>
      </c>
      <c r="Q574">
        <f t="shared" si="30"/>
        <v>0</v>
      </c>
      <c r="R574">
        <f t="shared" si="31"/>
        <v>0</v>
      </c>
      <c r="S574">
        <f t="shared" si="32"/>
        <v>0</v>
      </c>
      <c r="T574">
        <f t="shared" si="33"/>
        <v>0</v>
      </c>
    </row>
    <row r="575" spans="1:104" x14ac:dyDescent="0.25">
      <c r="A575" s="5"/>
      <c r="C575"/>
      <c r="D575"/>
      <c r="P575">
        <f t="shared" si="29"/>
        <v>0</v>
      </c>
      <c r="Q575">
        <f t="shared" si="30"/>
        <v>0</v>
      </c>
      <c r="R575">
        <f t="shared" si="31"/>
        <v>0</v>
      </c>
      <c r="S575">
        <f t="shared" si="32"/>
        <v>0</v>
      </c>
      <c r="T575">
        <f t="shared" si="33"/>
        <v>0</v>
      </c>
    </row>
    <row r="576" spans="1:104" x14ac:dyDescent="0.25">
      <c r="A576" s="5"/>
      <c r="C576"/>
      <c r="D576"/>
      <c r="P576">
        <f t="shared" si="29"/>
        <v>0</v>
      </c>
      <c r="Q576">
        <f t="shared" si="30"/>
        <v>0</v>
      </c>
      <c r="R576">
        <f t="shared" si="31"/>
        <v>0</v>
      </c>
      <c r="S576">
        <f t="shared" si="32"/>
        <v>0</v>
      </c>
      <c r="T576">
        <f t="shared" si="33"/>
        <v>0</v>
      </c>
    </row>
    <row r="577" spans="1:20" x14ac:dyDescent="0.25">
      <c r="A577" s="5"/>
      <c r="C577"/>
      <c r="D577"/>
      <c r="P577">
        <f t="shared" si="29"/>
        <v>0</v>
      </c>
      <c r="Q577">
        <f t="shared" si="30"/>
        <v>0</v>
      </c>
      <c r="R577">
        <f t="shared" si="31"/>
        <v>0</v>
      </c>
      <c r="S577">
        <f t="shared" si="32"/>
        <v>0</v>
      </c>
      <c r="T577">
        <f t="shared" si="33"/>
        <v>0</v>
      </c>
    </row>
    <row r="578" spans="1:20" x14ac:dyDescent="0.25">
      <c r="A578" s="5"/>
      <c r="C578"/>
      <c r="D578"/>
      <c r="P578">
        <f t="shared" si="29"/>
        <v>0</v>
      </c>
      <c r="Q578">
        <f t="shared" si="30"/>
        <v>0</v>
      </c>
      <c r="R578">
        <f t="shared" si="31"/>
        <v>0</v>
      </c>
      <c r="S578">
        <f t="shared" si="32"/>
        <v>0</v>
      </c>
      <c r="T578">
        <f t="shared" si="33"/>
        <v>0</v>
      </c>
    </row>
    <row r="579" spans="1:20" x14ac:dyDescent="0.25">
      <c r="A579" s="5"/>
      <c r="C579"/>
      <c r="D579"/>
      <c r="P579">
        <f t="shared" si="29"/>
        <v>0</v>
      </c>
      <c r="Q579">
        <f t="shared" si="30"/>
        <v>0</v>
      </c>
      <c r="R579">
        <f t="shared" si="31"/>
        <v>0</v>
      </c>
      <c r="S579">
        <f t="shared" si="32"/>
        <v>0</v>
      </c>
      <c r="T579">
        <f t="shared" si="33"/>
        <v>0</v>
      </c>
    </row>
    <row r="580" spans="1:20" x14ac:dyDescent="0.25">
      <c r="A580" s="5"/>
      <c r="C580"/>
      <c r="D580"/>
      <c r="P580">
        <f t="shared" si="29"/>
        <v>0</v>
      </c>
      <c r="Q580">
        <f t="shared" si="30"/>
        <v>0</v>
      </c>
      <c r="R580">
        <f t="shared" si="31"/>
        <v>0</v>
      </c>
      <c r="S580">
        <f t="shared" si="32"/>
        <v>0</v>
      </c>
      <c r="T580">
        <f t="shared" si="33"/>
        <v>0</v>
      </c>
    </row>
    <row r="581" spans="1:20" x14ac:dyDescent="0.25">
      <c r="A581" s="5"/>
      <c r="C581"/>
      <c r="D581"/>
      <c r="P581">
        <f t="shared" si="29"/>
        <v>0</v>
      </c>
      <c r="Q581">
        <f t="shared" si="30"/>
        <v>0</v>
      </c>
      <c r="R581">
        <f t="shared" si="31"/>
        <v>0</v>
      </c>
      <c r="S581">
        <f t="shared" si="32"/>
        <v>0</v>
      </c>
      <c r="T581">
        <f t="shared" si="33"/>
        <v>0</v>
      </c>
    </row>
    <row r="582" spans="1:20" x14ac:dyDescent="0.25">
      <c r="A582" s="5"/>
      <c r="C582"/>
      <c r="D582"/>
      <c r="P582">
        <f t="shared" ref="P582:P645" si="34">IF(C582=D582,0,((E582-D582)-(C582-E582))/(C582-D582))</f>
        <v>0</v>
      </c>
      <c r="Q582">
        <f t="shared" ref="Q582:Q645" si="35">F582*P582</f>
        <v>0</v>
      </c>
      <c r="R582">
        <f t="shared" ref="R582:R645" si="36">R583+Q582</f>
        <v>0</v>
      </c>
      <c r="S582">
        <f t="shared" ref="S582:S645" si="37">R582/100000</f>
        <v>0</v>
      </c>
      <c r="T582">
        <f t="shared" ref="T582:T645" si="38">S582/1000</f>
        <v>0</v>
      </c>
    </row>
    <row r="583" spans="1:20" x14ac:dyDescent="0.25">
      <c r="A583" s="5"/>
      <c r="C583"/>
      <c r="D583"/>
      <c r="P583">
        <f t="shared" si="34"/>
        <v>0</v>
      </c>
      <c r="Q583">
        <f t="shared" si="35"/>
        <v>0</v>
      </c>
      <c r="R583">
        <f t="shared" si="36"/>
        <v>0</v>
      </c>
      <c r="S583">
        <f t="shared" si="37"/>
        <v>0</v>
      </c>
      <c r="T583">
        <f t="shared" si="38"/>
        <v>0</v>
      </c>
    </row>
    <row r="584" spans="1:20" x14ac:dyDescent="0.25">
      <c r="A584" s="5"/>
      <c r="C584"/>
      <c r="D584"/>
      <c r="P584">
        <f t="shared" si="34"/>
        <v>0</v>
      </c>
      <c r="Q584">
        <f t="shared" si="35"/>
        <v>0</v>
      </c>
      <c r="R584">
        <f t="shared" si="36"/>
        <v>0</v>
      </c>
      <c r="S584">
        <f t="shared" si="37"/>
        <v>0</v>
      </c>
      <c r="T584">
        <f t="shared" si="38"/>
        <v>0</v>
      </c>
    </row>
    <row r="585" spans="1:20" x14ac:dyDescent="0.25">
      <c r="A585" s="5"/>
      <c r="C585"/>
      <c r="D585"/>
      <c r="P585">
        <f t="shared" si="34"/>
        <v>0</v>
      </c>
      <c r="Q585">
        <f t="shared" si="35"/>
        <v>0</v>
      </c>
      <c r="R585">
        <f t="shared" si="36"/>
        <v>0</v>
      </c>
      <c r="S585">
        <f t="shared" si="37"/>
        <v>0</v>
      </c>
      <c r="T585">
        <f t="shared" si="38"/>
        <v>0</v>
      </c>
    </row>
    <row r="586" spans="1:20" x14ac:dyDescent="0.25">
      <c r="A586" s="5"/>
      <c r="C586"/>
      <c r="D586"/>
      <c r="P586">
        <f t="shared" si="34"/>
        <v>0</v>
      </c>
      <c r="Q586">
        <f t="shared" si="35"/>
        <v>0</v>
      </c>
      <c r="R586">
        <f t="shared" si="36"/>
        <v>0</v>
      </c>
      <c r="S586">
        <f t="shared" si="37"/>
        <v>0</v>
      </c>
      <c r="T586">
        <f t="shared" si="38"/>
        <v>0</v>
      </c>
    </row>
    <row r="587" spans="1:20" x14ac:dyDescent="0.25">
      <c r="A587" s="5"/>
      <c r="C587"/>
      <c r="D587"/>
      <c r="P587">
        <f t="shared" si="34"/>
        <v>0</v>
      </c>
      <c r="Q587">
        <f t="shared" si="35"/>
        <v>0</v>
      </c>
      <c r="R587">
        <f t="shared" si="36"/>
        <v>0</v>
      </c>
      <c r="S587">
        <f t="shared" si="37"/>
        <v>0</v>
      </c>
      <c r="T587">
        <f t="shared" si="38"/>
        <v>0</v>
      </c>
    </row>
    <row r="588" spans="1:20" x14ac:dyDescent="0.25">
      <c r="A588" s="5"/>
      <c r="C588"/>
      <c r="D588"/>
      <c r="P588">
        <f t="shared" si="34"/>
        <v>0</v>
      </c>
      <c r="Q588">
        <f t="shared" si="35"/>
        <v>0</v>
      </c>
      <c r="R588">
        <f t="shared" si="36"/>
        <v>0</v>
      </c>
      <c r="S588">
        <f t="shared" si="37"/>
        <v>0</v>
      </c>
      <c r="T588">
        <f t="shared" si="38"/>
        <v>0</v>
      </c>
    </row>
    <row r="589" spans="1:20" x14ac:dyDescent="0.25">
      <c r="A589" s="5"/>
      <c r="C589"/>
      <c r="D589"/>
      <c r="P589">
        <f t="shared" si="34"/>
        <v>0</v>
      </c>
      <c r="Q589">
        <f t="shared" si="35"/>
        <v>0</v>
      </c>
      <c r="R589">
        <f t="shared" si="36"/>
        <v>0</v>
      </c>
      <c r="S589">
        <f t="shared" si="37"/>
        <v>0</v>
      </c>
      <c r="T589">
        <f t="shared" si="38"/>
        <v>0</v>
      </c>
    </row>
    <row r="590" spans="1:20" x14ac:dyDescent="0.25">
      <c r="A590" s="5"/>
      <c r="C590"/>
      <c r="D590"/>
      <c r="P590">
        <f t="shared" si="34"/>
        <v>0</v>
      </c>
      <c r="Q590">
        <f t="shared" si="35"/>
        <v>0</v>
      </c>
      <c r="R590">
        <f t="shared" si="36"/>
        <v>0</v>
      </c>
      <c r="S590">
        <f t="shared" si="37"/>
        <v>0</v>
      </c>
      <c r="T590">
        <f t="shared" si="38"/>
        <v>0</v>
      </c>
    </row>
    <row r="591" spans="1:20" x14ac:dyDescent="0.25">
      <c r="A591" s="5"/>
      <c r="C591"/>
      <c r="D591"/>
      <c r="P591">
        <f t="shared" si="34"/>
        <v>0</v>
      </c>
      <c r="Q591">
        <f t="shared" si="35"/>
        <v>0</v>
      </c>
      <c r="R591">
        <f t="shared" si="36"/>
        <v>0</v>
      </c>
      <c r="S591">
        <f t="shared" si="37"/>
        <v>0</v>
      </c>
      <c r="T591">
        <f t="shared" si="38"/>
        <v>0</v>
      </c>
    </row>
    <row r="592" spans="1:20" x14ac:dyDescent="0.25">
      <c r="A592" s="5"/>
      <c r="C592"/>
      <c r="D592"/>
      <c r="P592">
        <f t="shared" si="34"/>
        <v>0</v>
      </c>
      <c r="Q592">
        <f t="shared" si="35"/>
        <v>0</v>
      </c>
      <c r="R592">
        <f t="shared" si="36"/>
        <v>0</v>
      </c>
      <c r="S592">
        <f t="shared" si="37"/>
        <v>0</v>
      </c>
      <c r="T592">
        <f t="shared" si="38"/>
        <v>0</v>
      </c>
    </row>
    <row r="593" spans="1:20" x14ac:dyDescent="0.25">
      <c r="A593" s="5"/>
      <c r="C593"/>
      <c r="D593"/>
      <c r="P593">
        <f t="shared" si="34"/>
        <v>0</v>
      </c>
      <c r="Q593">
        <f t="shared" si="35"/>
        <v>0</v>
      </c>
      <c r="R593">
        <f t="shared" si="36"/>
        <v>0</v>
      </c>
      <c r="S593">
        <f t="shared" si="37"/>
        <v>0</v>
      </c>
      <c r="T593">
        <f t="shared" si="38"/>
        <v>0</v>
      </c>
    </row>
    <row r="594" spans="1:20" x14ac:dyDescent="0.25">
      <c r="A594" s="5"/>
      <c r="C594"/>
      <c r="D594"/>
      <c r="P594">
        <f t="shared" si="34"/>
        <v>0</v>
      </c>
      <c r="Q594">
        <f t="shared" si="35"/>
        <v>0</v>
      </c>
      <c r="R594">
        <f t="shared" si="36"/>
        <v>0</v>
      </c>
      <c r="S594">
        <f t="shared" si="37"/>
        <v>0</v>
      </c>
      <c r="T594">
        <f t="shared" si="38"/>
        <v>0</v>
      </c>
    </row>
    <row r="595" spans="1:20" x14ac:dyDescent="0.25">
      <c r="A595" s="5"/>
      <c r="C595"/>
      <c r="D595"/>
      <c r="P595">
        <f t="shared" si="34"/>
        <v>0</v>
      </c>
      <c r="Q595">
        <f t="shared" si="35"/>
        <v>0</v>
      </c>
      <c r="R595">
        <f t="shared" si="36"/>
        <v>0</v>
      </c>
      <c r="S595">
        <f t="shared" si="37"/>
        <v>0</v>
      </c>
      <c r="T595">
        <f t="shared" si="38"/>
        <v>0</v>
      </c>
    </row>
    <row r="596" spans="1:20" x14ac:dyDescent="0.25">
      <c r="A596" s="5"/>
      <c r="C596"/>
      <c r="D596"/>
      <c r="P596">
        <f t="shared" si="34"/>
        <v>0</v>
      </c>
      <c r="Q596">
        <f t="shared" si="35"/>
        <v>0</v>
      </c>
      <c r="R596">
        <f t="shared" si="36"/>
        <v>0</v>
      </c>
      <c r="S596">
        <f t="shared" si="37"/>
        <v>0</v>
      </c>
      <c r="T596">
        <f t="shared" si="38"/>
        <v>0</v>
      </c>
    </row>
    <row r="597" spans="1:20" x14ac:dyDescent="0.25">
      <c r="A597" s="5"/>
      <c r="C597"/>
      <c r="D597"/>
      <c r="P597">
        <f t="shared" si="34"/>
        <v>0</v>
      </c>
      <c r="Q597">
        <f t="shared" si="35"/>
        <v>0</v>
      </c>
      <c r="R597">
        <f t="shared" si="36"/>
        <v>0</v>
      </c>
      <c r="S597">
        <f t="shared" si="37"/>
        <v>0</v>
      </c>
      <c r="T597">
        <f t="shared" si="38"/>
        <v>0</v>
      </c>
    </row>
    <row r="598" spans="1:20" x14ac:dyDescent="0.25">
      <c r="A598" s="5"/>
      <c r="C598"/>
      <c r="D598"/>
      <c r="P598">
        <f t="shared" si="34"/>
        <v>0</v>
      </c>
      <c r="Q598">
        <f t="shared" si="35"/>
        <v>0</v>
      </c>
      <c r="R598">
        <f t="shared" si="36"/>
        <v>0</v>
      </c>
      <c r="S598">
        <f t="shared" si="37"/>
        <v>0</v>
      </c>
      <c r="T598">
        <f t="shared" si="38"/>
        <v>0</v>
      </c>
    </row>
    <row r="599" spans="1:20" x14ac:dyDescent="0.25">
      <c r="A599" s="5"/>
      <c r="C599"/>
      <c r="D599"/>
      <c r="P599">
        <f t="shared" si="34"/>
        <v>0</v>
      </c>
      <c r="Q599">
        <f t="shared" si="35"/>
        <v>0</v>
      </c>
      <c r="R599">
        <f t="shared" si="36"/>
        <v>0</v>
      </c>
      <c r="S599">
        <f t="shared" si="37"/>
        <v>0</v>
      </c>
      <c r="T599">
        <f t="shared" si="38"/>
        <v>0</v>
      </c>
    </row>
    <row r="600" spans="1:20" x14ac:dyDescent="0.25">
      <c r="A600" s="5"/>
      <c r="C600"/>
      <c r="D600"/>
      <c r="P600">
        <f t="shared" si="34"/>
        <v>0</v>
      </c>
      <c r="Q600">
        <f t="shared" si="35"/>
        <v>0</v>
      </c>
      <c r="R600">
        <f t="shared" si="36"/>
        <v>0</v>
      </c>
      <c r="S600">
        <f t="shared" si="37"/>
        <v>0</v>
      </c>
      <c r="T600">
        <f t="shared" si="38"/>
        <v>0</v>
      </c>
    </row>
    <row r="601" spans="1:20" x14ac:dyDescent="0.25">
      <c r="A601" s="5"/>
      <c r="C601"/>
      <c r="D601"/>
      <c r="P601">
        <f t="shared" si="34"/>
        <v>0</v>
      </c>
      <c r="Q601">
        <f t="shared" si="35"/>
        <v>0</v>
      </c>
      <c r="R601">
        <f t="shared" si="36"/>
        <v>0</v>
      </c>
      <c r="S601">
        <f t="shared" si="37"/>
        <v>0</v>
      </c>
      <c r="T601">
        <f t="shared" si="38"/>
        <v>0</v>
      </c>
    </row>
    <row r="602" spans="1:20" x14ac:dyDescent="0.25">
      <c r="A602" s="5"/>
      <c r="C602"/>
      <c r="D602"/>
      <c r="P602">
        <f t="shared" si="34"/>
        <v>0</v>
      </c>
      <c r="Q602">
        <f t="shared" si="35"/>
        <v>0</v>
      </c>
      <c r="R602">
        <f t="shared" si="36"/>
        <v>0</v>
      </c>
      <c r="S602">
        <f t="shared" si="37"/>
        <v>0</v>
      </c>
      <c r="T602">
        <f t="shared" si="38"/>
        <v>0</v>
      </c>
    </row>
    <row r="603" spans="1:20" x14ac:dyDescent="0.25">
      <c r="A603" s="5"/>
      <c r="C603"/>
      <c r="D603"/>
      <c r="P603">
        <f t="shared" si="34"/>
        <v>0</v>
      </c>
      <c r="Q603">
        <f t="shared" si="35"/>
        <v>0</v>
      </c>
      <c r="R603">
        <f t="shared" si="36"/>
        <v>0</v>
      </c>
      <c r="S603">
        <f t="shared" si="37"/>
        <v>0</v>
      </c>
      <c r="T603">
        <f t="shared" si="38"/>
        <v>0</v>
      </c>
    </row>
    <row r="604" spans="1:20" x14ac:dyDescent="0.25">
      <c r="A604" s="5"/>
      <c r="C604"/>
      <c r="D604"/>
      <c r="P604">
        <f t="shared" si="34"/>
        <v>0</v>
      </c>
      <c r="Q604">
        <f t="shared" si="35"/>
        <v>0</v>
      </c>
      <c r="R604">
        <f t="shared" si="36"/>
        <v>0</v>
      </c>
      <c r="S604">
        <f t="shared" si="37"/>
        <v>0</v>
      </c>
      <c r="T604">
        <f t="shared" si="38"/>
        <v>0</v>
      </c>
    </row>
    <row r="605" spans="1:20" x14ac:dyDescent="0.25">
      <c r="A605" s="5"/>
      <c r="C605"/>
      <c r="D605"/>
      <c r="P605">
        <f t="shared" si="34"/>
        <v>0</v>
      </c>
      <c r="Q605">
        <f t="shared" si="35"/>
        <v>0</v>
      </c>
      <c r="R605">
        <f t="shared" si="36"/>
        <v>0</v>
      </c>
      <c r="S605">
        <f t="shared" si="37"/>
        <v>0</v>
      </c>
      <c r="T605">
        <f t="shared" si="38"/>
        <v>0</v>
      </c>
    </row>
    <row r="606" spans="1:20" x14ac:dyDescent="0.25">
      <c r="A606" s="5"/>
      <c r="C606"/>
      <c r="D606"/>
      <c r="P606">
        <f t="shared" si="34"/>
        <v>0</v>
      </c>
      <c r="Q606">
        <f t="shared" si="35"/>
        <v>0</v>
      </c>
      <c r="R606">
        <f t="shared" si="36"/>
        <v>0</v>
      </c>
      <c r="S606">
        <f t="shared" si="37"/>
        <v>0</v>
      </c>
      <c r="T606">
        <f t="shared" si="38"/>
        <v>0</v>
      </c>
    </row>
    <row r="607" spans="1:20" x14ac:dyDescent="0.25">
      <c r="A607" s="5"/>
      <c r="C607"/>
      <c r="D607"/>
      <c r="P607">
        <f t="shared" si="34"/>
        <v>0</v>
      </c>
      <c r="Q607">
        <f t="shared" si="35"/>
        <v>0</v>
      </c>
      <c r="R607">
        <f t="shared" si="36"/>
        <v>0</v>
      </c>
      <c r="S607">
        <f t="shared" si="37"/>
        <v>0</v>
      </c>
      <c r="T607">
        <f t="shared" si="38"/>
        <v>0</v>
      </c>
    </row>
    <row r="608" spans="1:20" x14ac:dyDescent="0.25">
      <c r="A608" s="5"/>
      <c r="C608"/>
      <c r="D608"/>
      <c r="P608">
        <f t="shared" si="34"/>
        <v>0</v>
      </c>
      <c r="Q608">
        <f t="shared" si="35"/>
        <v>0</v>
      </c>
      <c r="R608">
        <f t="shared" si="36"/>
        <v>0</v>
      </c>
      <c r="S608">
        <f t="shared" si="37"/>
        <v>0</v>
      </c>
      <c r="T608">
        <f t="shared" si="38"/>
        <v>0</v>
      </c>
    </row>
    <row r="609" spans="1:20" x14ac:dyDescent="0.25">
      <c r="A609" s="5"/>
      <c r="C609"/>
      <c r="D609"/>
      <c r="P609">
        <f t="shared" si="34"/>
        <v>0</v>
      </c>
      <c r="Q609">
        <f t="shared" si="35"/>
        <v>0</v>
      </c>
      <c r="R609">
        <f t="shared" si="36"/>
        <v>0</v>
      </c>
      <c r="S609">
        <f t="shared" si="37"/>
        <v>0</v>
      </c>
      <c r="T609">
        <f t="shared" si="38"/>
        <v>0</v>
      </c>
    </row>
    <row r="610" spans="1:20" x14ac:dyDescent="0.25">
      <c r="A610" s="5"/>
      <c r="C610"/>
      <c r="D610"/>
      <c r="P610">
        <f t="shared" si="34"/>
        <v>0</v>
      </c>
      <c r="Q610">
        <f t="shared" si="35"/>
        <v>0</v>
      </c>
      <c r="R610">
        <f t="shared" si="36"/>
        <v>0</v>
      </c>
      <c r="S610">
        <f t="shared" si="37"/>
        <v>0</v>
      </c>
      <c r="T610">
        <f t="shared" si="38"/>
        <v>0</v>
      </c>
    </row>
    <row r="611" spans="1:20" x14ac:dyDescent="0.25">
      <c r="A611" s="5"/>
      <c r="C611"/>
      <c r="D611"/>
      <c r="P611">
        <f t="shared" si="34"/>
        <v>0</v>
      </c>
      <c r="Q611">
        <f t="shared" si="35"/>
        <v>0</v>
      </c>
      <c r="R611">
        <f t="shared" si="36"/>
        <v>0</v>
      </c>
      <c r="S611">
        <f t="shared" si="37"/>
        <v>0</v>
      </c>
      <c r="T611">
        <f t="shared" si="38"/>
        <v>0</v>
      </c>
    </row>
    <row r="612" spans="1:20" x14ac:dyDescent="0.25">
      <c r="A612" s="5"/>
      <c r="C612"/>
      <c r="D612"/>
      <c r="P612">
        <f t="shared" si="34"/>
        <v>0</v>
      </c>
      <c r="Q612">
        <f t="shared" si="35"/>
        <v>0</v>
      </c>
      <c r="R612">
        <f t="shared" si="36"/>
        <v>0</v>
      </c>
      <c r="S612">
        <f t="shared" si="37"/>
        <v>0</v>
      </c>
      <c r="T612">
        <f t="shared" si="38"/>
        <v>0</v>
      </c>
    </row>
    <row r="613" spans="1:20" x14ac:dyDescent="0.25">
      <c r="A613" s="5"/>
      <c r="C613"/>
      <c r="D613"/>
      <c r="P613">
        <f t="shared" si="34"/>
        <v>0</v>
      </c>
      <c r="Q613">
        <f t="shared" si="35"/>
        <v>0</v>
      </c>
      <c r="R613">
        <f t="shared" si="36"/>
        <v>0</v>
      </c>
      <c r="S613">
        <f t="shared" si="37"/>
        <v>0</v>
      </c>
      <c r="T613">
        <f t="shared" si="38"/>
        <v>0</v>
      </c>
    </row>
    <row r="614" spans="1:20" x14ac:dyDescent="0.25">
      <c r="A614" s="5"/>
      <c r="C614"/>
      <c r="D614"/>
      <c r="P614">
        <f t="shared" si="34"/>
        <v>0</v>
      </c>
      <c r="Q614">
        <f t="shared" si="35"/>
        <v>0</v>
      </c>
      <c r="R614">
        <f t="shared" si="36"/>
        <v>0</v>
      </c>
      <c r="S614">
        <f t="shared" si="37"/>
        <v>0</v>
      </c>
      <c r="T614">
        <f t="shared" si="38"/>
        <v>0</v>
      </c>
    </row>
    <row r="615" spans="1:20" x14ac:dyDescent="0.25">
      <c r="A615" s="5"/>
      <c r="C615"/>
      <c r="D615"/>
      <c r="P615">
        <f t="shared" si="34"/>
        <v>0</v>
      </c>
      <c r="Q615">
        <f t="shared" si="35"/>
        <v>0</v>
      </c>
      <c r="R615">
        <f t="shared" si="36"/>
        <v>0</v>
      </c>
      <c r="S615">
        <f t="shared" si="37"/>
        <v>0</v>
      </c>
      <c r="T615">
        <f t="shared" si="38"/>
        <v>0</v>
      </c>
    </row>
    <row r="616" spans="1:20" x14ac:dyDescent="0.25">
      <c r="A616" s="5"/>
      <c r="C616"/>
      <c r="D616"/>
      <c r="P616">
        <f t="shared" si="34"/>
        <v>0</v>
      </c>
      <c r="Q616">
        <f t="shared" si="35"/>
        <v>0</v>
      </c>
      <c r="R616">
        <f t="shared" si="36"/>
        <v>0</v>
      </c>
      <c r="S616">
        <f t="shared" si="37"/>
        <v>0</v>
      </c>
      <c r="T616">
        <f t="shared" si="38"/>
        <v>0</v>
      </c>
    </row>
    <row r="617" spans="1:20" x14ac:dyDescent="0.25">
      <c r="A617" s="5"/>
      <c r="C617"/>
      <c r="D617"/>
      <c r="P617">
        <f t="shared" si="34"/>
        <v>0</v>
      </c>
      <c r="Q617">
        <f t="shared" si="35"/>
        <v>0</v>
      </c>
      <c r="R617">
        <f t="shared" si="36"/>
        <v>0</v>
      </c>
      <c r="S617">
        <f t="shared" si="37"/>
        <v>0</v>
      </c>
      <c r="T617">
        <f t="shared" si="38"/>
        <v>0</v>
      </c>
    </row>
    <row r="618" spans="1:20" x14ac:dyDescent="0.25">
      <c r="A618" s="5"/>
      <c r="C618"/>
      <c r="D618"/>
      <c r="P618">
        <f t="shared" si="34"/>
        <v>0</v>
      </c>
      <c r="Q618">
        <f t="shared" si="35"/>
        <v>0</v>
      </c>
      <c r="R618">
        <f t="shared" si="36"/>
        <v>0</v>
      </c>
      <c r="S618">
        <f t="shared" si="37"/>
        <v>0</v>
      </c>
      <c r="T618">
        <f t="shared" si="38"/>
        <v>0</v>
      </c>
    </row>
    <row r="619" spans="1:20" x14ac:dyDescent="0.25">
      <c r="A619" s="5"/>
      <c r="C619"/>
      <c r="D619"/>
      <c r="P619">
        <f t="shared" si="34"/>
        <v>0</v>
      </c>
      <c r="Q619">
        <f t="shared" si="35"/>
        <v>0</v>
      </c>
      <c r="R619">
        <f t="shared" si="36"/>
        <v>0</v>
      </c>
      <c r="S619">
        <f t="shared" si="37"/>
        <v>0</v>
      </c>
      <c r="T619">
        <f t="shared" si="38"/>
        <v>0</v>
      </c>
    </row>
    <row r="620" spans="1:20" x14ac:dyDescent="0.25">
      <c r="A620" s="5"/>
      <c r="C620"/>
      <c r="D620"/>
      <c r="P620">
        <f t="shared" si="34"/>
        <v>0</v>
      </c>
      <c r="Q620">
        <f t="shared" si="35"/>
        <v>0</v>
      </c>
      <c r="R620">
        <f t="shared" si="36"/>
        <v>0</v>
      </c>
      <c r="S620">
        <f t="shared" si="37"/>
        <v>0</v>
      </c>
      <c r="T620">
        <f t="shared" si="38"/>
        <v>0</v>
      </c>
    </row>
    <row r="621" spans="1:20" x14ac:dyDescent="0.25">
      <c r="A621" s="5"/>
      <c r="C621"/>
      <c r="D621"/>
      <c r="P621">
        <f t="shared" si="34"/>
        <v>0</v>
      </c>
      <c r="Q621">
        <f t="shared" si="35"/>
        <v>0</v>
      </c>
      <c r="R621">
        <f t="shared" si="36"/>
        <v>0</v>
      </c>
      <c r="S621">
        <f t="shared" si="37"/>
        <v>0</v>
      </c>
      <c r="T621">
        <f t="shared" si="38"/>
        <v>0</v>
      </c>
    </row>
    <row r="622" spans="1:20" x14ac:dyDescent="0.25">
      <c r="A622" s="5"/>
      <c r="C622"/>
      <c r="D622"/>
      <c r="P622">
        <f t="shared" si="34"/>
        <v>0</v>
      </c>
      <c r="Q622">
        <f t="shared" si="35"/>
        <v>0</v>
      </c>
      <c r="R622">
        <f t="shared" si="36"/>
        <v>0</v>
      </c>
      <c r="S622">
        <f t="shared" si="37"/>
        <v>0</v>
      </c>
      <c r="T622">
        <f t="shared" si="38"/>
        <v>0</v>
      </c>
    </row>
    <row r="623" spans="1:20" x14ac:dyDescent="0.25">
      <c r="A623" s="5"/>
      <c r="C623"/>
      <c r="D623"/>
      <c r="P623">
        <f t="shared" si="34"/>
        <v>0</v>
      </c>
      <c r="Q623">
        <f t="shared" si="35"/>
        <v>0</v>
      </c>
      <c r="R623">
        <f t="shared" si="36"/>
        <v>0</v>
      </c>
      <c r="S623">
        <f t="shared" si="37"/>
        <v>0</v>
      </c>
      <c r="T623">
        <f t="shared" si="38"/>
        <v>0</v>
      </c>
    </row>
    <row r="624" spans="1:20" x14ac:dyDescent="0.25">
      <c r="A624" s="5"/>
      <c r="C624"/>
      <c r="D624"/>
      <c r="P624">
        <f t="shared" si="34"/>
        <v>0</v>
      </c>
      <c r="Q624">
        <f t="shared" si="35"/>
        <v>0</v>
      </c>
      <c r="R624">
        <f t="shared" si="36"/>
        <v>0</v>
      </c>
      <c r="S624">
        <f t="shared" si="37"/>
        <v>0</v>
      </c>
      <c r="T624">
        <f t="shared" si="38"/>
        <v>0</v>
      </c>
    </row>
    <row r="625" spans="1:20" x14ac:dyDescent="0.25">
      <c r="A625" s="5"/>
      <c r="C625"/>
      <c r="D625"/>
      <c r="P625">
        <f t="shared" si="34"/>
        <v>0</v>
      </c>
      <c r="Q625">
        <f t="shared" si="35"/>
        <v>0</v>
      </c>
      <c r="R625">
        <f t="shared" si="36"/>
        <v>0</v>
      </c>
      <c r="S625">
        <f t="shared" si="37"/>
        <v>0</v>
      </c>
      <c r="T625">
        <f t="shared" si="38"/>
        <v>0</v>
      </c>
    </row>
    <row r="626" spans="1:20" x14ac:dyDescent="0.25">
      <c r="A626" s="5"/>
      <c r="C626"/>
      <c r="D626"/>
      <c r="P626">
        <f t="shared" si="34"/>
        <v>0</v>
      </c>
      <c r="Q626">
        <f t="shared" si="35"/>
        <v>0</v>
      </c>
      <c r="R626">
        <f t="shared" si="36"/>
        <v>0</v>
      </c>
      <c r="S626">
        <f t="shared" si="37"/>
        <v>0</v>
      </c>
      <c r="T626">
        <f t="shared" si="38"/>
        <v>0</v>
      </c>
    </row>
    <row r="627" spans="1:20" x14ac:dyDescent="0.25">
      <c r="A627" s="5"/>
      <c r="C627"/>
      <c r="D627"/>
      <c r="P627">
        <f t="shared" si="34"/>
        <v>0</v>
      </c>
      <c r="Q627">
        <f t="shared" si="35"/>
        <v>0</v>
      </c>
      <c r="R627">
        <f t="shared" si="36"/>
        <v>0</v>
      </c>
      <c r="S627">
        <f t="shared" si="37"/>
        <v>0</v>
      </c>
      <c r="T627">
        <f t="shared" si="38"/>
        <v>0</v>
      </c>
    </row>
    <row r="628" spans="1:20" x14ac:dyDescent="0.25">
      <c r="A628" s="5"/>
      <c r="C628"/>
      <c r="D628"/>
      <c r="P628">
        <f t="shared" si="34"/>
        <v>0</v>
      </c>
      <c r="Q628">
        <f t="shared" si="35"/>
        <v>0</v>
      </c>
      <c r="R628">
        <f t="shared" si="36"/>
        <v>0</v>
      </c>
      <c r="S628">
        <f t="shared" si="37"/>
        <v>0</v>
      </c>
      <c r="T628">
        <f t="shared" si="38"/>
        <v>0</v>
      </c>
    </row>
    <row r="629" spans="1:20" x14ac:dyDescent="0.25">
      <c r="A629" s="5"/>
      <c r="C629"/>
      <c r="D629"/>
      <c r="P629">
        <f t="shared" si="34"/>
        <v>0</v>
      </c>
      <c r="Q629">
        <f t="shared" si="35"/>
        <v>0</v>
      </c>
      <c r="R629">
        <f t="shared" si="36"/>
        <v>0</v>
      </c>
      <c r="S629">
        <f t="shared" si="37"/>
        <v>0</v>
      </c>
      <c r="T629">
        <f t="shared" si="38"/>
        <v>0</v>
      </c>
    </row>
    <row r="630" spans="1:20" x14ac:dyDescent="0.25">
      <c r="A630" s="5"/>
      <c r="C630"/>
      <c r="D630"/>
      <c r="P630">
        <f t="shared" si="34"/>
        <v>0</v>
      </c>
      <c r="Q630">
        <f t="shared" si="35"/>
        <v>0</v>
      </c>
      <c r="R630">
        <f t="shared" si="36"/>
        <v>0</v>
      </c>
      <c r="S630">
        <f t="shared" si="37"/>
        <v>0</v>
      </c>
      <c r="T630">
        <f t="shared" si="38"/>
        <v>0</v>
      </c>
    </row>
    <row r="631" spans="1:20" x14ac:dyDescent="0.25">
      <c r="A631" s="5"/>
      <c r="C631"/>
      <c r="D631"/>
      <c r="P631">
        <f t="shared" si="34"/>
        <v>0</v>
      </c>
      <c r="Q631">
        <f t="shared" si="35"/>
        <v>0</v>
      </c>
      <c r="R631">
        <f t="shared" si="36"/>
        <v>0</v>
      </c>
      <c r="S631">
        <f t="shared" si="37"/>
        <v>0</v>
      </c>
      <c r="T631">
        <f t="shared" si="38"/>
        <v>0</v>
      </c>
    </row>
    <row r="632" spans="1:20" x14ac:dyDescent="0.25">
      <c r="A632" s="5"/>
      <c r="C632"/>
      <c r="D632"/>
      <c r="P632">
        <f t="shared" si="34"/>
        <v>0</v>
      </c>
      <c r="Q632">
        <f t="shared" si="35"/>
        <v>0</v>
      </c>
      <c r="R632">
        <f t="shared" si="36"/>
        <v>0</v>
      </c>
      <c r="S632">
        <f t="shared" si="37"/>
        <v>0</v>
      </c>
      <c r="T632">
        <f t="shared" si="38"/>
        <v>0</v>
      </c>
    </row>
    <row r="633" spans="1:20" x14ac:dyDescent="0.25">
      <c r="A633" s="5"/>
      <c r="C633"/>
      <c r="D633"/>
      <c r="P633">
        <f t="shared" si="34"/>
        <v>0</v>
      </c>
      <c r="Q633">
        <f t="shared" si="35"/>
        <v>0</v>
      </c>
      <c r="R633">
        <f t="shared" si="36"/>
        <v>0</v>
      </c>
      <c r="S633">
        <f t="shared" si="37"/>
        <v>0</v>
      </c>
      <c r="T633">
        <f t="shared" si="38"/>
        <v>0</v>
      </c>
    </row>
    <row r="634" spans="1:20" x14ac:dyDescent="0.25">
      <c r="A634" s="5"/>
      <c r="C634"/>
      <c r="D634"/>
      <c r="P634">
        <f t="shared" si="34"/>
        <v>0</v>
      </c>
      <c r="Q634">
        <f t="shared" si="35"/>
        <v>0</v>
      </c>
      <c r="R634">
        <f t="shared" si="36"/>
        <v>0</v>
      </c>
      <c r="S634">
        <f t="shared" si="37"/>
        <v>0</v>
      </c>
      <c r="T634">
        <f t="shared" si="38"/>
        <v>0</v>
      </c>
    </row>
    <row r="635" spans="1:20" x14ac:dyDescent="0.25">
      <c r="A635" s="5"/>
      <c r="C635"/>
      <c r="D635"/>
      <c r="P635">
        <f t="shared" si="34"/>
        <v>0</v>
      </c>
      <c r="Q635">
        <f t="shared" si="35"/>
        <v>0</v>
      </c>
      <c r="R635">
        <f t="shared" si="36"/>
        <v>0</v>
      </c>
      <c r="S635">
        <f t="shared" si="37"/>
        <v>0</v>
      </c>
      <c r="T635">
        <f t="shared" si="38"/>
        <v>0</v>
      </c>
    </row>
    <row r="636" spans="1:20" x14ac:dyDescent="0.25">
      <c r="A636" s="5"/>
      <c r="C636"/>
      <c r="D636"/>
      <c r="P636">
        <f t="shared" si="34"/>
        <v>0</v>
      </c>
      <c r="Q636">
        <f t="shared" si="35"/>
        <v>0</v>
      </c>
      <c r="R636">
        <f t="shared" si="36"/>
        <v>0</v>
      </c>
      <c r="S636">
        <f t="shared" si="37"/>
        <v>0</v>
      </c>
      <c r="T636">
        <f t="shared" si="38"/>
        <v>0</v>
      </c>
    </row>
    <row r="637" spans="1:20" x14ac:dyDescent="0.25">
      <c r="A637" s="5"/>
      <c r="C637"/>
      <c r="D637"/>
      <c r="P637">
        <f t="shared" si="34"/>
        <v>0</v>
      </c>
      <c r="Q637">
        <f t="shared" si="35"/>
        <v>0</v>
      </c>
      <c r="R637">
        <f t="shared" si="36"/>
        <v>0</v>
      </c>
      <c r="S637">
        <f t="shared" si="37"/>
        <v>0</v>
      </c>
      <c r="T637">
        <f t="shared" si="38"/>
        <v>0</v>
      </c>
    </row>
    <row r="638" spans="1:20" x14ac:dyDescent="0.25">
      <c r="A638" s="5"/>
      <c r="C638"/>
      <c r="D638"/>
      <c r="P638">
        <f t="shared" si="34"/>
        <v>0</v>
      </c>
      <c r="Q638">
        <f t="shared" si="35"/>
        <v>0</v>
      </c>
      <c r="R638">
        <f t="shared" si="36"/>
        <v>0</v>
      </c>
      <c r="S638">
        <f t="shared" si="37"/>
        <v>0</v>
      </c>
      <c r="T638">
        <f t="shared" si="38"/>
        <v>0</v>
      </c>
    </row>
    <row r="639" spans="1:20" x14ac:dyDescent="0.25">
      <c r="A639" s="5"/>
      <c r="C639"/>
      <c r="D639"/>
      <c r="P639">
        <f t="shared" si="34"/>
        <v>0</v>
      </c>
      <c r="Q639">
        <f t="shared" si="35"/>
        <v>0</v>
      </c>
      <c r="R639">
        <f t="shared" si="36"/>
        <v>0</v>
      </c>
      <c r="S639">
        <f t="shared" si="37"/>
        <v>0</v>
      </c>
      <c r="T639">
        <f t="shared" si="38"/>
        <v>0</v>
      </c>
    </row>
    <row r="640" spans="1:20" x14ac:dyDescent="0.25">
      <c r="A640" s="5"/>
      <c r="C640"/>
      <c r="D640"/>
      <c r="P640">
        <f t="shared" si="34"/>
        <v>0</v>
      </c>
      <c r="Q640">
        <f t="shared" si="35"/>
        <v>0</v>
      </c>
      <c r="R640">
        <f t="shared" si="36"/>
        <v>0</v>
      </c>
      <c r="S640">
        <f t="shared" si="37"/>
        <v>0</v>
      </c>
      <c r="T640">
        <f t="shared" si="38"/>
        <v>0</v>
      </c>
    </row>
    <row r="641" spans="1:20" x14ac:dyDescent="0.25">
      <c r="A641" s="5"/>
      <c r="C641"/>
      <c r="D641"/>
      <c r="P641">
        <f t="shared" si="34"/>
        <v>0</v>
      </c>
      <c r="Q641">
        <f t="shared" si="35"/>
        <v>0</v>
      </c>
      <c r="R641">
        <f t="shared" si="36"/>
        <v>0</v>
      </c>
      <c r="S641">
        <f t="shared" si="37"/>
        <v>0</v>
      </c>
      <c r="T641">
        <f t="shared" si="38"/>
        <v>0</v>
      </c>
    </row>
    <row r="642" spans="1:20" x14ac:dyDescent="0.25">
      <c r="A642" s="5"/>
      <c r="C642"/>
      <c r="D642"/>
      <c r="P642">
        <f t="shared" si="34"/>
        <v>0</v>
      </c>
      <c r="Q642">
        <f t="shared" si="35"/>
        <v>0</v>
      </c>
      <c r="R642">
        <f t="shared" si="36"/>
        <v>0</v>
      </c>
      <c r="S642">
        <f t="shared" si="37"/>
        <v>0</v>
      </c>
      <c r="T642">
        <f t="shared" si="38"/>
        <v>0</v>
      </c>
    </row>
    <row r="643" spans="1:20" x14ac:dyDescent="0.25">
      <c r="A643" s="5"/>
      <c r="C643"/>
      <c r="D643"/>
      <c r="P643">
        <f t="shared" si="34"/>
        <v>0</v>
      </c>
      <c r="Q643">
        <f t="shared" si="35"/>
        <v>0</v>
      </c>
      <c r="R643">
        <f t="shared" si="36"/>
        <v>0</v>
      </c>
      <c r="S643">
        <f t="shared" si="37"/>
        <v>0</v>
      </c>
      <c r="T643">
        <f t="shared" si="38"/>
        <v>0</v>
      </c>
    </row>
    <row r="644" spans="1:20" x14ac:dyDescent="0.25">
      <c r="A644" s="5"/>
      <c r="C644"/>
      <c r="D644"/>
      <c r="P644">
        <f t="shared" si="34"/>
        <v>0</v>
      </c>
      <c r="Q644">
        <f t="shared" si="35"/>
        <v>0</v>
      </c>
      <c r="R644">
        <f t="shared" si="36"/>
        <v>0</v>
      </c>
      <c r="S644">
        <f t="shared" si="37"/>
        <v>0</v>
      </c>
      <c r="T644">
        <f t="shared" si="38"/>
        <v>0</v>
      </c>
    </row>
    <row r="645" spans="1:20" x14ac:dyDescent="0.25">
      <c r="A645" s="5"/>
      <c r="C645"/>
      <c r="D645"/>
      <c r="P645">
        <f t="shared" si="34"/>
        <v>0</v>
      </c>
      <c r="Q645">
        <f t="shared" si="35"/>
        <v>0</v>
      </c>
      <c r="R645">
        <f t="shared" si="36"/>
        <v>0</v>
      </c>
      <c r="S645">
        <f t="shared" si="37"/>
        <v>0</v>
      </c>
      <c r="T645">
        <f t="shared" si="38"/>
        <v>0</v>
      </c>
    </row>
    <row r="646" spans="1:20" x14ac:dyDescent="0.25">
      <c r="A646" s="5"/>
      <c r="C646"/>
      <c r="D646"/>
      <c r="P646">
        <f t="shared" ref="P646:P709" si="39">IF(C646=D646,0,((E646-D646)-(C646-E646))/(C646-D646))</f>
        <v>0</v>
      </c>
      <c r="Q646">
        <f t="shared" ref="Q646:Q709" si="40">F646*P646</f>
        <v>0</v>
      </c>
      <c r="R646">
        <f t="shared" ref="R646:R709" si="41">R647+Q646</f>
        <v>0</v>
      </c>
      <c r="S646">
        <f t="shared" ref="S646:S709" si="42">R646/100000</f>
        <v>0</v>
      </c>
      <c r="T646">
        <f t="shared" ref="T646:T709" si="43">S646/1000</f>
        <v>0</v>
      </c>
    </row>
    <row r="647" spans="1:20" x14ac:dyDescent="0.25">
      <c r="A647" s="5"/>
      <c r="C647"/>
      <c r="D647"/>
      <c r="P647">
        <f t="shared" si="39"/>
        <v>0</v>
      </c>
      <c r="Q647">
        <f t="shared" si="40"/>
        <v>0</v>
      </c>
      <c r="R647">
        <f t="shared" si="41"/>
        <v>0</v>
      </c>
      <c r="S647">
        <f t="shared" si="42"/>
        <v>0</v>
      </c>
      <c r="T647">
        <f t="shared" si="43"/>
        <v>0</v>
      </c>
    </row>
    <row r="648" spans="1:20" x14ac:dyDescent="0.25">
      <c r="A648" s="5"/>
      <c r="C648"/>
      <c r="D648"/>
      <c r="P648">
        <f t="shared" si="39"/>
        <v>0</v>
      </c>
      <c r="Q648">
        <f t="shared" si="40"/>
        <v>0</v>
      </c>
      <c r="R648">
        <f t="shared" si="41"/>
        <v>0</v>
      </c>
      <c r="S648">
        <f t="shared" si="42"/>
        <v>0</v>
      </c>
      <c r="T648">
        <f t="shared" si="43"/>
        <v>0</v>
      </c>
    </row>
    <row r="649" spans="1:20" x14ac:dyDescent="0.25">
      <c r="A649" s="5"/>
      <c r="C649"/>
      <c r="D649"/>
      <c r="P649">
        <f t="shared" si="39"/>
        <v>0</v>
      </c>
      <c r="Q649">
        <f t="shared" si="40"/>
        <v>0</v>
      </c>
      <c r="R649">
        <f t="shared" si="41"/>
        <v>0</v>
      </c>
      <c r="S649">
        <f t="shared" si="42"/>
        <v>0</v>
      </c>
      <c r="T649">
        <f t="shared" si="43"/>
        <v>0</v>
      </c>
    </row>
    <row r="650" spans="1:20" x14ac:dyDescent="0.25">
      <c r="A650" s="5"/>
      <c r="C650"/>
      <c r="D650"/>
      <c r="P650">
        <f t="shared" si="39"/>
        <v>0</v>
      </c>
      <c r="Q650">
        <f t="shared" si="40"/>
        <v>0</v>
      </c>
      <c r="R650">
        <f t="shared" si="41"/>
        <v>0</v>
      </c>
      <c r="S650">
        <f t="shared" si="42"/>
        <v>0</v>
      </c>
      <c r="T650">
        <f t="shared" si="43"/>
        <v>0</v>
      </c>
    </row>
    <row r="651" spans="1:20" x14ac:dyDescent="0.25">
      <c r="A651" s="5"/>
      <c r="C651"/>
      <c r="D651"/>
      <c r="P651">
        <f t="shared" si="39"/>
        <v>0</v>
      </c>
      <c r="Q651">
        <f t="shared" si="40"/>
        <v>0</v>
      </c>
      <c r="R651">
        <f t="shared" si="41"/>
        <v>0</v>
      </c>
      <c r="S651">
        <f t="shared" si="42"/>
        <v>0</v>
      </c>
      <c r="T651">
        <f t="shared" si="43"/>
        <v>0</v>
      </c>
    </row>
    <row r="652" spans="1:20" x14ac:dyDescent="0.25">
      <c r="A652" s="5"/>
      <c r="C652"/>
      <c r="D652"/>
      <c r="P652">
        <f t="shared" si="39"/>
        <v>0</v>
      </c>
      <c r="Q652">
        <f t="shared" si="40"/>
        <v>0</v>
      </c>
      <c r="R652">
        <f t="shared" si="41"/>
        <v>0</v>
      </c>
      <c r="S652">
        <f t="shared" si="42"/>
        <v>0</v>
      </c>
      <c r="T652">
        <f t="shared" si="43"/>
        <v>0</v>
      </c>
    </row>
    <row r="653" spans="1:20" x14ac:dyDescent="0.25">
      <c r="A653" s="5"/>
      <c r="C653"/>
      <c r="D653"/>
      <c r="P653">
        <f t="shared" si="39"/>
        <v>0</v>
      </c>
      <c r="Q653">
        <f t="shared" si="40"/>
        <v>0</v>
      </c>
      <c r="R653">
        <f t="shared" si="41"/>
        <v>0</v>
      </c>
      <c r="S653">
        <f t="shared" si="42"/>
        <v>0</v>
      </c>
      <c r="T653">
        <f t="shared" si="43"/>
        <v>0</v>
      </c>
    </row>
    <row r="654" spans="1:20" x14ac:dyDescent="0.25">
      <c r="A654" s="5"/>
      <c r="C654"/>
      <c r="D654"/>
      <c r="P654">
        <f t="shared" si="39"/>
        <v>0</v>
      </c>
      <c r="Q654">
        <f t="shared" si="40"/>
        <v>0</v>
      </c>
      <c r="R654">
        <f t="shared" si="41"/>
        <v>0</v>
      </c>
      <c r="S654">
        <f t="shared" si="42"/>
        <v>0</v>
      </c>
      <c r="T654">
        <f t="shared" si="43"/>
        <v>0</v>
      </c>
    </row>
    <row r="655" spans="1:20" x14ac:dyDescent="0.25">
      <c r="A655" s="5"/>
      <c r="C655"/>
      <c r="D655"/>
      <c r="P655">
        <f t="shared" si="39"/>
        <v>0</v>
      </c>
      <c r="Q655">
        <f t="shared" si="40"/>
        <v>0</v>
      </c>
      <c r="R655">
        <f t="shared" si="41"/>
        <v>0</v>
      </c>
      <c r="S655">
        <f t="shared" si="42"/>
        <v>0</v>
      </c>
      <c r="T655">
        <f t="shared" si="43"/>
        <v>0</v>
      </c>
    </row>
    <row r="656" spans="1:20" x14ac:dyDescent="0.25">
      <c r="A656" s="5"/>
      <c r="C656"/>
      <c r="D656"/>
      <c r="P656">
        <f t="shared" si="39"/>
        <v>0</v>
      </c>
      <c r="Q656">
        <f t="shared" si="40"/>
        <v>0</v>
      </c>
      <c r="R656">
        <f t="shared" si="41"/>
        <v>0</v>
      </c>
      <c r="S656">
        <f t="shared" si="42"/>
        <v>0</v>
      </c>
      <c r="T656">
        <f t="shared" si="43"/>
        <v>0</v>
      </c>
    </row>
    <row r="657" spans="1:20" x14ac:dyDescent="0.25">
      <c r="A657" s="5"/>
      <c r="C657"/>
      <c r="D657"/>
      <c r="P657">
        <f t="shared" si="39"/>
        <v>0</v>
      </c>
      <c r="Q657">
        <f t="shared" si="40"/>
        <v>0</v>
      </c>
      <c r="R657">
        <f t="shared" si="41"/>
        <v>0</v>
      </c>
      <c r="S657">
        <f t="shared" si="42"/>
        <v>0</v>
      </c>
      <c r="T657">
        <f t="shared" si="43"/>
        <v>0</v>
      </c>
    </row>
    <row r="658" spans="1:20" x14ac:dyDescent="0.25">
      <c r="A658" s="5"/>
      <c r="C658"/>
      <c r="D658"/>
      <c r="P658">
        <f t="shared" si="39"/>
        <v>0</v>
      </c>
      <c r="Q658">
        <f t="shared" si="40"/>
        <v>0</v>
      </c>
      <c r="R658">
        <f t="shared" si="41"/>
        <v>0</v>
      </c>
      <c r="S658">
        <f t="shared" si="42"/>
        <v>0</v>
      </c>
      <c r="T658">
        <f t="shared" si="43"/>
        <v>0</v>
      </c>
    </row>
    <row r="659" spans="1:20" x14ac:dyDescent="0.25">
      <c r="A659" s="5"/>
      <c r="C659"/>
      <c r="D659"/>
      <c r="P659">
        <f t="shared" si="39"/>
        <v>0</v>
      </c>
      <c r="Q659">
        <f t="shared" si="40"/>
        <v>0</v>
      </c>
      <c r="R659">
        <f t="shared" si="41"/>
        <v>0</v>
      </c>
      <c r="S659">
        <f t="shared" si="42"/>
        <v>0</v>
      </c>
      <c r="T659">
        <f t="shared" si="43"/>
        <v>0</v>
      </c>
    </row>
    <row r="660" spans="1:20" x14ac:dyDescent="0.25">
      <c r="A660" s="5"/>
      <c r="C660"/>
      <c r="D660"/>
      <c r="P660">
        <f t="shared" si="39"/>
        <v>0</v>
      </c>
      <c r="Q660">
        <f t="shared" si="40"/>
        <v>0</v>
      </c>
      <c r="R660">
        <f t="shared" si="41"/>
        <v>0</v>
      </c>
      <c r="S660">
        <f t="shared" si="42"/>
        <v>0</v>
      </c>
      <c r="T660">
        <f t="shared" si="43"/>
        <v>0</v>
      </c>
    </row>
    <row r="661" spans="1:20" x14ac:dyDescent="0.25">
      <c r="A661" s="5"/>
      <c r="P661">
        <f t="shared" si="39"/>
        <v>0</v>
      </c>
      <c r="Q661">
        <f t="shared" si="40"/>
        <v>0</v>
      </c>
      <c r="R661">
        <f t="shared" si="41"/>
        <v>0</v>
      </c>
      <c r="S661">
        <f t="shared" si="42"/>
        <v>0</v>
      </c>
      <c r="T661">
        <f t="shared" si="43"/>
        <v>0</v>
      </c>
    </row>
    <row r="662" spans="1:20" x14ac:dyDescent="0.25">
      <c r="A662" s="5"/>
      <c r="P662">
        <f t="shared" si="39"/>
        <v>0</v>
      </c>
      <c r="Q662">
        <f t="shared" si="40"/>
        <v>0</v>
      </c>
      <c r="R662">
        <f t="shared" si="41"/>
        <v>0</v>
      </c>
      <c r="S662">
        <f t="shared" si="42"/>
        <v>0</v>
      </c>
      <c r="T662">
        <f t="shared" si="43"/>
        <v>0</v>
      </c>
    </row>
    <row r="663" spans="1:20" x14ac:dyDescent="0.25">
      <c r="A663" s="5"/>
      <c r="P663">
        <f t="shared" si="39"/>
        <v>0</v>
      </c>
      <c r="Q663">
        <f t="shared" si="40"/>
        <v>0</v>
      </c>
      <c r="R663">
        <f t="shared" si="41"/>
        <v>0</v>
      </c>
      <c r="S663">
        <f t="shared" si="42"/>
        <v>0</v>
      </c>
      <c r="T663">
        <f t="shared" si="43"/>
        <v>0</v>
      </c>
    </row>
    <row r="664" spans="1:20" x14ac:dyDescent="0.25">
      <c r="A664" s="5"/>
      <c r="C664" s="4"/>
      <c r="D664" s="4"/>
      <c r="P664">
        <f t="shared" si="39"/>
        <v>0</v>
      </c>
      <c r="Q664">
        <f t="shared" si="40"/>
        <v>0</v>
      </c>
      <c r="R664">
        <f t="shared" si="41"/>
        <v>0</v>
      </c>
      <c r="S664">
        <f t="shared" si="42"/>
        <v>0</v>
      </c>
      <c r="T664">
        <f t="shared" si="43"/>
        <v>0</v>
      </c>
    </row>
    <row r="665" spans="1:20" x14ac:dyDescent="0.25">
      <c r="A665" s="5"/>
      <c r="C665" s="4"/>
      <c r="D665" s="4"/>
      <c r="P665">
        <f t="shared" si="39"/>
        <v>0</v>
      </c>
      <c r="Q665">
        <f t="shared" si="40"/>
        <v>0</v>
      </c>
      <c r="R665">
        <f t="shared" si="41"/>
        <v>0</v>
      </c>
      <c r="S665">
        <f t="shared" si="42"/>
        <v>0</v>
      </c>
      <c r="T665">
        <f t="shared" si="43"/>
        <v>0</v>
      </c>
    </row>
    <row r="666" spans="1:20" x14ac:dyDescent="0.25">
      <c r="A666" s="5"/>
      <c r="C666" s="4"/>
      <c r="D666" s="4"/>
      <c r="P666">
        <f t="shared" si="39"/>
        <v>0</v>
      </c>
      <c r="Q666">
        <f t="shared" si="40"/>
        <v>0</v>
      </c>
      <c r="R666">
        <f t="shared" si="41"/>
        <v>0</v>
      </c>
      <c r="S666">
        <f t="shared" si="42"/>
        <v>0</v>
      </c>
      <c r="T666">
        <f t="shared" si="43"/>
        <v>0</v>
      </c>
    </row>
    <row r="667" spans="1:20" x14ac:dyDescent="0.25">
      <c r="A667" s="5"/>
      <c r="C667" s="4"/>
      <c r="D667" s="4"/>
      <c r="P667">
        <f t="shared" si="39"/>
        <v>0</v>
      </c>
      <c r="Q667">
        <f t="shared" si="40"/>
        <v>0</v>
      </c>
      <c r="R667">
        <f t="shared" si="41"/>
        <v>0</v>
      </c>
      <c r="S667">
        <f t="shared" si="42"/>
        <v>0</v>
      </c>
      <c r="T667">
        <f t="shared" si="43"/>
        <v>0</v>
      </c>
    </row>
    <row r="668" spans="1:20" x14ac:dyDescent="0.25">
      <c r="A668" s="5"/>
      <c r="C668" s="4"/>
      <c r="D668" s="4"/>
      <c r="P668">
        <f t="shared" si="39"/>
        <v>0</v>
      </c>
      <c r="Q668">
        <f t="shared" si="40"/>
        <v>0</v>
      </c>
      <c r="R668">
        <f t="shared" si="41"/>
        <v>0</v>
      </c>
      <c r="S668">
        <f t="shared" si="42"/>
        <v>0</v>
      </c>
      <c r="T668">
        <f t="shared" si="43"/>
        <v>0</v>
      </c>
    </row>
    <row r="669" spans="1:20" x14ac:dyDescent="0.25">
      <c r="A669" s="5"/>
      <c r="C669" s="4"/>
      <c r="D669" s="4"/>
      <c r="P669">
        <f t="shared" si="39"/>
        <v>0</v>
      </c>
      <c r="Q669">
        <f t="shared" si="40"/>
        <v>0</v>
      </c>
      <c r="R669">
        <f t="shared" si="41"/>
        <v>0</v>
      </c>
      <c r="S669">
        <f t="shared" si="42"/>
        <v>0</v>
      </c>
      <c r="T669">
        <f t="shared" si="43"/>
        <v>0</v>
      </c>
    </row>
    <row r="670" spans="1:20" x14ac:dyDescent="0.25">
      <c r="A670" s="5"/>
      <c r="C670" s="4"/>
      <c r="D670" s="4"/>
      <c r="P670">
        <f t="shared" si="39"/>
        <v>0</v>
      </c>
      <c r="Q670">
        <f t="shared" si="40"/>
        <v>0</v>
      </c>
      <c r="R670">
        <f t="shared" si="41"/>
        <v>0</v>
      </c>
      <c r="S670">
        <f t="shared" si="42"/>
        <v>0</v>
      </c>
      <c r="T670">
        <f t="shared" si="43"/>
        <v>0</v>
      </c>
    </row>
    <row r="671" spans="1:20" x14ac:dyDescent="0.25">
      <c r="A671" s="5"/>
      <c r="C671" s="4"/>
      <c r="D671" s="4"/>
      <c r="P671">
        <f t="shared" si="39"/>
        <v>0</v>
      </c>
      <c r="Q671">
        <f t="shared" si="40"/>
        <v>0</v>
      </c>
      <c r="R671">
        <f t="shared" si="41"/>
        <v>0</v>
      </c>
      <c r="S671">
        <f t="shared" si="42"/>
        <v>0</v>
      </c>
      <c r="T671">
        <f t="shared" si="43"/>
        <v>0</v>
      </c>
    </row>
    <row r="672" spans="1:20" x14ac:dyDescent="0.25">
      <c r="A672" s="5"/>
      <c r="C672" s="4"/>
      <c r="D672" s="4"/>
      <c r="P672">
        <f t="shared" si="39"/>
        <v>0</v>
      </c>
      <c r="Q672">
        <f t="shared" si="40"/>
        <v>0</v>
      </c>
      <c r="R672">
        <f t="shared" si="41"/>
        <v>0</v>
      </c>
      <c r="S672">
        <f t="shared" si="42"/>
        <v>0</v>
      </c>
      <c r="T672">
        <f t="shared" si="43"/>
        <v>0</v>
      </c>
    </row>
    <row r="673" spans="1:20" x14ac:dyDescent="0.25">
      <c r="A673" s="5"/>
      <c r="C673" s="4"/>
      <c r="D673" s="4"/>
      <c r="P673">
        <f t="shared" si="39"/>
        <v>0</v>
      </c>
      <c r="Q673">
        <f t="shared" si="40"/>
        <v>0</v>
      </c>
      <c r="R673">
        <f t="shared" si="41"/>
        <v>0</v>
      </c>
      <c r="S673">
        <f t="shared" si="42"/>
        <v>0</v>
      </c>
      <c r="T673">
        <f t="shared" si="43"/>
        <v>0</v>
      </c>
    </row>
    <row r="674" spans="1:20" x14ac:dyDescent="0.25">
      <c r="A674" s="5"/>
      <c r="C674" s="4"/>
      <c r="D674" s="4"/>
      <c r="P674">
        <f t="shared" si="39"/>
        <v>0</v>
      </c>
      <c r="Q674">
        <f t="shared" si="40"/>
        <v>0</v>
      </c>
      <c r="R674">
        <f t="shared" si="41"/>
        <v>0</v>
      </c>
      <c r="S674">
        <f t="shared" si="42"/>
        <v>0</v>
      </c>
      <c r="T674">
        <f t="shared" si="43"/>
        <v>0</v>
      </c>
    </row>
    <row r="675" spans="1:20" x14ac:dyDescent="0.25">
      <c r="A675" s="5"/>
      <c r="C675" s="4"/>
      <c r="D675" s="4"/>
      <c r="P675">
        <f t="shared" si="39"/>
        <v>0</v>
      </c>
      <c r="Q675">
        <f t="shared" si="40"/>
        <v>0</v>
      </c>
      <c r="R675">
        <f t="shared" si="41"/>
        <v>0</v>
      </c>
      <c r="S675">
        <f t="shared" si="42"/>
        <v>0</v>
      </c>
      <c r="T675">
        <f t="shared" si="43"/>
        <v>0</v>
      </c>
    </row>
    <row r="676" spans="1:20" x14ac:dyDescent="0.25">
      <c r="A676" s="5"/>
      <c r="C676" s="4"/>
      <c r="D676" s="4"/>
      <c r="P676">
        <f t="shared" si="39"/>
        <v>0</v>
      </c>
      <c r="Q676">
        <f t="shared" si="40"/>
        <v>0</v>
      </c>
      <c r="R676">
        <f t="shared" si="41"/>
        <v>0</v>
      </c>
      <c r="S676">
        <f t="shared" si="42"/>
        <v>0</v>
      </c>
      <c r="T676">
        <f t="shared" si="43"/>
        <v>0</v>
      </c>
    </row>
    <row r="677" spans="1:20" x14ac:dyDescent="0.25">
      <c r="A677" s="5"/>
      <c r="C677" s="4"/>
      <c r="D677" s="4"/>
      <c r="P677">
        <f t="shared" si="39"/>
        <v>0</v>
      </c>
      <c r="Q677">
        <f t="shared" si="40"/>
        <v>0</v>
      </c>
      <c r="R677">
        <f t="shared" si="41"/>
        <v>0</v>
      </c>
      <c r="S677">
        <f t="shared" si="42"/>
        <v>0</v>
      </c>
      <c r="T677">
        <f t="shared" si="43"/>
        <v>0</v>
      </c>
    </row>
    <row r="678" spans="1:20" x14ac:dyDescent="0.25">
      <c r="A678" s="5"/>
      <c r="C678" s="4"/>
      <c r="D678" s="4"/>
      <c r="P678">
        <f t="shared" si="39"/>
        <v>0</v>
      </c>
      <c r="Q678">
        <f t="shared" si="40"/>
        <v>0</v>
      </c>
      <c r="R678">
        <f t="shared" si="41"/>
        <v>0</v>
      </c>
      <c r="S678">
        <f t="shared" si="42"/>
        <v>0</v>
      </c>
      <c r="T678">
        <f t="shared" si="43"/>
        <v>0</v>
      </c>
    </row>
    <row r="679" spans="1:20" x14ac:dyDescent="0.25">
      <c r="A679" s="5"/>
      <c r="C679" s="4"/>
      <c r="D679" s="4"/>
      <c r="P679">
        <f t="shared" si="39"/>
        <v>0</v>
      </c>
      <c r="Q679">
        <f t="shared" si="40"/>
        <v>0</v>
      </c>
      <c r="R679">
        <f t="shared" si="41"/>
        <v>0</v>
      </c>
      <c r="S679">
        <f t="shared" si="42"/>
        <v>0</v>
      </c>
      <c r="T679">
        <f t="shared" si="43"/>
        <v>0</v>
      </c>
    </row>
    <row r="680" spans="1:20" x14ac:dyDescent="0.25">
      <c r="A680" s="5"/>
      <c r="C680" s="4"/>
      <c r="D680" s="4"/>
      <c r="P680">
        <f t="shared" si="39"/>
        <v>0</v>
      </c>
      <c r="Q680">
        <f t="shared" si="40"/>
        <v>0</v>
      </c>
      <c r="R680">
        <f t="shared" si="41"/>
        <v>0</v>
      </c>
      <c r="S680">
        <f t="shared" si="42"/>
        <v>0</v>
      </c>
      <c r="T680">
        <f t="shared" si="43"/>
        <v>0</v>
      </c>
    </row>
    <row r="681" spans="1:20" x14ac:dyDescent="0.25">
      <c r="A681" s="5"/>
      <c r="C681" s="4"/>
      <c r="D681" s="4"/>
      <c r="P681">
        <f t="shared" si="39"/>
        <v>0</v>
      </c>
      <c r="Q681">
        <f t="shared" si="40"/>
        <v>0</v>
      </c>
      <c r="R681">
        <f t="shared" si="41"/>
        <v>0</v>
      </c>
      <c r="S681">
        <f t="shared" si="42"/>
        <v>0</v>
      </c>
      <c r="T681">
        <f t="shared" si="43"/>
        <v>0</v>
      </c>
    </row>
    <row r="682" spans="1:20" x14ac:dyDescent="0.25">
      <c r="A682" s="5"/>
      <c r="C682" s="4"/>
      <c r="D682" s="4"/>
      <c r="P682">
        <f t="shared" si="39"/>
        <v>0</v>
      </c>
      <c r="Q682">
        <f t="shared" si="40"/>
        <v>0</v>
      </c>
      <c r="R682">
        <f t="shared" si="41"/>
        <v>0</v>
      </c>
      <c r="S682">
        <f t="shared" si="42"/>
        <v>0</v>
      </c>
      <c r="T682">
        <f t="shared" si="43"/>
        <v>0</v>
      </c>
    </row>
    <row r="683" spans="1:20" x14ac:dyDescent="0.25">
      <c r="A683" s="5"/>
      <c r="C683" s="4"/>
      <c r="D683" s="4"/>
      <c r="P683">
        <f t="shared" si="39"/>
        <v>0</v>
      </c>
      <c r="Q683">
        <f t="shared" si="40"/>
        <v>0</v>
      </c>
      <c r="R683">
        <f t="shared" si="41"/>
        <v>0</v>
      </c>
      <c r="S683">
        <f t="shared" si="42"/>
        <v>0</v>
      </c>
      <c r="T683">
        <f t="shared" si="43"/>
        <v>0</v>
      </c>
    </row>
    <row r="684" spans="1:20" x14ac:dyDescent="0.25">
      <c r="A684" s="5"/>
      <c r="C684" s="4"/>
      <c r="D684" s="4"/>
      <c r="P684">
        <f t="shared" si="39"/>
        <v>0</v>
      </c>
      <c r="Q684">
        <f t="shared" si="40"/>
        <v>0</v>
      </c>
      <c r="R684">
        <f t="shared" si="41"/>
        <v>0</v>
      </c>
      <c r="S684">
        <f t="shared" si="42"/>
        <v>0</v>
      </c>
      <c r="T684">
        <f t="shared" si="43"/>
        <v>0</v>
      </c>
    </row>
    <row r="685" spans="1:20" x14ac:dyDescent="0.25">
      <c r="A685" s="5"/>
      <c r="C685" s="4"/>
      <c r="D685" s="4"/>
      <c r="P685">
        <f t="shared" si="39"/>
        <v>0</v>
      </c>
      <c r="Q685">
        <f t="shared" si="40"/>
        <v>0</v>
      </c>
      <c r="R685">
        <f t="shared" si="41"/>
        <v>0</v>
      </c>
      <c r="S685">
        <f t="shared" si="42"/>
        <v>0</v>
      </c>
      <c r="T685">
        <f t="shared" si="43"/>
        <v>0</v>
      </c>
    </row>
    <row r="686" spans="1:20" x14ac:dyDescent="0.25">
      <c r="A686" s="5"/>
      <c r="C686" s="4"/>
      <c r="D686" s="4"/>
      <c r="P686">
        <f t="shared" si="39"/>
        <v>0</v>
      </c>
      <c r="Q686">
        <f t="shared" si="40"/>
        <v>0</v>
      </c>
      <c r="R686">
        <f t="shared" si="41"/>
        <v>0</v>
      </c>
      <c r="S686">
        <f t="shared" si="42"/>
        <v>0</v>
      </c>
      <c r="T686">
        <f t="shared" si="43"/>
        <v>0</v>
      </c>
    </row>
    <row r="687" spans="1:20" x14ac:dyDescent="0.25">
      <c r="A687" s="5"/>
      <c r="C687" s="4"/>
      <c r="D687" s="4"/>
      <c r="P687">
        <f t="shared" si="39"/>
        <v>0</v>
      </c>
      <c r="Q687">
        <f t="shared" si="40"/>
        <v>0</v>
      </c>
      <c r="R687">
        <f t="shared" si="41"/>
        <v>0</v>
      </c>
      <c r="S687">
        <f t="shared" si="42"/>
        <v>0</v>
      </c>
      <c r="T687">
        <f t="shared" si="43"/>
        <v>0</v>
      </c>
    </row>
    <row r="688" spans="1:20" x14ac:dyDescent="0.25">
      <c r="A688" s="5"/>
      <c r="C688" s="4"/>
      <c r="D688" s="4"/>
      <c r="P688">
        <f t="shared" si="39"/>
        <v>0</v>
      </c>
      <c r="Q688">
        <f t="shared" si="40"/>
        <v>0</v>
      </c>
      <c r="R688">
        <f t="shared" si="41"/>
        <v>0</v>
      </c>
      <c r="S688">
        <f t="shared" si="42"/>
        <v>0</v>
      </c>
      <c r="T688">
        <f t="shared" si="43"/>
        <v>0</v>
      </c>
    </row>
    <row r="689" spans="1:20" x14ac:dyDescent="0.25">
      <c r="A689" s="5"/>
      <c r="C689" s="4"/>
      <c r="D689" s="4"/>
      <c r="P689">
        <f t="shared" si="39"/>
        <v>0</v>
      </c>
      <c r="Q689">
        <f t="shared" si="40"/>
        <v>0</v>
      </c>
      <c r="R689">
        <f t="shared" si="41"/>
        <v>0</v>
      </c>
      <c r="S689">
        <f t="shared" si="42"/>
        <v>0</v>
      </c>
      <c r="T689">
        <f t="shared" si="43"/>
        <v>0</v>
      </c>
    </row>
    <row r="690" spans="1:20" x14ac:dyDescent="0.25">
      <c r="A690" s="5"/>
      <c r="C690" s="4"/>
      <c r="D690" s="4"/>
      <c r="P690">
        <f t="shared" si="39"/>
        <v>0</v>
      </c>
      <c r="Q690">
        <f t="shared" si="40"/>
        <v>0</v>
      </c>
      <c r="R690">
        <f t="shared" si="41"/>
        <v>0</v>
      </c>
      <c r="S690">
        <f t="shared" si="42"/>
        <v>0</v>
      </c>
      <c r="T690">
        <f t="shared" si="43"/>
        <v>0</v>
      </c>
    </row>
    <row r="691" spans="1:20" x14ac:dyDescent="0.25">
      <c r="A691" s="5"/>
      <c r="C691" s="4"/>
      <c r="D691" s="4"/>
      <c r="P691">
        <f t="shared" si="39"/>
        <v>0</v>
      </c>
      <c r="Q691">
        <f t="shared" si="40"/>
        <v>0</v>
      </c>
      <c r="R691">
        <f t="shared" si="41"/>
        <v>0</v>
      </c>
      <c r="S691">
        <f t="shared" si="42"/>
        <v>0</v>
      </c>
      <c r="T691">
        <f t="shared" si="43"/>
        <v>0</v>
      </c>
    </row>
    <row r="692" spans="1:20" x14ac:dyDescent="0.25">
      <c r="A692" s="5"/>
      <c r="C692" s="4"/>
      <c r="D692" s="4"/>
      <c r="P692">
        <f t="shared" si="39"/>
        <v>0</v>
      </c>
      <c r="Q692">
        <f t="shared" si="40"/>
        <v>0</v>
      </c>
      <c r="R692">
        <f t="shared" si="41"/>
        <v>0</v>
      </c>
      <c r="S692">
        <f t="shared" si="42"/>
        <v>0</v>
      </c>
      <c r="T692">
        <f t="shared" si="43"/>
        <v>0</v>
      </c>
    </row>
    <row r="693" spans="1:20" x14ac:dyDescent="0.25">
      <c r="A693" s="5"/>
      <c r="C693" s="4"/>
      <c r="D693" s="4"/>
      <c r="P693">
        <f t="shared" si="39"/>
        <v>0</v>
      </c>
      <c r="Q693">
        <f t="shared" si="40"/>
        <v>0</v>
      </c>
      <c r="R693">
        <f t="shared" si="41"/>
        <v>0</v>
      </c>
      <c r="S693">
        <f t="shared" si="42"/>
        <v>0</v>
      </c>
      <c r="T693">
        <f t="shared" si="43"/>
        <v>0</v>
      </c>
    </row>
    <row r="694" spans="1:20" x14ac:dyDescent="0.25">
      <c r="A694" s="5"/>
      <c r="C694" s="4"/>
      <c r="D694" s="4"/>
      <c r="P694">
        <f t="shared" si="39"/>
        <v>0</v>
      </c>
      <c r="Q694">
        <f t="shared" si="40"/>
        <v>0</v>
      </c>
      <c r="R694">
        <f t="shared" si="41"/>
        <v>0</v>
      </c>
      <c r="S694">
        <f t="shared" si="42"/>
        <v>0</v>
      </c>
      <c r="T694">
        <f t="shared" si="43"/>
        <v>0</v>
      </c>
    </row>
    <row r="695" spans="1:20" x14ac:dyDescent="0.25">
      <c r="A695" s="5"/>
      <c r="C695" s="4"/>
      <c r="D695" s="4"/>
      <c r="P695">
        <f t="shared" si="39"/>
        <v>0</v>
      </c>
      <c r="Q695">
        <f t="shared" si="40"/>
        <v>0</v>
      </c>
      <c r="R695">
        <f t="shared" si="41"/>
        <v>0</v>
      </c>
      <c r="S695">
        <f t="shared" si="42"/>
        <v>0</v>
      </c>
      <c r="T695">
        <f t="shared" si="43"/>
        <v>0</v>
      </c>
    </row>
    <row r="696" spans="1:20" x14ac:dyDescent="0.25">
      <c r="A696" s="5"/>
      <c r="C696" s="4"/>
      <c r="D696" s="4"/>
      <c r="P696">
        <f t="shared" si="39"/>
        <v>0</v>
      </c>
      <c r="Q696">
        <f t="shared" si="40"/>
        <v>0</v>
      </c>
      <c r="R696">
        <f t="shared" si="41"/>
        <v>0</v>
      </c>
      <c r="S696">
        <f t="shared" si="42"/>
        <v>0</v>
      </c>
      <c r="T696">
        <f t="shared" si="43"/>
        <v>0</v>
      </c>
    </row>
    <row r="697" spans="1:20" x14ac:dyDescent="0.25">
      <c r="A697" s="5"/>
      <c r="C697" s="4"/>
      <c r="D697" s="4"/>
      <c r="P697">
        <f t="shared" si="39"/>
        <v>0</v>
      </c>
      <c r="Q697">
        <f t="shared" si="40"/>
        <v>0</v>
      </c>
      <c r="R697">
        <f t="shared" si="41"/>
        <v>0</v>
      </c>
      <c r="S697">
        <f t="shared" si="42"/>
        <v>0</v>
      </c>
      <c r="T697">
        <f t="shared" si="43"/>
        <v>0</v>
      </c>
    </row>
    <row r="698" spans="1:20" x14ac:dyDescent="0.25">
      <c r="A698" s="5"/>
      <c r="C698" s="4"/>
      <c r="D698" s="4"/>
      <c r="P698">
        <f t="shared" si="39"/>
        <v>0</v>
      </c>
      <c r="Q698">
        <f t="shared" si="40"/>
        <v>0</v>
      </c>
      <c r="R698">
        <f t="shared" si="41"/>
        <v>0</v>
      </c>
      <c r="S698">
        <f t="shared" si="42"/>
        <v>0</v>
      </c>
      <c r="T698">
        <f t="shared" si="43"/>
        <v>0</v>
      </c>
    </row>
    <row r="699" spans="1:20" x14ac:dyDescent="0.25">
      <c r="A699" s="5"/>
      <c r="C699" s="4"/>
      <c r="D699" s="4"/>
      <c r="P699">
        <f t="shared" si="39"/>
        <v>0</v>
      </c>
      <c r="Q699">
        <f t="shared" si="40"/>
        <v>0</v>
      </c>
      <c r="R699">
        <f t="shared" si="41"/>
        <v>0</v>
      </c>
      <c r="S699">
        <f t="shared" si="42"/>
        <v>0</v>
      </c>
      <c r="T699">
        <f t="shared" si="43"/>
        <v>0</v>
      </c>
    </row>
    <row r="700" spans="1:20" x14ac:dyDescent="0.25">
      <c r="A700" s="5"/>
      <c r="C700" s="4"/>
      <c r="D700" s="4"/>
      <c r="P700">
        <f t="shared" si="39"/>
        <v>0</v>
      </c>
      <c r="Q700">
        <f t="shared" si="40"/>
        <v>0</v>
      </c>
      <c r="R700">
        <f t="shared" si="41"/>
        <v>0</v>
      </c>
      <c r="S700">
        <f t="shared" si="42"/>
        <v>0</v>
      </c>
      <c r="T700">
        <f t="shared" si="43"/>
        <v>0</v>
      </c>
    </row>
    <row r="701" spans="1:20" x14ac:dyDescent="0.25">
      <c r="A701" s="5"/>
      <c r="C701" s="4"/>
      <c r="D701" s="4"/>
      <c r="P701">
        <f t="shared" si="39"/>
        <v>0</v>
      </c>
      <c r="Q701">
        <f t="shared" si="40"/>
        <v>0</v>
      </c>
      <c r="R701">
        <f t="shared" si="41"/>
        <v>0</v>
      </c>
      <c r="S701">
        <f t="shared" si="42"/>
        <v>0</v>
      </c>
      <c r="T701">
        <f t="shared" si="43"/>
        <v>0</v>
      </c>
    </row>
    <row r="702" spans="1:20" x14ac:dyDescent="0.25">
      <c r="A702" s="5"/>
      <c r="C702" s="4"/>
      <c r="D702" s="4"/>
      <c r="P702">
        <f t="shared" si="39"/>
        <v>0</v>
      </c>
      <c r="Q702">
        <f t="shared" si="40"/>
        <v>0</v>
      </c>
      <c r="R702">
        <f t="shared" si="41"/>
        <v>0</v>
      </c>
      <c r="S702">
        <f t="shared" si="42"/>
        <v>0</v>
      </c>
      <c r="T702">
        <f t="shared" si="43"/>
        <v>0</v>
      </c>
    </row>
    <row r="703" spans="1:20" x14ac:dyDescent="0.25">
      <c r="A703" s="5"/>
      <c r="C703" s="4"/>
      <c r="D703" s="4"/>
      <c r="P703">
        <f t="shared" si="39"/>
        <v>0</v>
      </c>
      <c r="Q703">
        <f t="shared" si="40"/>
        <v>0</v>
      </c>
      <c r="R703">
        <f t="shared" si="41"/>
        <v>0</v>
      </c>
      <c r="S703">
        <f t="shared" si="42"/>
        <v>0</v>
      </c>
      <c r="T703">
        <f t="shared" si="43"/>
        <v>0</v>
      </c>
    </row>
    <row r="704" spans="1:20" x14ac:dyDescent="0.25">
      <c r="A704" s="5"/>
      <c r="C704" s="4"/>
      <c r="D704" s="4"/>
      <c r="P704">
        <f t="shared" si="39"/>
        <v>0</v>
      </c>
      <c r="Q704">
        <f t="shared" si="40"/>
        <v>0</v>
      </c>
      <c r="R704">
        <f t="shared" si="41"/>
        <v>0</v>
      </c>
      <c r="S704">
        <f t="shared" si="42"/>
        <v>0</v>
      </c>
      <c r="T704">
        <f t="shared" si="43"/>
        <v>0</v>
      </c>
    </row>
    <row r="705" spans="1:20" x14ac:dyDescent="0.25">
      <c r="A705" s="5"/>
      <c r="C705" s="4"/>
      <c r="D705" s="4"/>
      <c r="P705">
        <f t="shared" si="39"/>
        <v>0</v>
      </c>
      <c r="Q705">
        <f t="shared" si="40"/>
        <v>0</v>
      </c>
      <c r="R705">
        <f t="shared" si="41"/>
        <v>0</v>
      </c>
      <c r="S705">
        <f t="shared" si="42"/>
        <v>0</v>
      </c>
      <c r="T705">
        <f t="shared" si="43"/>
        <v>0</v>
      </c>
    </row>
    <row r="706" spans="1:20" x14ac:dyDescent="0.25">
      <c r="A706" s="5"/>
      <c r="C706" s="4"/>
      <c r="D706" s="4"/>
      <c r="P706">
        <f t="shared" si="39"/>
        <v>0</v>
      </c>
      <c r="Q706">
        <f t="shared" si="40"/>
        <v>0</v>
      </c>
      <c r="R706">
        <f t="shared" si="41"/>
        <v>0</v>
      </c>
      <c r="S706">
        <f t="shared" si="42"/>
        <v>0</v>
      </c>
      <c r="T706">
        <f t="shared" si="43"/>
        <v>0</v>
      </c>
    </row>
    <row r="707" spans="1:20" x14ac:dyDescent="0.25">
      <c r="A707" s="5"/>
      <c r="C707" s="4"/>
      <c r="D707" s="4"/>
      <c r="P707">
        <f t="shared" si="39"/>
        <v>0</v>
      </c>
      <c r="Q707">
        <f t="shared" si="40"/>
        <v>0</v>
      </c>
      <c r="R707">
        <f t="shared" si="41"/>
        <v>0</v>
      </c>
      <c r="S707">
        <f t="shared" si="42"/>
        <v>0</v>
      </c>
      <c r="T707">
        <f t="shared" si="43"/>
        <v>0</v>
      </c>
    </row>
    <row r="708" spans="1:20" x14ac:dyDescent="0.25">
      <c r="A708" s="5"/>
      <c r="C708" s="4"/>
      <c r="D708" s="4"/>
      <c r="P708">
        <f t="shared" si="39"/>
        <v>0</v>
      </c>
      <c r="Q708">
        <f t="shared" si="40"/>
        <v>0</v>
      </c>
      <c r="R708">
        <f t="shared" si="41"/>
        <v>0</v>
      </c>
      <c r="S708">
        <f t="shared" si="42"/>
        <v>0</v>
      </c>
      <c r="T708">
        <f t="shared" si="43"/>
        <v>0</v>
      </c>
    </row>
    <row r="709" spans="1:20" x14ac:dyDescent="0.25">
      <c r="A709" s="5"/>
      <c r="C709" s="4"/>
      <c r="D709" s="4"/>
      <c r="P709">
        <f t="shared" si="39"/>
        <v>0</v>
      </c>
      <c r="Q709">
        <f t="shared" si="40"/>
        <v>0</v>
      </c>
      <c r="R709">
        <f t="shared" si="41"/>
        <v>0</v>
      </c>
      <c r="S709">
        <f t="shared" si="42"/>
        <v>0</v>
      </c>
      <c r="T709">
        <f t="shared" si="43"/>
        <v>0</v>
      </c>
    </row>
    <row r="710" spans="1:20" x14ac:dyDescent="0.25">
      <c r="A710" s="5"/>
      <c r="C710" s="4"/>
      <c r="D710" s="4"/>
      <c r="P710">
        <f t="shared" ref="P710:P766" si="44">IF(C710=D710,0,((E710-D710)-(C710-E710))/(C710-D710))</f>
        <v>0</v>
      </c>
      <c r="Q710">
        <f t="shared" ref="Q710:Q766" si="45">F710*P710</f>
        <v>0</v>
      </c>
      <c r="R710">
        <f t="shared" ref="R710:R766" si="46">R711+Q710</f>
        <v>0</v>
      </c>
      <c r="S710">
        <f t="shared" ref="S710:S766" si="47">R710/100000</f>
        <v>0</v>
      </c>
      <c r="T710">
        <f t="shared" ref="T710:T766" si="48">S710/1000</f>
        <v>0</v>
      </c>
    </row>
    <row r="711" spans="1:20" x14ac:dyDescent="0.25">
      <c r="A711" s="5"/>
      <c r="C711" s="4"/>
      <c r="D711" s="4"/>
      <c r="P711">
        <f t="shared" si="44"/>
        <v>0</v>
      </c>
      <c r="Q711">
        <f t="shared" si="45"/>
        <v>0</v>
      </c>
      <c r="R711">
        <f t="shared" si="46"/>
        <v>0</v>
      </c>
      <c r="S711">
        <f t="shared" si="47"/>
        <v>0</v>
      </c>
      <c r="T711">
        <f t="shared" si="48"/>
        <v>0</v>
      </c>
    </row>
    <row r="712" spans="1:20" x14ac:dyDescent="0.25">
      <c r="A712" s="5"/>
      <c r="C712" s="4"/>
      <c r="D712" s="4"/>
      <c r="P712">
        <f t="shared" si="44"/>
        <v>0</v>
      </c>
      <c r="Q712">
        <f t="shared" si="45"/>
        <v>0</v>
      </c>
      <c r="R712">
        <f t="shared" si="46"/>
        <v>0</v>
      </c>
      <c r="S712">
        <f t="shared" si="47"/>
        <v>0</v>
      </c>
      <c r="T712">
        <f t="shared" si="48"/>
        <v>0</v>
      </c>
    </row>
    <row r="713" spans="1:20" x14ac:dyDescent="0.25">
      <c r="A713" s="5"/>
      <c r="C713" s="4"/>
      <c r="D713" s="4"/>
      <c r="P713">
        <f t="shared" si="44"/>
        <v>0</v>
      </c>
      <c r="Q713">
        <f t="shared" si="45"/>
        <v>0</v>
      </c>
      <c r="R713">
        <f t="shared" si="46"/>
        <v>0</v>
      </c>
      <c r="S713">
        <f t="shared" si="47"/>
        <v>0</v>
      </c>
      <c r="T713">
        <f t="shared" si="48"/>
        <v>0</v>
      </c>
    </row>
    <row r="714" spans="1:20" x14ac:dyDescent="0.25">
      <c r="A714" s="5"/>
      <c r="C714" s="4"/>
      <c r="D714" s="4"/>
      <c r="P714">
        <f t="shared" si="44"/>
        <v>0</v>
      </c>
      <c r="Q714">
        <f t="shared" si="45"/>
        <v>0</v>
      </c>
      <c r="R714">
        <f t="shared" si="46"/>
        <v>0</v>
      </c>
      <c r="S714">
        <f t="shared" si="47"/>
        <v>0</v>
      </c>
      <c r="T714">
        <f t="shared" si="48"/>
        <v>0</v>
      </c>
    </row>
    <row r="715" spans="1:20" x14ac:dyDescent="0.25">
      <c r="A715" s="5"/>
      <c r="C715" s="4"/>
      <c r="D715" s="4"/>
      <c r="P715">
        <f t="shared" si="44"/>
        <v>0</v>
      </c>
      <c r="Q715">
        <f t="shared" si="45"/>
        <v>0</v>
      </c>
      <c r="R715">
        <f t="shared" si="46"/>
        <v>0</v>
      </c>
      <c r="S715">
        <f t="shared" si="47"/>
        <v>0</v>
      </c>
      <c r="T715">
        <f t="shared" si="48"/>
        <v>0</v>
      </c>
    </row>
    <row r="716" spans="1:20" x14ac:dyDescent="0.25">
      <c r="A716" s="5"/>
      <c r="C716" s="4"/>
      <c r="D716" s="4"/>
      <c r="P716">
        <f t="shared" si="44"/>
        <v>0</v>
      </c>
      <c r="Q716">
        <f t="shared" si="45"/>
        <v>0</v>
      </c>
      <c r="R716">
        <f t="shared" si="46"/>
        <v>0</v>
      </c>
      <c r="S716">
        <f t="shared" si="47"/>
        <v>0</v>
      </c>
      <c r="T716">
        <f t="shared" si="48"/>
        <v>0</v>
      </c>
    </row>
    <row r="717" spans="1:20" x14ac:dyDescent="0.25">
      <c r="A717" s="5"/>
      <c r="C717" s="4"/>
      <c r="D717" s="4"/>
      <c r="P717">
        <f t="shared" si="44"/>
        <v>0</v>
      </c>
      <c r="Q717">
        <f t="shared" si="45"/>
        <v>0</v>
      </c>
      <c r="R717">
        <f t="shared" si="46"/>
        <v>0</v>
      </c>
      <c r="S717">
        <f t="shared" si="47"/>
        <v>0</v>
      </c>
      <c r="T717">
        <f t="shared" si="48"/>
        <v>0</v>
      </c>
    </row>
    <row r="718" spans="1:20" x14ac:dyDescent="0.25">
      <c r="A718" s="5"/>
      <c r="C718" s="4"/>
      <c r="D718" s="4"/>
      <c r="P718">
        <f t="shared" si="44"/>
        <v>0</v>
      </c>
      <c r="Q718">
        <f t="shared" si="45"/>
        <v>0</v>
      </c>
      <c r="R718">
        <f t="shared" si="46"/>
        <v>0</v>
      </c>
      <c r="S718">
        <f t="shared" si="47"/>
        <v>0</v>
      </c>
      <c r="T718">
        <f t="shared" si="48"/>
        <v>0</v>
      </c>
    </row>
    <row r="719" spans="1:20" x14ac:dyDescent="0.25">
      <c r="A719" s="5"/>
      <c r="C719" s="4"/>
      <c r="D719" s="4"/>
      <c r="P719">
        <f t="shared" si="44"/>
        <v>0</v>
      </c>
      <c r="Q719">
        <f t="shared" si="45"/>
        <v>0</v>
      </c>
      <c r="R719">
        <f t="shared" si="46"/>
        <v>0</v>
      </c>
      <c r="S719">
        <f t="shared" si="47"/>
        <v>0</v>
      </c>
      <c r="T719">
        <f t="shared" si="48"/>
        <v>0</v>
      </c>
    </row>
    <row r="720" spans="1:20" x14ac:dyDescent="0.25">
      <c r="A720" s="5"/>
      <c r="C720" s="4"/>
      <c r="D720" s="4"/>
      <c r="P720">
        <f t="shared" si="44"/>
        <v>0</v>
      </c>
      <c r="Q720">
        <f t="shared" si="45"/>
        <v>0</v>
      </c>
      <c r="R720">
        <f t="shared" si="46"/>
        <v>0</v>
      </c>
      <c r="S720">
        <f t="shared" si="47"/>
        <v>0</v>
      </c>
      <c r="T720">
        <f t="shared" si="48"/>
        <v>0</v>
      </c>
    </row>
    <row r="721" spans="1:20" x14ac:dyDescent="0.25">
      <c r="A721" s="5"/>
      <c r="C721" s="4"/>
      <c r="D721" s="4"/>
      <c r="P721">
        <f t="shared" si="44"/>
        <v>0</v>
      </c>
      <c r="Q721">
        <f t="shared" si="45"/>
        <v>0</v>
      </c>
      <c r="R721">
        <f t="shared" si="46"/>
        <v>0</v>
      </c>
      <c r="S721">
        <f t="shared" si="47"/>
        <v>0</v>
      </c>
      <c r="T721">
        <f t="shared" si="48"/>
        <v>0</v>
      </c>
    </row>
    <row r="722" spans="1:20" x14ac:dyDescent="0.25">
      <c r="A722" s="5"/>
      <c r="C722" s="4"/>
      <c r="D722" s="4"/>
      <c r="P722">
        <f t="shared" si="44"/>
        <v>0</v>
      </c>
      <c r="Q722">
        <f t="shared" si="45"/>
        <v>0</v>
      </c>
      <c r="R722">
        <f t="shared" si="46"/>
        <v>0</v>
      </c>
      <c r="S722">
        <f t="shared" si="47"/>
        <v>0</v>
      </c>
      <c r="T722">
        <f t="shared" si="48"/>
        <v>0</v>
      </c>
    </row>
    <row r="723" spans="1:20" x14ac:dyDescent="0.25">
      <c r="A723" s="5"/>
      <c r="C723" s="4"/>
      <c r="D723" s="4"/>
      <c r="P723">
        <f t="shared" si="44"/>
        <v>0</v>
      </c>
      <c r="Q723">
        <f t="shared" si="45"/>
        <v>0</v>
      </c>
      <c r="R723">
        <f t="shared" si="46"/>
        <v>0</v>
      </c>
      <c r="S723">
        <f t="shared" si="47"/>
        <v>0</v>
      </c>
      <c r="T723">
        <f t="shared" si="48"/>
        <v>0</v>
      </c>
    </row>
    <row r="724" spans="1:20" x14ac:dyDescent="0.25">
      <c r="A724" s="5"/>
      <c r="C724" s="4"/>
      <c r="D724" s="4"/>
      <c r="P724">
        <f t="shared" si="44"/>
        <v>0</v>
      </c>
      <c r="Q724">
        <f t="shared" si="45"/>
        <v>0</v>
      </c>
      <c r="R724">
        <f t="shared" si="46"/>
        <v>0</v>
      </c>
      <c r="S724">
        <f t="shared" si="47"/>
        <v>0</v>
      </c>
      <c r="T724">
        <f t="shared" si="48"/>
        <v>0</v>
      </c>
    </row>
    <row r="725" spans="1:20" x14ac:dyDescent="0.25">
      <c r="A725" s="5"/>
      <c r="C725" s="4"/>
      <c r="D725" s="4"/>
      <c r="P725">
        <f t="shared" si="44"/>
        <v>0</v>
      </c>
      <c r="Q725">
        <f t="shared" si="45"/>
        <v>0</v>
      </c>
      <c r="R725">
        <f t="shared" si="46"/>
        <v>0</v>
      </c>
      <c r="S725">
        <f t="shared" si="47"/>
        <v>0</v>
      </c>
      <c r="T725">
        <f t="shared" si="48"/>
        <v>0</v>
      </c>
    </row>
    <row r="726" spans="1:20" x14ac:dyDescent="0.25">
      <c r="A726" s="5"/>
      <c r="C726" s="4"/>
      <c r="D726" s="4"/>
      <c r="P726">
        <f t="shared" si="44"/>
        <v>0</v>
      </c>
      <c r="Q726">
        <f t="shared" si="45"/>
        <v>0</v>
      </c>
      <c r="R726">
        <f t="shared" si="46"/>
        <v>0</v>
      </c>
      <c r="S726">
        <f t="shared" si="47"/>
        <v>0</v>
      </c>
      <c r="T726">
        <f t="shared" si="48"/>
        <v>0</v>
      </c>
    </row>
    <row r="727" spans="1:20" x14ac:dyDescent="0.25">
      <c r="A727" s="5"/>
      <c r="C727" s="4"/>
      <c r="D727" s="4"/>
      <c r="P727">
        <f t="shared" si="44"/>
        <v>0</v>
      </c>
      <c r="Q727">
        <f t="shared" si="45"/>
        <v>0</v>
      </c>
      <c r="R727">
        <f t="shared" si="46"/>
        <v>0</v>
      </c>
      <c r="S727">
        <f t="shared" si="47"/>
        <v>0</v>
      </c>
      <c r="T727">
        <f t="shared" si="48"/>
        <v>0</v>
      </c>
    </row>
    <row r="728" spans="1:20" x14ac:dyDescent="0.25">
      <c r="A728" s="5"/>
      <c r="C728" s="4"/>
      <c r="D728" s="4"/>
      <c r="P728">
        <f t="shared" si="44"/>
        <v>0</v>
      </c>
      <c r="Q728">
        <f t="shared" si="45"/>
        <v>0</v>
      </c>
      <c r="R728">
        <f t="shared" si="46"/>
        <v>0</v>
      </c>
      <c r="S728">
        <f t="shared" si="47"/>
        <v>0</v>
      </c>
      <c r="T728">
        <f t="shared" si="48"/>
        <v>0</v>
      </c>
    </row>
    <row r="729" spans="1:20" x14ac:dyDescent="0.25">
      <c r="A729" s="5"/>
      <c r="C729" s="4"/>
      <c r="D729" s="4"/>
      <c r="P729">
        <f t="shared" si="44"/>
        <v>0</v>
      </c>
      <c r="Q729">
        <f t="shared" si="45"/>
        <v>0</v>
      </c>
      <c r="R729">
        <f t="shared" si="46"/>
        <v>0</v>
      </c>
      <c r="S729">
        <f t="shared" si="47"/>
        <v>0</v>
      </c>
      <c r="T729">
        <f t="shared" si="48"/>
        <v>0</v>
      </c>
    </row>
    <row r="730" spans="1:20" x14ac:dyDescent="0.25">
      <c r="A730" s="5"/>
      <c r="C730" s="4"/>
      <c r="D730" s="4"/>
      <c r="P730">
        <f t="shared" si="44"/>
        <v>0</v>
      </c>
      <c r="Q730">
        <f t="shared" si="45"/>
        <v>0</v>
      </c>
      <c r="R730">
        <f t="shared" si="46"/>
        <v>0</v>
      </c>
      <c r="S730">
        <f t="shared" si="47"/>
        <v>0</v>
      </c>
      <c r="T730">
        <f t="shared" si="48"/>
        <v>0</v>
      </c>
    </row>
    <row r="731" spans="1:20" x14ac:dyDescent="0.25">
      <c r="A731" s="5"/>
      <c r="C731" s="4"/>
      <c r="D731" s="4"/>
      <c r="P731">
        <f t="shared" si="44"/>
        <v>0</v>
      </c>
      <c r="Q731">
        <f t="shared" si="45"/>
        <v>0</v>
      </c>
      <c r="R731">
        <f t="shared" si="46"/>
        <v>0</v>
      </c>
      <c r="S731">
        <f t="shared" si="47"/>
        <v>0</v>
      </c>
      <c r="T731">
        <f t="shared" si="48"/>
        <v>0</v>
      </c>
    </row>
    <row r="732" spans="1:20" x14ac:dyDescent="0.25">
      <c r="A732" s="5"/>
      <c r="C732" s="4"/>
      <c r="D732" s="4"/>
      <c r="P732">
        <f t="shared" si="44"/>
        <v>0</v>
      </c>
      <c r="Q732">
        <f t="shared" si="45"/>
        <v>0</v>
      </c>
      <c r="R732">
        <f t="shared" si="46"/>
        <v>0</v>
      </c>
      <c r="S732">
        <f t="shared" si="47"/>
        <v>0</v>
      </c>
      <c r="T732">
        <f t="shared" si="48"/>
        <v>0</v>
      </c>
    </row>
    <row r="733" spans="1:20" x14ac:dyDescent="0.25">
      <c r="A733" s="5"/>
      <c r="C733" s="4"/>
      <c r="D733" s="4"/>
      <c r="P733">
        <f t="shared" si="44"/>
        <v>0</v>
      </c>
      <c r="Q733">
        <f t="shared" si="45"/>
        <v>0</v>
      </c>
      <c r="R733">
        <f t="shared" si="46"/>
        <v>0</v>
      </c>
      <c r="S733">
        <f t="shared" si="47"/>
        <v>0</v>
      </c>
      <c r="T733">
        <f t="shared" si="48"/>
        <v>0</v>
      </c>
    </row>
    <row r="734" spans="1:20" x14ac:dyDescent="0.25">
      <c r="A734" s="5"/>
      <c r="C734" s="4"/>
      <c r="D734" s="4"/>
      <c r="P734">
        <f t="shared" si="44"/>
        <v>0</v>
      </c>
      <c r="Q734">
        <f t="shared" si="45"/>
        <v>0</v>
      </c>
      <c r="R734">
        <f t="shared" si="46"/>
        <v>0</v>
      </c>
      <c r="S734">
        <f t="shared" si="47"/>
        <v>0</v>
      </c>
      <c r="T734">
        <f t="shared" si="48"/>
        <v>0</v>
      </c>
    </row>
    <row r="735" spans="1:20" x14ac:dyDescent="0.25">
      <c r="A735" s="5"/>
      <c r="C735" s="4"/>
      <c r="D735" s="4"/>
      <c r="P735">
        <f t="shared" si="44"/>
        <v>0</v>
      </c>
      <c r="Q735">
        <f t="shared" si="45"/>
        <v>0</v>
      </c>
      <c r="R735">
        <f t="shared" si="46"/>
        <v>0</v>
      </c>
      <c r="S735">
        <f t="shared" si="47"/>
        <v>0</v>
      </c>
      <c r="T735">
        <f t="shared" si="48"/>
        <v>0</v>
      </c>
    </row>
    <row r="736" spans="1:20" x14ac:dyDescent="0.25">
      <c r="A736" s="5"/>
      <c r="C736" s="4"/>
      <c r="D736" s="4"/>
      <c r="P736">
        <f t="shared" si="44"/>
        <v>0</v>
      </c>
      <c r="Q736">
        <f t="shared" si="45"/>
        <v>0</v>
      </c>
      <c r="R736">
        <f t="shared" si="46"/>
        <v>0</v>
      </c>
      <c r="S736">
        <f t="shared" si="47"/>
        <v>0</v>
      </c>
      <c r="T736">
        <f t="shared" si="48"/>
        <v>0</v>
      </c>
    </row>
    <row r="737" spans="1:20" x14ac:dyDescent="0.25">
      <c r="A737" s="5"/>
      <c r="C737" s="4"/>
      <c r="D737" s="4"/>
      <c r="P737">
        <f t="shared" si="44"/>
        <v>0</v>
      </c>
      <c r="Q737">
        <f t="shared" si="45"/>
        <v>0</v>
      </c>
      <c r="R737">
        <f t="shared" si="46"/>
        <v>0</v>
      </c>
      <c r="S737">
        <f t="shared" si="47"/>
        <v>0</v>
      </c>
      <c r="T737">
        <f t="shared" si="48"/>
        <v>0</v>
      </c>
    </row>
    <row r="738" spans="1:20" x14ac:dyDescent="0.25">
      <c r="A738" s="5"/>
      <c r="C738" s="4"/>
      <c r="D738" s="4"/>
      <c r="P738">
        <f t="shared" si="44"/>
        <v>0</v>
      </c>
      <c r="Q738">
        <f t="shared" si="45"/>
        <v>0</v>
      </c>
      <c r="R738">
        <f t="shared" si="46"/>
        <v>0</v>
      </c>
      <c r="S738">
        <f t="shared" si="47"/>
        <v>0</v>
      </c>
      <c r="T738">
        <f t="shared" si="48"/>
        <v>0</v>
      </c>
    </row>
    <row r="739" spans="1:20" x14ac:dyDescent="0.25">
      <c r="A739" s="5"/>
      <c r="C739" s="4"/>
      <c r="D739" s="4"/>
      <c r="P739">
        <f t="shared" si="44"/>
        <v>0</v>
      </c>
      <c r="Q739">
        <f t="shared" si="45"/>
        <v>0</v>
      </c>
      <c r="R739">
        <f t="shared" si="46"/>
        <v>0</v>
      </c>
      <c r="S739">
        <f t="shared" si="47"/>
        <v>0</v>
      </c>
      <c r="T739">
        <f t="shared" si="48"/>
        <v>0</v>
      </c>
    </row>
    <row r="740" spans="1:20" x14ac:dyDescent="0.25">
      <c r="A740" s="5"/>
      <c r="C740" s="4"/>
      <c r="D740" s="4"/>
      <c r="P740">
        <f t="shared" si="44"/>
        <v>0</v>
      </c>
      <c r="Q740">
        <f t="shared" si="45"/>
        <v>0</v>
      </c>
      <c r="R740">
        <f t="shared" si="46"/>
        <v>0</v>
      </c>
      <c r="S740">
        <f t="shared" si="47"/>
        <v>0</v>
      </c>
      <c r="T740">
        <f t="shared" si="48"/>
        <v>0</v>
      </c>
    </row>
    <row r="741" spans="1:20" x14ac:dyDescent="0.25">
      <c r="A741" s="5"/>
      <c r="C741" s="4"/>
      <c r="D741" s="4"/>
      <c r="P741">
        <f t="shared" si="44"/>
        <v>0</v>
      </c>
      <c r="Q741">
        <f t="shared" si="45"/>
        <v>0</v>
      </c>
      <c r="R741">
        <f t="shared" si="46"/>
        <v>0</v>
      </c>
      <c r="S741">
        <f t="shared" si="47"/>
        <v>0</v>
      </c>
      <c r="T741">
        <f t="shared" si="48"/>
        <v>0</v>
      </c>
    </row>
    <row r="742" spans="1:20" x14ac:dyDescent="0.25">
      <c r="A742" s="5"/>
      <c r="C742" s="4"/>
      <c r="D742" s="4"/>
      <c r="P742">
        <f t="shared" si="44"/>
        <v>0</v>
      </c>
      <c r="Q742">
        <f t="shared" si="45"/>
        <v>0</v>
      </c>
      <c r="R742">
        <f t="shared" si="46"/>
        <v>0</v>
      </c>
      <c r="S742">
        <f t="shared" si="47"/>
        <v>0</v>
      </c>
      <c r="T742">
        <f t="shared" si="48"/>
        <v>0</v>
      </c>
    </row>
    <row r="743" spans="1:20" x14ac:dyDescent="0.25">
      <c r="A743" s="5"/>
      <c r="C743" s="4"/>
      <c r="D743" s="4"/>
      <c r="P743">
        <f t="shared" si="44"/>
        <v>0</v>
      </c>
      <c r="Q743">
        <f t="shared" si="45"/>
        <v>0</v>
      </c>
      <c r="R743">
        <f t="shared" si="46"/>
        <v>0</v>
      </c>
      <c r="S743">
        <f t="shared" si="47"/>
        <v>0</v>
      </c>
      <c r="T743">
        <f t="shared" si="48"/>
        <v>0</v>
      </c>
    </row>
    <row r="744" spans="1:20" x14ac:dyDescent="0.25">
      <c r="A744" s="5"/>
      <c r="C744" s="4"/>
      <c r="D744" s="4"/>
      <c r="P744">
        <f t="shared" si="44"/>
        <v>0</v>
      </c>
      <c r="Q744">
        <f t="shared" si="45"/>
        <v>0</v>
      </c>
      <c r="R744">
        <f t="shared" si="46"/>
        <v>0</v>
      </c>
      <c r="S744">
        <f t="shared" si="47"/>
        <v>0</v>
      </c>
      <c r="T744">
        <f t="shared" si="48"/>
        <v>0</v>
      </c>
    </row>
    <row r="745" spans="1:20" x14ac:dyDescent="0.25">
      <c r="A745" s="5"/>
      <c r="C745" s="4"/>
      <c r="D745" s="4"/>
      <c r="P745">
        <f t="shared" si="44"/>
        <v>0</v>
      </c>
      <c r="Q745">
        <f t="shared" si="45"/>
        <v>0</v>
      </c>
      <c r="R745">
        <f t="shared" si="46"/>
        <v>0</v>
      </c>
      <c r="S745">
        <f t="shared" si="47"/>
        <v>0</v>
      </c>
      <c r="T745">
        <f t="shared" si="48"/>
        <v>0</v>
      </c>
    </row>
    <row r="746" spans="1:20" x14ac:dyDescent="0.25">
      <c r="A746" s="5"/>
      <c r="C746" s="4"/>
      <c r="D746" s="4"/>
      <c r="P746">
        <f t="shared" si="44"/>
        <v>0</v>
      </c>
      <c r="Q746">
        <f t="shared" si="45"/>
        <v>0</v>
      </c>
      <c r="R746">
        <f t="shared" si="46"/>
        <v>0</v>
      </c>
      <c r="S746">
        <f t="shared" si="47"/>
        <v>0</v>
      </c>
      <c r="T746">
        <f t="shared" si="48"/>
        <v>0</v>
      </c>
    </row>
    <row r="747" spans="1:20" x14ac:dyDescent="0.25">
      <c r="A747" s="5"/>
      <c r="C747" s="4"/>
      <c r="D747" s="4"/>
      <c r="P747">
        <f t="shared" si="44"/>
        <v>0</v>
      </c>
      <c r="Q747">
        <f t="shared" si="45"/>
        <v>0</v>
      </c>
      <c r="R747">
        <f t="shared" si="46"/>
        <v>0</v>
      </c>
      <c r="S747">
        <f t="shared" si="47"/>
        <v>0</v>
      </c>
      <c r="T747">
        <f t="shared" si="48"/>
        <v>0</v>
      </c>
    </row>
    <row r="748" spans="1:20" x14ac:dyDescent="0.25">
      <c r="A748" s="5"/>
      <c r="C748" s="4"/>
      <c r="D748" s="4"/>
      <c r="P748">
        <f t="shared" si="44"/>
        <v>0</v>
      </c>
      <c r="Q748">
        <f t="shared" si="45"/>
        <v>0</v>
      </c>
      <c r="R748">
        <f t="shared" si="46"/>
        <v>0</v>
      </c>
      <c r="S748">
        <f t="shared" si="47"/>
        <v>0</v>
      </c>
      <c r="T748">
        <f t="shared" si="48"/>
        <v>0</v>
      </c>
    </row>
    <row r="749" spans="1:20" x14ac:dyDescent="0.25">
      <c r="A749" s="5"/>
      <c r="C749" s="4"/>
      <c r="D749" s="4"/>
      <c r="P749">
        <f t="shared" si="44"/>
        <v>0</v>
      </c>
      <c r="Q749">
        <f t="shared" si="45"/>
        <v>0</v>
      </c>
      <c r="R749">
        <f t="shared" si="46"/>
        <v>0</v>
      </c>
      <c r="S749">
        <f t="shared" si="47"/>
        <v>0</v>
      </c>
      <c r="T749">
        <f t="shared" si="48"/>
        <v>0</v>
      </c>
    </row>
    <row r="750" spans="1:20" x14ac:dyDescent="0.25">
      <c r="A750" s="5"/>
      <c r="C750" s="4"/>
      <c r="D750" s="4"/>
      <c r="P750">
        <f t="shared" si="44"/>
        <v>0</v>
      </c>
      <c r="Q750">
        <f t="shared" si="45"/>
        <v>0</v>
      </c>
      <c r="R750">
        <f t="shared" si="46"/>
        <v>0</v>
      </c>
      <c r="S750">
        <f t="shared" si="47"/>
        <v>0</v>
      </c>
      <c r="T750">
        <f t="shared" si="48"/>
        <v>0</v>
      </c>
    </row>
    <row r="751" spans="1:20" x14ac:dyDescent="0.25">
      <c r="A751" s="5"/>
      <c r="C751" s="4"/>
      <c r="D751" s="4"/>
      <c r="P751">
        <f t="shared" si="44"/>
        <v>0</v>
      </c>
      <c r="Q751">
        <f t="shared" si="45"/>
        <v>0</v>
      </c>
      <c r="R751">
        <f t="shared" si="46"/>
        <v>0</v>
      </c>
      <c r="S751">
        <f t="shared" si="47"/>
        <v>0</v>
      </c>
      <c r="T751">
        <f t="shared" si="48"/>
        <v>0</v>
      </c>
    </row>
    <row r="752" spans="1:20" x14ac:dyDescent="0.25">
      <c r="A752" s="5"/>
      <c r="C752" s="4"/>
      <c r="D752" s="4"/>
      <c r="P752">
        <f t="shared" si="44"/>
        <v>0</v>
      </c>
      <c r="Q752">
        <f t="shared" si="45"/>
        <v>0</v>
      </c>
      <c r="R752">
        <f t="shared" si="46"/>
        <v>0</v>
      </c>
      <c r="S752">
        <f t="shared" si="47"/>
        <v>0</v>
      </c>
      <c r="T752">
        <f t="shared" si="48"/>
        <v>0</v>
      </c>
    </row>
    <row r="753" spans="1:20" x14ac:dyDescent="0.25">
      <c r="A753" s="5"/>
      <c r="C753" s="4"/>
      <c r="D753" s="4"/>
      <c r="P753">
        <f t="shared" si="44"/>
        <v>0</v>
      </c>
      <c r="Q753">
        <f t="shared" si="45"/>
        <v>0</v>
      </c>
      <c r="R753">
        <f t="shared" si="46"/>
        <v>0</v>
      </c>
      <c r="S753">
        <f t="shared" si="47"/>
        <v>0</v>
      </c>
      <c r="T753">
        <f t="shared" si="48"/>
        <v>0</v>
      </c>
    </row>
    <row r="754" spans="1:20" x14ac:dyDescent="0.25">
      <c r="A754" s="5"/>
      <c r="C754" s="4"/>
      <c r="D754" s="4"/>
      <c r="P754">
        <f t="shared" si="44"/>
        <v>0</v>
      </c>
      <c r="Q754">
        <f t="shared" si="45"/>
        <v>0</v>
      </c>
      <c r="R754">
        <f t="shared" si="46"/>
        <v>0</v>
      </c>
      <c r="S754">
        <f t="shared" si="47"/>
        <v>0</v>
      </c>
      <c r="T754">
        <f t="shared" si="48"/>
        <v>0</v>
      </c>
    </row>
    <row r="755" spans="1:20" x14ac:dyDescent="0.25">
      <c r="A755" s="5"/>
      <c r="C755" s="4"/>
      <c r="D755" s="4"/>
      <c r="P755">
        <f t="shared" si="44"/>
        <v>0</v>
      </c>
      <c r="Q755">
        <f t="shared" si="45"/>
        <v>0</v>
      </c>
      <c r="R755">
        <f t="shared" si="46"/>
        <v>0</v>
      </c>
      <c r="S755">
        <f t="shared" si="47"/>
        <v>0</v>
      </c>
      <c r="T755">
        <f t="shared" si="48"/>
        <v>0</v>
      </c>
    </row>
    <row r="756" spans="1:20" x14ac:dyDescent="0.25">
      <c r="A756" s="5"/>
      <c r="C756" s="4"/>
      <c r="D756" s="4"/>
      <c r="P756">
        <f t="shared" si="44"/>
        <v>0</v>
      </c>
      <c r="Q756">
        <f t="shared" si="45"/>
        <v>0</v>
      </c>
      <c r="R756">
        <f t="shared" si="46"/>
        <v>0</v>
      </c>
      <c r="S756">
        <f t="shared" si="47"/>
        <v>0</v>
      </c>
      <c r="T756">
        <f t="shared" si="48"/>
        <v>0</v>
      </c>
    </row>
    <row r="757" spans="1:20" x14ac:dyDescent="0.25">
      <c r="A757" s="5"/>
      <c r="C757" s="4"/>
      <c r="D757" s="4"/>
      <c r="P757">
        <f t="shared" si="44"/>
        <v>0</v>
      </c>
      <c r="Q757">
        <f t="shared" si="45"/>
        <v>0</v>
      </c>
      <c r="R757">
        <f t="shared" si="46"/>
        <v>0</v>
      </c>
      <c r="S757">
        <f t="shared" si="47"/>
        <v>0</v>
      </c>
      <c r="T757">
        <f t="shared" si="48"/>
        <v>0</v>
      </c>
    </row>
    <row r="758" spans="1:20" x14ac:dyDescent="0.25">
      <c r="A758" s="5"/>
      <c r="C758" s="4"/>
      <c r="D758" s="4"/>
      <c r="P758">
        <f t="shared" si="44"/>
        <v>0</v>
      </c>
      <c r="Q758">
        <f t="shared" si="45"/>
        <v>0</v>
      </c>
      <c r="R758">
        <f t="shared" si="46"/>
        <v>0</v>
      </c>
      <c r="S758">
        <f t="shared" si="47"/>
        <v>0</v>
      </c>
      <c r="T758">
        <f t="shared" si="48"/>
        <v>0</v>
      </c>
    </row>
    <row r="759" spans="1:20" x14ac:dyDescent="0.25">
      <c r="A759" s="5"/>
      <c r="C759" s="4"/>
      <c r="D759" s="4"/>
      <c r="P759">
        <f t="shared" si="44"/>
        <v>0</v>
      </c>
      <c r="Q759">
        <f t="shared" si="45"/>
        <v>0</v>
      </c>
      <c r="R759">
        <f t="shared" si="46"/>
        <v>0</v>
      </c>
      <c r="S759">
        <f t="shared" si="47"/>
        <v>0</v>
      </c>
      <c r="T759">
        <f t="shared" si="48"/>
        <v>0</v>
      </c>
    </row>
    <row r="760" spans="1:20" x14ac:dyDescent="0.25">
      <c r="A760" s="5"/>
      <c r="C760" s="4"/>
      <c r="D760" s="4"/>
      <c r="P760">
        <f t="shared" si="44"/>
        <v>0</v>
      </c>
      <c r="Q760">
        <f t="shared" si="45"/>
        <v>0</v>
      </c>
      <c r="R760">
        <f t="shared" si="46"/>
        <v>0</v>
      </c>
      <c r="S760">
        <f t="shared" si="47"/>
        <v>0</v>
      </c>
      <c r="T760">
        <f t="shared" si="48"/>
        <v>0</v>
      </c>
    </row>
    <row r="761" spans="1:20" x14ac:dyDescent="0.25">
      <c r="A761" s="5"/>
      <c r="C761" s="4"/>
      <c r="D761" s="4"/>
      <c r="P761">
        <f t="shared" si="44"/>
        <v>0</v>
      </c>
      <c r="Q761">
        <f t="shared" si="45"/>
        <v>0</v>
      </c>
      <c r="R761">
        <f t="shared" si="46"/>
        <v>0</v>
      </c>
      <c r="S761">
        <f t="shared" si="47"/>
        <v>0</v>
      </c>
      <c r="T761">
        <f t="shared" si="48"/>
        <v>0</v>
      </c>
    </row>
    <row r="762" spans="1:20" x14ac:dyDescent="0.25">
      <c r="A762" s="5"/>
      <c r="C762" s="4"/>
      <c r="D762" s="4"/>
      <c r="P762">
        <f t="shared" si="44"/>
        <v>0</v>
      </c>
      <c r="Q762">
        <f t="shared" si="45"/>
        <v>0</v>
      </c>
      <c r="R762">
        <f t="shared" si="46"/>
        <v>0</v>
      </c>
      <c r="S762">
        <f t="shared" si="47"/>
        <v>0</v>
      </c>
      <c r="T762">
        <f t="shared" si="48"/>
        <v>0</v>
      </c>
    </row>
    <row r="763" spans="1:20" x14ac:dyDescent="0.25">
      <c r="A763" s="5"/>
      <c r="C763" s="4"/>
      <c r="D763" s="4"/>
      <c r="P763">
        <f t="shared" si="44"/>
        <v>0</v>
      </c>
      <c r="Q763">
        <f t="shared" si="45"/>
        <v>0</v>
      </c>
      <c r="R763">
        <f t="shared" si="46"/>
        <v>0</v>
      </c>
      <c r="S763">
        <f t="shared" si="47"/>
        <v>0</v>
      </c>
      <c r="T763">
        <f t="shared" si="48"/>
        <v>0</v>
      </c>
    </row>
    <row r="764" spans="1:20" x14ac:dyDescent="0.25">
      <c r="A764" s="5"/>
      <c r="C764" s="4"/>
      <c r="D764" s="4"/>
      <c r="P764">
        <f t="shared" si="44"/>
        <v>0</v>
      </c>
      <c r="Q764">
        <f t="shared" si="45"/>
        <v>0</v>
      </c>
      <c r="R764">
        <f t="shared" si="46"/>
        <v>0</v>
      </c>
      <c r="S764">
        <f t="shared" si="47"/>
        <v>0</v>
      </c>
      <c r="T764">
        <f t="shared" si="48"/>
        <v>0</v>
      </c>
    </row>
    <row r="765" spans="1:20" x14ac:dyDescent="0.25">
      <c r="A765" s="5"/>
      <c r="C765" s="4"/>
      <c r="D765" s="4"/>
      <c r="P765">
        <f t="shared" si="44"/>
        <v>0</v>
      </c>
      <c r="Q765">
        <f t="shared" si="45"/>
        <v>0</v>
      </c>
      <c r="R765">
        <f t="shared" si="46"/>
        <v>0</v>
      </c>
      <c r="S765">
        <f t="shared" si="47"/>
        <v>0</v>
      </c>
      <c r="T765">
        <f t="shared" si="48"/>
        <v>0</v>
      </c>
    </row>
    <row r="766" spans="1:20" x14ac:dyDescent="0.25">
      <c r="A766" s="5"/>
      <c r="C766" s="4"/>
      <c r="D766" s="4"/>
      <c r="P766">
        <f t="shared" si="44"/>
        <v>0</v>
      </c>
      <c r="Q766">
        <f t="shared" si="45"/>
        <v>0</v>
      </c>
      <c r="R766">
        <f t="shared" si="46"/>
        <v>0</v>
      </c>
      <c r="S766">
        <f t="shared" si="47"/>
        <v>0</v>
      </c>
      <c r="T766">
        <f t="shared" si="48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HZ336" sqref="HZ33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$A$335</v>
      </c>
      <c r="D111" s="1" t="str">
        <f>ADDRESS(C121-1,D121,1,1)</f>
        <v>$HZ$335</v>
      </c>
      <c r="E111"/>
    </row>
    <row r="112" spans="1:5" x14ac:dyDescent="0.25">
      <c r="A112" s="7">
        <v>12164.144957890772</v>
      </c>
      <c r="C112" s="1" t="str">
        <f>ADDRESS(C121,1,1,1)</f>
        <v>$A$336</v>
      </c>
      <c r="D112" s="1" t="str">
        <f>ADDRESS(C121,D121-1,1,1)</f>
        <v>$HY$336</v>
      </c>
      <c r="E112"/>
    </row>
    <row r="113" spans="1:5" x14ac:dyDescent="0.25">
      <c r="A113" s="7">
        <v>11925.63231165762</v>
      </c>
      <c r="C113" s="1" t="str">
        <f>ADDRESS(C121+1,1,1,1)</f>
        <v>$A$337</v>
      </c>
      <c r="D113" s="1" t="str">
        <f>ADDRESS(C121-1,D121+1,1,1)</f>
        <v>$IA$335</v>
      </c>
    </row>
    <row r="114" spans="1:5" x14ac:dyDescent="0.25">
      <c r="A114" s="7">
        <v>11691.796383978059</v>
      </c>
      <c r="C114" s="1" t="str">
        <f>ADDRESS(C121,D121,1,1)</f>
        <v>$HZ$336</v>
      </c>
      <c r="D114" s="1" t="str">
        <f>ADDRESS(C121+1,D121+1,1,1)</f>
        <v>$IA$337</v>
      </c>
    </row>
    <row r="115" spans="1:5" x14ac:dyDescent="0.25">
      <c r="A115" s="7">
        <v>11462.545474488292</v>
      </c>
      <c r="C115" s="1" t="str">
        <f>ADDRESS(C121+1,D121,1,1)</f>
        <v>$HZ$337</v>
      </c>
    </row>
    <row r="116" spans="1:5" x14ac:dyDescent="0.25">
      <c r="A116" s="7">
        <v>11237.789680870874</v>
      </c>
      <c r="C116" s="1">
        <f>C117-1</f>
        <v>335</v>
      </c>
    </row>
    <row r="117" spans="1:5" x14ac:dyDescent="0.25">
      <c r="A117" s="7">
        <v>11017.440863598895</v>
      </c>
      <c r="C117" s="1">
        <f>C121</f>
        <v>336</v>
      </c>
      <c r="D117" s="1">
        <f>D121</f>
        <v>234</v>
      </c>
    </row>
    <row r="118" spans="1:5" x14ac:dyDescent="0.25">
      <c r="A118" s="7">
        <v>10801.412611371465</v>
      </c>
      <c r="C118" s="1">
        <f>C117+1</f>
        <v>337</v>
      </c>
      <c r="D118" s="1">
        <f>D117+1</f>
        <v>235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336</v>
      </c>
      <c r="D121" s="19">
        <v>234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R336</v>
      </c>
      <c r="D123" s="1" t="str">
        <f>"C"&amp;D121</f>
        <v>C234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144.09307592152317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112" x14ac:dyDescent="0.25">
      <c r="A257" s="7">
        <v>688.74218085310292</v>
      </c>
      <c r="B257"/>
      <c r="C257"/>
      <c r="D257"/>
      <c r="E257"/>
    </row>
    <row r="258" spans="1:112" x14ac:dyDescent="0.25">
      <c r="A258" s="7">
        <v>675.23743220892447</v>
      </c>
      <c r="B258"/>
      <c r="C258"/>
      <c r="D258"/>
      <c r="E258"/>
    </row>
    <row r="259" spans="1:112" x14ac:dyDescent="0.25">
      <c r="A259" s="7">
        <v>661.9974825577691</v>
      </c>
      <c r="B259"/>
      <c r="C259"/>
      <c r="D259"/>
      <c r="E259"/>
      <c r="DG259" s="27" t="s">
        <v>8</v>
      </c>
    </row>
    <row r="260" spans="1:112" x14ac:dyDescent="0.25">
      <c r="A260" s="7">
        <v>649.0171397625187</v>
      </c>
      <c r="B260"/>
      <c r="C260"/>
      <c r="D260"/>
      <c r="E260"/>
      <c r="DG260" s="27" t="s">
        <v>8</v>
      </c>
      <c r="DH260" s="27" t="s">
        <v>7</v>
      </c>
    </row>
    <row r="261" spans="1:112" x14ac:dyDescent="0.25">
      <c r="A261" s="7">
        <v>636.29131349266538</v>
      </c>
      <c r="B261"/>
      <c r="C261"/>
      <c r="D261"/>
      <c r="E261"/>
      <c r="DG261" s="27" t="s">
        <v>8</v>
      </c>
      <c r="DH261" s="27" t="s">
        <v>7</v>
      </c>
    </row>
    <row r="262" spans="1:112" x14ac:dyDescent="0.25">
      <c r="A262" s="7">
        <v>623.81501322810334</v>
      </c>
      <c r="B262"/>
      <c r="C262"/>
      <c r="D262"/>
      <c r="E262"/>
      <c r="DE262" s="27" t="s">
        <v>8</v>
      </c>
      <c r="DG262" s="27" t="s">
        <v>8</v>
      </c>
      <c r="DH262" s="27" t="s">
        <v>7</v>
      </c>
    </row>
    <row r="263" spans="1:112" x14ac:dyDescent="0.25">
      <c r="A263" s="7">
        <v>611.58334630206207</v>
      </c>
      <c r="B263"/>
      <c r="C263"/>
      <c r="D263"/>
      <c r="E263"/>
      <c r="DE263" s="27" t="s">
        <v>8</v>
      </c>
      <c r="DF263" s="27" t="s">
        <v>7</v>
      </c>
      <c r="DG263" s="27" t="s">
        <v>8</v>
      </c>
      <c r="DH263" s="27" t="s">
        <v>7</v>
      </c>
    </row>
    <row r="264" spans="1:112" x14ac:dyDescent="0.25">
      <c r="A264" s="7">
        <v>599.59151598241374</v>
      </c>
      <c r="B264"/>
      <c r="C264"/>
      <c r="D264"/>
      <c r="E264"/>
      <c r="DE264" s="27" t="s">
        <v>8</v>
      </c>
      <c r="DF264" s="27" t="s">
        <v>7</v>
      </c>
      <c r="DG264" s="27" t="s">
        <v>8</v>
      </c>
      <c r="DH264" s="27" t="s">
        <v>7</v>
      </c>
    </row>
    <row r="265" spans="1:112" x14ac:dyDescent="0.25">
      <c r="A265" s="7">
        <v>587.83481959060168</v>
      </c>
      <c r="B265"/>
      <c r="C265"/>
      <c r="D265"/>
      <c r="E265"/>
      <c r="DE265" s="27" t="s">
        <v>8</v>
      </c>
      <c r="DF265" s="27" t="s">
        <v>7</v>
      </c>
      <c r="DG265" s="27" t="s">
        <v>8</v>
      </c>
      <c r="DH265" s="27" t="s">
        <v>7</v>
      </c>
    </row>
    <row r="266" spans="1:112" x14ac:dyDescent="0.25">
      <c r="A266" s="7">
        <v>576.30864665745264</v>
      </c>
      <c r="B266"/>
      <c r="C266"/>
      <c r="D266"/>
      <c r="E266"/>
      <c r="BM266" s="27" t="s">
        <v>8</v>
      </c>
      <c r="DE266" s="27" t="s">
        <v>8</v>
      </c>
      <c r="DF266" s="27" t="s">
        <v>7</v>
      </c>
      <c r="DG266" s="27" t="s">
        <v>8</v>
      </c>
      <c r="DH266" s="27" t="s">
        <v>7</v>
      </c>
    </row>
    <row r="267" spans="1:112" x14ac:dyDescent="0.25">
      <c r="A267" s="7">
        <v>565.00847711514962</v>
      </c>
      <c r="B267"/>
      <c r="C267"/>
      <c r="D267"/>
      <c r="E267"/>
      <c r="BM267" s="27" t="s">
        <v>8</v>
      </c>
      <c r="BN267" s="27" t="s">
        <v>7</v>
      </c>
      <c r="DE267" s="27" t="s">
        <v>8</v>
      </c>
      <c r="DF267" s="27" t="s">
        <v>7</v>
      </c>
      <c r="DG267" s="27" t="s">
        <v>8</v>
      </c>
      <c r="DH267" s="27" t="s">
        <v>7</v>
      </c>
    </row>
    <row r="268" spans="1:112" x14ac:dyDescent="0.25">
      <c r="A268" s="7">
        <v>553.92987952465649</v>
      </c>
      <c r="B268"/>
      <c r="C268"/>
      <c r="D268"/>
      <c r="E268"/>
      <c r="BM268" s="27" t="s">
        <v>8</v>
      </c>
      <c r="BN268" s="27" t="s">
        <v>7</v>
      </c>
      <c r="DE268" s="27" t="s">
        <v>8</v>
      </c>
      <c r="DF268" s="27" t="s">
        <v>7</v>
      </c>
      <c r="DG268" s="27" t="s">
        <v>8</v>
      </c>
      <c r="DH268" s="27" t="s">
        <v>7</v>
      </c>
    </row>
    <row r="269" spans="1:112" x14ac:dyDescent="0.25">
      <c r="A269" s="7">
        <v>543.06850933789849</v>
      </c>
      <c r="B269"/>
      <c r="C269"/>
      <c r="D269"/>
      <c r="E269"/>
      <c r="BM269" s="27" t="s">
        <v>8</v>
      </c>
      <c r="BN269" s="27" t="s">
        <v>7</v>
      </c>
      <c r="DE269" s="27" t="s">
        <v>8</v>
      </c>
      <c r="DF269" s="27" t="s">
        <v>7</v>
      </c>
      <c r="DG269" s="27" t="s">
        <v>8</v>
      </c>
      <c r="DH269" s="27" t="s">
        <v>7</v>
      </c>
    </row>
    <row r="270" spans="1:112" x14ac:dyDescent="0.25">
      <c r="A270" s="7">
        <v>532.4201071940181</v>
      </c>
      <c r="B270"/>
      <c r="C270"/>
      <c r="D270"/>
      <c r="E270"/>
      <c r="BI270" s="27" t="s">
        <v>8</v>
      </c>
      <c r="BM270" s="27" t="s">
        <v>8</v>
      </c>
      <c r="BN270" s="27" t="s">
        <v>7</v>
      </c>
      <c r="CY270" s="27" t="s">
        <v>8</v>
      </c>
      <c r="DE270" s="27" t="s">
        <v>8</v>
      </c>
      <c r="DF270" s="27" t="s">
        <v>7</v>
      </c>
      <c r="DG270" s="27" t="s">
        <v>8</v>
      </c>
      <c r="DH270" s="27" t="s">
        <v>7</v>
      </c>
    </row>
    <row r="271" spans="1:112" x14ac:dyDescent="0.25">
      <c r="A271" s="7">
        <v>521.9804972490374</v>
      </c>
      <c r="B271"/>
      <c r="C271"/>
      <c r="D271"/>
      <c r="E271"/>
      <c r="BI271" s="27" t="s">
        <v>8</v>
      </c>
      <c r="BJ271" s="27" t="s">
        <v>7</v>
      </c>
      <c r="BK271" s="27" t="s">
        <v>8</v>
      </c>
      <c r="BM271" s="27" t="s">
        <v>8</v>
      </c>
      <c r="BN271" s="27" t="s">
        <v>7</v>
      </c>
      <c r="CY271" s="27" t="s">
        <v>8</v>
      </c>
      <c r="CZ271" s="27" t="s">
        <v>7</v>
      </c>
      <c r="DE271" s="27" t="s">
        <v>8</v>
      </c>
      <c r="DF271" s="27" t="s">
        <v>7</v>
      </c>
      <c r="DG271" s="27" t="s">
        <v>8</v>
      </c>
      <c r="DH271" s="27" t="s">
        <v>7</v>
      </c>
    </row>
    <row r="272" spans="1:112" x14ac:dyDescent="0.25">
      <c r="A272" s="7">
        <v>511.74558553827194</v>
      </c>
      <c r="B272"/>
      <c r="C272"/>
      <c r="D272"/>
      <c r="E272"/>
      <c r="BI272" s="27" t="s">
        <v>8</v>
      </c>
      <c r="BJ272" s="27" t="s">
        <v>7</v>
      </c>
      <c r="BK272" s="27" t="s">
        <v>8</v>
      </c>
      <c r="BL272" s="27" t="s">
        <v>7</v>
      </c>
      <c r="BM272" s="27" t="s">
        <v>8</v>
      </c>
      <c r="BN272" s="27" t="s">
        <v>7</v>
      </c>
      <c r="CW272" s="27" t="s">
        <v>8</v>
      </c>
      <c r="CY272" s="27" t="s">
        <v>8</v>
      </c>
      <c r="CZ272" s="27" t="s">
        <v>7</v>
      </c>
      <c r="DE272" s="27" t="s">
        <v>8</v>
      </c>
      <c r="DF272" s="27" t="s">
        <v>7</v>
      </c>
      <c r="DG272" s="27" t="s">
        <v>8</v>
      </c>
      <c r="DH272" s="27" t="s">
        <v>7</v>
      </c>
    </row>
    <row r="273" spans="1:188" x14ac:dyDescent="0.25">
      <c r="A273" s="7">
        <v>501.71135837085484</v>
      </c>
      <c r="B273"/>
      <c r="C273"/>
      <c r="D273"/>
      <c r="E273"/>
      <c r="BI273" s="27" t="s">
        <v>8</v>
      </c>
      <c r="BJ273" s="27" t="s">
        <v>7</v>
      </c>
      <c r="BK273" s="27" t="s">
        <v>8</v>
      </c>
      <c r="BL273" s="27" t="s">
        <v>7</v>
      </c>
      <c r="BM273" s="27" t="s">
        <v>8</v>
      </c>
      <c r="BN273" s="27" t="s">
        <v>7</v>
      </c>
      <c r="CW273" s="27" t="s">
        <v>8</v>
      </c>
      <c r="CX273" s="27" t="s">
        <v>7</v>
      </c>
      <c r="CY273" s="27" t="s">
        <v>8</v>
      </c>
      <c r="CZ273" s="27" t="s">
        <v>7</v>
      </c>
      <c r="DE273" s="27" t="s">
        <v>8</v>
      </c>
      <c r="DF273" s="27" t="s">
        <v>7</v>
      </c>
      <c r="DG273" s="27" t="s">
        <v>8</v>
      </c>
      <c r="DH273" s="27" t="s">
        <v>7</v>
      </c>
      <c r="DI273" s="27" t="s">
        <v>8</v>
      </c>
    </row>
    <row r="274" spans="1:188" x14ac:dyDescent="0.25">
      <c r="A274" s="7">
        <v>491.87388075574</v>
      </c>
      <c r="B274"/>
      <c r="C274"/>
      <c r="D274"/>
      <c r="E274"/>
      <c r="BI274" s="27" t="s">
        <v>8</v>
      </c>
      <c r="BJ274" s="27" t="s">
        <v>7</v>
      </c>
      <c r="BK274" s="27" t="s">
        <v>8</v>
      </c>
      <c r="BL274" s="27" t="s">
        <v>7</v>
      </c>
      <c r="BM274" s="27" t="s">
        <v>8</v>
      </c>
      <c r="BN274" s="27" t="s">
        <v>7</v>
      </c>
      <c r="BS274" s="27" t="s">
        <v>8</v>
      </c>
      <c r="CW274" s="27" t="s">
        <v>8</v>
      </c>
      <c r="CX274" s="27" t="s">
        <v>7</v>
      </c>
      <c r="CY274" s="27" t="s">
        <v>8</v>
      </c>
      <c r="CZ274" s="27" t="s">
        <v>7</v>
      </c>
      <c r="DE274" s="27" t="s">
        <v>8</v>
      </c>
      <c r="DF274" s="27" t="s">
        <v>7</v>
      </c>
      <c r="DG274" s="27" t="s">
        <v>8</v>
      </c>
      <c r="DH274" s="27" t="s">
        <v>7</v>
      </c>
      <c r="DI274" s="27" t="s">
        <v>8</v>
      </c>
      <c r="DJ274" s="27" t="s">
        <v>7</v>
      </c>
    </row>
    <row r="275" spans="1:188" x14ac:dyDescent="0.25">
      <c r="A275" s="7">
        <v>482.22929485856861</v>
      </c>
      <c r="B275"/>
      <c r="C275"/>
      <c r="D275"/>
      <c r="E275"/>
      <c r="BI275" s="27" t="s">
        <v>8</v>
      </c>
      <c r="BJ275" s="27" t="s">
        <v>7</v>
      </c>
      <c r="BK275" s="27" t="s">
        <v>8</v>
      </c>
      <c r="BL275" s="27" t="s">
        <v>7</v>
      </c>
      <c r="BM275" s="27" t="s">
        <v>8</v>
      </c>
      <c r="BN275" s="27" t="s">
        <v>7</v>
      </c>
      <c r="BS275" s="27" t="s">
        <v>8</v>
      </c>
      <c r="BT275" s="27" t="s">
        <v>7</v>
      </c>
      <c r="CM275" s="27" t="s">
        <v>8</v>
      </c>
      <c r="CU275" s="27" t="s">
        <v>8</v>
      </c>
      <c r="CW275" s="27" t="s">
        <v>8</v>
      </c>
      <c r="CX275" s="27" t="s">
        <v>7</v>
      </c>
      <c r="CY275" s="27" t="s">
        <v>8</v>
      </c>
      <c r="CZ275" s="27" t="s">
        <v>7</v>
      </c>
      <c r="DA275" s="27" t="s">
        <v>8</v>
      </c>
      <c r="DE275" s="27" t="s">
        <v>8</v>
      </c>
      <c r="DF275" s="27" t="s">
        <v>7</v>
      </c>
      <c r="DG275" s="27" t="s">
        <v>8</v>
      </c>
      <c r="DH275" s="27" t="s">
        <v>7</v>
      </c>
      <c r="DI275" s="27" t="s">
        <v>8</v>
      </c>
      <c r="DJ275" s="27" t="s">
        <v>7</v>
      </c>
    </row>
    <row r="276" spans="1:188" x14ac:dyDescent="0.25">
      <c r="A276" s="7">
        <v>472.77381848879276</v>
      </c>
      <c r="B276"/>
      <c r="C276"/>
      <c r="D276"/>
      <c r="E276"/>
      <c r="BI276" s="27" t="s">
        <v>8</v>
      </c>
      <c r="BJ276" s="27" t="s">
        <v>7</v>
      </c>
      <c r="BK276" s="27" t="s">
        <v>8</v>
      </c>
      <c r="BL276" s="27" t="s">
        <v>7</v>
      </c>
      <c r="BN276" s="27" t="s">
        <v>7</v>
      </c>
      <c r="BO276" s="27" t="s">
        <v>8</v>
      </c>
      <c r="BQ276" s="27" t="s">
        <v>8</v>
      </c>
      <c r="BS276" s="27" t="s">
        <v>8</v>
      </c>
      <c r="BT276" s="27" t="s">
        <v>7</v>
      </c>
      <c r="CM276" s="27" t="s">
        <v>8</v>
      </c>
      <c r="CN276" s="27" t="s">
        <v>7</v>
      </c>
      <c r="CU276" s="27" t="s">
        <v>8</v>
      </c>
      <c r="CV276" s="27" t="s">
        <v>7</v>
      </c>
      <c r="CW276" s="27" t="s">
        <v>8</v>
      </c>
      <c r="CX276" s="27" t="s">
        <v>7</v>
      </c>
      <c r="CZ276" s="27" t="s">
        <v>7</v>
      </c>
      <c r="DA276" s="27" t="s">
        <v>8</v>
      </c>
      <c r="DB276" s="27" t="s">
        <v>7</v>
      </c>
      <c r="DC276" s="27" t="s">
        <v>8</v>
      </c>
      <c r="DE276" s="27" t="s">
        <v>8</v>
      </c>
      <c r="DF276" s="27" t="s">
        <v>7</v>
      </c>
      <c r="DH276" s="27" t="s">
        <v>7</v>
      </c>
      <c r="DI276" s="27" t="s">
        <v>8</v>
      </c>
      <c r="DJ276" s="27" t="s">
        <v>7</v>
      </c>
    </row>
    <row r="277" spans="1:188" x14ac:dyDescent="0.25">
      <c r="A277" s="7">
        <v>463.50374361646345</v>
      </c>
      <c r="B277"/>
      <c r="C277"/>
      <c r="D277"/>
      <c r="E277"/>
      <c r="BI277" s="27" t="s">
        <v>8</v>
      </c>
      <c r="BJ277" s="27" t="s">
        <v>7</v>
      </c>
      <c r="BK277" s="27" t="s">
        <v>8</v>
      </c>
      <c r="BN277" s="27" t="s">
        <v>7</v>
      </c>
      <c r="BO277" s="27" t="s">
        <v>8</v>
      </c>
      <c r="BP277" s="27" t="s">
        <v>7</v>
      </c>
      <c r="BQ277" s="27" t="s">
        <v>8</v>
      </c>
      <c r="BR277" s="27" t="s">
        <v>7</v>
      </c>
      <c r="BS277" s="27" t="s">
        <v>8</v>
      </c>
      <c r="BT277" s="27" t="s">
        <v>7</v>
      </c>
      <c r="CM277" s="27" t="s">
        <v>8</v>
      </c>
      <c r="CN277" s="27" t="s">
        <v>7</v>
      </c>
      <c r="CU277" s="27" t="s">
        <v>8</v>
      </c>
      <c r="CV277" s="27" t="s">
        <v>7</v>
      </c>
      <c r="CW277" s="27" t="s">
        <v>8</v>
      </c>
      <c r="CZ277" s="27" t="s">
        <v>7</v>
      </c>
      <c r="DA277" s="27" t="s">
        <v>8</v>
      </c>
      <c r="DB277" s="27" t="s">
        <v>7</v>
      </c>
      <c r="DC277" s="27" t="s">
        <v>8</v>
      </c>
      <c r="DD277" s="27" t="s">
        <v>7</v>
      </c>
      <c r="DE277" s="27" t="s">
        <v>8</v>
      </c>
      <c r="DH277" s="27" t="s">
        <v>7</v>
      </c>
      <c r="DI277" s="27" t="s">
        <v>8</v>
      </c>
      <c r="DJ277" s="27" t="s">
        <v>7</v>
      </c>
    </row>
    <row r="278" spans="1:188" x14ac:dyDescent="0.25">
      <c r="A278" s="7">
        <v>454.41543491810143</v>
      </c>
      <c r="B278"/>
      <c r="C278"/>
      <c r="D278"/>
      <c r="E278"/>
      <c r="BI278" s="27" t="s">
        <v>8</v>
      </c>
      <c r="BJ278" s="27" t="s">
        <v>7</v>
      </c>
      <c r="BK278" s="27" t="s">
        <v>8</v>
      </c>
      <c r="BN278" s="27" t="s">
        <v>7</v>
      </c>
      <c r="BO278" s="27" t="s">
        <v>8</v>
      </c>
      <c r="BP278" s="27" t="s">
        <v>7</v>
      </c>
      <c r="BQ278" s="27" t="s">
        <v>8</v>
      </c>
      <c r="BR278" s="27" t="s">
        <v>7</v>
      </c>
      <c r="BS278" s="27" t="s">
        <v>8</v>
      </c>
      <c r="BT278" s="27" t="s">
        <v>7</v>
      </c>
      <c r="BY278" s="27" t="s">
        <v>8</v>
      </c>
      <c r="CM278" s="27" t="s">
        <v>8</v>
      </c>
      <c r="CN278" s="27" t="s">
        <v>7</v>
      </c>
      <c r="CO278" s="27" t="s">
        <v>8</v>
      </c>
      <c r="CU278" s="27" t="s">
        <v>8</v>
      </c>
      <c r="CV278" s="27" t="s">
        <v>7</v>
      </c>
      <c r="CW278" s="27" t="s">
        <v>8</v>
      </c>
      <c r="CZ278" s="27" t="s">
        <v>7</v>
      </c>
      <c r="DA278" s="27" t="s">
        <v>8</v>
      </c>
      <c r="DB278" s="27" t="s">
        <v>7</v>
      </c>
      <c r="DC278" s="27" t="s">
        <v>8</v>
      </c>
      <c r="DD278" s="27" t="s">
        <v>7</v>
      </c>
      <c r="DE278" s="27" t="s">
        <v>8</v>
      </c>
      <c r="DH278" s="27" t="s">
        <v>7</v>
      </c>
      <c r="DI278" s="27" t="s">
        <v>8</v>
      </c>
      <c r="DJ278" s="27" t="s">
        <v>7</v>
      </c>
      <c r="GE278" s="27" t="s">
        <v>8</v>
      </c>
    </row>
    <row r="279" spans="1:188" x14ac:dyDescent="0.25">
      <c r="A279" s="7">
        <v>445.50532835107981</v>
      </c>
      <c r="B279"/>
      <c r="C279"/>
      <c r="D279"/>
      <c r="E279"/>
      <c r="BI279" s="27" t="s">
        <v>8</v>
      </c>
      <c r="BJ279" s="27" t="s">
        <v>7</v>
      </c>
      <c r="BK279" s="27" t="s">
        <v>8</v>
      </c>
      <c r="BN279" s="27" t="s">
        <v>7</v>
      </c>
      <c r="BO279" s="27" t="s">
        <v>8</v>
      </c>
      <c r="BP279" s="27" t="s">
        <v>7</v>
      </c>
      <c r="BQ279" s="27" t="s">
        <v>8</v>
      </c>
      <c r="BR279" s="27" t="s">
        <v>7</v>
      </c>
      <c r="BS279" s="27" t="s">
        <v>8</v>
      </c>
      <c r="BT279" s="27" t="s">
        <v>7</v>
      </c>
      <c r="BY279" s="27" t="s">
        <v>8</v>
      </c>
      <c r="BZ279" s="27" t="s">
        <v>7</v>
      </c>
      <c r="CM279" s="27" t="s">
        <v>8</v>
      </c>
      <c r="CN279" s="27" t="s">
        <v>7</v>
      </c>
      <c r="CO279" s="27" t="s">
        <v>8</v>
      </c>
      <c r="CP279" s="27" t="s">
        <v>7</v>
      </c>
      <c r="CU279" s="27" t="s">
        <v>8</v>
      </c>
      <c r="CV279" s="27" t="s">
        <v>7</v>
      </c>
      <c r="CW279" s="27" t="s">
        <v>8</v>
      </c>
      <c r="CZ279" s="27" t="s">
        <v>7</v>
      </c>
      <c r="DB279" s="27" t="s">
        <v>7</v>
      </c>
      <c r="DC279" s="27" t="s">
        <v>8</v>
      </c>
      <c r="DD279" s="27" t="s">
        <v>7</v>
      </c>
      <c r="DE279" s="27" t="s">
        <v>8</v>
      </c>
      <c r="DH279" s="27" t="s">
        <v>7</v>
      </c>
      <c r="DI279" s="27" t="s">
        <v>8</v>
      </c>
      <c r="DJ279" s="27" t="s">
        <v>7</v>
      </c>
      <c r="FA279" s="27" t="s">
        <v>8</v>
      </c>
      <c r="GE279" s="27" t="s">
        <v>8</v>
      </c>
      <c r="GF279" s="27" t="s">
        <v>7</v>
      </c>
    </row>
    <row r="280" spans="1:188" x14ac:dyDescent="0.25">
      <c r="A280" s="7">
        <v>436.76992975596062</v>
      </c>
      <c r="B280"/>
      <c r="C280"/>
      <c r="D280"/>
      <c r="E280"/>
      <c r="BI280" s="27" t="s">
        <v>8</v>
      </c>
      <c r="BJ280" s="27" t="s">
        <v>7</v>
      </c>
      <c r="BK280" s="27" t="s">
        <v>8</v>
      </c>
      <c r="BN280" s="27" t="s">
        <v>7</v>
      </c>
      <c r="BO280" s="27" t="s">
        <v>8</v>
      </c>
      <c r="BP280" s="27" t="s">
        <v>7</v>
      </c>
      <c r="BQ280" s="27" t="s">
        <v>8</v>
      </c>
      <c r="BR280" s="27" t="s">
        <v>7</v>
      </c>
      <c r="BS280" s="27" t="s">
        <v>8</v>
      </c>
      <c r="BT280" s="27" t="s">
        <v>7</v>
      </c>
      <c r="BY280" s="27" t="s">
        <v>8</v>
      </c>
      <c r="BZ280" s="27" t="s">
        <v>7</v>
      </c>
      <c r="CM280" s="27" t="s">
        <v>8</v>
      </c>
      <c r="CN280" s="27" t="s">
        <v>7</v>
      </c>
      <c r="CO280" s="27" t="s">
        <v>8</v>
      </c>
      <c r="CP280" s="27" t="s">
        <v>7</v>
      </c>
      <c r="CU280" s="27" t="s">
        <v>8</v>
      </c>
      <c r="CV280" s="27" t="s">
        <v>7</v>
      </c>
      <c r="CW280" s="27" t="s">
        <v>8</v>
      </c>
      <c r="DB280" s="27" t="s">
        <v>7</v>
      </c>
      <c r="DD280" s="27" t="s">
        <v>7</v>
      </c>
      <c r="DE280" s="27" t="s">
        <v>8</v>
      </c>
      <c r="DH280" s="27" t="s">
        <v>7</v>
      </c>
      <c r="DI280" s="27" t="s">
        <v>8</v>
      </c>
      <c r="DJ280" s="27" t="s">
        <v>7</v>
      </c>
      <c r="FA280" s="27" t="s">
        <v>8</v>
      </c>
      <c r="FB280" s="27" t="s">
        <v>7</v>
      </c>
      <c r="GE280" s="27" t="s">
        <v>8</v>
      </c>
      <c r="GF280" s="27" t="s">
        <v>7</v>
      </c>
    </row>
    <row r="281" spans="1:188" x14ac:dyDescent="0.25">
      <c r="A281" s="7">
        <v>428.20581348623591</v>
      </c>
      <c r="B281"/>
      <c r="C281"/>
      <c r="D281"/>
      <c r="E281"/>
      <c r="BI281" s="27" t="s">
        <v>8</v>
      </c>
      <c r="BJ281" s="27" t="s">
        <v>7</v>
      </c>
      <c r="BK281" s="27" t="s">
        <v>8</v>
      </c>
      <c r="BN281" s="27" t="s">
        <v>7</v>
      </c>
      <c r="BO281" s="27" t="s">
        <v>8</v>
      </c>
      <c r="BP281" s="27" t="s">
        <v>7</v>
      </c>
      <c r="BQ281" s="27" t="s">
        <v>8</v>
      </c>
      <c r="BR281" s="27" t="s">
        <v>7</v>
      </c>
      <c r="BS281" s="27" t="s">
        <v>8</v>
      </c>
      <c r="BT281" s="27" t="s">
        <v>7</v>
      </c>
      <c r="BY281" s="27" t="s">
        <v>8</v>
      </c>
      <c r="BZ281" s="27" t="s">
        <v>7</v>
      </c>
      <c r="CM281" s="27" t="s">
        <v>8</v>
      </c>
      <c r="CN281" s="27" t="s">
        <v>7</v>
      </c>
      <c r="CO281" s="27" t="s">
        <v>8</v>
      </c>
      <c r="CP281" s="27" t="s">
        <v>7</v>
      </c>
      <c r="CU281" s="27" t="s">
        <v>8</v>
      </c>
      <c r="CV281" s="27" t="s">
        <v>7</v>
      </c>
      <c r="DD281" s="27" t="s">
        <v>7</v>
      </c>
      <c r="DE281" s="27" t="s">
        <v>8</v>
      </c>
      <c r="DH281" s="27" t="s">
        <v>7</v>
      </c>
      <c r="DI281" s="27" t="s">
        <v>8</v>
      </c>
      <c r="DJ281" s="27" t="s">
        <v>7</v>
      </c>
      <c r="EY281" s="27" t="s">
        <v>8</v>
      </c>
      <c r="FA281" s="27" t="s">
        <v>8</v>
      </c>
      <c r="FB281" s="27" t="s">
        <v>7</v>
      </c>
      <c r="GE281" s="27" t="s">
        <v>8</v>
      </c>
      <c r="GF281" s="27" t="s">
        <v>7</v>
      </c>
    </row>
    <row r="282" spans="1:188" x14ac:dyDescent="0.25">
      <c r="A282" s="7">
        <v>419.80962106493718</v>
      </c>
      <c r="B282"/>
      <c r="C282"/>
      <c r="D282"/>
      <c r="E282"/>
      <c r="BI282" s="27" t="s">
        <v>8</v>
      </c>
      <c r="BJ282" s="27" t="s">
        <v>7</v>
      </c>
      <c r="BK282" s="27" t="s">
        <v>8</v>
      </c>
      <c r="BN282" s="27" t="s">
        <v>7</v>
      </c>
      <c r="BO282" s="27" t="s">
        <v>8</v>
      </c>
      <c r="BP282" s="27" t="s">
        <v>7</v>
      </c>
      <c r="BQ282" s="27" t="s">
        <v>8</v>
      </c>
      <c r="BR282" s="27" t="s">
        <v>7</v>
      </c>
      <c r="BS282" s="27" t="s">
        <v>8</v>
      </c>
      <c r="BT282" s="27" t="s">
        <v>7</v>
      </c>
      <c r="BY282" s="27" t="s">
        <v>8</v>
      </c>
      <c r="BZ282" s="27" t="s">
        <v>7</v>
      </c>
      <c r="CA282" s="27" t="s">
        <v>8</v>
      </c>
      <c r="CI282" s="27" t="s">
        <v>8</v>
      </c>
      <c r="CM282" s="27" t="s">
        <v>8</v>
      </c>
      <c r="CN282" s="27" t="s">
        <v>7</v>
      </c>
      <c r="CP282" s="27" t="s">
        <v>7</v>
      </c>
      <c r="CU282" s="27" t="s">
        <v>8</v>
      </c>
      <c r="DD282" s="27" t="s">
        <v>7</v>
      </c>
      <c r="DE282" s="27" t="s">
        <v>8</v>
      </c>
      <c r="DH282" s="27" t="s">
        <v>7</v>
      </c>
      <c r="DI282" s="27" t="s">
        <v>8</v>
      </c>
      <c r="DJ282" s="27" t="s">
        <v>7</v>
      </c>
      <c r="EW282" s="27" t="s">
        <v>8</v>
      </c>
      <c r="EY282" s="27" t="s">
        <v>8</v>
      </c>
      <c r="EZ282" s="27" t="s">
        <v>7</v>
      </c>
      <c r="FA282" s="27" t="s">
        <v>8</v>
      </c>
      <c r="FB282" s="27" t="s">
        <v>7</v>
      </c>
      <c r="FC282" s="27" t="s">
        <v>8</v>
      </c>
      <c r="FI282" s="27" t="s">
        <v>8</v>
      </c>
      <c r="GE282" s="27" t="s">
        <v>8</v>
      </c>
      <c r="GF282" s="27" t="s">
        <v>7</v>
      </c>
    </row>
    <row r="283" spans="1:188" x14ac:dyDescent="0.25">
      <c r="A283" s="7">
        <v>411.57805986758547</v>
      </c>
      <c r="B283"/>
      <c r="C283"/>
      <c r="D283"/>
      <c r="E283"/>
      <c r="BI283" s="27" t="s">
        <v>8</v>
      </c>
      <c r="BJ283" s="27" t="s">
        <v>7</v>
      </c>
      <c r="BK283" s="27" t="s">
        <v>8</v>
      </c>
      <c r="BN283" s="27" t="s">
        <v>7</v>
      </c>
      <c r="BO283" s="27" t="s">
        <v>8</v>
      </c>
      <c r="BP283" s="27" t="s">
        <v>7</v>
      </c>
      <c r="BQ283" s="27" t="s">
        <v>8</v>
      </c>
      <c r="BR283" s="27" t="s">
        <v>7</v>
      </c>
      <c r="BT283" s="27" t="s">
        <v>7</v>
      </c>
      <c r="BW283" s="27" t="s">
        <v>8</v>
      </c>
      <c r="BY283" s="27" t="s">
        <v>8</v>
      </c>
      <c r="BZ283" s="27" t="s">
        <v>7</v>
      </c>
      <c r="CA283" s="27" t="s">
        <v>8</v>
      </c>
      <c r="CB283" s="27" t="s">
        <v>7</v>
      </c>
      <c r="CI283" s="27" t="s">
        <v>8</v>
      </c>
      <c r="CJ283" s="27" t="s">
        <v>7</v>
      </c>
      <c r="CK283" s="27" t="s">
        <v>8</v>
      </c>
      <c r="CM283" s="27" t="s">
        <v>8</v>
      </c>
      <c r="CP283" s="27" t="s">
        <v>7</v>
      </c>
      <c r="CS283" s="27" t="s">
        <v>8</v>
      </c>
      <c r="CU283" s="27" t="s">
        <v>8</v>
      </c>
      <c r="DD283" s="27" t="s">
        <v>7</v>
      </c>
      <c r="DE283" s="27" t="s">
        <v>8</v>
      </c>
      <c r="DH283" s="27" t="s">
        <v>7</v>
      </c>
      <c r="DI283" s="27" t="s">
        <v>8</v>
      </c>
      <c r="DJ283" s="27" t="s">
        <v>7</v>
      </c>
      <c r="DM283" s="27" t="s">
        <v>8</v>
      </c>
      <c r="EW283" s="27" t="s">
        <v>8</v>
      </c>
      <c r="EX283" s="27" t="s">
        <v>7</v>
      </c>
      <c r="EY283" s="27" t="s">
        <v>8</v>
      </c>
      <c r="EZ283" s="27" t="s">
        <v>7</v>
      </c>
      <c r="FA283" s="27" t="s">
        <v>8</v>
      </c>
      <c r="FB283" s="27" t="s">
        <v>7</v>
      </c>
      <c r="FC283" s="27" t="s">
        <v>8</v>
      </c>
      <c r="FD283" s="27" t="s">
        <v>7</v>
      </c>
      <c r="FG283" s="27" t="s">
        <v>8</v>
      </c>
      <c r="FI283" s="27" t="s">
        <v>8</v>
      </c>
      <c r="FJ283" s="27" t="s">
        <v>7</v>
      </c>
      <c r="FO283" s="27" t="s">
        <v>8</v>
      </c>
      <c r="GE283" s="27" t="s">
        <v>8</v>
      </c>
      <c r="GF283" s="27" t="s">
        <v>7</v>
      </c>
    </row>
    <row r="284" spans="1:188" x14ac:dyDescent="0.25">
      <c r="A284" s="7">
        <v>403.50790183096615</v>
      </c>
      <c r="B284"/>
      <c r="C284"/>
      <c r="D284"/>
      <c r="E284"/>
      <c r="BI284" s="27" t="s">
        <v>8</v>
      </c>
      <c r="BJ284" s="27" t="s">
        <v>7</v>
      </c>
      <c r="BK284" s="27" t="s">
        <v>8</v>
      </c>
      <c r="BN284" s="27" t="s">
        <v>7</v>
      </c>
      <c r="BO284" s="27" t="s">
        <v>8</v>
      </c>
      <c r="BP284" s="27" t="s">
        <v>7</v>
      </c>
      <c r="BT284" s="27" t="s">
        <v>7</v>
      </c>
      <c r="BU284" s="27" t="s">
        <v>8</v>
      </c>
      <c r="BW284" s="27" t="s">
        <v>8</v>
      </c>
      <c r="BX284" s="27" t="s">
        <v>7</v>
      </c>
      <c r="BY284" s="27" t="s">
        <v>8</v>
      </c>
      <c r="BZ284" s="27" t="s">
        <v>7</v>
      </c>
      <c r="CA284" s="27" t="s">
        <v>8</v>
      </c>
      <c r="CB284" s="27" t="s">
        <v>7</v>
      </c>
      <c r="CI284" s="27" t="s">
        <v>8</v>
      </c>
      <c r="CJ284" s="27" t="s">
        <v>7</v>
      </c>
      <c r="CK284" s="27" t="s">
        <v>8</v>
      </c>
      <c r="CL284" s="27" t="s">
        <v>7</v>
      </c>
      <c r="CM284" s="27" t="s">
        <v>8</v>
      </c>
      <c r="CP284" s="27" t="s">
        <v>7</v>
      </c>
      <c r="CS284" s="27" t="s">
        <v>8</v>
      </c>
      <c r="CT284" s="27" t="s">
        <v>7</v>
      </c>
      <c r="CU284" s="27" t="s">
        <v>8</v>
      </c>
      <c r="DD284" s="27" t="s">
        <v>7</v>
      </c>
      <c r="DH284" s="27" t="s">
        <v>7</v>
      </c>
      <c r="DI284" s="27" t="s">
        <v>8</v>
      </c>
      <c r="DJ284" s="27" t="s">
        <v>7</v>
      </c>
      <c r="DM284" s="27" t="s">
        <v>8</v>
      </c>
      <c r="DN284" s="27" t="s">
        <v>7</v>
      </c>
      <c r="DO284" s="27" t="s">
        <v>8</v>
      </c>
      <c r="EW284" s="27" t="s">
        <v>8</v>
      </c>
      <c r="EX284" s="27" t="s">
        <v>7</v>
      </c>
      <c r="EY284" s="27" t="s">
        <v>8</v>
      </c>
      <c r="EZ284" s="27" t="s">
        <v>7</v>
      </c>
      <c r="FA284" s="27" t="s">
        <v>8</v>
      </c>
      <c r="FB284" s="27" t="s">
        <v>7</v>
      </c>
      <c r="FC284" s="27" t="s">
        <v>8</v>
      </c>
      <c r="FD284" s="27" t="s">
        <v>7</v>
      </c>
      <c r="FG284" s="27" t="s">
        <v>8</v>
      </c>
      <c r="FH284" s="27" t="s">
        <v>7</v>
      </c>
      <c r="FI284" s="27" t="s">
        <v>8</v>
      </c>
      <c r="FJ284" s="27" t="s">
        <v>7</v>
      </c>
      <c r="FO284" s="27" t="s">
        <v>8</v>
      </c>
      <c r="FP284" s="27" t="s">
        <v>7</v>
      </c>
      <c r="GE284" s="27" t="s">
        <v>8</v>
      </c>
      <c r="GF284" s="27" t="s">
        <v>7</v>
      </c>
    </row>
    <row r="285" spans="1:188" x14ac:dyDescent="0.25">
      <c r="A285" s="7">
        <v>395.59598218722169</v>
      </c>
      <c r="B285"/>
      <c r="C285"/>
      <c r="D285"/>
      <c r="E285"/>
      <c r="BI285" s="27" t="s">
        <v>8</v>
      </c>
      <c r="BJ285" s="27" t="s">
        <v>7</v>
      </c>
      <c r="BN285" s="27" t="s">
        <v>7</v>
      </c>
      <c r="BO285" s="27" t="s">
        <v>8</v>
      </c>
      <c r="BT285" s="27" t="s">
        <v>7</v>
      </c>
      <c r="BU285" s="27" t="s">
        <v>8</v>
      </c>
      <c r="BV285" s="27" t="s">
        <v>7</v>
      </c>
      <c r="BW285" s="27" t="s">
        <v>8</v>
      </c>
      <c r="BX285" s="27" t="s">
        <v>7</v>
      </c>
      <c r="BY285" s="27" t="s">
        <v>8</v>
      </c>
      <c r="BZ285" s="27" t="s">
        <v>7</v>
      </c>
      <c r="CA285" s="27" t="s">
        <v>8</v>
      </c>
      <c r="CB285" s="27" t="s">
        <v>7</v>
      </c>
      <c r="CE285" s="27" t="s">
        <v>8</v>
      </c>
      <c r="CI285" s="27" t="s">
        <v>8</v>
      </c>
      <c r="CJ285" s="27" t="s">
        <v>7</v>
      </c>
      <c r="CK285" s="27" t="s">
        <v>8</v>
      </c>
      <c r="CL285" s="27" t="s">
        <v>7</v>
      </c>
      <c r="CM285" s="27" t="s">
        <v>8</v>
      </c>
      <c r="CP285" s="27" t="s">
        <v>7</v>
      </c>
      <c r="CQ285" s="27" t="s">
        <v>8</v>
      </c>
      <c r="CS285" s="27" t="s">
        <v>8</v>
      </c>
      <c r="CT285" s="27" t="s">
        <v>7</v>
      </c>
      <c r="CU285" s="27" t="s">
        <v>8</v>
      </c>
      <c r="DH285" s="27" t="s">
        <v>7</v>
      </c>
      <c r="DI285" s="27" t="s">
        <v>8</v>
      </c>
      <c r="DJ285" s="27" t="s">
        <v>7</v>
      </c>
      <c r="DM285" s="27" t="s">
        <v>8</v>
      </c>
      <c r="DN285" s="27" t="s">
        <v>7</v>
      </c>
      <c r="DO285" s="27" t="s">
        <v>8</v>
      </c>
      <c r="DP285" s="27" t="s">
        <v>7</v>
      </c>
      <c r="EU285" s="27" t="s">
        <v>8</v>
      </c>
      <c r="EW285" s="27" t="s">
        <v>8</v>
      </c>
      <c r="EX285" s="27" t="s">
        <v>7</v>
      </c>
      <c r="EY285" s="27" t="s">
        <v>8</v>
      </c>
      <c r="EZ285" s="27" t="s">
        <v>7</v>
      </c>
      <c r="FB285" s="27" t="s">
        <v>7</v>
      </c>
      <c r="FC285" s="27" t="s">
        <v>8</v>
      </c>
      <c r="FD285" s="27" t="s">
        <v>7</v>
      </c>
      <c r="FG285" s="27" t="s">
        <v>8</v>
      </c>
      <c r="FH285" s="27" t="s">
        <v>7</v>
      </c>
      <c r="FI285" s="27" t="s">
        <v>8</v>
      </c>
      <c r="FJ285" s="27" t="s">
        <v>7</v>
      </c>
      <c r="FO285" s="27" t="s">
        <v>8</v>
      </c>
      <c r="FP285" s="27" t="s">
        <v>7</v>
      </c>
      <c r="GE285" s="27" t="s">
        <v>8</v>
      </c>
      <c r="GF285" s="27" t="s">
        <v>7</v>
      </c>
    </row>
    <row r="286" spans="1:188" x14ac:dyDescent="0.25">
      <c r="A286" s="7">
        <v>387.83919822276636</v>
      </c>
      <c r="B286"/>
      <c r="C286"/>
      <c r="D286"/>
      <c r="E286"/>
      <c r="BI286" s="27" t="s">
        <v>8</v>
      </c>
      <c r="BN286" s="27" t="s">
        <v>7</v>
      </c>
      <c r="BO286" s="27" t="s">
        <v>8</v>
      </c>
      <c r="BT286" s="27" t="s">
        <v>7</v>
      </c>
      <c r="BU286" s="27" t="s">
        <v>8</v>
      </c>
      <c r="BV286" s="27" t="s">
        <v>7</v>
      </c>
      <c r="BW286" s="27" t="s">
        <v>8</v>
      </c>
      <c r="BX286" s="27" t="s">
        <v>7</v>
      </c>
      <c r="BY286" s="27" t="s">
        <v>8</v>
      </c>
      <c r="BZ286" s="27" t="s">
        <v>7</v>
      </c>
      <c r="CA286" s="27" t="s">
        <v>8</v>
      </c>
      <c r="CB286" s="27" t="s">
        <v>7</v>
      </c>
      <c r="CE286" s="27" t="s">
        <v>8</v>
      </c>
      <c r="CF286" s="27" t="s">
        <v>7</v>
      </c>
      <c r="CI286" s="27" t="s">
        <v>8</v>
      </c>
      <c r="CJ286" s="27" t="s">
        <v>7</v>
      </c>
      <c r="CK286" s="27" t="s">
        <v>8</v>
      </c>
      <c r="CL286" s="27" t="s">
        <v>7</v>
      </c>
      <c r="CM286" s="27" t="s">
        <v>8</v>
      </c>
      <c r="CP286" s="27" t="s">
        <v>7</v>
      </c>
      <c r="CQ286" s="27" t="s">
        <v>8</v>
      </c>
      <c r="CR286" s="27" t="s">
        <v>7</v>
      </c>
      <c r="CS286" s="27" t="s">
        <v>8</v>
      </c>
      <c r="CT286" s="27" t="s">
        <v>7</v>
      </c>
      <c r="CU286" s="27" t="s">
        <v>8</v>
      </c>
      <c r="DH286" s="27" t="s">
        <v>7</v>
      </c>
      <c r="DI286" s="27" t="s">
        <v>8</v>
      </c>
      <c r="DJ286" s="27" t="s">
        <v>7</v>
      </c>
      <c r="DM286" s="27" t="s">
        <v>8</v>
      </c>
      <c r="DN286" s="27" t="s">
        <v>7</v>
      </c>
      <c r="DO286" s="27" t="s">
        <v>8</v>
      </c>
      <c r="DP286" s="27" t="s">
        <v>7</v>
      </c>
      <c r="DQ286" s="27" t="s">
        <v>8</v>
      </c>
      <c r="EU286" s="27" t="s">
        <v>8</v>
      </c>
      <c r="EV286" s="27" t="s">
        <v>7</v>
      </c>
      <c r="EW286" s="27" t="s">
        <v>8</v>
      </c>
      <c r="EX286" s="27" t="s">
        <v>7</v>
      </c>
      <c r="EY286" s="27" t="s">
        <v>8</v>
      </c>
      <c r="FB286" s="27" t="s">
        <v>7</v>
      </c>
      <c r="FC286" s="27" t="s">
        <v>8</v>
      </c>
      <c r="FD286" s="27" t="s">
        <v>7</v>
      </c>
      <c r="FG286" s="27" t="s">
        <v>8</v>
      </c>
      <c r="FH286" s="27" t="s">
        <v>7</v>
      </c>
      <c r="FJ286" s="27" t="s">
        <v>7</v>
      </c>
      <c r="FO286" s="27" t="s">
        <v>8</v>
      </c>
      <c r="FP286" s="27" t="s">
        <v>7</v>
      </c>
      <c r="GE286" s="27" t="s">
        <v>8</v>
      </c>
      <c r="GF286" s="27" t="s">
        <v>7</v>
      </c>
    </row>
    <row r="287" spans="1:188" x14ac:dyDescent="0.25">
      <c r="A287" s="7">
        <v>380.23450806153562</v>
      </c>
      <c r="B287"/>
      <c r="C287"/>
      <c r="D287"/>
      <c r="E287"/>
      <c r="BI287" s="27" t="s">
        <v>8</v>
      </c>
      <c r="BN287" s="27" t="s">
        <v>7</v>
      </c>
      <c r="BT287" s="27" t="s">
        <v>7</v>
      </c>
      <c r="BU287" s="27" t="s">
        <v>8</v>
      </c>
      <c r="BV287" s="27" t="s">
        <v>7</v>
      </c>
      <c r="BW287" s="27" t="s">
        <v>8</v>
      </c>
      <c r="BX287" s="27" t="s">
        <v>7</v>
      </c>
      <c r="BY287" s="27" t="s">
        <v>8</v>
      </c>
      <c r="BZ287" s="27" t="s">
        <v>7</v>
      </c>
      <c r="CA287" s="27" t="s">
        <v>8</v>
      </c>
      <c r="CB287" s="27" t="s">
        <v>7</v>
      </c>
      <c r="CC287" s="27" t="s">
        <v>8</v>
      </c>
      <c r="CE287" s="27" t="s">
        <v>8</v>
      </c>
      <c r="CF287" s="27" t="s">
        <v>7</v>
      </c>
      <c r="CI287" s="27" t="s">
        <v>8</v>
      </c>
      <c r="CJ287" s="27" t="s">
        <v>7</v>
      </c>
      <c r="CK287" s="27" t="s">
        <v>8</v>
      </c>
      <c r="CL287" s="27" t="s">
        <v>7</v>
      </c>
      <c r="CM287" s="27" t="s">
        <v>8</v>
      </c>
      <c r="CP287" s="27" t="s">
        <v>7</v>
      </c>
      <c r="CQ287" s="27" t="s">
        <v>8</v>
      </c>
      <c r="CR287" s="27" t="s">
        <v>7</v>
      </c>
      <c r="CS287" s="27" t="s">
        <v>8</v>
      </c>
      <c r="CT287" s="27" t="s">
        <v>7</v>
      </c>
      <c r="CU287" s="27" t="s">
        <v>8</v>
      </c>
      <c r="DH287" s="27" t="s">
        <v>7</v>
      </c>
      <c r="DI287" s="27" t="s">
        <v>8</v>
      </c>
      <c r="DJ287" s="27" t="s">
        <v>7</v>
      </c>
      <c r="DK287" s="27" t="s">
        <v>8</v>
      </c>
      <c r="DM287" s="27" t="s">
        <v>8</v>
      </c>
      <c r="DN287" s="27" t="s">
        <v>7</v>
      </c>
      <c r="DO287" s="27" t="s">
        <v>8</v>
      </c>
      <c r="DP287" s="27" t="s">
        <v>7</v>
      </c>
      <c r="DQ287" s="27" t="s">
        <v>8</v>
      </c>
      <c r="DR287" s="27" t="s">
        <v>7</v>
      </c>
      <c r="ES287" s="27" t="s">
        <v>8</v>
      </c>
      <c r="EU287" s="27" t="s">
        <v>8</v>
      </c>
      <c r="EV287" s="27" t="s">
        <v>7</v>
      </c>
      <c r="EW287" s="27" t="s">
        <v>8</v>
      </c>
      <c r="EX287" s="27" t="s">
        <v>7</v>
      </c>
      <c r="FB287" s="27" t="s">
        <v>7</v>
      </c>
      <c r="FC287" s="27" t="s">
        <v>8</v>
      </c>
      <c r="FD287" s="27" t="s">
        <v>7</v>
      </c>
      <c r="FG287" s="27" t="s">
        <v>8</v>
      </c>
      <c r="FJ287" s="27" t="s">
        <v>7</v>
      </c>
      <c r="FO287" s="27" t="s">
        <v>8</v>
      </c>
      <c r="FP287" s="27" t="s">
        <v>7</v>
      </c>
      <c r="GE287" s="27" t="s">
        <v>8</v>
      </c>
      <c r="GF287" s="27" t="s">
        <v>7</v>
      </c>
    </row>
    <row r="288" spans="1:188" x14ac:dyDescent="0.25">
      <c r="A288" s="7">
        <v>372.77892947209375</v>
      </c>
      <c r="B288"/>
      <c r="C288"/>
      <c r="D288"/>
      <c r="E288"/>
      <c r="BI288" s="27" t="s">
        <v>8</v>
      </c>
      <c r="BT288" s="27" t="s">
        <v>7</v>
      </c>
      <c r="BU288" s="27" t="s">
        <v>8</v>
      </c>
      <c r="BV288" s="27" t="s">
        <v>7</v>
      </c>
      <c r="BW288" s="27" t="s">
        <v>8</v>
      </c>
      <c r="BX288" s="27" t="s">
        <v>7</v>
      </c>
      <c r="BY288" s="27" t="s">
        <v>8</v>
      </c>
      <c r="BZ288" s="27" t="s">
        <v>7</v>
      </c>
      <c r="CA288" s="27" t="s">
        <v>8</v>
      </c>
      <c r="CB288" s="27" t="s">
        <v>7</v>
      </c>
      <c r="CC288" s="27" t="s">
        <v>8</v>
      </c>
      <c r="CD288" s="27" t="s">
        <v>7</v>
      </c>
      <c r="CE288" s="27" t="s">
        <v>8</v>
      </c>
      <c r="CF288" s="27" t="s">
        <v>7</v>
      </c>
      <c r="CI288" s="27" t="s">
        <v>8</v>
      </c>
      <c r="CJ288" s="27" t="s">
        <v>7</v>
      </c>
      <c r="CL288" s="27" t="s">
        <v>7</v>
      </c>
      <c r="CM288" s="27" t="s">
        <v>8</v>
      </c>
      <c r="CP288" s="27" t="s">
        <v>7</v>
      </c>
      <c r="CQ288" s="27" t="s">
        <v>8</v>
      </c>
      <c r="CR288" s="27" t="s">
        <v>7</v>
      </c>
      <c r="CS288" s="27" t="s">
        <v>8</v>
      </c>
      <c r="CT288" s="27" t="s">
        <v>7</v>
      </c>
      <c r="CU288" s="27" t="s">
        <v>8</v>
      </c>
      <c r="DH288" s="27" t="s">
        <v>7</v>
      </c>
      <c r="DI288" s="27" t="s">
        <v>8</v>
      </c>
      <c r="DJ288" s="27" t="s">
        <v>7</v>
      </c>
      <c r="DK288" s="27" t="s">
        <v>8</v>
      </c>
      <c r="DL288" s="27" t="s">
        <v>7</v>
      </c>
      <c r="DM288" s="27" t="s">
        <v>8</v>
      </c>
      <c r="DN288" s="27" t="s">
        <v>7</v>
      </c>
      <c r="DO288" s="27" t="s">
        <v>8</v>
      </c>
      <c r="DP288" s="27" t="s">
        <v>7</v>
      </c>
      <c r="DQ288" s="27" t="s">
        <v>8</v>
      </c>
      <c r="DR288" s="27" t="s">
        <v>7</v>
      </c>
      <c r="ES288" s="27" t="s">
        <v>8</v>
      </c>
      <c r="ET288" s="27" t="s">
        <v>7</v>
      </c>
      <c r="EU288" s="27" t="s">
        <v>8</v>
      </c>
      <c r="EV288" s="27" t="s">
        <v>7</v>
      </c>
      <c r="EW288" s="27" t="s">
        <v>8</v>
      </c>
      <c r="FB288" s="27" t="s">
        <v>7</v>
      </c>
      <c r="FC288" s="27" t="s">
        <v>8</v>
      </c>
      <c r="FD288" s="27" t="s">
        <v>7</v>
      </c>
      <c r="FE288" s="27" t="s">
        <v>8</v>
      </c>
      <c r="FG288" s="27" t="s">
        <v>8</v>
      </c>
      <c r="FJ288" s="27" t="s">
        <v>7</v>
      </c>
      <c r="FO288" s="27" t="s">
        <v>8</v>
      </c>
      <c r="FP288" s="27" t="s">
        <v>7</v>
      </c>
      <c r="GE288" s="27" t="s">
        <v>8</v>
      </c>
      <c r="GF288" s="27" t="s">
        <v>7</v>
      </c>
    </row>
    <row r="289" spans="1:222" x14ac:dyDescent="0.25">
      <c r="A289" s="7">
        <v>365.46953869813115</v>
      </c>
      <c r="B289"/>
      <c r="C289"/>
      <c r="D289"/>
      <c r="E289"/>
      <c r="BI289" s="27" t="s">
        <v>8</v>
      </c>
      <c r="BT289" s="27" t="s">
        <v>7</v>
      </c>
      <c r="BU289" s="27" t="s">
        <v>8</v>
      </c>
      <c r="BV289" s="27" t="s">
        <v>7</v>
      </c>
      <c r="BW289" s="27" t="s">
        <v>8</v>
      </c>
      <c r="BX289" s="27" t="s">
        <v>7</v>
      </c>
      <c r="BY289" s="27" t="s">
        <v>8</v>
      </c>
      <c r="BZ289" s="27" t="s">
        <v>7</v>
      </c>
      <c r="CB289" s="27" t="s">
        <v>7</v>
      </c>
      <c r="CC289" s="27" t="s">
        <v>8</v>
      </c>
      <c r="CD289" s="27" t="s">
        <v>7</v>
      </c>
      <c r="CE289" s="27" t="s">
        <v>8</v>
      </c>
      <c r="CF289" s="27" t="s">
        <v>7</v>
      </c>
      <c r="CI289" s="27" t="s">
        <v>8</v>
      </c>
      <c r="CL289" s="27" t="s">
        <v>7</v>
      </c>
      <c r="CM289" s="27" t="s">
        <v>8</v>
      </c>
      <c r="CP289" s="27" t="s">
        <v>7</v>
      </c>
      <c r="CQ289" s="27" t="s">
        <v>8</v>
      </c>
      <c r="CR289" s="27" t="s">
        <v>7</v>
      </c>
      <c r="CS289" s="27" t="s">
        <v>8</v>
      </c>
      <c r="CT289" s="27" t="s">
        <v>7</v>
      </c>
      <c r="CU289" s="27" t="s">
        <v>8</v>
      </c>
      <c r="DH289" s="27" t="s">
        <v>7</v>
      </c>
      <c r="DI289" s="27" t="s">
        <v>8</v>
      </c>
      <c r="DJ289" s="27" t="s">
        <v>7</v>
      </c>
      <c r="DK289" s="27" t="s">
        <v>8</v>
      </c>
      <c r="DL289" s="27" t="s">
        <v>7</v>
      </c>
      <c r="DM289" s="27" t="s">
        <v>8</v>
      </c>
      <c r="DN289" s="27" t="s">
        <v>7</v>
      </c>
      <c r="DO289" s="27" t="s">
        <v>8</v>
      </c>
      <c r="DP289" s="27" t="s">
        <v>7</v>
      </c>
      <c r="DQ289" s="27" t="s">
        <v>8</v>
      </c>
      <c r="DR289" s="27" t="s">
        <v>7</v>
      </c>
      <c r="ES289" s="27" t="s">
        <v>8</v>
      </c>
      <c r="ET289" s="27" t="s">
        <v>7</v>
      </c>
      <c r="EU289" s="27" t="s">
        <v>8</v>
      </c>
      <c r="EV289" s="27" t="s">
        <v>7</v>
      </c>
      <c r="EW289" s="27" t="s">
        <v>8</v>
      </c>
      <c r="FB289" s="27" t="s">
        <v>7</v>
      </c>
      <c r="FD289" s="27" t="s">
        <v>7</v>
      </c>
      <c r="FE289" s="27" t="s">
        <v>8</v>
      </c>
      <c r="FF289" s="27" t="s">
        <v>7</v>
      </c>
      <c r="FG289" s="27" t="s">
        <v>8</v>
      </c>
      <c r="FJ289" s="27" t="s">
        <v>7</v>
      </c>
      <c r="FO289" s="27" t="s">
        <v>8</v>
      </c>
      <c r="FP289" s="27" t="s">
        <v>7</v>
      </c>
      <c r="GE289" s="27" t="s">
        <v>8</v>
      </c>
      <c r="GF289" s="27" t="s">
        <v>7</v>
      </c>
    </row>
    <row r="290" spans="1:222" x14ac:dyDescent="0.25">
      <c r="A290" s="7">
        <v>358.30346931189325</v>
      </c>
      <c r="B290"/>
      <c r="C290"/>
      <c r="D290"/>
      <c r="E290"/>
      <c r="BI290" s="27" t="s">
        <v>8</v>
      </c>
      <c r="BT290" s="27" t="s">
        <v>7</v>
      </c>
      <c r="BU290" s="27" t="s">
        <v>8</v>
      </c>
      <c r="BV290" s="27" t="s">
        <v>7</v>
      </c>
      <c r="BW290" s="27" t="s">
        <v>8</v>
      </c>
      <c r="BX290" s="27" t="s">
        <v>7</v>
      </c>
      <c r="BY290" s="27" t="s">
        <v>8</v>
      </c>
      <c r="CB290" s="27" t="s">
        <v>7</v>
      </c>
      <c r="CC290" s="27" t="s">
        <v>8</v>
      </c>
      <c r="CD290" s="27" t="s">
        <v>7</v>
      </c>
      <c r="CF290" s="27" t="s">
        <v>7</v>
      </c>
      <c r="CG290" s="27" t="s">
        <v>8</v>
      </c>
      <c r="CI290" s="27" t="s">
        <v>8</v>
      </c>
      <c r="CL290" s="27" t="s">
        <v>7</v>
      </c>
      <c r="CM290" s="27" t="s">
        <v>8</v>
      </c>
      <c r="CP290" s="27" t="s">
        <v>7</v>
      </c>
      <c r="CQ290" s="27" t="s">
        <v>8</v>
      </c>
      <c r="CR290" s="27" t="s">
        <v>7</v>
      </c>
      <c r="CS290" s="27" t="s">
        <v>8</v>
      </c>
      <c r="CT290" s="27" t="s">
        <v>7</v>
      </c>
      <c r="CU290" s="27" t="s">
        <v>8</v>
      </c>
      <c r="DH290" s="27" t="s">
        <v>7</v>
      </c>
      <c r="DI290" s="27" t="s">
        <v>8</v>
      </c>
      <c r="DJ290" s="27" t="s">
        <v>7</v>
      </c>
      <c r="DK290" s="27" t="s">
        <v>8</v>
      </c>
      <c r="DL290" s="27" t="s">
        <v>7</v>
      </c>
      <c r="DM290" s="27" t="s">
        <v>8</v>
      </c>
      <c r="DN290" s="27" t="s">
        <v>7</v>
      </c>
      <c r="DO290" s="27" t="s">
        <v>8</v>
      </c>
      <c r="DP290" s="27" t="s">
        <v>7</v>
      </c>
      <c r="DQ290" s="27" t="s">
        <v>8</v>
      </c>
      <c r="DR290" s="27" t="s">
        <v>7</v>
      </c>
      <c r="ES290" s="27" t="s">
        <v>8</v>
      </c>
      <c r="ET290" s="27" t="s">
        <v>7</v>
      </c>
      <c r="EV290" s="27" t="s">
        <v>7</v>
      </c>
      <c r="EW290" s="27" t="s">
        <v>8</v>
      </c>
      <c r="FD290" s="27" t="s">
        <v>7</v>
      </c>
      <c r="FE290" s="27" t="s">
        <v>8</v>
      </c>
      <c r="FF290" s="27" t="s">
        <v>7</v>
      </c>
      <c r="FG290" s="27" t="s">
        <v>8</v>
      </c>
      <c r="FJ290" s="27" t="s">
        <v>7</v>
      </c>
      <c r="FO290" s="27" t="s">
        <v>8</v>
      </c>
      <c r="FP290" s="27" t="s">
        <v>7</v>
      </c>
      <c r="GE290" s="27" t="s">
        <v>8</v>
      </c>
      <c r="GF290" s="27" t="s">
        <v>7</v>
      </c>
    </row>
    <row r="291" spans="1:222" x14ac:dyDescent="0.25">
      <c r="A291" s="7">
        <v>351.27791109009144</v>
      </c>
      <c r="B291"/>
      <c r="C291"/>
      <c r="D291"/>
      <c r="E291"/>
      <c r="BI291" s="27" t="s">
        <v>8</v>
      </c>
      <c r="BT291" s="27" t="s">
        <v>7</v>
      </c>
      <c r="BU291" s="27" t="s">
        <v>8</v>
      </c>
      <c r="BV291" s="27" t="s">
        <v>7</v>
      </c>
      <c r="BW291" s="27" t="s">
        <v>8</v>
      </c>
      <c r="BX291" s="27" t="s">
        <v>7</v>
      </c>
      <c r="BY291" s="27" t="s">
        <v>8</v>
      </c>
      <c r="CB291" s="27" t="s">
        <v>7</v>
      </c>
      <c r="CF291" s="27" t="s">
        <v>7</v>
      </c>
      <c r="CG291" s="27" t="s">
        <v>8</v>
      </c>
      <c r="CH291" s="27" t="s">
        <v>7</v>
      </c>
      <c r="CI291" s="27" t="s">
        <v>8</v>
      </c>
      <c r="CL291" s="27" t="s">
        <v>7</v>
      </c>
      <c r="CM291" s="27" t="s">
        <v>8</v>
      </c>
      <c r="CP291" s="27" t="s">
        <v>7</v>
      </c>
      <c r="CQ291" s="27" t="s">
        <v>8</v>
      </c>
      <c r="CR291" s="27" t="s">
        <v>7</v>
      </c>
      <c r="CS291" s="27" t="s">
        <v>8</v>
      </c>
      <c r="CT291" s="27" t="s">
        <v>7</v>
      </c>
      <c r="CU291" s="27" t="s">
        <v>8</v>
      </c>
      <c r="DH291" s="27" t="s">
        <v>7</v>
      </c>
      <c r="DJ291" s="27" t="s">
        <v>7</v>
      </c>
      <c r="DK291" s="27" t="s">
        <v>8</v>
      </c>
      <c r="DL291" s="27" t="s">
        <v>7</v>
      </c>
      <c r="DM291" s="27" t="s">
        <v>8</v>
      </c>
      <c r="DN291" s="27" t="s">
        <v>7</v>
      </c>
      <c r="DO291" s="27" t="s">
        <v>8</v>
      </c>
      <c r="DP291" s="27" t="s">
        <v>7</v>
      </c>
      <c r="DR291" s="27" t="s">
        <v>7</v>
      </c>
      <c r="ES291" s="27" t="s">
        <v>8</v>
      </c>
      <c r="EV291" s="27" t="s">
        <v>7</v>
      </c>
      <c r="FD291" s="27" t="s">
        <v>7</v>
      </c>
      <c r="FE291" s="27" t="s">
        <v>8</v>
      </c>
      <c r="FF291" s="27" t="s">
        <v>7</v>
      </c>
      <c r="FJ291" s="27" t="s">
        <v>7</v>
      </c>
      <c r="FK291" s="27" t="s">
        <v>8</v>
      </c>
      <c r="FO291" s="27" t="s">
        <v>8</v>
      </c>
      <c r="FP291" s="27" t="s">
        <v>7</v>
      </c>
      <c r="GE291" s="27" t="s">
        <v>8</v>
      </c>
      <c r="GF291" s="27" t="s">
        <v>7</v>
      </c>
    </row>
    <row r="292" spans="1:222" x14ac:dyDescent="0.25">
      <c r="A292" s="7">
        <v>344.39010891185433</v>
      </c>
      <c r="B292"/>
      <c r="C292"/>
      <c r="D292"/>
      <c r="E292"/>
      <c r="BI292" s="27" t="s">
        <v>8</v>
      </c>
      <c r="BT292" s="27" t="s">
        <v>7</v>
      </c>
      <c r="BU292" s="27" t="s">
        <v>8</v>
      </c>
      <c r="BV292" s="27" t="s">
        <v>7</v>
      </c>
      <c r="BW292" s="27" t="s">
        <v>8</v>
      </c>
      <c r="BX292" s="27" t="s">
        <v>7</v>
      </c>
      <c r="CF292" s="27" t="s">
        <v>7</v>
      </c>
      <c r="CG292" s="27" t="s">
        <v>8</v>
      </c>
      <c r="CH292" s="27" t="s">
        <v>7</v>
      </c>
      <c r="CI292" s="27" t="s">
        <v>8</v>
      </c>
      <c r="CL292" s="27" t="s">
        <v>7</v>
      </c>
      <c r="CP292" s="27" t="s">
        <v>7</v>
      </c>
      <c r="CQ292" s="27" t="s">
        <v>8</v>
      </c>
      <c r="CR292" s="27" t="s">
        <v>7</v>
      </c>
      <c r="CS292" s="27" t="s">
        <v>8</v>
      </c>
      <c r="CT292" s="27" t="s">
        <v>7</v>
      </c>
      <c r="CU292" s="27" t="s">
        <v>8</v>
      </c>
      <c r="DJ292" s="27" t="s">
        <v>7</v>
      </c>
      <c r="DK292" s="27" t="s">
        <v>8</v>
      </c>
      <c r="DL292" s="27" t="s">
        <v>7</v>
      </c>
      <c r="DM292" s="27" t="s">
        <v>8</v>
      </c>
      <c r="DN292" s="27" t="s">
        <v>7</v>
      </c>
      <c r="DO292" s="27" t="s">
        <v>8</v>
      </c>
      <c r="DR292" s="27" t="s">
        <v>7</v>
      </c>
      <c r="EC292" s="27" t="s">
        <v>8</v>
      </c>
      <c r="ES292" s="27" t="s">
        <v>8</v>
      </c>
      <c r="FD292" s="27" t="s">
        <v>7</v>
      </c>
      <c r="FJ292" s="27" t="s">
        <v>7</v>
      </c>
      <c r="FK292" s="27" t="s">
        <v>8</v>
      </c>
      <c r="FL292" s="27" t="s">
        <v>7</v>
      </c>
      <c r="FM292" s="27" t="s">
        <v>8</v>
      </c>
      <c r="FO292" s="27" t="s">
        <v>8</v>
      </c>
      <c r="FP292" s="27" t="s">
        <v>7</v>
      </c>
      <c r="GE292" s="27" t="s">
        <v>8</v>
      </c>
      <c r="GF292" s="27" t="s">
        <v>7</v>
      </c>
      <c r="GG292" s="27" t="s">
        <v>8</v>
      </c>
      <c r="GI292" s="27" t="s">
        <v>8</v>
      </c>
      <c r="GK292" s="27" t="s">
        <v>8</v>
      </c>
    </row>
    <row r="293" spans="1:222" x14ac:dyDescent="0.25">
      <c r="A293" s="7">
        <v>337.63736167828853</v>
      </c>
      <c r="B293"/>
      <c r="C293"/>
      <c r="D293"/>
      <c r="E293"/>
      <c r="BI293" s="27" t="s">
        <v>8</v>
      </c>
      <c r="BT293" s="27" t="s">
        <v>7</v>
      </c>
      <c r="BU293" s="27" t="s">
        <v>8</v>
      </c>
      <c r="BV293" s="27" t="s">
        <v>7</v>
      </c>
      <c r="BW293" s="27" t="s">
        <v>8</v>
      </c>
      <c r="CF293" s="27" t="s">
        <v>7</v>
      </c>
      <c r="CG293" s="27" t="s">
        <v>8</v>
      </c>
      <c r="CH293" s="27" t="s">
        <v>7</v>
      </c>
      <c r="CP293" s="27" t="s">
        <v>7</v>
      </c>
      <c r="CQ293" s="27" t="s">
        <v>8</v>
      </c>
      <c r="CR293" s="27" t="s">
        <v>7</v>
      </c>
      <c r="CS293" s="27" t="s">
        <v>8</v>
      </c>
      <c r="CT293" s="27" t="s">
        <v>7</v>
      </c>
      <c r="CU293" s="27" t="s">
        <v>8</v>
      </c>
      <c r="DJ293" s="27" t="s">
        <v>7</v>
      </c>
      <c r="DK293" s="27" t="s">
        <v>8</v>
      </c>
      <c r="DL293" s="27" t="s">
        <v>7</v>
      </c>
      <c r="DM293" s="27" t="s">
        <v>8</v>
      </c>
      <c r="DN293" s="27" t="s">
        <v>7</v>
      </c>
      <c r="DO293" s="27" t="s">
        <v>8</v>
      </c>
      <c r="DR293" s="27" t="s">
        <v>7</v>
      </c>
      <c r="DS293" s="27" t="s">
        <v>8</v>
      </c>
      <c r="EC293" s="27" t="s">
        <v>8</v>
      </c>
      <c r="ED293" s="27" t="s">
        <v>7</v>
      </c>
      <c r="EQ293" s="27" t="s">
        <v>8</v>
      </c>
      <c r="ES293" s="27" t="s">
        <v>8</v>
      </c>
      <c r="FJ293" s="27" t="s">
        <v>7</v>
      </c>
      <c r="FK293" s="27" t="s">
        <v>8</v>
      </c>
      <c r="FL293" s="27" t="s">
        <v>7</v>
      </c>
      <c r="FM293" s="27" t="s">
        <v>8</v>
      </c>
      <c r="FN293" s="27" t="s">
        <v>7</v>
      </c>
      <c r="FO293" s="27" t="s">
        <v>8</v>
      </c>
      <c r="FP293" s="27" t="s">
        <v>7</v>
      </c>
      <c r="GC293" s="27" t="s">
        <v>8</v>
      </c>
      <c r="GE293" s="27" t="s">
        <v>8</v>
      </c>
      <c r="GF293" s="27" t="s">
        <v>7</v>
      </c>
      <c r="GG293" s="27" t="s">
        <v>8</v>
      </c>
      <c r="GH293" s="27" t="s">
        <v>7</v>
      </c>
      <c r="GI293" s="27" t="s">
        <v>8</v>
      </c>
      <c r="GJ293" s="27" t="s">
        <v>7</v>
      </c>
      <c r="GK293" s="27" t="s">
        <v>8</v>
      </c>
      <c r="GL293" s="27" t="s">
        <v>7</v>
      </c>
    </row>
    <row r="294" spans="1:222" x14ac:dyDescent="0.25">
      <c r="A294" s="7">
        <v>331.01702125322402</v>
      </c>
      <c r="B294"/>
      <c r="C294"/>
      <c r="D294"/>
      <c r="E294"/>
      <c r="BI294" s="27" t="s">
        <v>8</v>
      </c>
      <c r="BT294" s="27" t="s">
        <v>7</v>
      </c>
      <c r="BU294" s="27" t="s">
        <v>8</v>
      </c>
      <c r="BV294" s="27" t="s">
        <v>7</v>
      </c>
      <c r="BW294" s="27" t="s">
        <v>8</v>
      </c>
      <c r="CF294" s="27" t="s">
        <v>7</v>
      </c>
      <c r="CG294" s="27" t="s">
        <v>8</v>
      </c>
      <c r="CP294" s="27" t="s">
        <v>7</v>
      </c>
      <c r="CQ294" s="27" t="s">
        <v>8</v>
      </c>
      <c r="CR294" s="27" t="s">
        <v>7</v>
      </c>
      <c r="CS294" s="27" t="s">
        <v>8</v>
      </c>
      <c r="CT294" s="27" t="s">
        <v>7</v>
      </c>
      <c r="CU294" s="27" t="s">
        <v>8</v>
      </c>
      <c r="DJ294" s="27" t="s">
        <v>7</v>
      </c>
      <c r="DK294" s="27" t="s">
        <v>8</v>
      </c>
      <c r="DL294" s="27" t="s">
        <v>7</v>
      </c>
      <c r="DM294" s="27" t="s">
        <v>8</v>
      </c>
      <c r="DN294" s="27" t="s">
        <v>7</v>
      </c>
      <c r="DO294" s="27" t="s">
        <v>8</v>
      </c>
      <c r="DR294" s="27" t="s">
        <v>7</v>
      </c>
      <c r="DS294" s="27" t="s">
        <v>8</v>
      </c>
      <c r="DT294" s="27" t="s">
        <v>7</v>
      </c>
      <c r="DU294" s="27" t="s">
        <v>8</v>
      </c>
      <c r="EC294" s="27" t="s">
        <v>8</v>
      </c>
      <c r="ED294" s="27" t="s">
        <v>7</v>
      </c>
      <c r="EO294" s="27" t="s">
        <v>8</v>
      </c>
      <c r="EQ294" s="27" t="s">
        <v>8</v>
      </c>
      <c r="ER294" s="27" t="s">
        <v>7</v>
      </c>
      <c r="ES294" s="27" t="s">
        <v>8</v>
      </c>
      <c r="FJ294" s="27" t="s">
        <v>7</v>
      </c>
      <c r="FK294" s="27" t="s">
        <v>8</v>
      </c>
      <c r="FL294" s="27" t="s">
        <v>7</v>
      </c>
      <c r="FM294" s="27" t="s">
        <v>8</v>
      </c>
      <c r="FN294" s="27" t="s">
        <v>7</v>
      </c>
      <c r="FO294" s="27" t="s">
        <v>8</v>
      </c>
      <c r="FP294" s="27" t="s">
        <v>7</v>
      </c>
      <c r="GC294" s="27" t="s">
        <v>8</v>
      </c>
      <c r="GD294" s="27" t="s">
        <v>7</v>
      </c>
      <c r="GE294" s="27" t="s">
        <v>8</v>
      </c>
      <c r="GF294" s="27" t="s">
        <v>7</v>
      </c>
      <c r="GG294" s="27" t="s">
        <v>8</v>
      </c>
      <c r="GH294" s="27" t="s">
        <v>7</v>
      </c>
      <c r="GI294" s="27" t="s">
        <v>8</v>
      </c>
      <c r="GJ294" s="27" t="s">
        <v>7</v>
      </c>
      <c r="GK294" s="27" t="s">
        <v>8</v>
      </c>
      <c r="GL294" s="27" t="s">
        <v>7</v>
      </c>
    </row>
    <row r="295" spans="1:222" x14ac:dyDescent="0.25">
      <c r="A295" s="7">
        <v>324.52649142472944</v>
      </c>
      <c r="B295"/>
      <c r="C295"/>
      <c r="D295"/>
      <c r="E295"/>
      <c r="BI295" s="27" t="s">
        <v>8</v>
      </c>
      <c r="BT295" s="27" t="s">
        <v>7</v>
      </c>
      <c r="BU295" s="27" t="s">
        <v>8</v>
      </c>
      <c r="BV295" s="27" t="s">
        <v>7</v>
      </c>
      <c r="BW295" s="27" t="s">
        <v>8</v>
      </c>
      <c r="CF295" s="27" t="s">
        <v>7</v>
      </c>
      <c r="CG295" s="27" t="s">
        <v>8</v>
      </c>
      <c r="CP295" s="27" t="s">
        <v>7</v>
      </c>
      <c r="CQ295" s="27" t="s">
        <v>8</v>
      </c>
      <c r="CR295" s="27" t="s">
        <v>7</v>
      </c>
      <c r="CS295" s="27" t="s">
        <v>8</v>
      </c>
      <c r="CT295" s="27" t="s">
        <v>7</v>
      </c>
      <c r="CU295" s="27" t="s">
        <v>8</v>
      </c>
      <c r="DJ295" s="27" t="s">
        <v>7</v>
      </c>
      <c r="DK295" s="27" t="s">
        <v>8</v>
      </c>
      <c r="DL295" s="27" t="s">
        <v>7</v>
      </c>
      <c r="DM295" s="27" t="s">
        <v>8</v>
      </c>
      <c r="DN295" s="27" t="s">
        <v>7</v>
      </c>
      <c r="DO295" s="27" t="s">
        <v>8</v>
      </c>
      <c r="DR295" s="27" t="s">
        <v>7</v>
      </c>
      <c r="DS295" s="27" t="s">
        <v>8</v>
      </c>
      <c r="DT295" s="27" t="s">
        <v>7</v>
      </c>
      <c r="DU295" s="27" t="s">
        <v>8</v>
      </c>
      <c r="DV295" s="27" t="s">
        <v>7</v>
      </c>
      <c r="EC295" s="27" t="s">
        <v>8</v>
      </c>
      <c r="ED295" s="27" t="s">
        <v>7</v>
      </c>
      <c r="EO295" s="27" t="s">
        <v>8</v>
      </c>
      <c r="EP295" s="27" t="s">
        <v>7</v>
      </c>
      <c r="EQ295" s="27" t="s">
        <v>8</v>
      </c>
      <c r="ER295" s="27" t="s">
        <v>7</v>
      </c>
      <c r="ES295" s="27" t="s">
        <v>8</v>
      </c>
      <c r="FJ295" s="27" t="s">
        <v>7</v>
      </c>
      <c r="FK295" s="27" t="s">
        <v>8</v>
      </c>
      <c r="FL295" s="27" t="s">
        <v>7</v>
      </c>
      <c r="FM295" s="27" t="s">
        <v>8</v>
      </c>
      <c r="FN295" s="27" t="s">
        <v>7</v>
      </c>
      <c r="FO295" s="27" t="s">
        <v>8</v>
      </c>
      <c r="FP295" s="27" t="s">
        <v>7</v>
      </c>
      <c r="FW295" s="27" t="s">
        <v>8</v>
      </c>
      <c r="GC295" s="27" t="s">
        <v>8</v>
      </c>
      <c r="GD295" s="27" t="s">
        <v>7</v>
      </c>
      <c r="GE295" s="27" t="s">
        <v>8</v>
      </c>
      <c r="GF295" s="27" t="s">
        <v>7</v>
      </c>
      <c r="GG295" s="27" t="s">
        <v>8</v>
      </c>
      <c r="GH295" s="27" t="s">
        <v>7</v>
      </c>
      <c r="GI295" s="27" t="s">
        <v>8</v>
      </c>
      <c r="GJ295" s="27" t="s">
        <v>7</v>
      </c>
      <c r="GK295" s="27" t="s">
        <v>8</v>
      </c>
      <c r="GL295" s="27" t="s">
        <v>7</v>
      </c>
    </row>
    <row r="296" spans="1:222" x14ac:dyDescent="0.25">
      <c r="A296" s="7">
        <v>318.16322688698966</v>
      </c>
      <c r="B296"/>
      <c r="C296"/>
      <c r="D296"/>
      <c r="E296"/>
      <c r="BG296" s="27" t="s">
        <v>8</v>
      </c>
      <c r="BI296" s="27" t="s">
        <v>8</v>
      </c>
      <c r="BT296" s="27" t="s">
        <v>7</v>
      </c>
      <c r="BU296" s="27" t="s">
        <v>8</v>
      </c>
      <c r="BV296" s="27" t="s">
        <v>7</v>
      </c>
      <c r="BW296" s="27" t="s">
        <v>8</v>
      </c>
      <c r="CF296" s="27" t="s">
        <v>7</v>
      </c>
      <c r="CG296" s="27" t="s">
        <v>8</v>
      </c>
      <c r="CP296" s="27" t="s">
        <v>7</v>
      </c>
      <c r="CQ296" s="27" t="s">
        <v>8</v>
      </c>
      <c r="CR296" s="27" t="s">
        <v>7</v>
      </c>
      <c r="CS296" s="27" t="s">
        <v>8</v>
      </c>
      <c r="CT296" s="27" t="s">
        <v>7</v>
      </c>
      <c r="CU296" s="27" t="s">
        <v>8</v>
      </c>
      <c r="DJ296" s="27" t="s">
        <v>7</v>
      </c>
      <c r="DK296" s="27" t="s">
        <v>8</v>
      </c>
      <c r="DL296" s="27" t="s">
        <v>7</v>
      </c>
      <c r="DM296" s="27" t="s">
        <v>8</v>
      </c>
      <c r="DN296" s="27" t="s">
        <v>7</v>
      </c>
      <c r="DO296" s="27" t="s">
        <v>8</v>
      </c>
      <c r="DR296" s="27" t="s">
        <v>7</v>
      </c>
      <c r="DS296" s="27" t="s">
        <v>8</v>
      </c>
      <c r="DT296" s="27" t="s">
        <v>7</v>
      </c>
      <c r="DU296" s="27" t="s">
        <v>8</v>
      </c>
      <c r="DV296" s="27" t="s">
        <v>7</v>
      </c>
      <c r="EC296" s="27" t="s">
        <v>8</v>
      </c>
      <c r="ED296" s="27" t="s">
        <v>7</v>
      </c>
      <c r="EG296" s="27" t="s">
        <v>8</v>
      </c>
      <c r="EO296" s="27" t="s">
        <v>8</v>
      </c>
      <c r="EP296" s="27" t="s">
        <v>7</v>
      </c>
      <c r="EQ296" s="27" t="s">
        <v>8</v>
      </c>
      <c r="ER296" s="27" t="s">
        <v>7</v>
      </c>
      <c r="ES296" s="27" t="s">
        <v>8</v>
      </c>
      <c r="FJ296" s="27" t="s">
        <v>7</v>
      </c>
      <c r="FK296" s="27" t="s">
        <v>8</v>
      </c>
      <c r="FL296" s="27" t="s">
        <v>7</v>
      </c>
      <c r="FM296" s="27" t="s">
        <v>8</v>
      </c>
      <c r="FN296" s="27" t="s">
        <v>7</v>
      </c>
      <c r="FO296" s="27" t="s">
        <v>8</v>
      </c>
      <c r="FP296" s="27" t="s">
        <v>7</v>
      </c>
      <c r="FU296" s="27" t="s">
        <v>8</v>
      </c>
      <c r="FW296" s="27" t="s">
        <v>8</v>
      </c>
      <c r="FX296" s="27" t="s">
        <v>7</v>
      </c>
      <c r="FY296" s="27" t="s">
        <v>8</v>
      </c>
      <c r="GA296" s="27" t="s">
        <v>8</v>
      </c>
      <c r="GC296" s="27" t="s">
        <v>8</v>
      </c>
      <c r="GD296" s="27" t="s">
        <v>7</v>
      </c>
      <c r="GE296" s="27" t="s">
        <v>8</v>
      </c>
      <c r="GF296" s="27" t="s">
        <v>7</v>
      </c>
      <c r="GH296" s="27" t="s">
        <v>7</v>
      </c>
      <c r="GI296" s="27" t="s">
        <v>8</v>
      </c>
      <c r="GJ296" s="27" t="s">
        <v>7</v>
      </c>
      <c r="GK296" s="27" t="s">
        <v>8</v>
      </c>
      <c r="GL296" s="27" t="s">
        <v>7</v>
      </c>
      <c r="GM296" s="27" t="s">
        <v>8</v>
      </c>
    </row>
    <row r="297" spans="1:222" x14ac:dyDescent="0.25">
      <c r="A297" s="7">
        <v>311.92473224214672</v>
      </c>
      <c r="B297"/>
      <c r="C297"/>
      <c r="D297"/>
      <c r="E297"/>
      <c r="BG297" s="27" t="s">
        <v>8</v>
      </c>
      <c r="BH297" s="27" t="s">
        <v>7</v>
      </c>
      <c r="BI297" s="27" t="s">
        <v>8</v>
      </c>
      <c r="BT297" s="27" t="s">
        <v>7</v>
      </c>
      <c r="BU297" s="27" t="s">
        <v>8</v>
      </c>
      <c r="BV297" s="27" t="s">
        <v>7</v>
      </c>
      <c r="BW297" s="27" t="s">
        <v>8</v>
      </c>
      <c r="CF297" s="27" t="s">
        <v>7</v>
      </c>
      <c r="CG297" s="27" t="s">
        <v>8</v>
      </c>
      <c r="CP297" s="27" t="s">
        <v>7</v>
      </c>
      <c r="CQ297" s="27" t="s">
        <v>8</v>
      </c>
      <c r="CR297" s="27" t="s">
        <v>7</v>
      </c>
      <c r="CT297" s="27" t="s">
        <v>7</v>
      </c>
      <c r="DJ297" s="27" t="s">
        <v>7</v>
      </c>
      <c r="DL297" s="27" t="s">
        <v>7</v>
      </c>
      <c r="DM297" s="27" t="s">
        <v>8</v>
      </c>
      <c r="DN297" s="27" t="s">
        <v>7</v>
      </c>
      <c r="DO297" s="27" t="s">
        <v>8</v>
      </c>
      <c r="DR297" s="27" t="s">
        <v>7</v>
      </c>
      <c r="DS297" s="27" t="s">
        <v>8</v>
      </c>
      <c r="DT297" s="27" t="s">
        <v>7</v>
      </c>
      <c r="DU297" s="27" t="s">
        <v>8</v>
      </c>
      <c r="DV297" s="27" t="s">
        <v>7</v>
      </c>
      <c r="EC297" s="27" t="s">
        <v>8</v>
      </c>
      <c r="ED297" s="27" t="s">
        <v>7</v>
      </c>
      <c r="EE297" s="27" t="s">
        <v>8</v>
      </c>
      <c r="EG297" s="27" t="s">
        <v>8</v>
      </c>
      <c r="EH297" s="27" t="s">
        <v>7</v>
      </c>
      <c r="EO297" s="27" t="s">
        <v>8</v>
      </c>
      <c r="EP297" s="27" t="s">
        <v>7</v>
      </c>
      <c r="EQ297" s="27" t="s">
        <v>8</v>
      </c>
      <c r="ER297" s="27" t="s">
        <v>7</v>
      </c>
      <c r="ES297" s="27" t="s">
        <v>8</v>
      </c>
      <c r="FJ297" s="27" t="s">
        <v>7</v>
      </c>
      <c r="FL297" s="27" t="s">
        <v>7</v>
      </c>
      <c r="FM297" s="27" t="s">
        <v>8</v>
      </c>
      <c r="FN297" s="27" t="s">
        <v>7</v>
      </c>
      <c r="FO297" s="27" t="s">
        <v>8</v>
      </c>
      <c r="FP297" s="27" t="s">
        <v>7</v>
      </c>
      <c r="FU297" s="27" t="s">
        <v>8</v>
      </c>
      <c r="FV297" s="27" t="s">
        <v>7</v>
      </c>
      <c r="FW297" s="27" t="s">
        <v>8</v>
      </c>
      <c r="FX297" s="27" t="s">
        <v>7</v>
      </c>
      <c r="FY297" s="27" t="s">
        <v>8</v>
      </c>
      <c r="FZ297" s="27" t="s">
        <v>7</v>
      </c>
      <c r="GA297" s="27" t="s">
        <v>8</v>
      </c>
      <c r="GB297" s="27" t="s">
        <v>7</v>
      </c>
      <c r="GC297" s="27" t="s">
        <v>8</v>
      </c>
      <c r="GD297" s="27" t="s">
        <v>7</v>
      </c>
      <c r="GE297" s="27" t="s">
        <v>8</v>
      </c>
      <c r="GH297" s="27" t="s">
        <v>7</v>
      </c>
      <c r="GI297" s="27" t="s">
        <v>8</v>
      </c>
      <c r="GJ297" s="27" t="s">
        <v>7</v>
      </c>
      <c r="GL297" s="27" t="s">
        <v>7</v>
      </c>
      <c r="GM297" s="27" t="s">
        <v>8</v>
      </c>
      <c r="GN297" s="27" t="s">
        <v>7</v>
      </c>
    </row>
    <row r="298" spans="1:222" x14ac:dyDescent="0.25">
      <c r="A298" s="7">
        <v>305.80856102171248</v>
      </c>
      <c r="B298"/>
      <c r="C298"/>
      <c r="D298"/>
      <c r="E298"/>
      <c r="BE298" s="27" t="s">
        <v>8</v>
      </c>
      <c r="BG298" s="27" t="s">
        <v>8</v>
      </c>
      <c r="BH298" s="27" t="s">
        <v>7</v>
      </c>
      <c r="BI298" s="27" t="s">
        <v>8</v>
      </c>
      <c r="BT298" s="27" t="s">
        <v>7</v>
      </c>
      <c r="BU298" s="27" t="s">
        <v>8</v>
      </c>
      <c r="BV298" s="27" t="s">
        <v>7</v>
      </c>
      <c r="CF298" s="27" t="s">
        <v>7</v>
      </c>
      <c r="CG298" s="27" t="s">
        <v>8</v>
      </c>
      <c r="CP298" s="27" t="s">
        <v>7</v>
      </c>
      <c r="CQ298" s="27" t="s">
        <v>8</v>
      </c>
      <c r="DL298" s="27" t="s">
        <v>7</v>
      </c>
      <c r="DM298" s="27" t="s">
        <v>8</v>
      </c>
      <c r="DN298" s="27" t="s">
        <v>7</v>
      </c>
      <c r="DO298" s="27" t="s">
        <v>8</v>
      </c>
      <c r="DR298" s="27" t="s">
        <v>7</v>
      </c>
      <c r="DS298" s="27" t="s">
        <v>8</v>
      </c>
      <c r="DT298" s="27" t="s">
        <v>7</v>
      </c>
      <c r="DU298" s="27" t="s">
        <v>8</v>
      </c>
      <c r="DV298" s="27" t="s">
        <v>7</v>
      </c>
      <c r="EC298" s="27" t="s">
        <v>8</v>
      </c>
      <c r="ED298" s="27" t="s">
        <v>7</v>
      </c>
      <c r="EE298" s="27" t="s">
        <v>8</v>
      </c>
      <c r="EF298" s="27" t="s">
        <v>7</v>
      </c>
      <c r="EG298" s="27" t="s">
        <v>8</v>
      </c>
      <c r="EH298" s="27" t="s">
        <v>7</v>
      </c>
      <c r="EO298" s="27" t="s">
        <v>8</v>
      </c>
      <c r="EP298" s="27" t="s">
        <v>7</v>
      </c>
      <c r="EQ298" s="27" t="s">
        <v>8</v>
      </c>
      <c r="ER298" s="27" t="s">
        <v>7</v>
      </c>
      <c r="FL298" s="27" t="s">
        <v>7</v>
      </c>
      <c r="FN298" s="27" t="s">
        <v>7</v>
      </c>
      <c r="FP298" s="27" t="s">
        <v>7</v>
      </c>
      <c r="FQ298" s="27" t="s">
        <v>8</v>
      </c>
      <c r="FS298" s="27" t="s">
        <v>8</v>
      </c>
      <c r="FU298" s="27" t="s">
        <v>8</v>
      </c>
      <c r="FV298" s="27" t="s">
        <v>7</v>
      </c>
      <c r="FW298" s="27" t="s">
        <v>8</v>
      </c>
      <c r="FX298" s="27" t="s">
        <v>7</v>
      </c>
      <c r="FY298" s="27" t="s">
        <v>8</v>
      </c>
      <c r="FZ298" s="27" t="s">
        <v>7</v>
      </c>
      <c r="GA298" s="27" t="s">
        <v>8</v>
      </c>
      <c r="GB298" s="27" t="s">
        <v>7</v>
      </c>
      <c r="GC298" s="27" t="s">
        <v>8</v>
      </c>
      <c r="GD298" s="27" t="s">
        <v>7</v>
      </c>
      <c r="GE298" s="27" t="s">
        <v>8</v>
      </c>
      <c r="GH298" s="27" t="s">
        <v>7</v>
      </c>
      <c r="GL298" s="27" t="s">
        <v>7</v>
      </c>
      <c r="GM298" s="27" t="s">
        <v>8</v>
      </c>
      <c r="GN298" s="27" t="s">
        <v>7</v>
      </c>
    </row>
    <row r="299" spans="1:222" x14ac:dyDescent="0.25">
      <c r="A299" s="7">
        <v>299.81231472716911</v>
      </c>
      <c r="B299"/>
      <c r="C299"/>
      <c r="D299"/>
      <c r="E299"/>
      <c r="BE299" s="27" t="s">
        <v>8</v>
      </c>
      <c r="BF299" s="27" t="s">
        <v>7</v>
      </c>
      <c r="BG299" s="27" t="s">
        <v>8</v>
      </c>
      <c r="BH299" s="27" t="s">
        <v>7</v>
      </c>
      <c r="BI299" s="27" t="s">
        <v>8</v>
      </c>
      <c r="BT299" s="27" t="s">
        <v>7</v>
      </c>
      <c r="BU299" s="27" t="s">
        <v>8</v>
      </c>
      <c r="CF299" s="27" t="s">
        <v>7</v>
      </c>
      <c r="CP299" s="27" t="s">
        <v>7</v>
      </c>
      <c r="CQ299" s="27" t="s">
        <v>8</v>
      </c>
      <c r="DL299" s="27" t="s">
        <v>7</v>
      </c>
      <c r="DM299" s="27" t="s">
        <v>8</v>
      </c>
      <c r="DN299" s="27" t="s">
        <v>7</v>
      </c>
      <c r="DO299" s="27" t="s">
        <v>8</v>
      </c>
      <c r="DR299" s="27" t="s">
        <v>7</v>
      </c>
      <c r="DT299" s="27" t="s">
        <v>7</v>
      </c>
      <c r="DU299" s="27" t="s">
        <v>8</v>
      </c>
      <c r="DV299" s="27" t="s">
        <v>7</v>
      </c>
      <c r="EC299" s="27" t="s">
        <v>8</v>
      </c>
      <c r="ED299" s="27" t="s">
        <v>7</v>
      </c>
      <c r="EE299" s="27" t="s">
        <v>8</v>
      </c>
      <c r="EF299" s="27" t="s">
        <v>7</v>
      </c>
      <c r="EG299" s="27" t="s">
        <v>8</v>
      </c>
      <c r="EH299" s="27" t="s">
        <v>7</v>
      </c>
      <c r="EO299" s="27" t="s">
        <v>8</v>
      </c>
      <c r="EP299" s="27" t="s">
        <v>7</v>
      </c>
      <c r="EQ299" s="27" t="s">
        <v>8</v>
      </c>
      <c r="FP299" s="27" t="s">
        <v>7</v>
      </c>
      <c r="FQ299" s="27" t="s">
        <v>8</v>
      </c>
      <c r="FR299" s="27" t="s">
        <v>7</v>
      </c>
      <c r="FS299" s="27" t="s">
        <v>8</v>
      </c>
      <c r="FT299" s="27" t="s">
        <v>7</v>
      </c>
      <c r="FU299" s="27" t="s">
        <v>8</v>
      </c>
      <c r="FV299" s="27" t="s">
        <v>7</v>
      </c>
      <c r="FW299" s="27" t="s">
        <v>8</v>
      </c>
      <c r="FX299" s="27" t="s">
        <v>7</v>
      </c>
      <c r="FY299" s="27" t="s">
        <v>8</v>
      </c>
      <c r="FZ299" s="27" t="s">
        <v>7</v>
      </c>
      <c r="GA299" s="27" t="s">
        <v>8</v>
      </c>
      <c r="GB299" s="27" t="s">
        <v>7</v>
      </c>
      <c r="GC299" s="27" t="s">
        <v>8</v>
      </c>
      <c r="GD299" s="27" t="s">
        <v>7</v>
      </c>
      <c r="GL299" s="27" t="s">
        <v>7</v>
      </c>
      <c r="GN299" s="27" t="s">
        <v>7</v>
      </c>
    </row>
    <row r="300" spans="1:222" x14ac:dyDescent="0.25">
      <c r="A300" s="7">
        <v>293.93364188938148</v>
      </c>
      <c r="B300"/>
      <c r="C300"/>
      <c r="D300"/>
      <c r="E300"/>
      <c r="BE300" s="27" t="s">
        <v>8</v>
      </c>
      <c r="BF300" s="27" t="s">
        <v>7</v>
      </c>
      <c r="BG300" s="27" t="s">
        <v>8</v>
      </c>
      <c r="BH300" s="27" t="s">
        <v>7</v>
      </c>
      <c r="BI300" s="27" t="s">
        <v>8</v>
      </c>
      <c r="BT300" s="27" t="s">
        <v>7</v>
      </c>
      <c r="BU300" s="27" t="s">
        <v>8</v>
      </c>
      <c r="CP300" s="27" t="s">
        <v>7</v>
      </c>
      <c r="CQ300" s="27" t="s">
        <v>8</v>
      </c>
      <c r="DL300" s="27" t="s">
        <v>7</v>
      </c>
      <c r="DM300" s="27" t="s">
        <v>8</v>
      </c>
      <c r="DN300" s="27" t="s">
        <v>7</v>
      </c>
      <c r="DO300" s="27" t="s">
        <v>8</v>
      </c>
      <c r="DT300" s="27" t="s">
        <v>7</v>
      </c>
      <c r="DU300" s="27" t="s">
        <v>8</v>
      </c>
      <c r="DV300" s="27" t="s">
        <v>7</v>
      </c>
      <c r="EC300" s="27" t="s">
        <v>8</v>
      </c>
      <c r="ED300" s="27" t="s">
        <v>7</v>
      </c>
      <c r="EE300" s="27" t="s">
        <v>8</v>
      </c>
      <c r="EF300" s="27" t="s">
        <v>7</v>
      </c>
      <c r="EG300" s="27" t="s">
        <v>8</v>
      </c>
      <c r="EH300" s="27" t="s">
        <v>7</v>
      </c>
      <c r="EM300" s="27" t="s">
        <v>8</v>
      </c>
      <c r="EO300" s="27" t="s">
        <v>8</v>
      </c>
      <c r="EP300" s="27" t="s">
        <v>7</v>
      </c>
      <c r="EQ300" s="27" t="s">
        <v>8</v>
      </c>
      <c r="FP300" s="27" t="s">
        <v>7</v>
      </c>
      <c r="FQ300" s="27" t="s">
        <v>8</v>
      </c>
      <c r="FR300" s="27" t="s">
        <v>7</v>
      </c>
      <c r="FS300" s="27" t="s">
        <v>8</v>
      </c>
      <c r="FT300" s="27" t="s">
        <v>7</v>
      </c>
      <c r="FU300" s="27" t="s">
        <v>8</v>
      </c>
      <c r="FV300" s="27" t="s">
        <v>7</v>
      </c>
      <c r="FW300" s="27" t="s">
        <v>8</v>
      </c>
      <c r="FX300" s="27" t="s">
        <v>7</v>
      </c>
      <c r="FY300" s="27" t="s">
        <v>8</v>
      </c>
      <c r="FZ300" s="27" t="s">
        <v>7</v>
      </c>
      <c r="GB300" s="27" t="s">
        <v>7</v>
      </c>
      <c r="GN300" s="27" t="s">
        <v>7</v>
      </c>
      <c r="HI300" s="27" t="s">
        <v>8</v>
      </c>
    </row>
    <row r="301" spans="1:222" x14ac:dyDescent="0.25">
      <c r="A301" s="7">
        <v>288.17023714645245</v>
      </c>
      <c r="B301"/>
      <c r="C301"/>
      <c r="D301"/>
      <c r="E301"/>
      <c r="BC301" s="27" t="s">
        <v>8</v>
      </c>
      <c r="BE301" s="27" t="s">
        <v>8</v>
      </c>
      <c r="BF301" s="27" t="s">
        <v>7</v>
      </c>
      <c r="BG301" s="27" t="s">
        <v>8</v>
      </c>
      <c r="BH301" s="27" t="s">
        <v>7</v>
      </c>
      <c r="BT301" s="27" t="s">
        <v>7</v>
      </c>
      <c r="CP301" s="27" t="s">
        <v>7</v>
      </c>
      <c r="CQ301" s="27" t="s">
        <v>8</v>
      </c>
      <c r="DL301" s="27" t="s">
        <v>7</v>
      </c>
      <c r="DM301" s="27" t="s">
        <v>8</v>
      </c>
      <c r="DN301" s="27" t="s">
        <v>7</v>
      </c>
      <c r="DO301" s="27" t="s">
        <v>8</v>
      </c>
      <c r="DT301" s="27" t="s">
        <v>7</v>
      </c>
      <c r="DU301" s="27" t="s">
        <v>8</v>
      </c>
      <c r="DV301" s="27" t="s">
        <v>7</v>
      </c>
      <c r="EC301" s="27" t="s">
        <v>8</v>
      </c>
      <c r="ED301" s="27" t="s">
        <v>7</v>
      </c>
      <c r="EE301" s="27" t="s">
        <v>8</v>
      </c>
      <c r="EF301" s="27" t="s">
        <v>7</v>
      </c>
      <c r="EH301" s="27" t="s">
        <v>7</v>
      </c>
      <c r="EI301" s="27" t="s">
        <v>8</v>
      </c>
      <c r="EM301" s="27" t="s">
        <v>8</v>
      </c>
      <c r="EN301" s="27" t="s">
        <v>7</v>
      </c>
      <c r="EO301" s="27" t="s">
        <v>8</v>
      </c>
      <c r="EP301" s="27" t="s">
        <v>7</v>
      </c>
      <c r="FP301" s="27" t="s">
        <v>7</v>
      </c>
      <c r="FQ301" s="27" t="s">
        <v>8</v>
      </c>
      <c r="FR301" s="27" t="s">
        <v>7</v>
      </c>
      <c r="FS301" s="27" t="s">
        <v>8</v>
      </c>
      <c r="FT301" s="27" t="s">
        <v>7</v>
      </c>
      <c r="FU301" s="27" t="s">
        <v>8</v>
      </c>
      <c r="FV301" s="27" t="s">
        <v>7</v>
      </c>
      <c r="FX301" s="27" t="s">
        <v>7</v>
      </c>
      <c r="FY301" s="27" t="s">
        <v>8</v>
      </c>
      <c r="GN301" s="27" t="s">
        <v>7</v>
      </c>
      <c r="GO301" s="27" t="s">
        <v>8</v>
      </c>
      <c r="HI301" s="27" t="s">
        <v>8</v>
      </c>
      <c r="HJ301" s="27" t="s">
        <v>7</v>
      </c>
    </row>
    <row r="302" spans="1:222" x14ac:dyDescent="0.25">
      <c r="A302" s="7">
        <v>282.51984033965925</v>
      </c>
      <c r="B302"/>
      <c r="C302"/>
      <c r="D302"/>
      <c r="E302"/>
      <c r="BC302" s="27" t="s">
        <v>8</v>
      </c>
      <c r="BD302" s="27" t="s">
        <v>7</v>
      </c>
      <c r="BE302" s="27" t="s">
        <v>8</v>
      </c>
      <c r="BF302" s="27" t="s">
        <v>7</v>
      </c>
      <c r="BG302" s="27" t="s">
        <v>8</v>
      </c>
      <c r="CP302" s="27" t="s">
        <v>7</v>
      </c>
      <c r="DL302" s="27" t="s">
        <v>7</v>
      </c>
      <c r="DM302" s="27" t="s">
        <v>8</v>
      </c>
      <c r="DN302" s="27" t="s">
        <v>7</v>
      </c>
      <c r="DT302" s="27" t="s">
        <v>7</v>
      </c>
      <c r="DU302" s="27" t="s">
        <v>8</v>
      </c>
      <c r="DV302" s="27" t="s">
        <v>7</v>
      </c>
      <c r="EC302" s="27" t="s">
        <v>8</v>
      </c>
      <c r="ED302" s="27" t="s">
        <v>7</v>
      </c>
      <c r="EE302" s="27" t="s">
        <v>8</v>
      </c>
      <c r="EH302" s="27" t="s">
        <v>7</v>
      </c>
      <c r="EI302" s="27" t="s">
        <v>8</v>
      </c>
      <c r="EJ302" s="27" t="s">
        <v>7</v>
      </c>
      <c r="EM302" s="27" t="s">
        <v>8</v>
      </c>
      <c r="EN302" s="27" t="s">
        <v>7</v>
      </c>
      <c r="EO302" s="27" t="s">
        <v>8</v>
      </c>
      <c r="FP302" s="27" t="s">
        <v>7</v>
      </c>
      <c r="FQ302" s="27" t="s">
        <v>8</v>
      </c>
      <c r="FR302" s="27" t="s">
        <v>7</v>
      </c>
      <c r="FS302" s="27" t="s">
        <v>8</v>
      </c>
      <c r="FT302" s="27" t="s">
        <v>7</v>
      </c>
      <c r="FU302" s="27" t="s">
        <v>8</v>
      </c>
      <c r="FX302" s="27" t="s">
        <v>7</v>
      </c>
      <c r="FY302" s="27" t="s">
        <v>8</v>
      </c>
      <c r="GN302" s="27" t="s">
        <v>7</v>
      </c>
      <c r="GO302" s="27" t="s">
        <v>8</v>
      </c>
      <c r="GP302" s="27" t="s">
        <v>7</v>
      </c>
      <c r="HI302" s="27" t="s">
        <v>8</v>
      </c>
      <c r="HJ302" s="27" t="s">
        <v>7</v>
      </c>
      <c r="HM302" s="27" t="s">
        <v>8</v>
      </c>
    </row>
    <row r="303" spans="1:222" x14ac:dyDescent="0.25">
      <c r="A303" s="7">
        <v>276.98023562711688</v>
      </c>
      <c r="B303"/>
      <c r="C303"/>
      <c r="D303"/>
      <c r="E303"/>
      <c r="BC303" s="27" t="s">
        <v>8</v>
      </c>
      <c r="BD303" s="27" t="s">
        <v>7</v>
      </c>
      <c r="BE303" s="27" t="s">
        <v>8</v>
      </c>
      <c r="BF303" s="27" t="s">
        <v>7</v>
      </c>
      <c r="BG303" s="27" t="s">
        <v>8</v>
      </c>
      <c r="DL303" s="27" t="s">
        <v>7</v>
      </c>
      <c r="DM303" s="27" t="s">
        <v>8</v>
      </c>
      <c r="DT303" s="27" t="s">
        <v>7</v>
      </c>
      <c r="DU303" s="27" t="s">
        <v>8</v>
      </c>
      <c r="DV303" s="27" t="s">
        <v>7</v>
      </c>
      <c r="EC303" s="27" t="s">
        <v>8</v>
      </c>
      <c r="ED303" s="27" t="s">
        <v>7</v>
      </c>
      <c r="EH303" s="27" t="s">
        <v>7</v>
      </c>
      <c r="EI303" s="27" t="s">
        <v>8</v>
      </c>
      <c r="EJ303" s="27" t="s">
        <v>7</v>
      </c>
      <c r="EM303" s="27" t="s">
        <v>8</v>
      </c>
      <c r="EN303" s="27" t="s">
        <v>7</v>
      </c>
      <c r="FP303" s="27" t="s">
        <v>7</v>
      </c>
      <c r="FQ303" s="27" t="s">
        <v>8</v>
      </c>
      <c r="FR303" s="27" t="s">
        <v>7</v>
      </c>
      <c r="FS303" s="27" t="s">
        <v>8</v>
      </c>
      <c r="FT303" s="27" t="s">
        <v>7</v>
      </c>
      <c r="FU303" s="27" t="s">
        <v>8</v>
      </c>
      <c r="FX303" s="27" t="s">
        <v>7</v>
      </c>
      <c r="FY303" s="27" t="s">
        <v>8</v>
      </c>
      <c r="GN303" s="27" t="s">
        <v>7</v>
      </c>
      <c r="GO303" s="27" t="s">
        <v>8</v>
      </c>
      <c r="GP303" s="27" t="s">
        <v>7</v>
      </c>
      <c r="GQ303" s="27" t="s">
        <v>8</v>
      </c>
      <c r="GS303" s="27" t="s">
        <v>8</v>
      </c>
      <c r="HG303" s="27" t="s">
        <v>8</v>
      </c>
      <c r="HI303" s="27" t="s">
        <v>8</v>
      </c>
      <c r="HJ303" s="27" t="s">
        <v>7</v>
      </c>
      <c r="HM303" s="27" t="s">
        <v>8</v>
      </c>
      <c r="HN303" s="27" t="s">
        <v>7</v>
      </c>
    </row>
    <row r="304" spans="1:222" x14ac:dyDescent="0.25">
      <c r="A304" s="7">
        <v>271.54925061482049</v>
      </c>
      <c r="B304"/>
      <c r="C304"/>
      <c r="D304"/>
      <c r="E304"/>
      <c r="BC304" s="27" t="s">
        <v>8</v>
      </c>
      <c r="BD304" s="27" t="s">
        <v>7</v>
      </c>
      <c r="BE304" s="27" t="s">
        <v>8</v>
      </c>
      <c r="BF304" s="27" t="s">
        <v>7</v>
      </c>
      <c r="DL304" s="27" t="s">
        <v>7</v>
      </c>
      <c r="DM304" s="27" t="s">
        <v>8</v>
      </c>
      <c r="DT304" s="27" t="s">
        <v>7</v>
      </c>
      <c r="DU304" s="27" t="s">
        <v>8</v>
      </c>
      <c r="DV304" s="27" t="s">
        <v>7</v>
      </c>
      <c r="EC304" s="27" t="s">
        <v>8</v>
      </c>
      <c r="EH304" s="27" t="s">
        <v>7</v>
      </c>
      <c r="EI304" s="27" t="s">
        <v>8</v>
      </c>
      <c r="EJ304" s="27" t="s">
        <v>7</v>
      </c>
      <c r="EM304" s="27" t="s">
        <v>8</v>
      </c>
      <c r="FP304" s="27" t="s">
        <v>7</v>
      </c>
      <c r="FQ304" s="27" t="s">
        <v>8</v>
      </c>
      <c r="FR304" s="27" t="s">
        <v>7</v>
      </c>
      <c r="FS304" s="27" t="s">
        <v>8</v>
      </c>
      <c r="FT304" s="27" t="s">
        <v>7</v>
      </c>
      <c r="FU304" s="27" t="s">
        <v>8</v>
      </c>
      <c r="FX304" s="27" t="s">
        <v>7</v>
      </c>
      <c r="GN304" s="27" t="s">
        <v>7</v>
      </c>
      <c r="GO304" s="27" t="s">
        <v>8</v>
      </c>
      <c r="GP304" s="27" t="s">
        <v>7</v>
      </c>
      <c r="GQ304" s="27" t="s">
        <v>8</v>
      </c>
      <c r="GR304" s="27" t="s">
        <v>7</v>
      </c>
      <c r="GS304" s="27" t="s">
        <v>8</v>
      </c>
      <c r="GT304" s="27" t="s">
        <v>7</v>
      </c>
      <c r="HG304" s="27" t="s">
        <v>8</v>
      </c>
      <c r="HH304" s="27" t="s">
        <v>7</v>
      </c>
      <c r="HI304" s="27" t="s">
        <v>8</v>
      </c>
      <c r="HJ304" s="27" t="s">
        <v>7</v>
      </c>
      <c r="HK304" s="27" t="s">
        <v>8</v>
      </c>
      <c r="HM304" s="27" t="s">
        <v>8</v>
      </c>
      <c r="HN304" s="27" t="s">
        <v>7</v>
      </c>
    </row>
    <row r="305" spans="1:230" x14ac:dyDescent="0.25">
      <c r="A305" s="7">
        <v>266.22475550472598</v>
      </c>
      <c r="B305"/>
      <c r="C305"/>
      <c r="D305"/>
      <c r="E305"/>
      <c r="BC305" s="27" t="s">
        <v>8</v>
      </c>
      <c r="BD305" s="27" t="s">
        <v>7</v>
      </c>
      <c r="BE305" s="27" t="s">
        <v>8</v>
      </c>
      <c r="DL305" s="27" t="s">
        <v>7</v>
      </c>
      <c r="DM305" s="27" t="s">
        <v>8</v>
      </c>
      <c r="DT305" s="27" t="s">
        <v>7</v>
      </c>
      <c r="DV305" s="27" t="s">
        <v>7</v>
      </c>
      <c r="EC305" s="27" t="s">
        <v>8</v>
      </c>
      <c r="EH305" s="27" t="s">
        <v>7</v>
      </c>
      <c r="EI305" s="27" t="s">
        <v>8</v>
      </c>
      <c r="EJ305" s="27" t="s">
        <v>7</v>
      </c>
      <c r="EK305" s="27" t="s">
        <v>8</v>
      </c>
      <c r="EM305" s="27" t="s">
        <v>8</v>
      </c>
      <c r="FP305" s="27" t="s">
        <v>7</v>
      </c>
      <c r="FQ305" s="27" t="s">
        <v>8</v>
      </c>
      <c r="FR305" s="27" t="s">
        <v>7</v>
      </c>
      <c r="FT305" s="27" t="s">
        <v>7</v>
      </c>
      <c r="FU305" s="27" t="s">
        <v>8</v>
      </c>
      <c r="GN305" s="27" t="s">
        <v>7</v>
      </c>
      <c r="GP305" s="27" t="s">
        <v>7</v>
      </c>
      <c r="GQ305" s="27" t="s">
        <v>8</v>
      </c>
      <c r="GR305" s="27" t="s">
        <v>7</v>
      </c>
      <c r="GS305" s="27" t="s">
        <v>8</v>
      </c>
      <c r="GT305" s="27" t="s">
        <v>7</v>
      </c>
      <c r="GW305" s="27" t="s">
        <v>8</v>
      </c>
      <c r="HG305" s="27" t="s">
        <v>8</v>
      </c>
      <c r="HH305" s="27" t="s">
        <v>7</v>
      </c>
      <c r="HI305" s="27" t="s">
        <v>8</v>
      </c>
      <c r="HJ305" s="27" t="s">
        <v>7</v>
      </c>
      <c r="HK305" s="27" t="s">
        <v>8</v>
      </c>
      <c r="HL305" s="27" t="s">
        <v>7</v>
      </c>
      <c r="HM305" s="27" t="s">
        <v>8</v>
      </c>
      <c r="HN305" s="27" t="s">
        <v>7</v>
      </c>
    </row>
    <row r="306" spans="1:230" x14ac:dyDescent="0.25">
      <c r="A306" s="7">
        <v>261.00466225953528</v>
      </c>
      <c r="B306"/>
      <c r="C306"/>
      <c r="D306"/>
      <c r="E306"/>
      <c r="BC306" s="27" t="s">
        <v>8</v>
      </c>
      <c r="BD306" s="27" t="s">
        <v>7</v>
      </c>
      <c r="BE306" s="27" t="s">
        <v>8</v>
      </c>
      <c r="DL306" s="27" t="s">
        <v>7</v>
      </c>
      <c r="DM306" s="27" t="s">
        <v>8</v>
      </c>
      <c r="DV306" s="27" t="s">
        <v>7</v>
      </c>
      <c r="EC306" s="27" t="s">
        <v>8</v>
      </c>
      <c r="EH306" s="27" t="s">
        <v>7</v>
      </c>
      <c r="EI306" s="27" t="s">
        <v>8</v>
      </c>
      <c r="EJ306" s="27" t="s">
        <v>7</v>
      </c>
      <c r="EK306" s="27" t="s">
        <v>8</v>
      </c>
      <c r="EL306" s="27" t="s">
        <v>7</v>
      </c>
      <c r="EM306" s="27" t="s">
        <v>8</v>
      </c>
      <c r="FP306" s="27" t="s">
        <v>7</v>
      </c>
      <c r="FT306" s="27" t="s">
        <v>7</v>
      </c>
      <c r="GP306" s="27" t="s">
        <v>7</v>
      </c>
      <c r="GR306" s="27" t="s">
        <v>7</v>
      </c>
      <c r="GT306" s="27" t="s">
        <v>7</v>
      </c>
      <c r="GW306" s="27" t="s">
        <v>8</v>
      </c>
      <c r="GX306" s="27" t="s">
        <v>7</v>
      </c>
      <c r="HG306" s="27" t="s">
        <v>8</v>
      </c>
      <c r="HH306" s="27" t="s">
        <v>7</v>
      </c>
      <c r="HI306" s="27" t="s">
        <v>8</v>
      </c>
      <c r="HJ306" s="27" t="s">
        <v>7</v>
      </c>
      <c r="HK306" s="27" t="s">
        <v>8</v>
      </c>
      <c r="HL306" s="27" t="s">
        <v>7</v>
      </c>
      <c r="HM306" s="27" t="s">
        <v>8</v>
      </c>
      <c r="HN306" s="27" t="s">
        <v>7</v>
      </c>
    </row>
    <row r="307" spans="1:230" x14ac:dyDescent="0.25">
      <c r="A307" s="7">
        <v>255.88692378385809</v>
      </c>
      <c r="B307"/>
      <c r="C307"/>
      <c r="D307"/>
      <c r="E307"/>
      <c r="BC307" s="27" t="s">
        <v>8</v>
      </c>
      <c r="BD307" s="27" t="s">
        <v>7</v>
      </c>
      <c r="BE307" s="27" t="s">
        <v>8</v>
      </c>
      <c r="DL307" s="27" t="s">
        <v>7</v>
      </c>
      <c r="DM307" s="27" t="s">
        <v>8</v>
      </c>
      <c r="DV307" s="27" t="s">
        <v>7</v>
      </c>
      <c r="EC307" s="27" t="s">
        <v>8</v>
      </c>
      <c r="EH307" s="27" t="s">
        <v>7</v>
      </c>
      <c r="EJ307" s="27" t="s">
        <v>7</v>
      </c>
      <c r="EK307" s="27" t="s">
        <v>8</v>
      </c>
      <c r="EL307" s="27" t="s">
        <v>7</v>
      </c>
      <c r="EM307" s="27" t="s">
        <v>8</v>
      </c>
      <c r="GT307" s="27" t="s">
        <v>7</v>
      </c>
      <c r="GW307" s="27" t="s">
        <v>8</v>
      </c>
      <c r="GX307" s="27" t="s">
        <v>7</v>
      </c>
      <c r="HG307" s="27" t="s">
        <v>8</v>
      </c>
      <c r="HH307" s="27" t="s">
        <v>7</v>
      </c>
      <c r="HI307" s="27" t="s">
        <v>8</v>
      </c>
      <c r="HJ307" s="27" t="s">
        <v>7</v>
      </c>
      <c r="HK307" s="27" t="s">
        <v>8</v>
      </c>
      <c r="HL307" s="27" t="s">
        <v>7</v>
      </c>
      <c r="HM307" s="27" t="s">
        <v>8</v>
      </c>
      <c r="HN307" s="27" t="s">
        <v>7</v>
      </c>
    </row>
    <row r="308" spans="1:230" x14ac:dyDescent="0.25">
      <c r="A308" s="7">
        <v>250.8695331214295</v>
      </c>
      <c r="B308"/>
      <c r="C308"/>
      <c r="D308"/>
      <c r="E308"/>
      <c r="BC308" s="27" t="s">
        <v>8</v>
      </c>
      <c r="BD308" s="27" t="s">
        <v>7</v>
      </c>
      <c r="BE308" s="27" t="s">
        <v>8</v>
      </c>
      <c r="DL308" s="27" t="s">
        <v>7</v>
      </c>
      <c r="DM308" s="27" t="s">
        <v>8</v>
      </c>
      <c r="DV308" s="27" t="s">
        <v>7</v>
      </c>
      <c r="DY308" s="27" t="s">
        <v>8</v>
      </c>
      <c r="EA308" s="27" t="s">
        <v>8</v>
      </c>
      <c r="EC308" s="27" t="s">
        <v>8</v>
      </c>
      <c r="EJ308" s="27" t="s">
        <v>7</v>
      </c>
      <c r="EK308" s="27" t="s">
        <v>8</v>
      </c>
      <c r="EL308" s="27" t="s">
        <v>7</v>
      </c>
      <c r="EM308" s="27" t="s">
        <v>8</v>
      </c>
      <c r="GT308" s="27" t="s">
        <v>7</v>
      </c>
      <c r="GW308" s="27" t="s">
        <v>8</v>
      </c>
      <c r="GX308" s="27" t="s">
        <v>7</v>
      </c>
      <c r="HG308" s="27" t="s">
        <v>8</v>
      </c>
      <c r="HH308" s="27" t="s">
        <v>7</v>
      </c>
      <c r="HJ308" s="27" t="s">
        <v>7</v>
      </c>
      <c r="HK308" s="27" t="s">
        <v>8</v>
      </c>
      <c r="HL308" s="27" t="s">
        <v>7</v>
      </c>
      <c r="HN308" s="27" t="s">
        <v>7</v>
      </c>
    </row>
    <row r="309" spans="1:230" x14ac:dyDescent="0.25">
      <c r="A309" s="7">
        <v>245.95052266806812</v>
      </c>
      <c r="B309"/>
      <c r="C309"/>
      <c r="D309"/>
      <c r="E309"/>
      <c r="BC309" s="27" t="s">
        <v>8</v>
      </c>
      <c r="BD309" s="27" t="s">
        <v>7</v>
      </c>
      <c r="BE309" s="27" t="s">
        <v>8</v>
      </c>
      <c r="DL309" s="27" t="s">
        <v>7</v>
      </c>
      <c r="DM309" s="27" t="s">
        <v>8</v>
      </c>
      <c r="DV309" s="27" t="s">
        <v>7</v>
      </c>
      <c r="DY309" s="27" t="s">
        <v>8</v>
      </c>
      <c r="DZ309" s="27" t="s">
        <v>7</v>
      </c>
      <c r="EA309" s="27" t="s">
        <v>8</v>
      </c>
      <c r="EB309" s="27" t="s">
        <v>7</v>
      </c>
      <c r="EC309" s="27" t="s">
        <v>8</v>
      </c>
      <c r="EJ309" s="27" t="s">
        <v>7</v>
      </c>
      <c r="EL309" s="27" t="s">
        <v>7</v>
      </c>
      <c r="EM309" s="27" t="s">
        <v>8</v>
      </c>
      <c r="GT309" s="27" t="s">
        <v>7</v>
      </c>
      <c r="GW309" s="27" t="s">
        <v>8</v>
      </c>
      <c r="GX309" s="27" t="s">
        <v>7</v>
      </c>
      <c r="HG309" s="27" t="s">
        <v>8</v>
      </c>
      <c r="HJ309" s="27" t="s">
        <v>7</v>
      </c>
      <c r="HK309" s="27" t="s">
        <v>8</v>
      </c>
      <c r="HN309" s="27" t="s">
        <v>7</v>
      </c>
    </row>
    <row r="310" spans="1:230" x14ac:dyDescent="0.25">
      <c r="A310" s="7">
        <v>241.12796340006679</v>
      </c>
      <c r="B310"/>
      <c r="C310"/>
      <c r="D310"/>
      <c r="E310"/>
      <c r="BC310" s="27" t="s">
        <v>8</v>
      </c>
      <c r="BD310" s="27" t="s">
        <v>7</v>
      </c>
      <c r="DL310" s="27" t="s">
        <v>7</v>
      </c>
      <c r="DM310" s="27" t="s">
        <v>8</v>
      </c>
      <c r="DV310" s="27" t="s">
        <v>7</v>
      </c>
      <c r="DY310" s="27" t="s">
        <v>8</v>
      </c>
      <c r="DZ310" s="27" t="s">
        <v>7</v>
      </c>
      <c r="EA310" s="27" t="s">
        <v>8</v>
      </c>
      <c r="EB310" s="27" t="s">
        <v>7</v>
      </c>
      <c r="EC310" s="27" t="s">
        <v>8</v>
      </c>
      <c r="EL310" s="27" t="s">
        <v>7</v>
      </c>
      <c r="EM310" s="27" t="s">
        <v>8</v>
      </c>
      <c r="GT310" s="27" t="s">
        <v>7</v>
      </c>
      <c r="GU310" s="27" t="s">
        <v>8</v>
      </c>
      <c r="GW310" s="27" t="s">
        <v>8</v>
      </c>
      <c r="GX310" s="27" t="s">
        <v>7</v>
      </c>
      <c r="HG310" s="27" t="s">
        <v>8</v>
      </c>
      <c r="HJ310" s="27" t="s">
        <v>7</v>
      </c>
      <c r="HK310" s="27" t="s">
        <v>8</v>
      </c>
      <c r="HN310" s="27" t="s">
        <v>7</v>
      </c>
      <c r="HS310" s="27" t="s">
        <v>8</v>
      </c>
    </row>
    <row r="311" spans="1:230" x14ac:dyDescent="0.25">
      <c r="A311" s="7">
        <v>236.39996411771253</v>
      </c>
      <c r="B311"/>
      <c r="C311"/>
      <c r="D311"/>
      <c r="E311"/>
      <c r="BC311" s="27" t="s">
        <v>8</v>
      </c>
      <c r="DL311" s="27" t="s">
        <v>7</v>
      </c>
      <c r="DM311" s="27" t="s">
        <v>8</v>
      </c>
      <c r="DV311" s="27" t="s">
        <v>7</v>
      </c>
      <c r="DY311" s="27" t="s">
        <v>8</v>
      </c>
      <c r="DZ311" s="27" t="s">
        <v>7</v>
      </c>
      <c r="EA311" s="27" t="s">
        <v>8</v>
      </c>
      <c r="EB311" s="27" t="s">
        <v>7</v>
      </c>
      <c r="EC311" s="27" t="s">
        <v>8</v>
      </c>
      <c r="EL311" s="18" t="s">
        <v>7</v>
      </c>
      <c r="EM311" s="27" t="s">
        <v>8</v>
      </c>
      <c r="GT311" s="27" t="s">
        <v>7</v>
      </c>
      <c r="GU311" s="27" t="s">
        <v>8</v>
      </c>
      <c r="GV311" s="27" t="s">
        <v>7</v>
      </c>
      <c r="GW311" s="27" t="s">
        <v>8</v>
      </c>
      <c r="GX311" s="27" t="s">
        <v>7</v>
      </c>
      <c r="HG311" s="27" t="s">
        <v>8</v>
      </c>
      <c r="HJ311" s="27" t="s">
        <v>7</v>
      </c>
      <c r="HK311" s="27" t="s">
        <v>8</v>
      </c>
      <c r="HN311" s="27" t="s">
        <v>7</v>
      </c>
      <c r="HS311" s="27" t="s">
        <v>8</v>
      </c>
      <c r="HT311" s="27" t="s">
        <v>7</v>
      </c>
      <c r="HU311" s="27" t="s">
        <v>8</v>
      </c>
    </row>
    <row r="312" spans="1:230" x14ac:dyDescent="0.25">
      <c r="A312" s="7">
        <v>231.76467070363972</v>
      </c>
      <c r="B312"/>
      <c r="C312"/>
      <c r="D312"/>
      <c r="E312"/>
      <c r="BC312" s="27" t="s">
        <v>8</v>
      </c>
      <c r="DL312" s="27" t="s">
        <v>7</v>
      </c>
      <c r="DM312" s="27" t="s">
        <v>8</v>
      </c>
      <c r="DV312" s="27" t="s">
        <v>7</v>
      </c>
      <c r="DY312" s="27" t="s">
        <v>8</v>
      </c>
      <c r="DZ312" s="27" t="s">
        <v>7</v>
      </c>
      <c r="EA312" s="27" t="s">
        <v>8</v>
      </c>
      <c r="EB312" s="27" t="s">
        <v>7</v>
      </c>
      <c r="EC312" s="27" t="s">
        <v>8</v>
      </c>
      <c r="EL312" s="27" t="s">
        <v>7</v>
      </c>
      <c r="EM312" s="27" t="s">
        <v>8</v>
      </c>
      <c r="GT312" s="27" t="s">
        <v>7</v>
      </c>
      <c r="GU312" s="27" t="s">
        <v>8</v>
      </c>
      <c r="GV312" s="27" t="s">
        <v>7</v>
      </c>
      <c r="GW312" s="27" t="s">
        <v>8</v>
      </c>
      <c r="GX312" s="27" t="s">
        <v>7</v>
      </c>
      <c r="HG312" s="27" t="s">
        <v>8</v>
      </c>
      <c r="HJ312" s="27" t="s">
        <v>7</v>
      </c>
      <c r="HN312" s="27" t="s">
        <v>7</v>
      </c>
      <c r="HO312" s="27" t="s">
        <v>8</v>
      </c>
      <c r="HS312" s="27" t="s">
        <v>8</v>
      </c>
      <c r="HT312" s="27" t="s">
        <v>7</v>
      </c>
      <c r="HU312" s="27" t="s">
        <v>8</v>
      </c>
      <c r="HV312" s="27" t="s">
        <v>7</v>
      </c>
    </row>
    <row r="313" spans="1:230" x14ac:dyDescent="0.25">
      <c r="A313" s="7">
        <v>227.22026539572522</v>
      </c>
      <c r="B313"/>
      <c r="C313"/>
      <c r="D313"/>
      <c r="E313"/>
      <c r="BC313" s="27" t="s">
        <v>8</v>
      </c>
      <c r="DL313" s="27" t="s">
        <v>7</v>
      </c>
      <c r="DM313" s="27" t="s">
        <v>8</v>
      </c>
      <c r="DV313" s="27" t="s">
        <v>7</v>
      </c>
      <c r="DW313" s="27" t="s">
        <v>8</v>
      </c>
      <c r="DY313" s="27" t="s">
        <v>8</v>
      </c>
      <c r="DZ313" s="27" t="s">
        <v>7</v>
      </c>
      <c r="EA313" s="27" t="s">
        <v>8</v>
      </c>
      <c r="EB313" s="27" t="s">
        <v>7</v>
      </c>
      <c r="EC313" s="27" t="s">
        <v>8</v>
      </c>
      <c r="EL313" s="27" t="s">
        <v>7</v>
      </c>
      <c r="EM313" s="27" t="s">
        <v>8</v>
      </c>
      <c r="GT313" s="27" t="s">
        <v>7</v>
      </c>
      <c r="GV313" s="27" t="s">
        <v>7</v>
      </c>
      <c r="GW313" s="27" t="s">
        <v>8</v>
      </c>
      <c r="GX313" s="27" t="s">
        <v>7</v>
      </c>
      <c r="HG313" s="27" t="s">
        <v>8</v>
      </c>
      <c r="HN313" s="27" t="s">
        <v>7</v>
      </c>
      <c r="HO313" s="27" t="s">
        <v>8</v>
      </c>
      <c r="HP313" s="27" t="s">
        <v>7</v>
      </c>
      <c r="HQ313" s="27" t="s">
        <v>8</v>
      </c>
      <c r="HS313" s="27" t="s">
        <v>8</v>
      </c>
      <c r="HT313" s="27" t="s">
        <v>7</v>
      </c>
      <c r="HU313" s="27" t="s">
        <v>8</v>
      </c>
      <c r="HV313" s="27" t="s">
        <v>7</v>
      </c>
    </row>
    <row r="314" spans="1:230" x14ac:dyDescent="0.25">
      <c r="A314" s="7">
        <v>222.76496607424042</v>
      </c>
      <c r="B314"/>
      <c r="C314"/>
      <c r="D314"/>
      <c r="E314"/>
      <c r="BC314" s="27" t="s">
        <v>8</v>
      </c>
      <c r="DL314" s="27" t="s">
        <v>7</v>
      </c>
      <c r="DM314" s="27" t="s">
        <v>8</v>
      </c>
      <c r="DV314" s="27" t="s">
        <v>7</v>
      </c>
      <c r="DW314" s="27" t="s">
        <v>8</v>
      </c>
      <c r="DX314" s="27" t="s">
        <v>7</v>
      </c>
      <c r="DY314" s="27" t="s">
        <v>8</v>
      </c>
      <c r="DZ314" s="27" t="s">
        <v>7</v>
      </c>
      <c r="EB314" s="27" t="s">
        <v>7</v>
      </c>
      <c r="EC314" s="27" t="s">
        <v>8</v>
      </c>
      <c r="EL314" s="27" t="s">
        <v>7</v>
      </c>
      <c r="EM314" s="27" t="s">
        <v>8</v>
      </c>
      <c r="GV314" s="27" t="s">
        <v>7</v>
      </c>
      <c r="GW314" s="27" t="s">
        <v>8</v>
      </c>
      <c r="GX314" s="27" t="s">
        <v>7</v>
      </c>
      <c r="HG314" s="27" t="s">
        <v>8</v>
      </c>
      <c r="HN314" s="27" t="s">
        <v>7</v>
      </c>
      <c r="HO314" s="27" t="s">
        <v>8</v>
      </c>
      <c r="HP314" s="27" t="s">
        <v>7</v>
      </c>
      <c r="HQ314" s="27" t="s">
        <v>8</v>
      </c>
      <c r="HR314" s="27" t="s">
        <v>7</v>
      </c>
      <c r="HS314" s="27" t="s">
        <v>8</v>
      </c>
      <c r="HT314" s="27" t="s">
        <v>7</v>
      </c>
      <c r="HV314" s="27" t="s">
        <v>7</v>
      </c>
    </row>
    <row r="315" spans="1:230" x14ac:dyDescent="0.25">
      <c r="A315" s="7">
        <v>218.39702556298079</v>
      </c>
      <c r="B315"/>
      <c r="C315"/>
      <c r="D315"/>
      <c r="E315"/>
      <c r="BC315" s="27" t="s">
        <v>8</v>
      </c>
      <c r="DL315" s="27" t="s">
        <v>7</v>
      </c>
      <c r="DM315" s="27" t="s">
        <v>8</v>
      </c>
      <c r="DV315" s="27" t="s">
        <v>7</v>
      </c>
      <c r="DW315" s="27" t="s">
        <v>8</v>
      </c>
      <c r="DX315" s="27" t="s">
        <v>7</v>
      </c>
      <c r="DY315" s="27" t="s">
        <v>8</v>
      </c>
      <c r="EB315" s="27" t="s">
        <v>7</v>
      </c>
      <c r="EL315" s="27" t="s">
        <v>7</v>
      </c>
      <c r="GV315" s="27" t="s">
        <v>7</v>
      </c>
      <c r="GX315" s="27" t="s">
        <v>7</v>
      </c>
      <c r="HG315" s="27" t="s">
        <v>8</v>
      </c>
      <c r="HN315" s="27" t="s">
        <v>7</v>
      </c>
      <c r="HP315" s="27" t="s">
        <v>7</v>
      </c>
      <c r="HQ315" s="27" t="s">
        <v>8</v>
      </c>
      <c r="HR315" s="27" t="s">
        <v>7</v>
      </c>
      <c r="HS315" s="27" t="s">
        <v>8</v>
      </c>
      <c r="HV315" s="27" t="s">
        <v>7</v>
      </c>
    </row>
    <row r="316" spans="1:230" x14ac:dyDescent="0.25">
      <c r="A316" s="7">
        <v>214.1147309440988</v>
      </c>
      <c r="B316"/>
      <c r="C316"/>
      <c r="D316"/>
      <c r="E316"/>
      <c r="BC316" s="27" t="s">
        <v>8</v>
      </c>
      <c r="DL316" s="27" t="s">
        <v>7</v>
      </c>
      <c r="DM316" s="27" t="s">
        <v>8</v>
      </c>
      <c r="DV316" s="27" t="s">
        <v>7</v>
      </c>
      <c r="DW316" s="27" t="s">
        <v>8</v>
      </c>
      <c r="DX316" s="27" t="s">
        <v>7</v>
      </c>
      <c r="DY316" s="27" t="s">
        <v>8</v>
      </c>
      <c r="GX316" s="27" t="s">
        <v>7</v>
      </c>
      <c r="HG316" s="27" t="s">
        <v>8</v>
      </c>
      <c r="HP316" s="27" t="s">
        <v>7</v>
      </c>
      <c r="HQ316" s="27" t="s">
        <v>8</v>
      </c>
      <c r="HR316" s="27" t="s">
        <v>7</v>
      </c>
      <c r="HS316" s="27" t="s">
        <v>8</v>
      </c>
      <c r="HV316" s="27" t="s">
        <v>7</v>
      </c>
    </row>
    <row r="317" spans="1:230" x14ac:dyDescent="0.25">
      <c r="A317" s="7">
        <v>209.91640288637137</v>
      </c>
      <c r="B317"/>
      <c r="C317"/>
      <c r="D317"/>
      <c r="E317"/>
      <c r="BA317" s="27" t="s">
        <v>8</v>
      </c>
      <c r="BC317" s="27" t="s">
        <v>8</v>
      </c>
      <c r="DL317" s="27" t="s">
        <v>7</v>
      </c>
      <c r="DV317" s="27" t="s">
        <v>7</v>
      </c>
      <c r="DW317" s="27" t="s">
        <v>8</v>
      </c>
      <c r="DX317" s="27" t="s">
        <v>7</v>
      </c>
      <c r="DY317" s="27" t="s">
        <v>8</v>
      </c>
      <c r="GX317" s="27" t="s">
        <v>7</v>
      </c>
      <c r="HG317" s="27" t="s">
        <v>8</v>
      </c>
      <c r="HP317" s="27" t="s">
        <v>7</v>
      </c>
      <c r="HQ317" s="27" t="s">
        <v>8</v>
      </c>
      <c r="HR317" s="27" t="s">
        <v>7</v>
      </c>
      <c r="HS317" s="27" t="s">
        <v>8</v>
      </c>
      <c r="HV317" s="27" t="s">
        <v>7</v>
      </c>
    </row>
    <row r="318" spans="1:230" x14ac:dyDescent="0.25">
      <c r="A318" s="7">
        <v>205.80039498663859</v>
      </c>
      <c r="B318"/>
      <c r="C318"/>
      <c r="D318"/>
      <c r="E318"/>
      <c r="BA318" s="27" t="s">
        <v>8</v>
      </c>
      <c r="BB318" s="27" t="s">
        <v>7</v>
      </c>
      <c r="BC318" s="27" t="s">
        <v>8</v>
      </c>
      <c r="DV318" s="27" t="s">
        <v>7</v>
      </c>
      <c r="DW318" s="27" t="s">
        <v>8</v>
      </c>
      <c r="DX318" s="27" t="s">
        <v>7</v>
      </c>
      <c r="DY318" s="27" t="s">
        <v>8</v>
      </c>
      <c r="GX318" s="27" t="s">
        <v>7</v>
      </c>
      <c r="GY318" s="27" t="s">
        <v>8</v>
      </c>
      <c r="HG318" s="27" t="s">
        <v>8</v>
      </c>
      <c r="HP318" s="27" t="s">
        <v>7</v>
      </c>
      <c r="HQ318" s="27" t="s">
        <v>8</v>
      </c>
      <c r="HR318" s="27" t="s">
        <v>7</v>
      </c>
      <c r="HS318" s="27" t="s">
        <v>8</v>
      </c>
      <c r="HV318" s="27" t="s">
        <v>7</v>
      </c>
    </row>
    <row r="319" spans="1:230" x14ac:dyDescent="0.25">
      <c r="A319" s="7">
        <v>201.76509312415547</v>
      </c>
      <c r="B319"/>
      <c r="C319"/>
      <c r="D319"/>
      <c r="E319"/>
      <c r="AY319" s="27" t="s">
        <v>8</v>
      </c>
      <c r="BA319" s="27" t="s">
        <v>8</v>
      </c>
      <c r="BB319" s="27" t="s">
        <v>7</v>
      </c>
      <c r="BC319" s="27" t="s">
        <v>8</v>
      </c>
      <c r="DV319" s="27" t="s">
        <v>7</v>
      </c>
      <c r="DW319" s="27" t="s">
        <v>8</v>
      </c>
      <c r="DX319" s="27" t="s">
        <v>7</v>
      </c>
      <c r="DY319" s="27" t="s">
        <v>8</v>
      </c>
      <c r="GX319" s="27" t="s">
        <v>7</v>
      </c>
      <c r="GY319" s="27" t="s">
        <v>8</v>
      </c>
      <c r="GZ319" s="27" t="s">
        <v>7</v>
      </c>
      <c r="HA319" s="27" t="s">
        <v>8</v>
      </c>
      <c r="HE319" s="27" t="s">
        <v>8</v>
      </c>
      <c r="HG319" s="27" t="s">
        <v>8</v>
      </c>
      <c r="HP319" s="27" t="s">
        <v>7</v>
      </c>
      <c r="HR319" s="27" t="s">
        <v>7</v>
      </c>
      <c r="HS319" s="27" t="s">
        <v>8</v>
      </c>
      <c r="HV319" s="27" t="s">
        <v>7</v>
      </c>
    </row>
    <row r="320" spans="1:230" x14ac:dyDescent="0.25">
      <c r="A320" s="7">
        <v>197.80891482760339</v>
      </c>
      <c r="B320"/>
      <c r="C320"/>
      <c r="D320"/>
      <c r="E320"/>
      <c r="AY320" s="27" t="s">
        <v>8</v>
      </c>
      <c r="AZ320" s="27" t="s">
        <v>7</v>
      </c>
      <c r="BA320" s="27" t="s">
        <v>8</v>
      </c>
      <c r="BB320" s="27" t="s">
        <v>7</v>
      </c>
      <c r="BC320" s="27" t="s">
        <v>8</v>
      </c>
      <c r="DV320" s="27" t="s">
        <v>7</v>
      </c>
      <c r="DW320" s="27" t="s">
        <v>8</v>
      </c>
      <c r="DX320" s="27" t="s">
        <v>7</v>
      </c>
      <c r="DY320" s="27" t="s">
        <v>8</v>
      </c>
      <c r="GX320" s="27" t="s">
        <v>7</v>
      </c>
      <c r="GY320" s="27" t="s">
        <v>8</v>
      </c>
      <c r="GZ320" s="27" t="s">
        <v>7</v>
      </c>
      <c r="HA320" s="27" t="s">
        <v>8</v>
      </c>
      <c r="HB320" s="27" t="s">
        <v>7</v>
      </c>
      <c r="HE320" s="27" t="s">
        <v>8</v>
      </c>
      <c r="HF320" s="27" t="s">
        <v>7</v>
      </c>
      <c r="HG320" s="27" t="s">
        <v>8</v>
      </c>
      <c r="HR320" s="27" t="s">
        <v>7</v>
      </c>
      <c r="HS320" s="27" t="s">
        <v>8</v>
      </c>
      <c r="HV320" s="27" t="s">
        <v>7</v>
      </c>
    </row>
    <row r="321" spans="1:234" x14ac:dyDescent="0.25">
      <c r="A321" s="7">
        <v>193.93030865451311</v>
      </c>
      <c r="B321"/>
      <c r="C321"/>
      <c r="D321"/>
      <c r="E321"/>
      <c r="AY321" s="27" t="s">
        <v>8</v>
      </c>
      <c r="AZ321" s="27" t="s">
        <v>7</v>
      </c>
      <c r="BA321" s="27" t="s">
        <v>8</v>
      </c>
      <c r="BB321" s="27" t="s">
        <v>7</v>
      </c>
      <c r="BC321" s="27" t="s">
        <v>8</v>
      </c>
      <c r="DV321" s="27" t="s">
        <v>7</v>
      </c>
      <c r="DW321" s="27" t="s">
        <v>8</v>
      </c>
      <c r="DX321" s="27" t="s">
        <v>7</v>
      </c>
      <c r="DY321" s="27" t="s">
        <v>8</v>
      </c>
      <c r="GX321" s="27" t="s">
        <v>7</v>
      </c>
      <c r="GY321" s="27" t="s">
        <v>8</v>
      </c>
      <c r="GZ321" s="27" t="s">
        <v>7</v>
      </c>
      <c r="HA321" s="27" t="s">
        <v>8</v>
      </c>
      <c r="HB321" s="27" t="s">
        <v>7</v>
      </c>
      <c r="HE321" s="27" t="s">
        <v>8</v>
      </c>
      <c r="HF321" s="27" t="s">
        <v>7</v>
      </c>
      <c r="HG321" s="27" t="s">
        <v>8</v>
      </c>
      <c r="HR321" s="27" t="s">
        <v>7</v>
      </c>
      <c r="HS321" s="27" t="s">
        <v>8</v>
      </c>
      <c r="HV321" s="27" t="s">
        <v>7</v>
      </c>
    </row>
    <row r="322" spans="1:234" x14ac:dyDescent="0.25">
      <c r="A322" s="7">
        <v>190.127753582856</v>
      </c>
      <c r="B322"/>
      <c r="C322"/>
      <c r="D322"/>
      <c r="E322"/>
      <c r="AY322" s="27" t="s">
        <v>8</v>
      </c>
      <c r="AZ322" s="27" t="s">
        <v>7</v>
      </c>
      <c r="BA322" s="27" t="s">
        <v>8</v>
      </c>
      <c r="BB322" s="27" t="s">
        <v>7</v>
      </c>
      <c r="BC322" s="27" t="s">
        <v>8</v>
      </c>
      <c r="DV322" s="27" t="s">
        <v>7</v>
      </c>
      <c r="DW322" s="27" t="s">
        <v>8</v>
      </c>
      <c r="DX322" s="27" t="s">
        <v>7</v>
      </c>
      <c r="DY322" s="27" t="s">
        <v>8</v>
      </c>
      <c r="GX322" s="27" t="s">
        <v>7</v>
      </c>
      <c r="GY322" s="27" t="s">
        <v>8</v>
      </c>
      <c r="GZ322" s="27" t="s">
        <v>7</v>
      </c>
      <c r="HA322" s="27" t="s">
        <v>8</v>
      </c>
      <c r="HB322" s="27" t="s">
        <v>7</v>
      </c>
      <c r="HE322" s="27" t="s">
        <v>8</v>
      </c>
      <c r="HF322" s="27" t="s">
        <v>7</v>
      </c>
      <c r="HG322" s="27" t="s">
        <v>8</v>
      </c>
      <c r="HR322" s="27" t="s">
        <v>7</v>
      </c>
      <c r="HV322" s="27" t="s">
        <v>7</v>
      </c>
    </row>
    <row r="323" spans="1:234" x14ac:dyDescent="0.25">
      <c r="A323" s="7">
        <v>186.3997584145647</v>
      </c>
      <c r="B323"/>
      <c r="C323"/>
      <c r="D323"/>
      <c r="E323"/>
      <c r="AY323" s="27" t="s">
        <v>8</v>
      </c>
      <c r="AZ323" s="27" t="s">
        <v>7</v>
      </c>
      <c r="BA323" s="27" t="s">
        <v>8</v>
      </c>
      <c r="BB323" s="27" t="s">
        <v>7</v>
      </c>
      <c r="BC323" s="27" t="s">
        <v>8</v>
      </c>
      <c r="DV323" s="27" t="s">
        <v>7</v>
      </c>
      <c r="DW323" s="27" t="s">
        <v>8</v>
      </c>
      <c r="DX323" s="27" t="s">
        <v>7</v>
      </c>
      <c r="DY323" s="27" t="s">
        <v>8</v>
      </c>
      <c r="GX323" s="27" t="s">
        <v>7</v>
      </c>
      <c r="GY323" s="27" t="s">
        <v>8</v>
      </c>
      <c r="GZ323" s="27" t="s">
        <v>7</v>
      </c>
      <c r="HA323" s="27" t="s">
        <v>8</v>
      </c>
      <c r="HB323" s="27" t="s">
        <v>7</v>
      </c>
      <c r="HE323" s="27" t="s">
        <v>8</v>
      </c>
      <c r="HF323" s="27" t="s">
        <v>7</v>
      </c>
      <c r="HG323" s="27" t="s">
        <v>8</v>
      </c>
      <c r="HV323" s="27" t="s">
        <v>7</v>
      </c>
    </row>
    <row r="324" spans="1:234" x14ac:dyDescent="0.25">
      <c r="A324" s="7">
        <v>182.7448611907497</v>
      </c>
      <c r="B324"/>
      <c r="C324"/>
      <c r="D324"/>
      <c r="E324"/>
      <c r="AY324" s="27" t="s">
        <v>8</v>
      </c>
      <c r="AZ324" s="27" t="s">
        <v>7</v>
      </c>
      <c r="BA324" s="27" t="s">
        <v>8</v>
      </c>
      <c r="BB324" s="27" t="s">
        <v>7</v>
      </c>
      <c r="BC324" s="27" t="s">
        <v>8</v>
      </c>
      <c r="DV324" s="27" t="s">
        <v>7</v>
      </c>
      <c r="DW324" s="27" t="s">
        <v>8</v>
      </c>
      <c r="DX324" s="27" t="s">
        <v>7</v>
      </c>
      <c r="DY324" s="27" t="s">
        <v>8</v>
      </c>
      <c r="GX324" s="27" t="s">
        <v>7</v>
      </c>
      <c r="GY324" s="27" t="s">
        <v>8</v>
      </c>
      <c r="GZ324" s="27" t="s">
        <v>7</v>
      </c>
      <c r="HA324" s="27" t="s">
        <v>8</v>
      </c>
      <c r="HB324" s="27" t="s">
        <v>7</v>
      </c>
      <c r="HE324" s="27" t="s">
        <v>8</v>
      </c>
      <c r="HF324" s="27" t="s">
        <v>7</v>
      </c>
      <c r="HG324" s="27" t="s">
        <v>8</v>
      </c>
      <c r="HV324" s="27" t="s">
        <v>7</v>
      </c>
    </row>
    <row r="325" spans="1:234" x14ac:dyDescent="0.25">
      <c r="A325" s="7">
        <v>179.16162861838205</v>
      </c>
      <c r="B325"/>
      <c r="C325"/>
      <c r="D325"/>
      <c r="E325"/>
      <c r="AY325" s="27" t="s">
        <v>8</v>
      </c>
      <c r="AZ325" s="27" t="s">
        <v>7</v>
      </c>
      <c r="BA325" s="27" t="s">
        <v>8</v>
      </c>
      <c r="BB325" s="27" t="s">
        <v>7</v>
      </c>
      <c r="BC325" s="27" t="s">
        <v>8</v>
      </c>
      <c r="DV325" s="27" t="s">
        <v>7</v>
      </c>
      <c r="DW325" s="27" t="s">
        <v>8</v>
      </c>
      <c r="DX325" s="27" t="s">
        <v>7</v>
      </c>
      <c r="GX325" s="27" t="s">
        <v>7</v>
      </c>
      <c r="GY325" s="27" t="s">
        <v>8</v>
      </c>
      <c r="GZ325" s="27" t="s">
        <v>7</v>
      </c>
      <c r="HA325" s="27" t="s">
        <v>8</v>
      </c>
      <c r="HB325" s="27" t="s">
        <v>7</v>
      </c>
      <c r="HC325" s="27" t="s">
        <v>8</v>
      </c>
      <c r="HE325" s="27" t="s">
        <v>8</v>
      </c>
      <c r="HF325" s="27" t="s">
        <v>7</v>
      </c>
      <c r="HG325" s="27" t="s">
        <v>8</v>
      </c>
      <c r="HV325" s="27" t="s">
        <v>7</v>
      </c>
    </row>
    <row r="326" spans="1:234" x14ac:dyDescent="0.25">
      <c r="A326" s="7">
        <v>175.6486555082177</v>
      </c>
      <c r="B326"/>
      <c r="C326"/>
      <c r="D326"/>
      <c r="E326"/>
      <c r="AY326" s="27" t="s">
        <v>8</v>
      </c>
      <c r="AZ326" s="27" t="s">
        <v>7</v>
      </c>
      <c r="BB326" s="27" t="s">
        <v>7</v>
      </c>
      <c r="BC326" s="27" t="s">
        <v>8</v>
      </c>
      <c r="DV326" s="27" t="s">
        <v>7</v>
      </c>
      <c r="DW326" s="27" t="s">
        <v>8</v>
      </c>
      <c r="GX326" s="27" t="s">
        <v>7</v>
      </c>
      <c r="GY326" s="27" t="s">
        <v>8</v>
      </c>
      <c r="GZ326" s="27" t="s">
        <v>7</v>
      </c>
      <c r="HA326" s="27" t="s">
        <v>8</v>
      </c>
      <c r="HB326" s="27" t="s">
        <v>7</v>
      </c>
      <c r="HC326" s="27" t="s">
        <v>8</v>
      </c>
      <c r="HD326" s="27" t="s">
        <v>7</v>
      </c>
      <c r="HE326" s="27" t="s">
        <v>8</v>
      </c>
      <c r="HF326" s="27" t="s">
        <v>7</v>
      </c>
      <c r="HG326" s="27" t="s">
        <v>8</v>
      </c>
      <c r="HV326" s="27" t="s">
        <v>7</v>
      </c>
    </row>
    <row r="327" spans="1:234" x14ac:dyDescent="0.25">
      <c r="A327" s="7">
        <v>172.20456422374284</v>
      </c>
      <c r="B327"/>
      <c r="C327"/>
      <c r="D327"/>
      <c r="E327"/>
      <c r="AY327" s="27" t="s">
        <v>8</v>
      </c>
      <c r="BB327" s="27" t="s">
        <v>7</v>
      </c>
      <c r="BC327" s="27" t="s">
        <v>8</v>
      </c>
      <c r="DV327" s="27" t="s">
        <v>7</v>
      </c>
      <c r="GX327" s="27" t="s">
        <v>7</v>
      </c>
      <c r="GY327" s="27" t="s">
        <v>8</v>
      </c>
      <c r="GZ327" s="27" t="s">
        <v>7</v>
      </c>
      <c r="HA327" s="27" t="s">
        <v>8</v>
      </c>
      <c r="HB327" s="27" t="s">
        <v>7</v>
      </c>
      <c r="HC327" s="27" t="s">
        <v>8</v>
      </c>
      <c r="HD327" s="27" t="s">
        <v>7</v>
      </c>
      <c r="HE327" s="27" t="s">
        <v>8</v>
      </c>
      <c r="HF327" s="27" t="s">
        <v>7</v>
      </c>
      <c r="HG327" s="27" t="s">
        <v>8</v>
      </c>
      <c r="HV327" s="27" t="s">
        <v>7</v>
      </c>
    </row>
    <row r="328" spans="1:234" x14ac:dyDescent="0.25">
      <c r="A328" s="7">
        <v>168.82800414092435</v>
      </c>
      <c r="B328"/>
      <c r="C328"/>
      <c r="D328"/>
      <c r="E328"/>
      <c r="AY328" s="27" t="s">
        <v>8</v>
      </c>
      <c r="BB328" s="27" t="s">
        <v>7</v>
      </c>
      <c r="BC328" s="27" t="s">
        <v>8</v>
      </c>
      <c r="GX328" s="27" t="s">
        <v>7</v>
      </c>
      <c r="GY328" s="27" t="s">
        <v>8</v>
      </c>
      <c r="GZ328" s="27" t="s">
        <v>7</v>
      </c>
      <c r="HB328" s="27" t="s">
        <v>7</v>
      </c>
      <c r="HC328" s="27" t="s">
        <v>8</v>
      </c>
      <c r="HD328" s="27" t="s">
        <v>7</v>
      </c>
      <c r="HE328" s="27" t="s">
        <v>8</v>
      </c>
      <c r="HF328" s="27" t="s">
        <v>7</v>
      </c>
      <c r="HV328" s="27" t="s">
        <v>7</v>
      </c>
    </row>
    <row r="329" spans="1:234" x14ac:dyDescent="0.25">
      <c r="A329" s="7">
        <v>165.51765111855329</v>
      </c>
      <c r="B329"/>
      <c r="C329"/>
      <c r="D329"/>
      <c r="E329"/>
      <c r="AY329" s="27" t="s">
        <v>8</v>
      </c>
      <c r="BB329" s="27" t="s">
        <v>7</v>
      </c>
      <c r="BC329" s="27" t="s">
        <v>8</v>
      </c>
      <c r="GX329" s="27" t="s">
        <v>7</v>
      </c>
      <c r="GY329" s="27" t="s">
        <v>8</v>
      </c>
      <c r="HB329" s="27" t="s">
        <v>7</v>
      </c>
      <c r="HD329" s="27" t="s">
        <v>7</v>
      </c>
      <c r="HE329" s="27" t="s">
        <v>8</v>
      </c>
      <c r="HV329" s="27" t="s">
        <v>7</v>
      </c>
    </row>
    <row r="330" spans="1:234" x14ac:dyDescent="0.25">
      <c r="A330" s="7">
        <v>162.2722069789738</v>
      </c>
      <c r="B330"/>
      <c r="C330"/>
      <c r="D330"/>
      <c r="E330"/>
      <c r="AY330" s="27" t="s">
        <v>8</v>
      </c>
      <c r="BB330" s="27" t="s">
        <v>7</v>
      </c>
      <c r="BC330" s="27" t="s">
        <v>8</v>
      </c>
      <c r="GX330" s="27" t="s">
        <v>7</v>
      </c>
      <c r="HD330" s="27" t="s">
        <v>7</v>
      </c>
      <c r="HE330" s="27" t="s">
        <v>8</v>
      </c>
      <c r="HV330" s="27" t="s">
        <v>7</v>
      </c>
      <c r="HW330" s="27" t="s">
        <v>8</v>
      </c>
      <c r="HY330" s="27" t="s">
        <v>8</v>
      </c>
    </row>
    <row r="331" spans="1:234" x14ac:dyDescent="0.25">
      <c r="A331" s="7">
        <v>159.09039899899392</v>
      </c>
      <c r="B331"/>
      <c r="C331"/>
      <c r="D331"/>
      <c r="E331"/>
      <c r="AY331" s="27" t="s">
        <v>8</v>
      </c>
      <c r="BB331" s="27" t="s">
        <v>7</v>
      </c>
      <c r="BC331" s="27" t="s">
        <v>8</v>
      </c>
      <c r="HD331" s="27" t="s">
        <v>7</v>
      </c>
      <c r="HV331" s="27" t="s">
        <v>7</v>
      </c>
      <c r="HW331" s="27" t="s">
        <v>8</v>
      </c>
      <c r="HX331" s="27" t="s">
        <v>7</v>
      </c>
      <c r="HY331" s="27" t="s">
        <v>8</v>
      </c>
      <c r="HZ331" s="27" t="s">
        <v>7</v>
      </c>
    </row>
    <row r="332" spans="1:234" x14ac:dyDescent="0.25">
      <c r="A332" s="7">
        <v>155.97097941077834</v>
      </c>
      <c r="B332"/>
      <c r="C332"/>
      <c r="D332"/>
      <c r="E332"/>
      <c r="AY332" s="27" t="s">
        <v>8</v>
      </c>
      <c r="BB332" s="27" t="s">
        <v>7</v>
      </c>
      <c r="BC332" s="27" t="s">
        <v>8</v>
      </c>
      <c r="HV332" s="27" t="s">
        <v>7</v>
      </c>
      <c r="HW332" s="27" t="s">
        <v>8</v>
      </c>
      <c r="HX332" s="27" t="s">
        <v>7</v>
      </c>
      <c r="HY332" s="27" t="s">
        <v>8</v>
      </c>
      <c r="HZ332" s="27" t="s">
        <v>7</v>
      </c>
    </row>
    <row r="333" spans="1:234" x14ac:dyDescent="0.25">
      <c r="A333" s="7">
        <v>152.91272491252778</v>
      </c>
      <c r="B333"/>
      <c r="C333"/>
      <c r="D333"/>
      <c r="E333"/>
      <c r="AY333" s="27" t="s">
        <v>8</v>
      </c>
      <c r="BB333" s="27" t="s">
        <v>7</v>
      </c>
      <c r="BC333" s="27" t="s">
        <v>8</v>
      </c>
      <c r="HV333" s="27" t="s">
        <v>7</v>
      </c>
      <c r="HW333" s="27" t="s">
        <v>8</v>
      </c>
      <c r="HX333" s="27" t="s">
        <v>7</v>
      </c>
      <c r="HY333" s="27" t="s">
        <v>8</v>
      </c>
      <c r="HZ333" s="27" t="s">
        <v>7</v>
      </c>
    </row>
    <row r="334" spans="1:234" x14ac:dyDescent="0.25">
      <c r="A334" s="7">
        <v>149.91443618875272</v>
      </c>
      <c r="B334"/>
      <c r="C334"/>
      <c r="D334"/>
      <c r="E334"/>
      <c r="AY334" s="27" t="s">
        <v>8</v>
      </c>
      <c r="BB334" s="27" t="s">
        <v>7</v>
      </c>
      <c r="HV334" s="27" t="s">
        <v>7</v>
      </c>
      <c r="HW334" s="27" t="s">
        <v>8</v>
      </c>
      <c r="HX334" s="27" t="s">
        <v>7</v>
      </c>
      <c r="HY334" s="27" t="s">
        <v>8</v>
      </c>
      <c r="HZ334" s="27" t="s">
        <v>7</v>
      </c>
    </row>
    <row r="335" spans="1:234" x14ac:dyDescent="0.25">
      <c r="A335" s="7">
        <v>146.97493743995364</v>
      </c>
      <c r="B335"/>
      <c r="C335"/>
      <c r="D335"/>
      <c r="E335"/>
      <c r="AY335" s="27" t="s">
        <v>8</v>
      </c>
      <c r="HV335" s="27" t="s">
        <v>7</v>
      </c>
      <c r="HW335" s="27" t="s">
        <v>8</v>
      </c>
      <c r="HX335" s="27" t="s">
        <v>7</v>
      </c>
      <c r="HY335" s="27" t="s">
        <v>8</v>
      </c>
      <c r="HZ335" s="27" t="s">
        <v>7</v>
      </c>
    </row>
    <row r="336" spans="1:234" x14ac:dyDescent="0.25">
      <c r="A336" s="7">
        <v>144.09307592152317</v>
      </c>
      <c r="B336"/>
      <c r="C336"/>
      <c r="D336"/>
      <c r="E336"/>
      <c r="AY336" s="27" t="s">
        <v>8</v>
      </c>
      <c r="HV336" s="27" t="s">
        <v>7</v>
      </c>
      <c r="HW336" s="27" t="s">
        <v>8</v>
      </c>
      <c r="HX336" s="27" t="s">
        <v>7</v>
      </c>
      <c r="HY336" s="27" t="s">
        <v>8</v>
      </c>
      <c r="HZ336" s="27" t="s">
        <v>7</v>
      </c>
    </row>
    <row r="337" spans="1:233" x14ac:dyDescent="0.25">
      <c r="A337" s="7">
        <v>141.26772149168937</v>
      </c>
      <c r="B337"/>
      <c r="C337"/>
      <c r="D337"/>
      <c r="E337"/>
      <c r="AY337" s="27" t="s">
        <v>8</v>
      </c>
      <c r="HV337" s="27" t="s">
        <v>7</v>
      </c>
      <c r="HW337" s="27" t="s">
        <v>8</v>
      </c>
      <c r="HX337" s="27" t="s">
        <v>7</v>
      </c>
      <c r="HY337" s="27" t="s">
        <v>8</v>
      </c>
    </row>
    <row r="338" spans="1:233" x14ac:dyDescent="0.25">
      <c r="A338" s="7">
        <v>138.4977661683229</v>
      </c>
      <c r="B338"/>
      <c r="C338"/>
      <c r="D338"/>
      <c r="E338"/>
      <c r="AY338" s="27" t="s">
        <v>8</v>
      </c>
      <c r="HV338" s="27" t="s">
        <v>7</v>
      </c>
      <c r="HW338" s="27" t="s">
        <v>8</v>
      </c>
      <c r="HX338" s="27" t="s">
        <v>7</v>
      </c>
      <c r="HY338" s="27" t="s">
        <v>8</v>
      </c>
    </row>
    <row r="339" spans="1:233" x14ac:dyDescent="0.25">
      <c r="A339" s="7">
        <v>135.7821236944342</v>
      </c>
      <c r="B339"/>
      <c r="C339"/>
      <c r="D339"/>
      <c r="E339"/>
      <c r="AW339" s="27" t="s">
        <v>8</v>
      </c>
      <c r="AY339" s="27" t="s">
        <v>8</v>
      </c>
      <c r="HV339" s="27" t="s">
        <v>7</v>
      </c>
      <c r="HX339" s="27" t="s">
        <v>7</v>
      </c>
      <c r="HY339" s="27" t="s">
        <v>8</v>
      </c>
    </row>
    <row r="340" spans="1:233" x14ac:dyDescent="0.25">
      <c r="A340" s="7">
        <v>133.11972911219038</v>
      </c>
      <c r="B340"/>
      <c r="C340"/>
      <c r="D340"/>
      <c r="E340"/>
      <c r="AW340" s="27" t="s">
        <v>8</v>
      </c>
      <c r="AX340" s="27" t="s">
        <v>7</v>
      </c>
      <c r="AY340" s="27" t="s">
        <v>8</v>
      </c>
      <c r="HX340" s="27" t="s">
        <v>7</v>
      </c>
    </row>
    <row r="341" spans="1:233" x14ac:dyDescent="0.25">
      <c r="A341" s="7">
        <v>130.50953834528468</v>
      </c>
      <c r="B341"/>
      <c r="C341"/>
      <c r="D341"/>
      <c r="E341"/>
      <c r="AW341" s="27" t="s">
        <v>8</v>
      </c>
      <c r="AX341" s="27" t="s">
        <v>7</v>
      </c>
      <c r="AY341" s="27" t="s">
        <v>8</v>
      </c>
    </row>
    <row r="342" spans="1:233" x14ac:dyDescent="0.25">
      <c r="A342" s="7">
        <v>127.95052778949477</v>
      </c>
      <c r="B342"/>
      <c r="C342"/>
      <c r="D342"/>
      <c r="E342"/>
      <c r="AU342" s="27" t="s">
        <v>8</v>
      </c>
      <c r="AW342" s="27" t="s">
        <v>8</v>
      </c>
      <c r="AX342" s="27" t="s">
        <v>7</v>
      </c>
      <c r="AY342" s="27" t="s">
        <v>8</v>
      </c>
    </row>
    <row r="343" spans="1:233" x14ac:dyDescent="0.25">
      <c r="A343" s="7">
        <v>125.44169391126938</v>
      </c>
      <c r="B343"/>
      <c r="C343"/>
      <c r="D343"/>
      <c r="E343"/>
      <c r="AU343" s="27" t="s">
        <v>8</v>
      </c>
      <c r="AV343" s="27" t="s">
        <v>7</v>
      </c>
      <c r="AW343" s="27" t="s">
        <v>8</v>
      </c>
      <c r="AX343" s="27" t="s">
        <v>7</v>
      </c>
      <c r="AY343" s="27" t="s">
        <v>8</v>
      </c>
    </row>
    <row r="344" spans="1:233" x14ac:dyDescent="0.25">
      <c r="A344" s="7">
        <v>122.98205285418567</v>
      </c>
      <c r="B344"/>
      <c r="C344"/>
      <c r="D344"/>
      <c r="E344"/>
      <c r="AS344" s="27" t="s">
        <v>8</v>
      </c>
      <c r="AU344" s="27" t="s">
        <v>8</v>
      </c>
      <c r="AV344" s="27" t="s">
        <v>7</v>
      </c>
      <c r="AW344" s="27" t="s">
        <v>8</v>
      </c>
      <c r="AX344" s="27" t="s">
        <v>7</v>
      </c>
      <c r="AY344" s="27" t="s">
        <v>8</v>
      </c>
    </row>
    <row r="345" spans="1:233" x14ac:dyDescent="0.25">
      <c r="A345" s="7">
        <v>120.5706400531232</v>
      </c>
      <c r="B345"/>
      <c r="C345"/>
      <c r="D345"/>
      <c r="E345"/>
      <c r="AS345" s="27" t="s">
        <v>8</v>
      </c>
      <c r="AT345" s="27" t="s">
        <v>7</v>
      </c>
      <c r="AU345" s="27" t="s">
        <v>8</v>
      </c>
      <c r="AV345" s="27" t="s">
        <v>7</v>
      </c>
      <c r="AW345" s="27" t="s">
        <v>8</v>
      </c>
      <c r="AX345" s="27" t="s">
        <v>7</v>
      </c>
      <c r="AY345" s="27" t="s">
        <v>8</v>
      </c>
    </row>
    <row r="346" spans="1:233" x14ac:dyDescent="0.25">
      <c r="A346" s="7">
        <v>118.20650985600314</v>
      </c>
      <c r="B346"/>
      <c r="C346"/>
      <c r="D346"/>
      <c r="E346"/>
      <c r="AS346" s="27" t="s">
        <v>8</v>
      </c>
      <c r="AT346" s="27" t="s">
        <v>7</v>
      </c>
      <c r="AU346" s="27" t="s">
        <v>8</v>
      </c>
      <c r="AV346" s="27" t="s">
        <v>7</v>
      </c>
      <c r="AW346" s="27" t="s">
        <v>8</v>
      </c>
      <c r="AX346" s="27" t="s">
        <v>7</v>
      </c>
      <c r="AY346" s="27" t="s">
        <v>8</v>
      </c>
    </row>
    <row r="347" spans="1:233" x14ac:dyDescent="0.25">
      <c r="A347" s="7">
        <v>115.88873515294425</v>
      </c>
      <c r="B347"/>
      <c r="C347"/>
      <c r="D347"/>
      <c r="E347"/>
      <c r="AS347" s="27" t="s">
        <v>8</v>
      </c>
      <c r="AT347" s="27" t="s">
        <v>7</v>
      </c>
      <c r="AU347" s="27" t="s">
        <v>8</v>
      </c>
      <c r="AV347" s="27" t="s">
        <v>7</v>
      </c>
      <c r="AW347" s="27" t="s">
        <v>8</v>
      </c>
      <c r="AX347" s="27" t="s">
        <v>7</v>
      </c>
      <c r="AY347" s="27" t="s">
        <v>8</v>
      </c>
    </row>
    <row r="348" spans="1:233" x14ac:dyDescent="0.25">
      <c r="A348" s="7">
        <v>113.61640701269044</v>
      </c>
      <c r="B348"/>
      <c r="C348"/>
      <c r="D348"/>
      <c r="E348"/>
      <c r="AS348" s="27" t="s">
        <v>8</v>
      </c>
      <c r="AT348" s="27" t="s">
        <v>7</v>
      </c>
      <c r="AU348" s="27" t="s">
        <v>8</v>
      </c>
      <c r="AV348" s="27" t="s">
        <v>7</v>
      </c>
      <c r="AW348" s="27" t="s">
        <v>8</v>
      </c>
      <c r="AX348" s="27" t="s">
        <v>7</v>
      </c>
      <c r="AY348" s="27" t="s">
        <v>8</v>
      </c>
    </row>
    <row r="349" spans="1:233" x14ac:dyDescent="0.25">
      <c r="A349" s="7">
        <v>111.38863432616711</v>
      </c>
      <c r="B349"/>
      <c r="C349"/>
      <c r="D349"/>
      <c r="E349"/>
      <c r="AS349" s="27" t="s">
        <v>8</v>
      </c>
      <c r="AT349" s="27" t="s">
        <v>7</v>
      </c>
      <c r="AU349" s="27" t="s">
        <v>8</v>
      </c>
      <c r="AV349" s="27" t="s">
        <v>7</v>
      </c>
      <c r="AW349" s="27" t="s">
        <v>8</v>
      </c>
      <c r="AX349" s="27" t="s">
        <v>7</v>
      </c>
      <c r="AY349" s="27" t="s">
        <v>8</v>
      </c>
    </row>
    <row r="350" spans="1:233" x14ac:dyDescent="0.25">
      <c r="A350" s="7">
        <v>109.20454345702657</v>
      </c>
      <c r="B350"/>
      <c r="C350"/>
      <c r="D350"/>
      <c r="E350"/>
      <c r="AS350" s="27" t="s">
        <v>8</v>
      </c>
      <c r="AT350" s="27" t="s">
        <v>7</v>
      </c>
      <c r="AV350" s="27" t="s">
        <v>7</v>
      </c>
      <c r="AW350" s="27" t="s">
        <v>8</v>
      </c>
      <c r="AX350" s="27" t="s">
        <v>7</v>
      </c>
      <c r="AY350" s="27" t="s">
        <v>8</v>
      </c>
    </row>
    <row r="351" spans="1:233" x14ac:dyDescent="0.25">
      <c r="A351" s="7">
        <v>107.06327789904566</v>
      </c>
      <c r="B351"/>
      <c r="C351"/>
      <c r="D351"/>
      <c r="E351"/>
      <c r="AS351" s="27" t="s">
        <v>8</v>
      </c>
      <c r="AV351" s="27" t="s">
        <v>7</v>
      </c>
      <c r="AW351" s="27" t="s">
        <v>8</v>
      </c>
      <c r="AX351" s="27" t="s">
        <v>7</v>
      </c>
      <c r="AY351" s="27" t="s">
        <v>8</v>
      </c>
    </row>
    <row r="352" spans="1:233" x14ac:dyDescent="0.25">
      <c r="A352" s="7">
        <v>104.96399794024084</v>
      </c>
      <c r="B352"/>
      <c r="C352"/>
      <c r="D352"/>
      <c r="E352"/>
      <c r="AS352" s="27" t="s">
        <v>8</v>
      </c>
      <c r="AV352" s="27" t="s">
        <v>7</v>
      </c>
      <c r="AW352" s="27" t="s">
        <v>8</v>
      </c>
      <c r="AX352" s="27" t="s">
        <v>7</v>
      </c>
      <c r="AY352" s="27" t="s">
        <v>8</v>
      </c>
    </row>
    <row r="353" spans="1:51" x14ac:dyDescent="0.25">
      <c r="A353" s="7">
        <v>102.90588033356946</v>
      </c>
      <c r="B353"/>
      <c r="C353"/>
      <c r="D353"/>
      <c r="E353"/>
      <c r="AS353" s="27" t="s">
        <v>8</v>
      </c>
      <c r="AV353" s="27" t="s">
        <v>7</v>
      </c>
      <c r="AW353" s="27" t="s">
        <v>8</v>
      </c>
      <c r="AX353" s="27" t="s">
        <v>7</v>
      </c>
      <c r="AY353" s="27" t="s">
        <v>8</v>
      </c>
    </row>
    <row r="354" spans="1:51" x14ac:dyDescent="0.25">
      <c r="A354" s="7">
        <v>100.88811797408771</v>
      </c>
      <c r="B354"/>
      <c r="C354"/>
      <c r="D354"/>
      <c r="E354"/>
      <c r="AS354" s="27" t="s">
        <v>8</v>
      </c>
      <c r="AV354" s="27" t="s">
        <v>7</v>
      </c>
      <c r="AX354" s="27" t="s">
        <v>7</v>
      </c>
      <c r="AY354" s="27" t="s">
        <v>8</v>
      </c>
    </row>
    <row r="355" spans="1:51" x14ac:dyDescent="0.25">
      <c r="A355" s="7">
        <v>98.909919582438931</v>
      </c>
      <c r="B355"/>
      <c r="C355"/>
      <c r="D355"/>
      <c r="E355"/>
      <c r="AS355" s="27" t="s">
        <v>8</v>
      </c>
      <c r="AX355" s="27" t="s">
        <v>7</v>
      </c>
      <c r="AY355" s="27" t="s">
        <v>8</v>
      </c>
    </row>
    <row r="356" spans="1:51" x14ac:dyDescent="0.25">
      <c r="A356" s="7">
        <v>96.970509394547975</v>
      </c>
      <c r="B356"/>
      <c r="C356"/>
      <c r="D356"/>
      <c r="E356"/>
      <c r="AS356" s="27" t="s">
        <v>8</v>
      </c>
      <c r="AX356" s="27" t="s">
        <v>7</v>
      </c>
      <c r="AY356" s="27" t="s">
        <v>8</v>
      </c>
    </row>
    <row r="357" spans="1:51" x14ac:dyDescent="0.25">
      <c r="A357" s="7">
        <v>95.069126857399979</v>
      </c>
      <c r="B357"/>
      <c r="C357"/>
      <c r="D357"/>
      <c r="E357"/>
      <c r="AM357" s="27" t="s">
        <v>8</v>
      </c>
      <c r="AS357" s="27" t="s">
        <v>8</v>
      </c>
      <c r="AX357" s="27" t="s">
        <v>7</v>
      </c>
    </row>
    <row r="358" spans="1:51" x14ac:dyDescent="0.25">
      <c r="A358" s="7">
        <v>93.205026330784293</v>
      </c>
      <c r="B358"/>
      <c r="C358"/>
      <c r="D358"/>
      <c r="E358"/>
      <c r="AA358" s="27" t="s">
        <v>8</v>
      </c>
      <c r="AE358" s="27" t="s">
        <v>8</v>
      </c>
      <c r="AM358" s="27" t="s">
        <v>8</v>
      </c>
      <c r="AN358" s="27" t="s">
        <v>7</v>
      </c>
      <c r="AS358" s="27" t="s">
        <v>8</v>
      </c>
    </row>
    <row r="359" spans="1:51" x14ac:dyDescent="0.25">
      <c r="A359" s="7">
        <v>91.377476794886562</v>
      </c>
      <c r="B359"/>
      <c r="C359"/>
      <c r="D359"/>
      <c r="E359"/>
      <c r="AA359" s="27" t="s">
        <v>8</v>
      </c>
      <c r="AB359" s="27" t="s">
        <v>7</v>
      </c>
      <c r="AC359" s="27" t="s">
        <v>8</v>
      </c>
      <c r="AE359" s="27" t="s">
        <v>8</v>
      </c>
      <c r="AF359" s="27" t="s">
        <v>7</v>
      </c>
      <c r="AI359" s="27" t="s">
        <v>8</v>
      </c>
      <c r="AM359" s="27" t="s">
        <v>8</v>
      </c>
      <c r="AN359" s="27" t="s">
        <v>7</v>
      </c>
      <c r="AS359" s="27" t="s">
        <v>8</v>
      </c>
    </row>
    <row r="360" spans="1:51" x14ac:dyDescent="0.25">
      <c r="A360" s="7">
        <v>89.58576156361427</v>
      </c>
      <c r="B360"/>
      <c r="C360"/>
      <c r="D360"/>
      <c r="E360"/>
      <c r="AA360" s="27" t="s">
        <v>8</v>
      </c>
      <c r="AB360" s="27" t="s">
        <v>7</v>
      </c>
      <c r="AC360" s="27" t="s">
        <v>8</v>
      </c>
      <c r="AD360" s="27" t="s">
        <v>7</v>
      </c>
      <c r="AE360" s="27" t="s">
        <v>8</v>
      </c>
      <c r="AF360" s="27" t="s">
        <v>7</v>
      </c>
      <c r="AI360" s="27" t="s">
        <v>8</v>
      </c>
      <c r="AJ360" s="27" t="s">
        <v>7</v>
      </c>
      <c r="AK360" s="27" t="s">
        <v>8</v>
      </c>
      <c r="AM360" s="27" t="s">
        <v>8</v>
      </c>
      <c r="AN360" s="27" t="s">
        <v>7</v>
      </c>
      <c r="AS360" s="27" t="s">
        <v>8</v>
      </c>
    </row>
    <row r="361" spans="1:51" x14ac:dyDescent="0.25">
      <c r="A361" s="7">
        <v>87.829178003543404</v>
      </c>
      <c r="B361"/>
      <c r="C361"/>
      <c r="D361"/>
      <c r="E361"/>
      <c r="AA361" s="27" t="s">
        <v>8</v>
      </c>
      <c r="AB361" s="27" t="s">
        <v>7</v>
      </c>
      <c r="AC361" s="27" t="s">
        <v>8</v>
      </c>
      <c r="AD361" s="27" t="s">
        <v>7</v>
      </c>
      <c r="AE361" s="27" t="s">
        <v>8</v>
      </c>
      <c r="AF361" s="27" t="s">
        <v>7</v>
      </c>
      <c r="AI361" s="27" t="s">
        <v>8</v>
      </c>
      <c r="AJ361" s="27" t="s">
        <v>7</v>
      </c>
      <c r="AK361" s="27" t="s">
        <v>8</v>
      </c>
      <c r="AL361" s="27" t="s">
        <v>7</v>
      </c>
      <c r="AM361" s="27" t="s">
        <v>8</v>
      </c>
      <c r="AN361" s="27" t="s">
        <v>7</v>
      </c>
      <c r="AS361" s="27" t="s">
        <v>8</v>
      </c>
    </row>
    <row r="362" spans="1:51" x14ac:dyDescent="0.25">
      <c r="A362" s="7">
        <v>86.107037258375883</v>
      </c>
      <c r="B362"/>
      <c r="C362"/>
      <c r="D362"/>
      <c r="E362"/>
      <c r="AA362" s="27" t="s">
        <v>8</v>
      </c>
      <c r="AB362" s="27" t="s">
        <v>7</v>
      </c>
      <c r="AC362" s="27" t="s">
        <v>8</v>
      </c>
      <c r="AD362" s="27" t="s">
        <v>7</v>
      </c>
      <c r="AF362" s="27" t="s">
        <v>7</v>
      </c>
      <c r="AI362" s="27" t="s">
        <v>8</v>
      </c>
      <c r="AJ362" s="27" t="s">
        <v>7</v>
      </c>
      <c r="AK362" s="27" t="s">
        <v>8</v>
      </c>
      <c r="AL362" s="27" t="s">
        <v>7</v>
      </c>
      <c r="AM362" s="27" t="s">
        <v>8</v>
      </c>
      <c r="AN362" s="27" t="s">
        <v>7</v>
      </c>
      <c r="AS362" s="27" t="s">
        <v>8</v>
      </c>
    </row>
    <row r="363" spans="1:51" x14ac:dyDescent="0.25">
      <c r="A363" s="7">
        <v>84.418663978799884</v>
      </c>
      <c r="B363"/>
      <c r="C363"/>
      <c r="D363"/>
      <c r="E363"/>
      <c r="AA363" s="27" t="s">
        <v>8</v>
      </c>
      <c r="AB363" s="27" t="s">
        <v>7</v>
      </c>
      <c r="AC363" s="27" t="s">
        <v>8</v>
      </c>
      <c r="AF363" s="27" t="s">
        <v>7</v>
      </c>
      <c r="AI363" s="27" t="s">
        <v>8</v>
      </c>
      <c r="AJ363" s="27" t="s">
        <v>7</v>
      </c>
      <c r="AK363" s="27" t="s">
        <v>8</v>
      </c>
      <c r="AL363" s="27" t="s">
        <v>7</v>
      </c>
      <c r="AM363" s="27" t="s">
        <v>8</v>
      </c>
      <c r="AN363" s="27" t="s">
        <v>7</v>
      </c>
      <c r="AQ363" s="27" t="s">
        <v>8</v>
      </c>
      <c r="AS363" s="27" t="s">
        <v>8</v>
      </c>
    </row>
    <row r="364" spans="1:51" x14ac:dyDescent="0.25">
      <c r="A364" s="7">
        <v>82.763396057646943</v>
      </c>
      <c r="B364"/>
      <c r="C364"/>
      <c r="D364"/>
      <c r="E364"/>
      <c r="AA364" s="27" t="s">
        <v>8</v>
      </c>
      <c r="AB364" s="27" t="s">
        <v>7</v>
      </c>
      <c r="AC364" s="27" t="s">
        <v>8</v>
      </c>
      <c r="AF364" s="27" t="s">
        <v>7</v>
      </c>
      <c r="AG364" s="27" t="s">
        <v>8</v>
      </c>
      <c r="AI364" s="27" t="s">
        <v>8</v>
      </c>
      <c r="AJ364" s="27" t="s">
        <v>7</v>
      </c>
      <c r="AK364" s="27" t="s">
        <v>8</v>
      </c>
      <c r="AL364" s="27" t="s">
        <v>7</v>
      </c>
      <c r="AN364" s="27" t="s">
        <v>7</v>
      </c>
      <c r="AQ364" s="27" t="s">
        <v>8</v>
      </c>
      <c r="AR364" s="27" t="s">
        <v>7</v>
      </c>
      <c r="AS364" s="27" t="s">
        <v>8</v>
      </c>
    </row>
    <row r="365" spans="1:51" x14ac:dyDescent="0.25">
      <c r="A365" s="7">
        <v>81.140584370242095</v>
      </c>
      <c r="B365"/>
      <c r="C365"/>
      <c r="D365"/>
      <c r="E365"/>
      <c r="S365" s="27" t="s">
        <v>8</v>
      </c>
      <c r="AA365" s="27" t="s">
        <v>8</v>
      </c>
      <c r="AB365" s="27" t="s">
        <v>7</v>
      </c>
      <c r="AC365" s="27" t="s">
        <v>8</v>
      </c>
      <c r="AF365" s="27" t="s">
        <v>7</v>
      </c>
      <c r="AG365" s="27" t="s">
        <v>8</v>
      </c>
      <c r="AH365" s="27" t="s">
        <v>7</v>
      </c>
      <c r="AI365" s="27" t="s">
        <v>8</v>
      </c>
      <c r="AJ365" s="27" t="s">
        <v>7</v>
      </c>
      <c r="AN365" s="27" t="s">
        <v>7</v>
      </c>
      <c r="AO365" s="27" t="s">
        <v>8</v>
      </c>
      <c r="AQ365" s="27" t="s">
        <v>8</v>
      </c>
      <c r="AR365" s="27" t="s">
        <v>7</v>
      </c>
      <c r="AS365" s="27" t="s">
        <v>8</v>
      </c>
    </row>
    <row r="366" spans="1:51" x14ac:dyDescent="0.25">
      <c r="A366" s="7">
        <v>79.549592519845191</v>
      </c>
      <c r="B366"/>
      <c r="C366"/>
      <c r="D366"/>
      <c r="E366"/>
      <c r="Q366" s="27" t="s">
        <v>8</v>
      </c>
      <c r="S366" s="27" t="s">
        <v>8</v>
      </c>
      <c r="T366" s="27" t="s">
        <v>7</v>
      </c>
      <c r="Y366" s="27" t="s">
        <v>8</v>
      </c>
      <c r="AA366" s="27" t="s">
        <v>8</v>
      </c>
      <c r="AB366" s="27" t="s">
        <v>7</v>
      </c>
      <c r="AF366" s="27" t="s">
        <v>7</v>
      </c>
      <c r="AG366" s="27" t="s">
        <v>8</v>
      </c>
      <c r="AH366" s="27" t="s">
        <v>7</v>
      </c>
      <c r="AI366" s="27" t="s">
        <v>8</v>
      </c>
      <c r="AN366" s="27" t="s">
        <v>7</v>
      </c>
      <c r="AO366" s="27" t="s">
        <v>8</v>
      </c>
      <c r="AP366" s="27" t="s">
        <v>7</v>
      </c>
      <c r="AQ366" s="27" t="s">
        <v>8</v>
      </c>
      <c r="AR366" s="27" t="s">
        <v>7</v>
      </c>
      <c r="AS366" s="27" t="s">
        <v>8</v>
      </c>
    </row>
    <row r="367" spans="1:51" x14ac:dyDescent="0.25">
      <c r="A367" s="7">
        <v>77.989796588083522</v>
      </c>
      <c r="B367"/>
      <c r="C367"/>
      <c r="D367"/>
      <c r="E367"/>
      <c r="Q367" s="27" t="s">
        <v>8</v>
      </c>
      <c r="R367" s="27" t="s">
        <v>7</v>
      </c>
      <c r="S367" s="27" t="s">
        <v>8</v>
      </c>
      <c r="T367" s="27" t="s">
        <v>7</v>
      </c>
      <c r="Y367" s="27" t="s">
        <v>8</v>
      </c>
      <c r="Z367" s="27" t="s">
        <v>7</v>
      </c>
      <c r="AA367" s="27" t="s">
        <v>8</v>
      </c>
      <c r="AF367" s="27" t="s">
        <v>7</v>
      </c>
      <c r="AG367" s="27" t="s">
        <v>8</v>
      </c>
      <c r="AH367" s="27" t="s">
        <v>7</v>
      </c>
      <c r="AI367" s="27" t="s">
        <v>8</v>
      </c>
      <c r="AN367" s="27" t="s">
        <v>7</v>
      </c>
      <c r="AO367" s="27" t="s">
        <v>8</v>
      </c>
      <c r="AP367" s="27" t="s">
        <v>7</v>
      </c>
      <c r="AQ367" s="27" t="s">
        <v>8</v>
      </c>
      <c r="AR367" s="27" t="s">
        <v>7</v>
      </c>
      <c r="AS367" s="27" t="s">
        <v>8</v>
      </c>
    </row>
    <row r="368" spans="1:51" x14ac:dyDescent="0.25">
      <c r="A368" s="7">
        <v>76.460584890277957</v>
      </c>
      <c r="B368"/>
      <c r="C368"/>
      <c r="D368"/>
      <c r="E368"/>
      <c r="Q368" s="27" t="s">
        <v>8</v>
      </c>
      <c r="R368" s="27" t="s">
        <v>7</v>
      </c>
      <c r="S368" s="27" t="s">
        <v>8</v>
      </c>
      <c r="T368" s="27" t="s">
        <v>7</v>
      </c>
      <c r="Y368" s="27" t="s">
        <v>8</v>
      </c>
      <c r="Z368" s="27" t="s">
        <v>7</v>
      </c>
      <c r="AA368" s="27" t="s">
        <v>8</v>
      </c>
      <c r="AF368" s="27" t="s">
        <v>7</v>
      </c>
      <c r="AG368" s="27" t="s">
        <v>8</v>
      </c>
      <c r="AH368" s="27" t="s">
        <v>7</v>
      </c>
      <c r="AI368" s="27" t="s">
        <v>8</v>
      </c>
      <c r="AN368" s="27" t="s">
        <v>7</v>
      </c>
      <c r="AO368" s="27" t="s">
        <v>8</v>
      </c>
      <c r="AP368" s="27" t="s">
        <v>7</v>
      </c>
      <c r="AQ368" s="27" t="s">
        <v>8</v>
      </c>
      <c r="AR368" s="27" t="s">
        <v>7</v>
      </c>
    </row>
    <row r="369" spans="1:43" x14ac:dyDescent="0.25">
      <c r="A369" s="7">
        <v>74.961357735566622</v>
      </c>
      <c r="B369"/>
      <c r="C369"/>
      <c r="D369"/>
      <c r="E369"/>
      <c r="Q369" s="27" t="s">
        <v>8</v>
      </c>
      <c r="R369" s="27" t="s">
        <v>7</v>
      </c>
      <c r="S369" s="27" t="s">
        <v>8</v>
      </c>
      <c r="T369" s="27" t="s">
        <v>7</v>
      </c>
      <c r="U369" s="27" t="s">
        <v>8</v>
      </c>
      <c r="Y369" s="27" t="s">
        <v>8</v>
      </c>
      <c r="Z369" s="27" t="s">
        <v>7</v>
      </c>
      <c r="AA369" s="27" t="s">
        <v>8</v>
      </c>
      <c r="AF369" s="27" t="s">
        <v>7</v>
      </c>
      <c r="AH369" s="27" t="s">
        <v>7</v>
      </c>
      <c r="AI369" s="27" t="s">
        <v>8</v>
      </c>
      <c r="AN369" s="27" t="s">
        <v>7</v>
      </c>
      <c r="AO369" s="27" t="s">
        <v>8</v>
      </c>
      <c r="AP369" s="27" t="s">
        <v>7</v>
      </c>
      <c r="AQ369" s="27" t="s">
        <v>8</v>
      </c>
    </row>
    <row r="370" spans="1:43" x14ac:dyDescent="0.25">
      <c r="A370" s="7">
        <v>73.491527191731976</v>
      </c>
      <c r="B370"/>
      <c r="C370"/>
      <c r="D370"/>
      <c r="E370"/>
      <c r="Q370" s="27" t="s">
        <v>8</v>
      </c>
      <c r="R370" s="27" t="s">
        <v>7</v>
      </c>
      <c r="S370" s="27" t="s">
        <v>8</v>
      </c>
      <c r="T370" s="27" t="s">
        <v>7</v>
      </c>
      <c r="U370" s="27" t="s">
        <v>8</v>
      </c>
      <c r="V370" s="27" t="s">
        <v>7</v>
      </c>
      <c r="Y370" s="27" t="s">
        <v>8</v>
      </c>
      <c r="Z370" s="27" t="s">
        <v>7</v>
      </c>
      <c r="AA370" s="27" t="s">
        <v>8</v>
      </c>
      <c r="AH370" s="27" t="s">
        <v>7</v>
      </c>
      <c r="AI370" s="27" t="s">
        <v>8</v>
      </c>
      <c r="AN370" s="27" t="s">
        <v>7</v>
      </c>
      <c r="AO370" s="27" t="s">
        <v>8</v>
      </c>
      <c r="AP370" s="27" t="s">
        <v>7</v>
      </c>
    </row>
    <row r="371" spans="1:43" x14ac:dyDescent="0.25">
      <c r="A371" s="7">
        <v>72.050516854639184</v>
      </c>
      <c r="B371"/>
      <c r="C371"/>
      <c r="D371"/>
      <c r="E371"/>
      <c r="Q371" s="27" t="s">
        <v>8</v>
      </c>
      <c r="R371" s="27" t="s">
        <v>7</v>
      </c>
      <c r="S371" s="27" t="s">
        <v>8</v>
      </c>
      <c r="T371" s="27" t="s">
        <v>7</v>
      </c>
      <c r="U371" s="27" t="s">
        <v>8</v>
      </c>
      <c r="V371" s="27" t="s">
        <v>7</v>
      </c>
      <c r="Y371" s="27" t="s">
        <v>8</v>
      </c>
      <c r="Z371" s="27" t="s">
        <v>7</v>
      </c>
      <c r="AA371" s="27" t="s">
        <v>8</v>
      </c>
      <c r="AH371" s="27" t="s">
        <v>7</v>
      </c>
      <c r="AI371" s="27" t="s">
        <v>8</v>
      </c>
      <c r="AN371" s="27" t="s">
        <v>7</v>
      </c>
      <c r="AO371" s="27" t="s">
        <v>8</v>
      </c>
    </row>
    <row r="372" spans="1:43" x14ac:dyDescent="0.25">
      <c r="A372" s="7">
        <v>70.637761622195271</v>
      </c>
      <c r="B372"/>
      <c r="C372"/>
      <c r="D372"/>
      <c r="E372"/>
      <c r="O372" s="27" t="s">
        <v>8</v>
      </c>
      <c r="Q372" s="27" t="s">
        <v>8</v>
      </c>
      <c r="R372" s="27" t="s">
        <v>7</v>
      </c>
      <c r="S372" s="27" t="s">
        <v>8</v>
      </c>
      <c r="T372" s="27" t="s">
        <v>7</v>
      </c>
      <c r="U372" s="27" t="s">
        <v>8</v>
      </c>
      <c r="V372" s="27" t="s">
        <v>7</v>
      </c>
      <c r="Y372" s="27" t="s">
        <v>8</v>
      </c>
      <c r="Z372" s="27" t="s">
        <v>7</v>
      </c>
      <c r="AA372" s="27" t="s">
        <v>8</v>
      </c>
      <c r="AH372" s="27" t="s">
        <v>7</v>
      </c>
      <c r="AN372" s="27" t="s">
        <v>7</v>
      </c>
      <c r="AO372" s="27" t="s">
        <v>8</v>
      </c>
    </row>
    <row r="373" spans="1:43" x14ac:dyDescent="0.25">
      <c r="A373" s="7">
        <v>69.252707472740454</v>
      </c>
      <c r="B373"/>
      <c r="C373"/>
      <c r="D373"/>
      <c r="E373"/>
      <c r="O373" s="27" t="s">
        <v>8</v>
      </c>
      <c r="P373" s="27" t="s">
        <v>7</v>
      </c>
      <c r="Q373" s="27" t="s">
        <v>8</v>
      </c>
      <c r="R373" s="27" t="s">
        <v>7</v>
      </c>
      <c r="S373" s="27" t="s">
        <v>8</v>
      </c>
      <c r="T373" s="27" t="s">
        <v>7</v>
      </c>
      <c r="U373" s="27" t="s">
        <v>8</v>
      </c>
      <c r="V373" s="27" t="s">
        <v>7</v>
      </c>
      <c r="Y373" s="27" t="s">
        <v>8</v>
      </c>
      <c r="Z373" s="27" t="s">
        <v>7</v>
      </c>
      <c r="AN373" s="27" t="s">
        <v>7</v>
      </c>
      <c r="AO373" s="27" t="s">
        <v>8</v>
      </c>
    </row>
    <row r="374" spans="1:43" x14ac:dyDescent="0.25">
      <c r="A374" s="7">
        <v>67.894811247784759</v>
      </c>
      <c r="B374"/>
      <c r="C374"/>
      <c r="D374"/>
      <c r="E374"/>
      <c r="O374" s="27" t="s">
        <v>8</v>
      </c>
      <c r="P374" s="27" t="s">
        <v>7</v>
      </c>
      <c r="Q374" s="27" t="s">
        <v>8</v>
      </c>
      <c r="R374" s="27" t="s">
        <v>7</v>
      </c>
      <c r="T374" s="27" t="s">
        <v>7</v>
      </c>
      <c r="U374" s="27" t="s">
        <v>8</v>
      </c>
      <c r="V374" s="27" t="s">
        <v>7</v>
      </c>
      <c r="W374" s="27" t="s">
        <v>8</v>
      </c>
      <c r="Y374" s="27" t="s">
        <v>8</v>
      </c>
      <c r="AN374" s="27" t="s">
        <v>7</v>
      </c>
      <c r="AO374" s="27" t="s">
        <v>8</v>
      </c>
    </row>
    <row r="375" spans="1:43" x14ac:dyDescent="0.25">
      <c r="A375" s="7">
        <v>66.563540439004669</v>
      </c>
      <c r="B375"/>
      <c r="C375"/>
      <c r="D375"/>
      <c r="E375"/>
      <c r="O375" s="27" t="s">
        <v>8</v>
      </c>
      <c r="P375" s="27" t="s">
        <v>7</v>
      </c>
      <c r="Q375" s="27" t="s">
        <v>8</v>
      </c>
      <c r="T375" s="27" t="s">
        <v>7</v>
      </c>
      <c r="U375" s="27" t="s">
        <v>8</v>
      </c>
      <c r="V375" s="27" t="s">
        <v>7</v>
      </c>
      <c r="W375" s="27" t="s">
        <v>8</v>
      </c>
      <c r="X375" s="27" t="s">
        <v>7</v>
      </c>
      <c r="Y375" s="27" t="s">
        <v>8</v>
      </c>
      <c r="AN375" s="27" t="s">
        <v>7</v>
      </c>
      <c r="AO375" s="27" t="s">
        <v>8</v>
      </c>
    </row>
    <row r="376" spans="1:43" x14ac:dyDescent="0.25">
      <c r="A376" s="7">
        <v>65.258372979416336</v>
      </c>
      <c r="B376"/>
      <c r="C376"/>
      <c r="D376"/>
      <c r="E376"/>
      <c r="O376" s="27" t="s">
        <v>8</v>
      </c>
      <c r="P376" s="27" t="s">
        <v>7</v>
      </c>
      <c r="Q376" s="27" t="s">
        <v>8</v>
      </c>
      <c r="T376" s="27" t="s">
        <v>7</v>
      </c>
      <c r="U376" s="27" t="s">
        <v>8</v>
      </c>
      <c r="V376" s="27" t="s">
        <v>7</v>
      </c>
      <c r="W376" s="27" t="s">
        <v>8</v>
      </c>
      <c r="X376" s="27" t="s">
        <v>7</v>
      </c>
      <c r="Y376" s="27" t="s">
        <v>8</v>
      </c>
      <c r="AN376" s="27" t="s">
        <v>7</v>
      </c>
      <c r="AO376" s="27" t="s">
        <v>8</v>
      </c>
    </row>
    <row r="377" spans="1:43" x14ac:dyDescent="0.25">
      <c r="A377" s="7">
        <v>63.978797038643471</v>
      </c>
      <c r="B377"/>
      <c r="C377"/>
      <c r="D377"/>
      <c r="E377"/>
      <c r="O377" s="27" t="s">
        <v>8</v>
      </c>
      <c r="P377" s="27" t="s">
        <v>7</v>
      </c>
      <c r="Q377" s="27" t="s">
        <v>8</v>
      </c>
      <c r="T377" s="27" t="s">
        <v>7</v>
      </c>
      <c r="V377" s="27" t="s">
        <v>7</v>
      </c>
      <c r="W377" s="27" t="s">
        <v>8</v>
      </c>
      <c r="X377" s="27" t="s">
        <v>7</v>
      </c>
      <c r="Y377" s="27" t="s">
        <v>8</v>
      </c>
      <c r="AN377" s="27" t="s">
        <v>7</v>
      </c>
    </row>
    <row r="378" spans="1:43" x14ac:dyDescent="0.25">
      <c r="A378" s="7">
        <v>62.724310822199477</v>
      </c>
      <c r="B378"/>
      <c r="C378"/>
      <c r="D378"/>
      <c r="E378"/>
      <c r="O378" s="27" t="s">
        <v>8</v>
      </c>
      <c r="P378" s="27" t="s">
        <v>7</v>
      </c>
      <c r="Q378" s="27" t="s">
        <v>8</v>
      </c>
      <c r="V378" s="27" t="s">
        <v>7</v>
      </c>
      <c r="W378" s="27" t="s">
        <v>8</v>
      </c>
      <c r="X378" s="27" t="s">
        <v>7</v>
      </c>
      <c r="Y378" s="27" t="s">
        <v>8</v>
      </c>
    </row>
    <row r="379" spans="1:43" x14ac:dyDescent="0.25">
      <c r="A379" s="7">
        <v>61.494422374705366</v>
      </c>
      <c r="B379"/>
      <c r="C379"/>
      <c r="D379"/>
      <c r="E379"/>
      <c r="O379" s="27" t="s">
        <v>8</v>
      </c>
      <c r="P379" s="27" t="s">
        <v>7</v>
      </c>
      <c r="Q379" s="27" t="s">
        <v>8</v>
      </c>
      <c r="V379" s="27" t="s">
        <v>7</v>
      </c>
      <c r="W379" s="27" t="s">
        <v>8</v>
      </c>
      <c r="X379" s="27" t="s">
        <v>7</v>
      </c>
      <c r="Y379" s="27" t="s">
        <v>8</v>
      </c>
    </row>
    <row r="380" spans="1:43" x14ac:dyDescent="0.25">
      <c r="A380" s="7">
        <v>60.288649386966043</v>
      </c>
      <c r="B380"/>
      <c r="C380"/>
      <c r="D380"/>
      <c r="E380"/>
      <c r="O380" s="27" t="s">
        <v>8</v>
      </c>
      <c r="P380" s="27" t="s">
        <v>7</v>
      </c>
      <c r="Q380" s="27" t="s">
        <v>8</v>
      </c>
      <c r="V380" s="27" t="s">
        <v>7</v>
      </c>
      <c r="W380" s="27" t="s">
        <v>8</v>
      </c>
      <c r="X380" s="27" t="s">
        <v>7</v>
      </c>
      <c r="Y380" s="27" t="s">
        <v>8</v>
      </c>
    </row>
    <row r="381" spans="1:43" x14ac:dyDescent="0.25">
      <c r="A381" s="7">
        <v>59.106519006829451</v>
      </c>
      <c r="B381"/>
      <c r="C381"/>
      <c r="D381"/>
      <c r="E381"/>
      <c r="O381" s="27" t="s">
        <v>8</v>
      </c>
      <c r="P381" s="27" t="s">
        <v>7</v>
      </c>
      <c r="Q381" s="27" t="s">
        <v>8</v>
      </c>
      <c r="V381" s="27" t="s">
        <v>7</v>
      </c>
      <c r="W381" s="27" t="s">
        <v>8</v>
      </c>
      <c r="X381" s="27" t="s">
        <v>7</v>
      </c>
    </row>
    <row r="382" spans="1:43" x14ac:dyDescent="0.25">
      <c r="A382" s="7">
        <v>57.947567653754362</v>
      </c>
      <c r="B382"/>
      <c r="C382"/>
      <c r="D382"/>
      <c r="E382"/>
      <c r="O382" s="27" t="s">
        <v>8</v>
      </c>
      <c r="P382" s="27" t="s">
        <v>7</v>
      </c>
      <c r="Q382" s="27" t="s">
        <v>8</v>
      </c>
      <c r="V382" s="27" t="s">
        <v>7</v>
      </c>
      <c r="W382" s="27" t="s">
        <v>8</v>
      </c>
    </row>
    <row r="383" spans="1:43" x14ac:dyDescent="0.25">
      <c r="A383" s="7">
        <v>56.811340837014079</v>
      </c>
      <c r="B383"/>
      <c r="C383"/>
      <c r="D383"/>
      <c r="E383"/>
      <c r="O383" s="27" t="s">
        <v>8</v>
      </c>
      <c r="P383" s="27" t="s">
        <v>7</v>
      </c>
      <c r="Q383" s="27" t="s">
        <v>8</v>
      </c>
      <c r="V383" s="27" t="s">
        <v>7</v>
      </c>
      <c r="W383" s="27" t="s">
        <v>8</v>
      </c>
    </row>
    <row r="384" spans="1:43" x14ac:dyDescent="0.25">
      <c r="A384" s="7">
        <v>55.69739297746478</v>
      </c>
      <c r="B384"/>
      <c r="C384"/>
      <c r="D384"/>
      <c r="E384"/>
      <c r="O384" s="27" t="s">
        <v>8</v>
      </c>
      <c r="P384" s="27" t="s">
        <v>7</v>
      </c>
      <c r="Q384" s="27" t="s">
        <v>8</v>
      </c>
      <c r="V384" s="27" t="s">
        <v>7</v>
      </c>
      <c r="W384" s="27" t="s">
        <v>8</v>
      </c>
    </row>
    <row r="385" spans="1:23" x14ac:dyDescent="0.25">
      <c r="A385" s="7">
        <v>54.605287232808607</v>
      </c>
      <c r="B385"/>
      <c r="C385"/>
      <c r="D385"/>
      <c r="E385"/>
      <c r="O385" s="27" t="s">
        <v>8</v>
      </c>
      <c r="P385" s="27" t="s">
        <v>7</v>
      </c>
      <c r="Q385" s="27" t="s">
        <v>8</v>
      </c>
      <c r="V385" s="27" t="s">
        <v>7</v>
      </c>
      <c r="W385" s="27" t="s">
        <v>8</v>
      </c>
    </row>
    <row r="386" spans="1:23" x14ac:dyDescent="0.25">
      <c r="A386" s="7">
        <v>53.534595326282947</v>
      </c>
      <c r="B386"/>
      <c r="C386"/>
      <c r="D386"/>
      <c r="E386"/>
      <c r="O386" s="27" t="s">
        <v>8</v>
      </c>
      <c r="P386" s="27" t="s">
        <v>7</v>
      </c>
      <c r="Q386" s="27" t="s">
        <v>8</v>
      </c>
      <c r="V386" s="27" t="s">
        <v>7</v>
      </c>
      <c r="W386" s="27" t="s">
        <v>8</v>
      </c>
    </row>
    <row r="387" spans="1:23" x14ac:dyDescent="0.25">
      <c r="A387" s="7">
        <v>52.484897378708773</v>
      </c>
      <c r="B387"/>
      <c r="C387"/>
      <c r="D387"/>
      <c r="E387"/>
      <c r="O387" s="27" t="s">
        <v>8</v>
      </c>
      <c r="P387" s="27" t="s">
        <v>7</v>
      </c>
      <c r="Q387" s="27" t="s">
        <v>8</v>
      </c>
      <c r="V387" s="27" t="s">
        <v>7</v>
      </c>
      <c r="W387" s="27" t="s">
        <v>8</v>
      </c>
    </row>
    <row r="388" spans="1:23" x14ac:dyDescent="0.25">
      <c r="A388" s="7">
        <v>51.455781743832127</v>
      </c>
      <c r="B388"/>
      <c r="C388"/>
      <c r="D388"/>
      <c r="E388"/>
      <c r="O388" s="27" t="s">
        <v>8</v>
      </c>
      <c r="P388" s="27" t="s">
        <v>7</v>
      </c>
      <c r="Q388" s="27" t="s">
        <v>8</v>
      </c>
      <c r="V388" s="27" t="s">
        <v>7</v>
      </c>
      <c r="W388" s="27" t="s">
        <v>8</v>
      </c>
    </row>
    <row r="389" spans="1:23" x14ac:dyDescent="0.25">
      <c r="A389" s="7">
        <v>50.446844846894244</v>
      </c>
      <c r="B389"/>
      <c r="C389"/>
      <c r="D389"/>
      <c r="E389"/>
      <c r="O389" s="27" t="s">
        <v>8</v>
      </c>
      <c r="P389" s="27" t="s">
        <v>7</v>
      </c>
      <c r="V389" s="27" t="s">
        <v>7</v>
      </c>
    </row>
    <row r="390" spans="1:23" x14ac:dyDescent="0.25">
      <c r="A390" s="7">
        <v>49.457691026366902</v>
      </c>
      <c r="B390"/>
      <c r="C390"/>
      <c r="D390"/>
      <c r="E390"/>
      <c r="O390" s="27" t="s">
        <v>8</v>
      </c>
    </row>
    <row r="391" spans="1:23" x14ac:dyDescent="0.25">
      <c r="A391" s="7">
        <v>48.487932378791079</v>
      </c>
      <c r="B391"/>
      <c r="C391"/>
      <c r="D391"/>
      <c r="E391"/>
      <c r="O391" s="27" t="s">
        <v>8</v>
      </c>
    </row>
    <row r="392" spans="1:23" x14ac:dyDescent="0.25">
      <c r="A392" s="7">
        <v>47.537188606657921</v>
      </c>
      <c r="B392"/>
      <c r="C392"/>
      <c r="D392"/>
      <c r="E392"/>
      <c r="O392" s="27" t="s">
        <v>8</v>
      </c>
    </row>
    <row r="393" spans="1:23" x14ac:dyDescent="0.25">
      <c r="A393" s="7">
        <v>46.605086869272469</v>
      </c>
      <c r="B393"/>
      <c r="C393"/>
      <c r="D393"/>
      <c r="E393"/>
      <c r="O393" s="27" t="s">
        <v>8</v>
      </c>
    </row>
    <row r="394" spans="1:23" x14ac:dyDescent="0.25">
      <c r="A394" s="7">
        <v>45.691261636541633</v>
      </c>
      <c r="B394"/>
      <c r="C394"/>
      <c r="D394"/>
      <c r="E394"/>
      <c r="O394" s="27" t="s">
        <v>8</v>
      </c>
    </row>
    <row r="395" spans="1:23" x14ac:dyDescent="0.25">
      <c r="A395" s="7">
        <v>44.795354545629053</v>
      </c>
      <c r="B395"/>
      <c r="C395"/>
      <c r="D395"/>
      <c r="E395"/>
      <c r="O395" s="27" t="s">
        <v>8</v>
      </c>
    </row>
    <row r="396" spans="1:23" x14ac:dyDescent="0.25">
      <c r="A396" s="7">
        <v>43.917014260420636</v>
      </c>
      <c r="B396"/>
      <c r="C396"/>
      <c r="D396"/>
      <c r="E396"/>
      <c r="O396" s="27" t="s">
        <v>8</v>
      </c>
    </row>
    <row r="397" spans="1:23" x14ac:dyDescent="0.25">
      <c r="A397" s="7">
        <v>43.055896333745721</v>
      </c>
      <c r="B397"/>
      <c r="C397"/>
      <c r="D397"/>
      <c r="E397" t="s">
        <v>8</v>
      </c>
      <c r="O397" s="27" t="s">
        <v>8</v>
      </c>
    </row>
    <row r="398" spans="1:23" x14ac:dyDescent="0.25">
      <c r="A398" s="7">
        <v>42.211663072299729</v>
      </c>
      <c r="B398"/>
      <c r="C398"/>
      <c r="D398"/>
      <c r="E398" t="s">
        <v>8</v>
      </c>
      <c r="F398" s="27" t="s">
        <v>7</v>
      </c>
      <c r="I398" s="27" t="s">
        <v>8</v>
      </c>
      <c r="O398" s="27" t="s">
        <v>8</v>
      </c>
    </row>
    <row r="399" spans="1:23" x14ac:dyDescent="0.25">
      <c r="A399" s="7">
        <v>41.383983404215421</v>
      </c>
      <c r="B399"/>
      <c r="C399"/>
      <c r="D399"/>
      <c r="E399" t="s">
        <v>8</v>
      </c>
      <c r="F399" s="27" t="s">
        <v>7</v>
      </c>
      <c r="G399" s="27" t="s">
        <v>8</v>
      </c>
      <c r="I399" s="27" t="s">
        <v>8</v>
      </c>
      <c r="J399" s="27" t="s">
        <v>7</v>
      </c>
      <c r="O399" s="27" t="s">
        <v>8</v>
      </c>
    </row>
    <row r="400" spans="1:23" x14ac:dyDescent="0.25">
      <c r="A400" s="7">
        <v>40.572532749230803</v>
      </c>
      <c r="B400"/>
      <c r="C400"/>
      <c r="D400"/>
      <c r="E400" t="s">
        <v>8</v>
      </c>
      <c r="F400" s="27" t="s">
        <v>7</v>
      </c>
      <c r="G400" s="27" t="s">
        <v>8</v>
      </c>
      <c r="H400" s="27" t="s">
        <v>7</v>
      </c>
      <c r="I400" s="27" t="s">
        <v>8</v>
      </c>
      <c r="J400" s="27" t="s">
        <v>7</v>
      </c>
      <c r="O400" s="27" t="s">
        <v>8</v>
      </c>
    </row>
    <row r="401" spans="1:15" x14ac:dyDescent="0.25">
      <c r="A401" s="7">
        <v>39.776992891402749</v>
      </c>
      <c r="B401"/>
      <c r="C401"/>
      <c r="D401"/>
      <c r="E401" t="s">
        <v>8</v>
      </c>
      <c r="F401" s="27" t="s">
        <v>7</v>
      </c>
      <c r="G401" s="27" t="s">
        <v>8</v>
      </c>
      <c r="H401" s="27" t="s">
        <v>7</v>
      </c>
      <c r="I401" s="27" t="s">
        <v>8</v>
      </c>
      <c r="J401" s="27" t="s">
        <v>7</v>
      </c>
      <c r="O401" s="27" t="s">
        <v>8</v>
      </c>
    </row>
    <row r="402" spans="1:15" x14ac:dyDescent="0.25">
      <c r="A402" s="7">
        <v>38.997051854316418</v>
      </c>
      <c r="B402"/>
      <c r="C402"/>
      <c r="D402"/>
      <c r="E402" t="s">
        <v>8</v>
      </c>
      <c r="F402" s="27" t="s">
        <v>7</v>
      </c>
      <c r="G402" s="27" t="s">
        <v>8</v>
      </c>
      <c r="H402" s="27" t="s">
        <v>7</v>
      </c>
      <c r="I402" s="27" t="s">
        <v>8</v>
      </c>
      <c r="J402" s="27" t="s">
        <v>7</v>
      </c>
      <c r="O402" s="27" t="s">
        <v>8</v>
      </c>
    </row>
    <row r="403" spans="1:15" x14ac:dyDescent="0.25">
      <c r="A403" s="7">
        <v>38.232403778741585</v>
      </c>
      <c r="B403"/>
      <c r="C403"/>
      <c r="D403"/>
      <c r="E403" t="s">
        <v>8</v>
      </c>
      <c r="F403" s="27" t="s">
        <v>7</v>
      </c>
      <c r="H403" s="27" t="s">
        <v>7</v>
      </c>
      <c r="I403" s="27" t="s">
        <v>8</v>
      </c>
      <c r="J403" s="27" t="s">
        <v>7</v>
      </c>
      <c r="O403" s="27" t="s">
        <v>8</v>
      </c>
    </row>
    <row r="404" spans="1:15" x14ac:dyDescent="0.25">
      <c r="A404" s="7">
        <v>37.48274880268783</v>
      </c>
      <c r="B404"/>
      <c r="C404"/>
      <c r="D404"/>
      <c r="E404" t="s">
        <v>8</v>
      </c>
      <c r="H404" s="27" t="s">
        <v>7</v>
      </c>
      <c r="I404" s="27" t="s">
        <v>8</v>
      </c>
      <c r="J404" s="27" t="s">
        <v>7</v>
      </c>
      <c r="O404" s="27" t="s">
        <v>8</v>
      </c>
    </row>
    <row r="405" spans="1:15" x14ac:dyDescent="0.25">
      <c r="A405" s="7">
        <v>36.747792943811596</v>
      </c>
      <c r="B405"/>
      <c r="C405"/>
      <c r="D405"/>
      <c r="E405" t="s">
        <v>8</v>
      </c>
      <c r="H405" s="27" t="s">
        <v>7</v>
      </c>
      <c r="I405" s="27" t="s">
        <v>8</v>
      </c>
      <c r="J405" s="27" t="s">
        <v>7</v>
      </c>
      <c r="O405" s="27" t="s">
        <v>8</v>
      </c>
    </row>
    <row r="406" spans="1:15" x14ac:dyDescent="0.25">
      <c r="A406" s="7">
        <v>36.027247984129012</v>
      </c>
      <c r="B406"/>
      <c r="C406"/>
      <c r="D406"/>
      <c r="E406" t="s">
        <v>8</v>
      </c>
      <c r="H406" s="27" t="s">
        <v>7</v>
      </c>
      <c r="I406" s="27" t="s">
        <v>8</v>
      </c>
      <c r="J406" s="27" t="s">
        <v>7</v>
      </c>
      <c r="O406" s="27" t="s">
        <v>8</v>
      </c>
    </row>
    <row r="407" spans="1:15" x14ac:dyDescent="0.25">
      <c r="A407" s="7">
        <v>35.320831356989224</v>
      </c>
      <c r="B407"/>
      <c r="C407"/>
      <c r="D407"/>
      <c r="E407" t="s">
        <v>8</v>
      </c>
      <c r="H407" s="27" t="s">
        <v>7</v>
      </c>
      <c r="I407" s="27" t="s">
        <v>8</v>
      </c>
      <c r="J407" s="27" t="s">
        <v>7</v>
      </c>
      <c r="O407" s="27" t="s">
        <v>8</v>
      </c>
    </row>
    <row r="408" spans="1:15" x14ac:dyDescent="0.25">
      <c r="A408" s="7">
        <v>34.628266036263945</v>
      </c>
      <c r="B408"/>
      <c r="C408"/>
      <c r="D408"/>
      <c r="E408" t="s">
        <v>8</v>
      </c>
      <c r="H408" s="27" t="s">
        <v>7</v>
      </c>
      <c r="I408" s="27" t="s">
        <v>8</v>
      </c>
      <c r="J408" s="27" t="s">
        <v>7</v>
      </c>
      <c r="O408" s="27" t="s">
        <v>8</v>
      </c>
    </row>
    <row r="409" spans="1:15" x14ac:dyDescent="0.25">
      <c r="A409" s="7">
        <v>33.949280427709752</v>
      </c>
      <c r="B409"/>
      <c r="C409"/>
      <c r="D409"/>
      <c r="E409" t="s">
        <v>8</v>
      </c>
      <c r="H409" s="27" t="s">
        <v>7</v>
      </c>
      <c r="I409" s="27" t="s">
        <v>8</v>
      </c>
      <c r="J409" s="27" t="s">
        <v>7</v>
      </c>
      <c r="M409" s="27" t="s">
        <v>8</v>
      </c>
      <c r="O409" s="27" t="s">
        <v>8</v>
      </c>
    </row>
    <row r="410" spans="1:15" x14ac:dyDescent="0.25">
      <c r="A410" s="7">
        <v>33.28360826246054</v>
      </c>
      <c r="B410"/>
      <c r="C410"/>
      <c r="D410"/>
      <c r="E410" t="s">
        <v>8</v>
      </c>
      <c r="H410" s="27" t="s">
        <v>7</v>
      </c>
      <c r="I410" s="27" t="s">
        <v>8</v>
      </c>
      <c r="J410" s="27" t="s">
        <v>7</v>
      </c>
      <c r="M410" s="27" t="s">
        <v>8</v>
      </c>
      <c r="N410" s="27" t="s">
        <v>7</v>
      </c>
      <c r="O410" s="27" t="s">
        <v>8</v>
      </c>
    </row>
    <row r="411" spans="1:15" x14ac:dyDescent="0.25">
      <c r="A411" s="7">
        <v>32.630988492608374</v>
      </c>
      <c r="B411"/>
      <c r="C411"/>
      <c r="D411"/>
      <c r="E411" t="s">
        <v>8</v>
      </c>
      <c r="H411" s="27" t="s">
        <v>7</v>
      </c>
      <c r="J411" s="27" t="s">
        <v>7</v>
      </c>
      <c r="K411" s="27" t="s">
        <v>8</v>
      </c>
      <c r="M411" s="27" t="s">
        <v>8</v>
      </c>
      <c r="N411" s="27" t="s">
        <v>7</v>
      </c>
      <c r="O411" s="27" t="s">
        <v>8</v>
      </c>
    </row>
    <row r="412" spans="1:15" x14ac:dyDescent="0.25">
      <c r="A412" s="7">
        <v>31.99116518883174</v>
      </c>
      <c r="B412"/>
      <c r="C412"/>
      <c r="D412"/>
      <c r="E412" t="s">
        <v>8</v>
      </c>
      <c r="J412" s="27" t="s">
        <v>7</v>
      </c>
      <c r="K412" s="27" t="s">
        <v>8</v>
      </c>
      <c r="L412" s="27" t="s">
        <v>7</v>
      </c>
      <c r="M412" s="27" t="s">
        <v>8</v>
      </c>
      <c r="N412" s="27" t="s">
        <v>7</v>
      </c>
      <c r="O412" s="27" t="s">
        <v>8</v>
      </c>
    </row>
    <row r="413" spans="1:15" x14ac:dyDescent="0.25">
      <c r="A413" s="7">
        <v>31.363887440031117</v>
      </c>
      <c r="B413"/>
      <c r="C413"/>
      <c r="D413"/>
      <c r="E413" t="s">
        <v>8</v>
      </c>
      <c r="J413" s="27" t="s">
        <v>7</v>
      </c>
      <c r="K413" s="27" t="s">
        <v>8</v>
      </c>
      <c r="L413" s="27" t="s">
        <v>7</v>
      </c>
      <c r="M413" s="27" t="s">
        <v>8</v>
      </c>
      <c r="N413" s="27" t="s">
        <v>7</v>
      </c>
      <c r="O413" s="27" t="s">
        <v>8</v>
      </c>
    </row>
    <row r="414" spans="1:15" x14ac:dyDescent="0.25">
      <c r="A414" s="7">
        <v>30.748909254932467</v>
      </c>
      <c r="B414"/>
      <c r="C414"/>
      <c r="D414"/>
      <c r="E414" t="s">
        <v>8</v>
      </c>
      <c r="J414" s="27" t="s">
        <v>7</v>
      </c>
      <c r="K414" s="27" t="s">
        <v>8</v>
      </c>
      <c r="L414" s="27" t="s">
        <v>7</v>
      </c>
      <c r="M414" s="27" t="s">
        <v>8</v>
      </c>
      <c r="N414" s="27" t="s">
        <v>7</v>
      </c>
      <c r="O414" s="27" t="s">
        <v>8</v>
      </c>
    </row>
    <row r="415" spans="1:15" x14ac:dyDescent="0.25">
      <c r="A415" s="7">
        <v>30.145989465620065</v>
      </c>
      <c r="B415"/>
      <c r="C415"/>
      <c r="D415"/>
      <c r="E415" t="s">
        <v>8</v>
      </c>
      <c r="J415" s="27" t="s">
        <v>7</v>
      </c>
      <c r="K415" s="27" t="s">
        <v>8</v>
      </c>
      <c r="L415" s="27" t="s">
        <v>7</v>
      </c>
      <c r="M415" s="27" t="s">
        <v>8</v>
      </c>
      <c r="N415" s="27" t="s">
        <v>7</v>
      </c>
      <c r="O415" s="27" t="s">
        <v>8</v>
      </c>
    </row>
    <row r="416" spans="1:15" x14ac:dyDescent="0.25">
      <c r="A416" s="7">
        <v>29.55489163296085</v>
      </c>
      <c r="B416"/>
      <c r="C416"/>
      <c r="D416"/>
      <c r="E416" t="s">
        <v>8</v>
      </c>
      <c r="J416" s="27" t="s">
        <v>7</v>
      </c>
      <c r="K416" s="27" t="s">
        <v>8</v>
      </c>
      <c r="L416" s="27" t="s">
        <v>7</v>
      </c>
      <c r="M416" s="27" t="s">
        <v>8</v>
      </c>
      <c r="N416" s="27" t="s">
        <v>7</v>
      </c>
      <c r="O416" s="27" t="s">
        <v>8</v>
      </c>
    </row>
    <row r="417" spans="1:15" x14ac:dyDescent="0.25">
      <c r="A417" s="7">
        <v>28.975383953883185</v>
      </c>
      <c r="B417"/>
      <c r="C417"/>
      <c r="D417"/>
      <c r="E417" t="s">
        <v>8</v>
      </c>
      <c r="J417" s="27" t="s">
        <v>7</v>
      </c>
      <c r="K417" s="27" t="s">
        <v>8</v>
      </c>
      <c r="L417" s="27" t="s">
        <v>7</v>
      </c>
      <c r="M417" s="27" t="s">
        <v>8</v>
      </c>
      <c r="N417" s="27" t="s">
        <v>7</v>
      </c>
      <c r="O417" s="27" t="s">
        <v>8</v>
      </c>
    </row>
    <row r="418" spans="1:15" x14ac:dyDescent="0.25">
      <c r="A418" s="7">
        <v>28.407239170473709</v>
      </c>
      <c r="B418"/>
      <c r="C418"/>
      <c r="D418"/>
      <c r="E418" t="s">
        <v>8</v>
      </c>
      <c r="J418" s="27" t="s">
        <v>7</v>
      </c>
      <c r="K418" s="27" t="s">
        <v>8</v>
      </c>
      <c r="L418" s="27" t="s">
        <v>7</v>
      </c>
      <c r="N418" s="27" t="s">
        <v>7</v>
      </c>
      <c r="O418" s="27" t="s">
        <v>8</v>
      </c>
    </row>
    <row r="419" spans="1:15" x14ac:dyDescent="0.25">
      <c r="A419" s="7">
        <v>27.850234480856578</v>
      </c>
      <c r="B419"/>
      <c r="C419"/>
      <c r="D419"/>
      <c r="E419" t="s">
        <v>8</v>
      </c>
      <c r="J419" s="27" t="s">
        <v>7</v>
      </c>
      <c r="N419" s="27" t="s">
        <v>7</v>
      </c>
      <c r="O419" s="27" t="s">
        <v>8</v>
      </c>
    </row>
    <row r="420" spans="1:15" x14ac:dyDescent="0.25">
      <c r="A420" s="7">
        <v>27.304151451820175</v>
      </c>
      <c r="B420"/>
      <c r="C420"/>
      <c r="D420"/>
      <c r="E420" t="s">
        <v>8</v>
      </c>
      <c r="N420" s="27" t="s">
        <v>7</v>
      </c>
      <c r="O420" s="27" t="s">
        <v>8</v>
      </c>
    </row>
    <row r="421" spans="1:15" x14ac:dyDescent="0.25">
      <c r="A421" s="7">
        <v>26.768775933157034</v>
      </c>
      <c r="B421"/>
      <c r="C421"/>
      <c r="D421"/>
      <c r="E421" t="s">
        <v>8</v>
      </c>
      <c r="N421" s="27" t="s">
        <v>7</v>
      </c>
      <c r="O421" s="27" t="s">
        <v>8</v>
      </c>
    </row>
    <row r="422" spans="1:15" x14ac:dyDescent="0.25">
      <c r="A422" s="7">
        <v>26.243897973683367</v>
      </c>
      <c r="B422"/>
      <c r="C422"/>
      <c r="D422"/>
      <c r="E422" t="s">
        <v>8</v>
      </c>
      <c r="N422" s="27" t="s">
        <v>7</v>
      </c>
    </row>
    <row r="423" spans="1:15" x14ac:dyDescent="0.25">
      <c r="A423" s="7">
        <v>25.729311738905263</v>
      </c>
      <c r="B423"/>
      <c r="C423"/>
      <c r="D423"/>
      <c r="E423" t="s">
        <v>8</v>
      </c>
    </row>
    <row r="424" spans="1:15" x14ac:dyDescent="0.25">
      <c r="A424" s="7">
        <v>25.224815430299277</v>
      </c>
      <c r="B424"/>
      <c r="C424"/>
      <c r="D424"/>
      <c r="E424" t="s">
        <v>8</v>
      </c>
    </row>
    <row r="425" spans="1:15" x14ac:dyDescent="0.25">
      <c r="A425" s="7">
        <v>24.73021120617576</v>
      </c>
      <c r="B425"/>
      <c r="C425"/>
      <c r="D425"/>
      <c r="E425" t="s">
        <v>8</v>
      </c>
    </row>
    <row r="426" spans="1:15" x14ac:dyDescent="0.25">
      <c r="A426" s="7">
        <v>24.24530510409388</v>
      </c>
      <c r="B426"/>
      <c r="C426"/>
      <c r="D426"/>
      <c r="E426" t="s">
        <v>8</v>
      </c>
    </row>
    <row r="427" spans="1:15" x14ac:dyDescent="0.25">
      <c r="A427" s="7">
        <v>23.769906964797922</v>
      </c>
      <c r="B427"/>
      <c r="C427"/>
      <c r="D427"/>
      <c r="E427" t="s">
        <v>8</v>
      </c>
    </row>
    <row r="428" spans="1:15" x14ac:dyDescent="0.25">
      <c r="A428" s="7">
        <v>23.303830357645023</v>
      </c>
      <c r="B428"/>
      <c r="C428"/>
      <c r="D428"/>
      <c r="E428" t="s">
        <v>8</v>
      </c>
    </row>
    <row r="429" spans="1:15" x14ac:dyDescent="0.25">
      <c r="A429" s="7">
        <v>22.84689250749512</v>
      </c>
      <c r="B429"/>
      <c r="C429"/>
      <c r="D429"/>
      <c r="E429" t="s">
        <v>8</v>
      </c>
    </row>
    <row r="430" spans="1:15" x14ac:dyDescent="0.25">
      <c r="A430" s="7">
        <v>22.398914223034431</v>
      </c>
      <c r="B430"/>
      <c r="C430"/>
      <c r="D430"/>
      <c r="E430" t="s">
        <v>8</v>
      </c>
    </row>
    <row r="431" spans="1:15" x14ac:dyDescent="0.25">
      <c r="A431" s="7">
        <v>21.959719826504344</v>
      </c>
      <c r="B431"/>
      <c r="C431"/>
      <c r="D431"/>
      <c r="E431" t="s">
        <v>8</v>
      </c>
    </row>
    <row r="432" spans="1:15" x14ac:dyDescent="0.25">
      <c r="A432" s="7">
        <v>21.52913708480818</v>
      </c>
      <c r="B432"/>
      <c r="C432"/>
      <c r="D432"/>
      <c r="E432" t="s">
        <v>8</v>
      </c>
    </row>
    <row r="433" spans="1:5" x14ac:dyDescent="0.25">
      <c r="A433" s="7">
        <v>21.106997141968804</v>
      </c>
      <c r="B433"/>
      <c r="C433"/>
      <c r="D433"/>
      <c r="E433" t="s">
        <v>8</v>
      </c>
    </row>
    <row r="434" spans="1:5" x14ac:dyDescent="0.25">
      <c r="A434" s="7">
        <v>20.693134452910591</v>
      </c>
      <c r="B434"/>
      <c r="C434"/>
      <c r="D434"/>
      <c r="E434" t="s">
        <v>8</v>
      </c>
    </row>
    <row r="435" spans="1:5" x14ac:dyDescent="0.25">
      <c r="A435" s="7">
        <v>20.287386718539796</v>
      </c>
      <c r="B435"/>
      <c r="C435"/>
      <c r="D435"/>
      <c r="E435" t="s">
        <v>8</v>
      </c>
    </row>
    <row r="436" spans="1:5" x14ac:dyDescent="0.25">
      <c r="A436" s="7">
        <v>19.889594822097838</v>
      </c>
      <c r="B436"/>
      <c r="C436"/>
      <c r="D436"/>
      <c r="E436" t="s">
        <v>8</v>
      </c>
    </row>
    <row r="437" spans="1:5" x14ac:dyDescent="0.25">
      <c r="A437" s="7">
        <v>19.499602766762585</v>
      </c>
      <c r="B437"/>
      <c r="C437"/>
      <c r="D437"/>
      <c r="E437" t="s">
        <v>8</v>
      </c>
    </row>
    <row r="438" spans="1:5" x14ac:dyDescent="0.25">
      <c r="A438" s="7">
        <v>19.117257614473122</v>
      </c>
      <c r="B438"/>
      <c r="C438"/>
      <c r="D438"/>
      <c r="E438" t="s">
        <v>8</v>
      </c>
    </row>
    <row r="439" spans="1:5" x14ac:dyDescent="0.25">
      <c r="A439" s="7">
        <v>18.74240942595404</v>
      </c>
      <c r="B439"/>
      <c r="C439"/>
      <c r="D439"/>
      <c r="E439" t="s">
        <v>8</v>
      </c>
    </row>
    <row r="440" spans="1:5" x14ac:dyDescent="0.25">
      <c r="A440" s="7">
        <v>18.374911201915726</v>
      </c>
      <c r="B440"/>
      <c r="C440"/>
      <c r="D440"/>
      <c r="E440" t="s">
        <v>8</v>
      </c>
    </row>
    <row r="441" spans="1:5" x14ac:dyDescent="0.25">
      <c r="A441" s="7">
        <v>18.014618825407574</v>
      </c>
      <c r="B441"/>
      <c r="C441"/>
      <c r="D441"/>
      <c r="E441" t="s">
        <v>8</v>
      </c>
    </row>
    <row r="442" spans="1:5" x14ac:dyDescent="0.25">
      <c r="A442" s="7">
        <v>17.661391005301542</v>
      </c>
      <c r="B442"/>
      <c r="C442"/>
      <c r="D442"/>
      <c r="E442" t="s">
        <v>8</v>
      </c>
    </row>
    <row r="443" spans="1:5" x14ac:dyDescent="0.25">
      <c r="A443" s="7">
        <v>17.315089220883866</v>
      </c>
      <c r="B443"/>
      <c r="C443"/>
      <c r="D443"/>
      <c r="E443" t="s">
        <v>8</v>
      </c>
    </row>
    <row r="444" spans="1:5" x14ac:dyDescent="0.25">
      <c r="A444" s="7">
        <v>16.975577667533202</v>
      </c>
      <c r="B444"/>
      <c r="C444"/>
      <c r="D444"/>
      <c r="E444" t="s">
        <v>8</v>
      </c>
    </row>
    <row r="445" spans="1:5" x14ac:dyDescent="0.25">
      <c r="A445" s="7">
        <v>16.642723203463923</v>
      </c>
      <c r="B445"/>
      <c r="C445"/>
      <c r="D445"/>
      <c r="E445" t="s">
        <v>8</v>
      </c>
    </row>
    <row r="446" spans="1:5" x14ac:dyDescent="0.25">
      <c r="A446" s="7">
        <v>16.316395297513651</v>
      </c>
      <c r="B446"/>
      <c r="C446"/>
      <c r="D446"/>
      <c r="E446" t="s">
        <v>8</v>
      </c>
    </row>
    <row r="447" spans="1:5" x14ac:dyDescent="0.25">
      <c r="A447" s="7">
        <v>15.996465977954561</v>
      </c>
      <c r="B447"/>
      <c r="C447"/>
      <c r="D447"/>
      <c r="E447" t="s">
        <v>8</v>
      </c>
    </row>
    <row r="448" spans="1:5" x14ac:dyDescent="0.25">
      <c r="A448" s="7">
        <v>15.682809782308393</v>
      </c>
      <c r="B448"/>
      <c r="C448"/>
      <c r="D448"/>
      <c r="E448" t="s">
        <v>8</v>
      </c>
    </row>
    <row r="449" spans="1:5" x14ac:dyDescent="0.25">
      <c r="A449" s="7">
        <v>15.375303708145482</v>
      </c>
      <c r="B449"/>
      <c r="C449"/>
      <c r="D449"/>
      <c r="E449" t="s">
        <v>8</v>
      </c>
    </row>
    <row r="450" spans="1:5" x14ac:dyDescent="0.25">
      <c r="A450" s="7">
        <v>15.073827164848511</v>
      </c>
      <c r="B450"/>
      <c r="C450"/>
      <c r="D450"/>
      <c r="E450" t="s">
        <v>8</v>
      </c>
    </row>
    <row r="451" spans="1:5" x14ac:dyDescent="0.25">
      <c r="A451" s="7">
        <v>14.77826192632207</v>
      </c>
      <c r="B451"/>
      <c r="C451"/>
      <c r="D451"/>
      <c r="E451" t="s">
        <v>8</v>
      </c>
    </row>
    <row r="452" spans="1:5" x14ac:dyDescent="0.25">
      <c r="A452" s="7">
        <v>14.488492084629481</v>
      </c>
      <c r="B452"/>
      <c r="C452"/>
      <c r="D452"/>
      <c r="E452" t="s">
        <v>8</v>
      </c>
    </row>
    <row r="453" spans="1:5" x14ac:dyDescent="0.25">
      <c r="A453" s="7">
        <v>14.204404004538707</v>
      </c>
      <c r="B453"/>
      <c r="C453"/>
      <c r="D453"/>
      <c r="E453" t="s">
        <v>8</v>
      </c>
    </row>
    <row r="454" spans="1:5" x14ac:dyDescent="0.25">
      <c r="A454" s="7">
        <v>13.925886278959517</v>
      </c>
      <c r="B454"/>
      <c r="C454"/>
      <c r="D454"/>
      <c r="E454" t="s">
        <v>8</v>
      </c>
    </row>
    <row r="455" spans="1:5" x14ac:dyDescent="0.25">
      <c r="A455" s="7">
        <v>13.652829685254428</v>
      </c>
      <c r="B455"/>
      <c r="C455"/>
      <c r="D455"/>
      <c r="E455" t="s">
        <v>8</v>
      </c>
    </row>
    <row r="456" spans="1:5" x14ac:dyDescent="0.25">
      <c r="A456" s="7">
        <v>13.385127142406303</v>
      </c>
      <c r="B456"/>
      <c r="C456"/>
      <c r="D456"/>
      <c r="E456" t="s">
        <v>8</v>
      </c>
    </row>
    <row r="457" spans="1:5" x14ac:dyDescent="0.25">
      <c r="A457" s="7">
        <v>13.122673669025787</v>
      </c>
      <c r="B457"/>
      <c r="C457"/>
      <c r="D457"/>
      <c r="E457" t="s">
        <v>8</v>
      </c>
    </row>
    <row r="458" spans="1:5" x14ac:dyDescent="0.25">
      <c r="A458" s="7">
        <v>12.865366342182144</v>
      </c>
      <c r="B458"/>
      <c r="C458"/>
      <c r="D458"/>
      <c r="E458" t="s">
        <v>8</v>
      </c>
    </row>
    <row r="459" spans="1:5" x14ac:dyDescent="0.25">
      <c r="A459" s="7">
        <v>12.613104257041318</v>
      </c>
      <c r="B459"/>
      <c r="C459"/>
      <c r="D459"/>
      <c r="E459" t="s">
        <v>8</v>
      </c>
    </row>
    <row r="460" spans="1:5" x14ac:dyDescent="0.25">
      <c r="A460" s="7">
        <v>12.36578848729541</v>
      </c>
      <c r="B460"/>
      <c r="C460"/>
      <c r="D460"/>
      <c r="E460" t="s">
        <v>8</v>
      </c>
    </row>
    <row r="461" spans="1:5" x14ac:dyDescent="0.25">
      <c r="A461" s="7">
        <v>12.123322046368049</v>
      </c>
      <c r="B461"/>
      <c r="C461"/>
      <c r="D461"/>
      <c r="E461" t="s">
        <v>8</v>
      </c>
    </row>
    <row r="462" spans="1:5" x14ac:dyDescent="0.25">
      <c r="A462" s="7">
        <v>11.88560984938044</v>
      </c>
      <c r="B462"/>
      <c r="C462"/>
      <c r="D462"/>
      <c r="E462" t="s">
        <v>8</v>
      </c>
    </row>
    <row r="463" spans="1:5" x14ac:dyDescent="0.25">
      <c r="A463" s="7">
        <v>11.652558675863176</v>
      </c>
      <c r="B463"/>
      <c r="C463"/>
      <c r="D463"/>
      <c r="E463" t="s">
        <v>8</v>
      </c>
    </row>
    <row r="464" spans="1:5" x14ac:dyDescent="0.25">
      <c r="A464" s="7">
        <v>11.424077133199193</v>
      </c>
      <c r="B464"/>
      <c r="C464"/>
      <c r="D464"/>
      <c r="E464" t="s">
        <v>8</v>
      </c>
    </row>
    <row r="465" spans="1:5" x14ac:dyDescent="0.25">
      <c r="A465" s="7">
        <v>11.200075620783522</v>
      </c>
      <c r="B465"/>
      <c r="C465"/>
      <c r="D465"/>
      <c r="E465" t="s">
        <v>8</v>
      </c>
    </row>
    <row r="466" spans="1:5" x14ac:dyDescent="0.25">
      <c r="A466" s="7">
        <v>10.980466294885806</v>
      </c>
      <c r="B466"/>
      <c r="C466"/>
      <c r="D466"/>
      <c r="E466" t="s">
        <v>8</v>
      </c>
    </row>
    <row r="467" spans="1:5" x14ac:dyDescent="0.25">
      <c r="A467" s="7">
        <v>10.765163034201771</v>
      </c>
      <c r="B467"/>
      <c r="C467"/>
      <c r="D467"/>
      <c r="E467" t="s">
        <v>8</v>
      </c>
    </row>
    <row r="468" spans="1:5" x14ac:dyDescent="0.25">
      <c r="A468" s="7">
        <v>10.554081406080169</v>
      </c>
      <c r="B468"/>
      <c r="C468"/>
      <c r="D468"/>
      <c r="E468" t="s">
        <v>8</v>
      </c>
    </row>
    <row r="469" spans="1:5" x14ac:dyDescent="0.25">
      <c r="A469" s="7">
        <v>10.34713863341193</v>
      </c>
      <c r="B469"/>
      <c r="C469"/>
      <c r="D469"/>
      <c r="E469" t="s">
        <v>8</v>
      </c>
    </row>
    <row r="470" spans="1:5" x14ac:dyDescent="0.25">
      <c r="A470" s="7">
        <v>10.14425356216856</v>
      </c>
      <c r="B470"/>
      <c r="C470"/>
      <c r="D470"/>
      <c r="E470" t="s">
        <v>8</v>
      </c>
    </row>
    <row r="471" spans="1:5" x14ac:dyDescent="0.25">
      <c r="A471" s="7">
        <v>9.9453466295770188</v>
      </c>
      <c r="B471"/>
      <c r="C471"/>
      <c r="D471"/>
      <c r="E471" t="s">
        <v>8</v>
      </c>
    </row>
    <row r="472" spans="1:5" x14ac:dyDescent="0.25">
      <c r="A472" s="7">
        <v>9.7503398329186464</v>
      </c>
      <c r="B472"/>
      <c r="C472"/>
      <c r="D472"/>
      <c r="E472" t="s">
        <v>8</v>
      </c>
    </row>
    <row r="473" spans="1:5" x14ac:dyDescent="0.25">
      <c r="A473" s="7">
        <v>9.5591566989398498</v>
      </c>
      <c r="B473"/>
      <c r="C473"/>
      <c r="D473"/>
      <c r="E473" t="s">
        <v>8</v>
      </c>
    </row>
    <row r="474" spans="1:5" x14ac:dyDescent="0.25">
      <c r="A474" s="7">
        <v>9.3717222538625968</v>
      </c>
      <c r="B474"/>
      <c r="C474"/>
      <c r="D474"/>
      <c r="E474" t="s">
        <v>8</v>
      </c>
    </row>
    <row r="475" spans="1:5" x14ac:dyDescent="0.25">
      <c r="A475" s="7">
        <v>9.1879629939829375</v>
      </c>
      <c r="B475"/>
      <c r="C475"/>
      <c r="D475"/>
      <c r="E475" t="s">
        <v>8</v>
      </c>
    </row>
    <row r="476" spans="1:5" x14ac:dyDescent="0.25">
      <c r="A476" s="7">
        <v>9.0078068568460168</v>
      </c>
      <c r="B476"/>
      <c r="C476"/>
      <c r="D476"/>
      <c r="E476" t="s">
        <v>8</v>
      </c>
    </row>
    <row r="477" spans="1:5" x14ac:dyDescent="0.25">
      <c r="A477" s="7">
        <v>8.8311831929862912</v>
      </c>
      <c r="B477"/>
      <c r="C477"/>
      <c r="D477"/>
      <c r="E477" t="s">
        <v>8</v>
      </c>
    </row>
    <row r="478" spans="1:5" x14ac:dyDescent="0.25">
      <c r="A478" s="7">
        <v>8.6580227382218542</v>
      </c>
      <c r="B478"/>
      <c r="C478"/>
      <c r="D478"/>
      <c r="E478" t="s">
        <v>8</v>
      </c>
    </row>
    <row r="479" spans="1:5" x14ac:dyDescent="0.25">
      <c r="A479" s="7">
        <v>8.4882575864920131</v>
      </c>
      <c r="B479"/>
      <c r="C479"/>
      <c r="D479"/>
      <c r="E479" t="s">
        <v>8</v>
      </c>
    </row>
    <row r="480" spans="1:5" x14ac:dyDescent="0.25">
      <c r="A480" s="7">
        <v>8.3218211632274635</v>
      </c>
      <c r="B480"/>
      <c r="C480"/>
      <c r="D480"/>
      <c r="E480" t="s">
        <v>8</v>
      </c>
    </row>
    <row r="481" spans="1:5" x14ac:dyDescent="0.25">
      <c r="A481" s="7">
        <v>8.1586481992426112</v>
      </c>
      <c r="B481"/>
      <c r="C481"/>
      <c r="D481"/>
      <c r="E481" t="s">
        <v>8</v>
      </c>
    </row>
    <row r="482" spans="1:5" x14ac:dyDescent="0.25">
      <c r="A482" s="7">
        <v>7.9986747051398144</v>
      </c>
      <c r="B482"/>
      <c r="C482"/>
      <c r="D482"/>
      <c r="E482" t="s">
        <v>8</v>
      </c>
    </row>
    <row r="483" spans="1:5" x14ac:dyDescent="0.25">
      <c r="A483" s="7">
        <v>7.8418379462155041</v>
      </c>
      <c r="B483"/>
      <c r="C483"/>
      <c r="D483"/>
      <c r="E483" t="s">
        <v>8</v>
      </c>
    </row>
    <row r="484" spans="1:5" x14ac:dyDescent="0.25">
      <c r="A484" s="7">
        <v>7.688076417858337</v>
      </c>
      <c r="B484"/>
      <c r="C484"/>
      <c r="D484"/>
      <c r="E484" t="s">
        <v>8</v>
      </c>
    </row>
    <row r="485" spans="1:5" x14ac:dyDescent="0.25">
      <c r="A485" s="7">
        <v>7.5373298214297417</v>
      </c>
      <c r="B485"/>
      <c r="C485"/>
      <c r="D485"/>
      <c r="E485" t="s">
        <v>8</v>
      </c>
    </row>
    <row r="486" spans="1:5" x14ac:dyDescent="0.25">
      <c r="A486" s="7">
        <v>7.389539040617394</v>
      </c>
      <c r="B486"/>
      <c r="C486"/>
      <c r="D486"/>
      <c r="E486" t="s">
        <v>8</v>
      </c>
    </row>
    <row r="487" spans="1:5" x14ac:dyDescent="0.25">
      <c r="A487" s="7">
        <v>7.2446461182523469</v>
      </c>
      <c r="B487"/>
      <c r="C487"/>
      <c r="D487"/>
      <c r="E487" t="s">
        <v>8</v>
      </c>
    </row>
    <row r="488" spans="1:5" x14ac:dyDescent="0.25">
      <c r="A488" s="7">
        <v>7.1025942335807324</v>
      </c>
      <c r="B488"/>
      <c r="C488"/>
      <c r="D488"/>
      <c r="E488" t="s">
        <v>8</v>
      </c>
    </row>
    <row r="489" spans="1:5" x14ac:dyDescent="0.25">
      <c r="A489" s="7">
        <v>6.9633276799811101</v>
      </c>
      <c r="B489"/>
      <c r="C489"/>
      <c r="D489"/>
      <c r="E489" t="s">
        <v>8</v>
      </c>
    </row>
    <row r="490" spans="1:5" x14ac:dyDescent="0.25">
      <c r="A490" s="7">
        <v>6.8267918431187349</v>
      </c>
      <c r="B490"/>
      <c r="C490"/>
      <c r="D490"/>
      <c r="E490" t="s">
        <v>8</v>
      </c>
    </row>
    <row r="491" spans="1:5" x14ac:dyDescent="0.25">
      <c r="A491" s="7">
        <v>6.692933179528171</v>
      </c>
      <c r="B491"/>
      <c r="C491"/>
      <c r="D491"/>
      <c r="E491" t="s">
        <v>8</v>
      </c>
    </row>
    <row r="492" spans="1:5" x14ac:dyDescent="0.25">
      <c r="A492" s="7">
        <v>6.5616991956158541</v>
      </c>
      <c r="B492"/>
      <c r="C492"/>
      <c r="D492"/>
      <c r="E492" t="s">
        <v>8</v>
      </c>
    </row>
    <row r="493" spans="1:5" x14ac:dyDescent="0.25">
      <c r="A493" s="7">
        <v>6.4330384270743668</v>
      </c>
      <c r="B493"/>
      <c r="C493"/>
      <c r="D493"/>
      <c r="E493" t="s">
        <v>8</v>
      </c>
    </row>
    <row r="494" spans="1:5" x14ac:dyDescent="0.25">
      <c r="A494" s="7">
        <v>6.3069004187003594</v>
      </c>
      <c r="B494"/>
      <c r="C494"/>
      <c r="D494"/>
      <c r="E494" t="s">
        <v>8</v>
      </c>
    </row>
    <row r="495" spans="1:5" x14ac:dyDescent="0.25">
      <c r="A495" s="7">
        <v>6.1832357046081956</v>
      </c>
      <c r="B495"/>
      <c r="C495"/>
      <c r="D495"/>
      <c r="E495" t="s">
        <v>8</v>
      </c>
    </row>
    <row r="496" spans="1:5" x14ac:dyDescent="0.25">
      <c r="A496" s="7">
        <v>6.0619957888315641</v>
      </c>
      <c r="B496"/>
      <c r="C496"/>
      <c r="D496"/>
      <c r="E496" t="s">
        <v>8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73" operator="equal">
      <formula>$U$1</formula>
    </cfRule>
    <cfRule type="cellIs" dxfId="89" priority="874" operator="equal">
      <formula>$S$1</formula>
    </cfRule>
  </conditionalFormatting>
  <conditionalFormatting sqref="D27">
    <cfRule type="cellIs" dxfId="88" priority="871" operator="equal">
      <formula>$S$1</formula>
    </cfRule>
    <cfRule type="cellIs" dxfId="87" priority="872" operator="equal">
      <formula>$U$1</formula>
    </cfRule>
  </conditionalFormatting>
  <conditionalFormatting sqref="C164">
    <cfRule type="cellIs" dxfId="86" priority="869" operator="equal">
      <formula>$U$1</formula>
    </cfRule>
    <cfRule type="cellIs" dxfId="85" priority="870" operator="equal">
      <formula>$S$1</formula>
    </cfRule>
  </conditionalFormatting>
  <conditionalFormatting sqref="D164">
    <cfRule type="cellIs" dxfId="84" priority="867" operator="equal">
      <formula>$S$1</formula>
    </cfRule>
    <cfRule type="cellIs" dxfId="83" priority="868" operator="equal">
      <formula>$U$1</formula>
    </cfRule>
  </conditionalFormatting>
  <conditionalFormatting sqref="C55">
    <cfRule type="cellIs" dxfId="82" priority="865" operator="equal">
      <formula>$U$1</formula>
    </cfRule>
    <cfRule type="cellIs" dxfId="81" priority="866" operator="equal">
      <formula>$S$1</formula>
    </cfRule>
  </conditionalFormatting>
  <conditionalFormatting sqref="D55">
    <cfRule type="cellIs" dxfId="80" priority="863" operator="equal">
      <formula>$S$1</formula>
    </cfRule>
    <cfRule type="cellIs" dxfId="79" priority="864" operator="equal">
      <formula>$U$1</formula>
    </cfRule>
  </conditionalFormatting>
  <conditionalFormatting sqref="C89">
    <cfRule type="cellIs" dxfId="78" priority="861" operator="equal">
      <formula>$U$1</formula>
    </cfRule>
    <cfRule type="cellIs" dxfId="77" priority="862" operator="equal">
      <formula>$S$1</formula>
    </cfRule>
  </conditionalFormatting>
  <conditionalFormatting sqref="D89">
    <cfRule type="cellIs" dxfId="76" priority="859" operator="equal">
      <formula>$S$1</formula>
    </cfRule>
    <cfRule type="cellIs" dxfId="75" priority="860" operator="equal">
      <formula>$U$1</formula>
    </cfRule>
  </conditionalFormatting>
  <conditionalFormatting sqref="C136">
    <cfRule type="cellIs" dxfId="74" priority="857" operator="equal">
      <formula>$U$1</formula>
    </cfRule>
    <cfRule type="cellIs" dxfId="73" priority="858" operator="equal">
      <formula>$S$1</formula>
    </cfRule>
  </conditionalFormatting>
  <conditionalFormatting sqref="D136">
    <cfRule type="cellIs" dxfId="72" priority="855" operator="equal">
      <formula>$S$1</formula>
    </cfRule>
    <cfRule type="cellIs" dxfId="71" priority="856" operator="equal">
      <formula>$U$1</formula>
    </cfRule>
  </conditionalFormatting>
  <conditionalFormatting sqref="C1">
    <cfRule type="cellIs" dxfId="70" priority="85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14" zoomScale="90" zoomScaleNormal="90" workbookViewId="0">
      <pane xSplit="4" topLeftCell="AS1" activePane="topRight" state="frozen"/>
      <selection activeCell="A109" sqref="A109"/>
      <selection pane="topRight" activeCell="DE136" sqref="DE136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66" x14ac:dyDescent="0.25">
      <c r="A97" s="30">
        <v>1071.6914527012709</v>
      </c>
      <c r="C97" s="7">
        <v>0.11686133436193799</v>
      </c>
      <c r="D97"/>
      <c r="E97"/>
    </row>
    <row r="98" spans="1:66" x14ac:dyDescent="0.25">
      <c r="A98" s="30">
        <v>1020.6585263821628</v>
      </c>
      <c r="E98"/>
    </row>
    <row r="99" spans="1:66" x14ac:dyDescent="0.25">
      <c r="A99" s="30">
        <v>972.05573941158355</v>
      </c>
      <c r="C99" s="1" t="s">
        <v>11</v>
      </c>
      <c r="D99" s="1" t="s">
        <v>12</v>
      </c>
      <c r="E99"/>
    </row>
    <row r="100" spans="1:66" x14ac:dyDescent="0.25">
      <c r="A100" s="30">
        <v>925.76737086817479</v>
      </c>
      <c r="C100"/>
      <c r="D100"/>
      <c r="E100"/>
    </row>
    <row r="101" spans="1:66" x14ac:dyDescent="0.25">
      <c r="A101" s="30">
        <v>881.68321035064264</v>
      </c>
      <c r="E101"/>
    </row>
    <row r="102" spans="1:66" x14ac:dyDescent="0.25">
      <c r="A102" s="30">
        <v>839.69829557204059</v>
      </c>
      <c r="C102" s="1" t="s">
        <v>13</v>
      </c>
      <c r="E102"/>
    </row>
    <row r="103" spans="1:66" x14ac:dyDescent="0.25">
      <c r="A103" s="30">
        <v>799.71266244956246</v>
      </c>
      <c r="C103" s="1">
        <f>C92</f>
        <v>0</v>
      </c>
      <c r="E103"/>
    </row>
    <row r="104" spans="1:66" x14ac:dyDescent="0.25">
      <c r="A104" s="30">
        <v>761.63110709482135</v>
      </c>
      <c r="C104"/>
      <c r="E104"/>
    </row>
    <row r="105" spans="1:66" x14ac:dyDescent="0.25">
      <c r="A105" s="30">
        <v>725.36295913792503</v>
      </c>
      <c r="C105" s="1" t="s">
        <v>14</v>
      </c>
      <c r="E105"/>
    </row>
    <row r="106" spans="1:66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66" x14ac:dyDescent="0.25">
      <c r="A107" s="30">
        <v>657.92558651965976</v>
      </c>
      <c r="E107"/>
      <c r="BI107" s="31" t="s">
        <v>8</v>
      </c>
    </row>
    <row r="108" spans="1:66" x14ac:dyDescent="0.25">
      <c r="A108" s="30">
        <v>626.59579668539027</v>
      </c>
      <c r="E108"/>
      <c r="BG108" s="27" t="s">
        <v>8</v>
      </c>
      <c r="BI108" s="27" t="s">
        <v>8</v>
      </c>
      <c r="BJ108" s="31" t="s">
        <v>7</v>
      </c>
    </row>
    <row r="109" spans="1:66" x14ac:dyDescent="0.25">
      <c r="A109" s="30">
        <v>596.75790160513361</v>
      </c>
      <c r="E109"/>
      <c r="BE109" s="27" t="s">
        <v>8</v>
      </c>
      <c r="BG109" s="27" t="s">
        <v>8</v>
      </c>
      <c r="BH109" s="27" t="s">
        <v>7</v>
      </c>
      <c r="BI109" s="27" t="s">
        <v>8</v>
      </c>
      <c r="BJ109" s="27" t="s">
        <v>7</v>
      </c>
      <c r="BK109" s="31"/>
    </row>
    <row r="110" spans="1:66" x14ac:dyDescent="0.25">
      <c r="A110" s="30">
        <v>568.34085867155579</v>
      </c>
      <c r="E110"/>
      <c r="AG110" s="27" t="s">
        <v>8</v>
      </c>
      <c r="BE110" s="27" t="s">
        <v>8</v>
      </c>
      <c r="BF110" s="27" t="s">
        <v>7</v>
      </c>
      <c r="BG110" s="27" t="s">
        <v>8</v>
      </c>
      <c r="BH110" s="27" t="s">
        <v>7</v>
      </c>
      <c r="BI110" s="27" t="s">
        <v>8</v>
      </c>
      <c r="BJ110" s="27" t="s">
        <v>7</v>
      </c>
      <c r="BL110" s="31"/>
    </row>
    <row r="111" spans="1:66" x14ac:dyDescent="0.25">
      <c r="A111" s="30">
        <v>541.27700825862451</v>
      </c>
      <c r="C111" s="1" t="str">
        <f>ADDRESS(C121-1,1,1,1)</f>
        <v>$A$135</v>
      </c>
      <c r="D111" s="1" t="str">
        <f>ADDRESS(C121-1,D121,1,1)</f>
        <v>$DE$135</v>
      </c>
      <c r="E111"/>
      <c r="AE111" s="27" t="s">
        <v>8</v>
      </c>
      <c r="AG111" s="27" t="s">
        <v>8</v>
      </c>
      <c r="AH111" s="27" t="s">
        <v>7</v>
      </c>
      <c r="BE111" s="27" t="s">
        <v>8</v>
      </c>
      <c r="BF111" s="27" t="s">
        <v>7</v>
      </c>
      <c r="BG111" s="27" t="s">
        <v>8</v>
      </c>
      <c r="BH111" s="27" t="s">
        <v>7</v>
      </c>
      <c r="BI111" s="27" t="s">
        <v>8</v>
      </c>
      <c r="BJ111" s="27" t="s">
        <v>7</v>
      </c>
      <c r="BM111" s="31"/>
    </row>
    <row r="112" spans="1:66" x14ac:dyDescent="0.25">
      <c r="A112" s="30">
        <v>515.50191262726139</v>
      </c>
      <c r="C112" s="1" t="str">
        <f>ADDRESS(C121,1,1,1)</f>
        <v>$A$136</v>
      </c>
      <c r="D112" s="1" t="str">
        <f>ADDRESS(C121,D121-1,1,1)</f>
        <v>$DD$136</v>
      </c>
      <c r="E112"/>
      <c r="AE112" s="27" t="s">
        <v>8</v>
      </c>
      <c r="AF112" s="27" t="s">
        <v>7</v>
      </c>
      <c r="AG112" s="27" t="s">
        <v>8</v>
      </c>
      <c r="AH112" s="27" t="s">
        <v>7</v>
      </c>
      <c r="BC112" s="27" t="s">
        <v>8</v>
      </c>
      <c r="BE112" s="27" t="s">
        <v>8</v>
      </c>
      <c r="BF112" s="27" t="s">
        <v>7</v>
      </c>
      <c r="BG112" s="27" t="s">
        <v>8</v>
      </c>
      <c r="BH112" s="27" t="s">
        <v>7</v>
      </c>
      <c r="BI112" s="27" t="s">
        <v>8</v>
      </c>
      <c r="BJ112" s="27" t="s">
        <v>7</v>
      </c>
      <c r="BN112" s="31"/>
    </row>
    <row r="113" spans="1:105" x14ac:dyDescent="0.25">
      <c r="A113" s="30">
        <v>490.95420250215363</v>
      </c>
      <c r="C113" s="1" t="str">
        <f>ADDRESS(C121+1,1,1,1)</f>
        <v>$A$137</v>
      </c>
      <c r="D113" s="1" t="str">
        <f>ADDRESS(C121-1,D121+1,1,1)</f>
        <v>$DF$135</v>
      </c>
      <c r="AE113" s="27" t="s">
        <v>8</v>
      </c>
      <c r="AF113" s="27" t="s">
        <v>7</v>
      </c>
      <c r="AG113" s="27" t="s">
        <v>8</v>
      </c>
      <c r="AH113" s="27" t="s">
        <v>7</v>
      </c>
      <c r="AK113" s="27" t="s">
        <v>8</v>
      </c>
      <c r="BC113" s="27" t="s">
        <v>8</v>
      </c>
      <c r="BD113" s="27" t="s">
        <v>7</v>
      </c>
      <c r="BE113" s="27" t="s">
        <v>8</v>
      </c>
      <c r="BF113" s="27" t="s">
        <v>7</v>
      </c>
      <c r="BG113" s="27" t="s">
        <v>8</v>
      </c>
      <c r="BH113" s="27" t="s">
        <v>7</v>
      </c>
      <c r="BJ113" s="27" t="s">
        <v>7</v>
      </c>
      <c r="BK113" s="27" t="s">
        <v>8</v>
      </c>
      <c r="BO113" s="31"/>
    </row>
    <row r="114" spans="1:105" x14ac:dyDescent="0.25">
      <c r="A114" s="30">
        <v>467.57543095443202</v>
      </c>
      <c r="C114" s="1" t="str">
        <f>ADDRESS(C121,D121,1,1)</f>
        <v>$DE$136</v>
      </c>
      <c r="D114" s="1" t="str">
        <f>ADDRESS(C121+1,D121+1,1,1)</f>
        <v>$DF$137</v>
      </c>
      <c r="AE114" s="27" t="s">
        <v>8</v>
      </c>
      <c r="AF114" s="27" t="s">
        <v>7</v>
      </c>
      <c r="AG114" s="27" t="s">
        <v>8</v>
      </c>
      <c r="AH114" s="27" t="s">
        <v>7</v>
      </c>
      <c r="AI114" s="27" t="s">
        <v>8</v>
      </c>
      <c r="AK114" s="27" t="s">
        <v>8</v>
      </c>
      <c r="AL114" s="27" t="s">
        <v>7</v>
      </c>
      <c r="AW114" s="27" t="s">
        <v>8</v>
      </c>
      <c r="BC114" s="27" t="s">
        <v>8</v>
      </c>
      <c r="BD114" s="27" t="s">
        <v>7</v>
      </c>
      <c r="BE114" s="27" t="s">
        <v>8</v>
      </c>
      <c r="BF114" s="27" t="s">
        <v>7</v>
      </c>
      <c r="BJ114" s="34" t="s">
        <v>7</v>
      </c>
      <c r="BK114" s="27" t="s">
        <v>8</v>
      </c>
      <c r="BL114" s="27" t="s">
        <v>7</v>
      </c>
      <c r="BP114" s="31"/>
    </row>
    <row r="115" spans="1:105" x14ac:dyDescent="0.25">
      <c r="A115" s="30">
        <v>445.30993424231622</v>
      </c>
      <c r="C115" s="1" t="str">
        <f>ADDRESS(C121+1,D121,1,1)</f>
        <v>$DE$137</v>
      </c>
      <c r="AE115" s="27" t="s">
        <v>8</v>
      </c>
      <c r="AF115" s="27" t="s">
        <v>7</v>
      </c>
      <c r="AG115" s="27" t="s">
        <v>8</v>
      </c>
      <c r="AH115" s="27" t="s">
        <v>7</v>
      </c>
      <c r="AI115" s="27" t="s">
        <v>8</v>
      </c>
      <c r="AJ115" s="27" t="s">
        <v>7</v>
      </c>
      <c r="AK115" s="27" t="s">
        <v>8</v>
      </c>
      <c r="AL115" s="27" t="s">
        <v>7</v>
      </c>
      <c r="AQ115" s="27" t="s">
        <v>8</v>
      </c>
      <c r="AW115" s="27" t="s">
        <v>8</v>
      </c>
      <c r="AX115" s="27" t="s">
        <v>7</v>
      </c>
      <c r="BC115" s="27" t="s">
        <v>8</v>
      </c>
      <c r="BD115" s="27" t="s">
        <v>7</v>
      </c>
      <c r="BE115" s="27" t="s">
        <v>8</v>
      </c>
      <c r="BJ115" s="27" t="s">
        <v>7</v>
      </c>
      <c r="BK115" s="27" t="s">
        <v>8</v>
      </c>
      <c r="BL115" s="27" t="s">
        <v>7</v>
      </c>
      <c r="BQ115" s="31"/>
      <c r="CA115" s="27" t="s">
        <v>8</v>
      </c>
      <c r="CM115" s="31" t="s">
        <v>8</v>
      </c>
    </row>
    <row r="116" spans="1:105" x14ac:dyDescent="0.25">
      <c r="A116" s="30">
        <v>424.10469927839637</v>
      </c>
      <c r="C116" s="1">
        <f>C117-1</f>
        <v>135</v>
      </c>
      <c r="AE116" s="27" t="s">
        <v>8</v>
      </c>
      <c r="AF116" s="27" t="s">
        <v>7</v>
      </c>
      <c r="AG116" s="27" t="s">
        <v>8</v>
      </c>
      <c r="AH116" s="27" t="s">
        <v>7</v>
      </c>
      <c r="AI116" s="27" t="s">
        <v>8</v>
      </c>
      <c r="AJ116" s="27" t="s">
        <v>7</v>
      </c>
      <c r="AK116" s="27" t="s">
        <v>8</v>
      </c>
      <c r="AL116" s="27" t="s">
        <v>7</v>
      </c>
      <c r="AQ116" s="27" t="s">
        <v>8</v>
      </c>
      <c r="AR116" s="27" t="s">
        <v>7</v>
      </c>
      <c r="AS116" s="32" t="s">
        <v>8</v>
      </c>
      <c r="AU116" s="32" t="s">
        <v>8</v>
      </c>
      <c r="AW116" s="27" t="s">
        <v>8</v>
      </c>
      <c r="AX116" s="27" t="s">
        <v>7</v>
      </c>
      <c r="BC116" s="27" t="s">
        <v>8</v>
      </c>
      <c r="BD116" s="27" t="s">
        <v>7</v>
      </c>
      <c r="BE116" s="27" t="s">
        <v>8</v>
      </c>
      <c r="BJ116" s="27" t="s">
        <v>7</v>
      </c>
      <c r="BK116" s="27" t="s">
        <v>8</v>
      </c>
      <c r="BL116" s="27" t="s">
        <v>7</v>
      </c>
      <c r="BR116" s="31"/>
      <c r="CA116" s="27" t="s">
        <v>8</v>
      </c>
      <c r="CB116" s="27" t="s">
        <v>7</v>
      </c>
      <c r="CC116" s="27" t="s">
        <v>8</v>
      </c>
      <c r="CM116" s="27" t="s">
        <v>8</v>
      </c>
      <c r="CN116" s="31" t="s">
        <v>7</v>
      </c>
    </row>
    <row r="117" spans="1:105" x14ac:dyDescent="0.25">
      <c r="A117" s="30">
        <v>403.9092374079965</v>
      </c>
      <c r="C117" s="1">
        <f>C121</f>
        <v>136</v>
      </c>
      <c r="D117" s="1">
        <f>D121</f>
        <v>109</v>
      </c>
      <c r="AE117" s="27" t="s">
        <v>8</v>
      </c>
      <c r="AF117" s="27" t="s">
        <v>7</v>
      </c>
      <c r="AH117" s="27" t="s">
        <v>7</v>
      </c>
      <c r="AI117" s="27" t="s">
        <v>8</v>
      </c>
      <c r="AJ117" s="27" t="s">
        <v>7</v>
      </c>
      <c r="AL117" s="27" t="s">
        <v>7</v>
      </c>
      <c r="AM117" s="32" t="s">
        <v>8</v>
      </c>
      <c r="AO117" s="32" t="s">
        <v>8</v>
      </c>
      <c r="AQ117" s="27" t="s">
        <v>8</v>
      </c>
      <c r="AR117" s="27" t="s">
        <v>7</v>
      </c>
      <c r="AS117" s="27" t="s">
        <v>8</v>
      </c>
      <c r="AT117" s="27" t="s">
        <v>7</v>
      </c>
      <c r="AU117" s="27" t="s">
        <v>8</v>
      </c>
      <c r="AV117" s="27" t="s">
        <v>7</v>
      </c>
      <c r="AW117" s="27" t="s">
        <v>8</v>
      </c>
      <c r="AX117" s="27" t="s">
        <v>7</v>
      </c>
      <c r="BA117" s="33" t="s">
        <v>8</v>
      </c>
      <c r="BC117" s="27" t="s">
        <v>8</v>
      </c>
      <c r="BD117" s="27" t="s">
        <v>7</v>
      </c>
      <c r="BJ117" s="27" t="s">
        <v>7</v>
      </c>
      <c r="BK117" s="27" t="s">
        <v>8</v>
      </c>
      <c r="BL117" s="27" t="s">
        <v>7</v>
      </c>
      <c r="BO117" s="32" t="s">
        <v>8</v>
      </c>
      <c r="BQ117" s="32" t="s">
        <v>8</v>
      </c>
      <c r="BS117" s="31"/>
      <c r="CA117" s="27" t="s">
        <v>8</v>
      </c>
      <c r="CB117" s="27" t="s">
        <v>7</v>
      </c>
      <c r="CC117" s="27" t="s">
        <v>8</v>
      </c>
      <c r="CD117" s="27" t="s">
        <v>7</v>
      </c>
      <c r="CE117" s="27" t="s">
        <v>8</v>
      </c>
      <c r="CM117" s="27" t="s">
        <v>8</v>
      </c>
      <c r="CN117" s="27" t="s">
        <v>7</v>
      </c>
      <c r="CO117" s="31"/>
    </row>
    <row r="118" spans="1:105" x14ac:dyDescent="0.25">
      <c r="A118" s="30">
        <v>384.6754641980919</v>
      </c>
      <c r="C118" s="1">
        <f>C117+1</f>
        <v>137</v>
      </c>
      <c r="D118" s="1">
        <f>D117+1</f>
        <v>110</v>
      </c>
      <c r="AE118" s="27" t="s">
        <v>8</v>
      </c>
      <c r="AH118" s="27" t="s">
        <v>7</v>
      </c>
      <c r="AL118" s="27" t="s">
        <v>7</v>
      </c>
      <c r="AM118" s="27" t="s">
        <v>8</v>
      </c>
      <c r="AN118" s="27" t="s">
        <v>7</v>
      </c>
      <c r="AO118" s="27" t="s">
        <v>8</v>
      </c>
      <c r="AP118" s="27" t="s">
        <v>7</v>
      </c>
      <c r="AQ118" s="27" t="s">
        <v>8</v>
      </c>
      <c r="AR118" s="27" t="s">
        <v>7</v>
      </c>
      <c r="AS118" s="27" t="s">
        <v>8</v>
      </c>
      <c r="AT118" s="27" t="s">
        <v>7</v>
      </c>
      <c r="AU118" s="27" t="s">
        <v>8</v>
      </c>
      <c r="AV118" s="27" t="s">
        <v>7</v>
      </c>
      <c r="AW118" s="27" t="s">
        <v>8</v>
      </c>
      <c r="AX118" s="27" t="s">
        <v>7</v>
      </c>
      <c r="AY118" s="27" t="s">
        <v>8</v>
      </c>
      <c r="BA118" s="27" t="s">
        <v>8</v>
      </c>
      <c r="BB118" s="27" t="s">
        <v>7</v>
      </c>
      <c r="BC118" s="27" t="s">
        <v>8</v>
      </c>
      <c r="BJ118" s="27" t="s">
        <v>7</v>
      </c>
      <c r="BK118" s="27" t="s">
        <v>8</v>
      </c>
      <c r="BL118" s="27" t="s">
        <v>7</v>
      </c>
      <c r="BO118" s="33" t="s">
        <v>8</v>
      </c>
      <c r="BP118" s="27" t="s">
        <v>7</v>
      </c>
      <c r="BQ118" s="27" t="s">
        <v>8</v>
      </c>
      <c r="BR118" s="27" t="s">
        <v>7</v>
      </c>
      <c r="BT118" s="31"/>
      <c r="CA118" s="27" t="s">
        <v>8</v>
      </c>
      <c r="CB118" s="27" t="s">
        <v>7</v>
      </c>
      <c r="CC118" s="27" t="s">
        <v>8</v>
      </c>
      <c r="CD118" s="27" t="s">
        <v>7</v>
      </c>
      <c r="CE118" s="27" t="s">
        <v>8</v>
      </c>
      <c r="CF118" s="27" t="s">
        <v>7</v>
      </c>
      <c r="CM118" s="27" t="s">
        <v>8</v>
      </c>
      <c r="CN118" s="27" t="s">
        <v>7</v>
      </c>
      <c r="CP118" s="31"/>
    </row>
    <row r="119" spans="1:105" x14ac:dyDescent="0.25">
      <c r="A119" s="30">
        <v>366.35758495056371</v>
      </c>
      <c r="AE119" s="27" t="s">
        <v>8</v>
      </c>
      <c r="AL119" s="27" t="s">
        <v>7</v>
      </c>
      <c r="AM119" s="27" t="s">
        <v>8</v>
      </c>
      <c r="AN119" s="27" t="s">
        <v>7</v>
      </c>
      <c r="AO119" s="27" t="s">
        <v>8</v>
      </c>
      <c r="AP119" s="27" t="s">
        <v>7</v>
      </c>
      <c r="AQ119" s="27" t="s">
        <v>8</v>
      </c>
      <c r="AR119" s="27" t="s">
        <v>7</v>
      </c>
      <c r="AT119" s="27" t="s">
        <v>7</v>
      </c>
      <c r="AU119" s="27" t="s">
        <v>8</v>
      </c>
      <c r="AV119" s="27" t="s">
        <v>7</v>
      </c>
      <c r="AW119" s="27" t="s">
        <v>8</v>
      </c>
      <c r="AX119" s="27" t="s">
        <v>7</v>
      </c>
      <c r="AY119" s="27" t="s">
        <v>8</v>
      </c>
      <c r="AZ119" s="27" t="s">
        <v>7</v>
      </c>
      <c r="BA119" s="27" t="s">
        <v>8</v>
      </c>
      <c r="BB119" s="27" t="s">
        <v>7</v>
      </c>
      <c r="BC119" s="27" t="s">
        <v>8</v>
      </c>
      <c r="BJ119" s="27" t="s">
        <v>7</v>
      </c>
      <c r="BL119" s="31" t="s">
        <v>7</v>
      </c>
      <c r="BM119" s="27" t="s">
        <v>8</v>
      </c>
      <c r="BO119" s="27" t="s">
        <v>8</v>
      </c>
      <c r="BP119" s="27" t="s">
        <v>7</v>
      </c>
      <c r="BQ119" s="27" t="s">
        <v>8</v>
      </c>
      <c r="BR119" s="27" t="s">
        <v>7</v>
      </c>
      <c r="BU119" s="31"/>
      <c r="CA119" s="27" t="s">
        <v>8</v>
      </c>
      <c r="CB119" s="27" t="s">
        <v>7</v>
      </c>
      <c r="CC119" s="27" t="s">
        <v>8</v>
      </c>
      <c r="CD119" s="27" t="s">
        <v>7</v>
      </c>
      <c r="CE119" s="27" t="s">
        <v>8</v>
      </c>
      <c r="CF119" s="27" t="s">
        <v>7</v>
      </c>
      <c r="CM119" s="27" t="s">
        <v>8</v>
      </c>
      <c r="CN119" s="27" t="s">
        <v>7</v>
      </c>
      <c r="CQ119" s="31"/>
    </row>
    <row r="120" spans="1:105" x14ac:dyDescent="0.25">
      <c r="A120" s="30">
        <v>348.91198566720351</v>
      </c>
      <c r="C120" s="1" t="s">
        <v>9</v>
      </c>
      <c r="AE120" s="27" t="s">
        <v>8</v>
      </c>
      <c r="AL120" s="27" t="s">
        <v>7</v>
      </c>
      <c r="AM120" s="27" t="s">
        <v>8</v>
      </c>
      <c r="AN120" s="27" t="s">
        <v>7</v>
      </c>
      <c r="AO120" s="27" t="s">
        <v>8</v>
      </c>
      <c r="AP120" s="27" t="s">
        <v>7</v>
      </c>
      <c r="AT120" s="27" t="s">
        <v>7</v>
      </c>
      <c r="AU120" s="27" t="s">
        <v>8</v>
      </c>
      <c r="AV120" s="27" t="s">
        <v>7</v>
      </c>
      <c r="AX120" s="27" t="s">
        <v>7</v>
      </c>
      <c r="AY120" s="27" t="s">
        <v>8</v>
      </c>
      <c r="AZ120" s="27" t="s">
        <v>7</v>
      </c>
      <c r="BA120" s="27" t="s">
        <v>8</v>
      </c>
      <c r="BB120" s="27" t="s">
        <v>7</v>
      </c>
      <c r="BC120" s="27" t="s">
        <v>8</v>
      </c>
      <c r="BK120" s="31"/>
      <c r="BL120" s="27" t="s">
        <v>7</v>
      </c>
      <c r="BM120" s="27" t="s">
        <v>8</v>
      </c>
      <c r="BN120" s="27" t="s">
        <v>7</v>
      </c>
      <c r="BO120" s="27" t="s">
        <v>8</v>
      </c>
      <c r="BP120" s="27" t="s">
        <v>7</v>
      </c>
      <c r="BQ120" s="27" t="s">
        <v>8</v>
      </c>
      <c r="BR120" s="27" t="s">
        <v>7</v>
      </c>
      <c r="BV120" s="31"/>
      <c r="CA120" s="27" t="s">
        <v>8</v>
      </c>
      <c r="CB120" s="27" t="s">
        <v>7</v>
      </c>
      <c r="CD120" s="27" t="s">
        <v>7</v>
      </c>
      <c r="CE120" s="27" t="s">
        <v>8</v>
      </c>
      <c r="CF120" s="27" t="s">
        <v>7</v>
      </c>
      <c r="CM120" s="27" t="s">
        <v>8</v>
      </c>
      <c r="CN120" s="27" t="s">
        <v>7</v>
      </c>
      <c r="CO120" s="27" t="s">
        <v>8</v>
      </c>
      <c r="CR120" s="31"/>
    </row>
    <row r="121" spans="1:105" x14ac:dyDescent="0.25">
      <c r="A121" s="30">
        <v>332.29712920686046</v>
      </c>
      <c r="C121" s="18">
        <v>136</v>
      </c>
      <c r="D121" s="19">
        <v>109</v>
      </c>
      <c r="E121" s="19"/>
      <c r="AE121" s="27" t="s">
        <v>8</v>
      </c>
      <c r="AL121" s="27" t="s">
        <v>7</v>
      </c>
      <c r="AM121" s="27" t="s">
        <v>8</v>
      </c>
      <c r="AN121" s="27" t="s">
        <v>7</v>
      </c>
      <c r="AO121" s="27" t="s">
        <v>8</v>
      </c>
      <c r="AT121" s="27" t="s">
        <v>7</v>
      </c>
      <c r="AU121" s="27" t="s">
        <v>8</v>
      </c>
      <c r="AX121" s="27" t="s">
        <v>7</v>
      </c>
      <c r="AY121" s="27" t="s">
        <v>8</v>
      </c>
      <c r="AZ121" s="27" t="s">
        <v>7</v>
      </c>
      <c r="BA121" s="27" t="s">
        <v>8</v>
      </c>
      <c r="BB121" s="27" t="s">
        <v>7</v>
      </c>
      <c r="BC121" s="27" t="s">
        <v>8</v>
      </c>
      <c r="BJ121" s="31"/>
      <c r="BL121" s="27" t="s">
        <v>7</v>
      </c>
      <c r="BM121" s="27" t="s">
        <v>8</v>
      </c>
      <c r="BN121" s="27" t="s">
        <v>7</v>
      </c>
      <c r="BO121" s="27" t="s">
        <v>8</v>
      </c>
      <c r="BP121" s="27" t="s">
        <v>7</v>
      </c>
      <c r="BQ121" s="27" t="s">
        <v>8</v>
      </c>
      <c r="BR121" s="27" t="s">
        <v>7</v>
      </c>
      <c r="BS121" s="27" t="s">
        <v>8</v>
      </c>
      <c r="BW121" s="32" t="s">
        <v>8</v>
      </c>
      <c r="BY121" s="32" t="s">
        <v>8</v>
      </c>
      <c r="CA121" s="27" t="s">
        <v>8</v>
      </c>
      <c r="CD121" s="27" t="s">
        <v>7</v>
      </c>
      <c r="CE121" s="27" t="s">
        <v>8</v>
      </c>
      <c r="CF121" s="27" t="s">
        <v>7</v>
      </c>
      <c r="CM121" s="27" t="s">
        <v>8</v>
      </c>
      <c r="CN121" s="27" t="s">
        <v>7</v>
      </c>
      <c r="CO121" s="27" t="s">
        <v>8</v>
      </c>
      <c r="CP121" s="27" t="s">
        <v>7</v>
      </c>
      <c r="CS121" s="31"/>
    </row>
    <row r="122" spans="1:105" x14ac:dyDescent="0.25">
      <c r="A122" s="30">
        <v>316.47345638748612</v>
      </c>
      <c r="C122" s="1" t="str">
        <f>INDEX(1:1048576,C117,D117)</f>
        <v>X</v>
      </c>
      <c r="AE122" s="27" t="s">
        <v>8</v>
      </c>
      <c r="AL122" s="27" t="s">
        <v>7</v>
      </c>
      <c r="AM122" s="27" t="s">
        <v>8</v>
      </c>
      <c r="AN122" s="27" t="s">
        <v>7</v>
      </c>
      <c r="AO122" s="27" t="s">
        <v>8</v>
      </c>
      <c r="AT122" s="27" t="s">
        <v>7</v>
      </c>
      <c r="AU122" s="27" t="s">
        <v>8</v>
      </c>
      <c r="AX122" s="27" t="s">
        <v>7</v>
      </c>
      <c r="AY122" s="27" t="s">
        <v>8</v>
      </c>
      <c r="AZ122" s="32" t="s">
        <v>7</v>
      </c>
      <c r="BB122" s="32" t="s">
        <v>7</v>
      </c>
      <c r="BI122" s="31"/>
      <c r="BL122" s="27" t="s">
        <v>7</v>
      </c>
      <c r="BN122" s="27" t="s">
        <v>7</v>
      </c>
      <c r="BO122" s="27" t="s">
        <v>8</v>
      </c>
      <c r="BP122" s="27" t="s">
        <v>7</v>
      </c>
      <c r="BQ122" s="27" t="s">
        <v>8</v>
      </c>
      <c r="BR122" s="27" t="s">
        <v>7</v>
      </c>
      <c r="BS122" s="27" t="s">
        <v>8</v>
      </c>
      <c r="BT122" s="27" t="s">
        <v>7</v>
      </c>
      <c r="BW122" s="27" t="s">
        <v>8</v>
      </c>
      <c r="BX122" s="31" t="s">
        <v>7</v>
      </c>
      <c r="BY122" s="27" t="s">
        <v>8</v>
      </c>
      <c r="BZ122" s="27" t="s">
        <v>7</v>
      </c>
      <c r="CA122" s="27" t="s">
        <v>8</v>
      </c>
      <c r="CD122" s="27" t="s">
        <v>7</v>
      </c>
      <c r="CF122" s="27" t="s">
        <v>7</v>
      </c>
      <c r="CK122" s="27" t="s">
        <v>8</v>
      </c>
      <c r="CM122" s="27" t="s">
        <v>8</v>
      </c>
      <c r="CN122" s="27" t="s">
        <v>7</v>
      </c>
      <c r="CO122" s="27" t="s">
        <v>8</v>
      </c>
      <c r="CP122" s="27" t="s">
        <v>7</v>
      </c>
      <c r="CT122" s="31"/>
    </row>
    <row r="123" spans="1:105" x14ac:dyDescent="0.25">
      <c r="A123" s="30">
        <v>301.40329179760585</v>
      </c>
      <c r="C123" s="1" t="str">
        <f>"R"&amp;C121</f>
        <v>R136</v>
      </c>
      <c r="D123" s="1" t="str">
        <f>"C"&amp;D121</f>
        <v>C109</v>
      </c>
      <c r="AE123" s="27" t="s">
        <v>8</v>
      </c>
      <c r="AL123" s="27" t="s">
        <v>7</v>
      </c>
      <c r="AM123" s="27" t="s">
        <v>8</v>
      </c>
      <c r="AN123" s="27" t="s">
        <v>7</v>
      </c>
      <c r="AT123" s="27" t="s">
        <v>7</v>
      </c>
      <c r="AX123" s="27" t="s">
        <v>7</v>
      </c>
      <c r="AY123" s="27" t="s">
        <v>8</v>
      </c>
      <c r="BH123" s="31"/>
      <c r="BN123" s="27" t="s">
        <v>7</v>
      </c>
      <c r="BO123" s="27" t="s">
        <v>8</v>
      </c>
      <c r="BP123" s="27" t="s">
        <v>7</v>
      </c>
      <c r="BQ123" s="27" t="s">
        <v>8</v>
      </c>
      <c r="BR123" s="27" t="s">
        <v>7</v>
      </c>
      <c r="BS123" s="27" t="s">
        <v>8</v>
      </c>
      <c r="BT123" s="27" t="s">
        <v>7</v>
      </c>
      <c r="BW123" s="27" t="s">
        <v>8</v>
      </c>
      <c r="BX123" s="27" t="s">
        <v>7</v>
      </c>
      <c r="BY123" s="31" t="s">
        <v>8</v>
      </c>
      <c r="BZ123" s="27" t="s">
        <v>7</v>
      </c>
      <c r="CA123" s="27" t="s">
        <v>8</v>
      </c>
      <c r="CF123" s="31" t="s">
        <v>7</v>
      </c>
      <c r="CG123" s="32" t="s">
        <v>8</v>
      </c>
      <c r="CI123" s="32" t="s">
        <v>8</v>
      </c>
      <c r="CK123" s="27" t="s">
        <v>8</v>
      </c>
      <c r="CL123" s="27" t="s">
        <v>7</v>
      </c>
      <c r="CM123" s="27" t="s">
        <v>8</v>
      </c>
      <c r="CN123" s="31" t="s">
        <v>7</v>
      </c>
      <c r="CP123" s="27" t="s">
        <v>7</v>
      </c>
      <c r="CU123" s="31"/>
    </row>
    <row r="124" spans="1:105" x14ac:dyDescent="0.25">
      <c r="A124" s="30">
        <v>287.05075409295796</v>
      </c>
      <c r="C124" s="1">
        <f>SUM(C130:D130)</f>
        <v>0</v>
      </c>
      <c r="D124" s="1">
        <f>IF(C124=0,0,1)</f>
        <v>0</v>
      </c>
      <c r="AC124" s="27" t="s">
        <v>8</v>
      </c>
      <c r="AE124" s="27" t="s">
        <v>8</v>
      </c>
      <c r="AL124" s="27" t="s">
        <v>7</v>
      </c>
      <c r="AX124" s="27" t="s">
        <v>7</v>
      </c>
      <c r="BG124" s="31"/>
      <c r="BN124" s="27" t="s">
        <v>7</v>
      </c>
      <c r="BO124" s="27" t="s">
        <v>8</v>
      </c>
      <c r="BP124" s="27" t="s">
        <v>7</v>
      </c>
      <c r="BR124" s="27" t="s">
        <v>7</v>
      </c>
      <c r="BS124" s="27" t="s">
        <v>8</v>
      </c>
      <c r="BT124" s="27" t="s">
        <v>7</v>
      </c>
      <c r="BW124" s="27" t="s">
        <v>8</v>
      </c>
      <c r="BX124" s="27" t="s">
        <v>7</v>
      </c>
      <c r="BY124" s="27" t="s">
        <v>8</v>
      </c>
      <c r="BZ124" s="31" t="s">
        <v>7</v>
      </c>
      <c r="CE124" s="31"/>
      <c r="CF124" s="27" t="s">
        <v>7</v>
      </c>
      <c r="CG124" s="27" t="s">
        <v>8</v>
      </c>
      <c r="CH124" s="27" t="s">
        <v>7</v>
      </c>
      <c r="CI124" s="27" t="s">
        <v>8</v>
      </c>
      <c r="CJ124" s="27" t="s">
        <v>7</v>
      </c>
      <c r="CK124" s="27" t="s">
        <v>8</v>
      </c>
      <c r="CL124" s="27" t="s">
        <v>7</v>
      </c>
      <c r="CM124" s="31" t="s">
        <v>8</v>
      </c>
      <c r="CP124" s="27" t="s">
        <v>7</v>
      </c>
      <c r="CV124" s="31"/>
      <c r="CW124" s="27" t="s">
        <v>8</v>
      </c>
    </row>
    <row r="125" spans="1:105" x14ac:dyDescent="0.25">
      <c r="A125" s="30">
        <v>273.38167056472184</v>
      </c>
      <c r="AC125" s="27" t="s">
        <v>8</v>
      </c>
      <c r="AD125" s="27" t="s">
        <v>7</v>
      </c>
      <c r="AE125" s="27" t="s">
        <v>8</v>
      </c>
      <c r="BF125" s="31"/>
      <c r="BN125" s="27" t="s">
        <v>7</v>
      </c>
      <c r="BO125" s="27" t="s">
        <v>8</v>
      </c>
      <c r="BR125" s="34" t="s">
        <v>7</v>
      </c>
      <c r="BT125" s="27" t="s">
        <v>7</v>
      </c>
      <c r="BW125" s="27" t="s">
        <v>8</v>
      </c>
      <c r="BX125" s="27" t="s">
        <v>7</v>
      </c>
      <c r="BY125" s="27" t="s">
        <v>8</v>
      </c>
      <c r="CA125" s="31"/>
      <c r="CD125" s="31"/>
      <c r="CF125" s="27" t="s">
        <v>7</v>
      </c>
      <c r="CG125" s="27" t="s">
        <v>8</v>
      </c>
      <c r="CH125" s="27" t="s">
        <v>7</v>
      </c>
      <c r="CI125" s="27" t="s">
        <v>8</v>
      </c>
      <c r="CJ125" s="27" t="s">
        <v>7</v>
      </c>
      <c r="CK125" s="27" t="s">
        <v>8</v>
      </c>
      <c r="CL125" s="31" t="s">
        <v>7</v>
      </c>
      <c r="CP125" s="27" t="s">
        <v>7</v>
      </c>
      <c r="CW125" s="31" t="s">
        <v>8</v>
      </c>
      <c r="CX125" s="27" t="s">
        <v>7</v>
      </c>
      <c r="CY125" s="27" t="s">
        <v>8</v>
      </c>
    </row>
    <row r="126" spans="1:105" x14ac:dyDescent="0.25">
      <c r="A126" s="30">
        <v>260.36349577592557</v>
      </c>
      <c r="C126" s="1" t="s">
        <v>10</v>
      </c>
      <c r="AC126" s="27" t="s">
        <v>8</v>
      </c>
      <c r="AD126" s="27" t="s">
        <v>7</v>
      </c>
      <c r="AE126" s="27" t="s">
        <v>8</v>
      </c>
      <c r="BE126" s="31"/>
      <c r="BN126" s="27" t="s">
        <v>7</v>
      </c>
      <c r="BO126" s="27" t="s">
        <v>8</v>
      </c>
      <c r="BT126" s="27" t="s">
        <v>7</v>
      </c>
      <c r="BW126" s="27" t="s">
        <v>8</v>
      </c>
      <c r="BX126" s="27" t="s">
        <v>7</v>
      </c>
      <c r="BY126" s="27" t="s">
        <v>8</v>
      </c>
      <c r="CC126" s="31"/>
      <c r="CF126" s="32" t="s">
        <v>7</v>
      </c>
      <c r="CH126" s="32" t="s">
        <v>7</v>
      </c>
      <c r="CJ126" s="32" t="s">
        <v>7</v>
      </c>
      <c r="CP126" s="27" t="s">
        <v>7</v>
      </c>
      <c r="CQ126" s="27" t="s">
        <v>8</v>
      </c>
      <c r="CW126" s="27" t="s">
        <v>8</v>
      </c>
      <c r="CX126" s="27" t="s">
        <v>7</v>
      </c>
      <c r="CY126" s="27" t="s">
        <v>8</v>
      </c>
      <c r="CZ126" s="27" t="s">
        <v>7</v>
      </c>
    </row>
    <row r="127" spans="1:105" x14ac:dyDescent="0.25">
      <c r="A127" s="30">
        <v>247.96523407231004</v>
      </c>
      <c r="C127" s="30">
        <v>159.84060079504411</v>
      </c>
      <c r="D127"/>
      <c r="AC127" s="27" t="s">
        <v>8</v>
      </c>
      <c r="AD127" s="27" t="s">
        <v>7</v>
      </c>
      <c r="BD127" s="31"/>
      <c r="BN127" s="27" t="s">
        <v>7</v>
      </c>
      <c r="BO127" s="27" t="s">
        <v>8</v>
      </c>
      <c r="BT127" s="27" t="s">
        <v>7</v>
      </c>
      <c r="BW127" s="27" t="s">
        <v>8</v>
      </c>
      <c r="BX127" s="27" t="s">
        <v>7</v>
      </c>
      <c r="BY127" s="27" t="s">
        <v>8</v>
      </c>
      <c r="CB127" s="31"/>
      <c r="CP127" s="27" t="s">
        <v>7</v>
      </c>
      <c r="CQ127" s="27" t="s">
        <v>8</v>
      </c>
      <c r="CR127" s="27" t="s">
        <v>7</v>
      </c>
      <c r="CW127" s="27" t="s">
        <v>8</v>
      </c>
      <c r="CX127" s="27" t="s">
        <v>7</v>
      </c>
      <c r="CY127" s="27" t="s">
        <v>8</v>
      </c>
      <c r="CZ127" s="27" t="s">
        <v>7</v>
      </c>
    </row>
    <row r="128" spans="1:105" x14ac:dyDescent="0.25">
      <c r="A128" s="30">
        <v>236.15736578315241</v>
      </c>
      <c r="AC128" s="27" t="s">
        <v>8</v>
      </c>
      <c r="BC128" s="31"/>
      <c r="BN128" s="27" t="s">
        <v>7</v>
      </c>
      <c r="BO128" s="27" t="s">
        <v>8</v>
      </c>
      <c r="BT128" s="27" t="s">
        <v>7</v>
      </c>
      <c r="BW128" s="33" t="s">
        <v>8</v>
      </c>
      <c r="BX128" s="18" t="s">
        <v>7</v>
      </c>
      <c r="BY128" s="27" t="s">
        <v>8</v>
      </c>
      <c r="CA128" s="31"/>
      <c r="CP128" s="27" t="s">
        <v>7</v>
      </c>
      <c r="CQ128" s="27" t="s">
        <v>8</v>
      </c>
      <c r="CR128" s="27" t="s">
        <v>7</v>
      </c>
      <c r="CW128" s="27" t="s">
        <v>8</v>
      </c>
      <c r="CX128" s="27" t="s">
        <v>7</v>
      </c>
      <c r="CZ128" s="27" t="s">
        <v>7</v>
      </c>
      <c r="DA128" s="27" t="s">
        <v>8</v>
      </c>
    </row>
    <row r="129" spans="1:109" x14ac:dyDescent="0.25">
      <c r="A129" s="30">
        <v>224.91177693633563</v>
      </c>
      <c r="C129" s="1" t="s">
        <v>11</v>
      </c>
      <c r="D129" s="1" t="s">
        <v>12</v>
      </c>
      <c r="E129"/>
      <c r="AC129" s="27" t="s">
        <v>8</v>
      </c>
      <c r="BB129" s="31"/>
      <c r="BN129" s="27" t="s">
        <v>7</v>
      </c>
      <c r="BO129" s="27" t="s">
        <v>8</v>
      </c>
      <c r="BT129" s="27" t="s">
        <v>7</v>
      </c>
      <c r="BU129" s="27" t="s">
        <v>8</v>
      </c>
      <c r="BW129" s="27" t="s">
        <v>8</v>
      </c>
      <c r="BX129" s="27" t="s">
        <v>7</v>
      </c>
      <c r="BZ129" s="31"/>
      <c r="CP129" s="27" t="s">
        <v>7</v>
      </c>
      <c r="CR129" s="27" t="s">
        <v>7</v>
      </c>
      <c r="CW129" s="27" t="s">
        <v>8</v>
      </c>
      <c r="CZ129" s="27" t="s">
        <v>7</v>
      </c>
      <c r="DA129" s="27" t="s">
        <v>8</v>
      </c>
      <c r="DB129" s="27" t="s">
        <v>7</v>
      </c>
    </row>
    <row r="130" spans="1:109" x14ac:dyDescent="0.25">
      <c r="A130" s="30">
        <v>214.20169232031964</v>
      </c>
      <c r="C130" s="6"/>
      <c r="D130" s="6"/>
      <c r="E130"/>
      <c r="AC130" s="27" t="s">
        <v>8</v>
      </c>
      <c r="BA130" s="31"/>
      <c r="BN130" s="27" t="s">
        <v>7</v>
      </c>
      <c r="BT130" s="27" t="s">
        <v>7</v>
      </c>
      <c r="BU130" s="27" t="s">
        <v>8</v>
      </c>
      <c r="BV130" s="27" t="s">
        <v>7</v>
      </c>
      <c r="BW130" s="27" t="s">
        <v>8</v>
      </c>
      <c r="BY130" s="31"/>
      <c r="CR130" s="27" t="s">
        <v>7</v>
      </c>
      <c r="CW130" s="27" t="s">
        <v>8</v>
      </c>
      <c r="CZ130" s="27" t="s">
        <v>7</v>
      </c>
      <c r="DA130" s="27" t="s">
        <v>8</v>
      </c>
      <c r="DB130" s="27" t="s">
        <v>7</v>
      </c>
    </row>
    <row r="131" spans="1:109" x14ac:dyDescent="0.25">
      <c r="A131" s="30">
        <v>204.00161173363773</v>
      </c>
      <c r="E131"/>
      <c r="AA131" s="27" t="s">
        <v>8</v>
      </c>
      <c r="AC131" s="27" t="s">
        <v>8</v>
      </c>
      <c r="AZ131" s="31"/>
      <c r="BT131" s="27" t="s">
        <v>7</v>
      </c>
      <c r="BU131" s="27" t="s">
        <v>8</v>
      </c>
      <c r="BV131" s="27" t="s">
        <v>7</v>
      </c>
      <c r="BW131" s="27" t="s">
        <v>8</v>
      </c>
      <c r="BX131" s="31"/>
      <c r="CR131" s="27" t="s">
        <v>7</v>
      </c>
      <c r="CS131" s="27" t="s">
        <v>8</v>
      </c>
      <c r="CW131" s="27" t="s">
        <v>8</v>
      </c>
      <c r="CZ131" s="31" t="s">
        <v>7</v>
      </c>
      <c r="DA131" s="27" t="s">
        <v>8</v>
      </c>
      <c r="DB131" s="27" t="s">
        <v>7</v>
      </c>
    </row>
    <row r="132" spans="1:109" x14ac:dyDescent="0.25">
      <c r="A132" s="30">
        <v>194.28724927013116</v>
      </c>
      <c r="C132" s="1" t="s">
        <v>13</v>
      </c>
      <c r="E132"/>
      <c r="AA132" s="27" t="s">
        <v>8</v>
      </c>
      <c r="AB132" s="27" t="s">
        <v>7</v>
      </c>
      <c r="AC132" s="27" t="s">
        <v>8</v>
      </c>
      <c r="AY132" s="31"/>
      <c r="BT132" s="27" t="s">
        <v>7</v>
      </c>
      <c r="BU132" s="27" t="s">
        <v>8</v>
      </c>
      <c r="BV132" s="27" t="s">
        <v>7</v>
      </c>
      <c r="BW132" s="31" t="s">
        <v>8</v>
      </c>
      <c r="CR132" s="27" t="s">
        <v>7</v>
      </c>
      <c r="CS132" s="27" t="s">
        <v>8</v>
      </c>
      <c r="CT132" s="27" t="s">
        <v>7</v>
      </c>
      <c r="CU132" s="27" t="s">
        <v>8</v>
      </c>
      <c r="CW132" s="27" t="s">
        <v>8</v>
      </c>
      <c r="CY132" s="31"/>
      <c r="CZ132" s="27" t="s">
        <v>7</v>
      </c>
      <c r="DB132" s="27" t="s">
        <v>7</v>
      </c>
    </row>
    <row r="133" spans="1:109" x14ac:dyDescent="0.25">
      <c r="A133" s="30">
        <v>185.03547549536299</v>
      </c>
      <c r="C133" s="1" t="str">
        <f>C122</f>
        <v>X</v>
      </c>
      <c r="E133"/>
      <c r="AA133" s="27" t="s">
        <v>8</v>
      </c>
      <c r="AB133" s="27" t="s">
        <v>7</v>
      </c>
      <c r="AC133" s="27" t="s">
        <v>8</v>
      </c>
      <c r="AX133" s="31"/>
      <c r="BT133" s="27" t="s">
        <v>7</v>
      </c>
      <c r="BU133" s="27" t="s">
        <v>8</v>
      </c>
      <c r="BV133" s="31" t="s">
        <v>7</v>
      </c>
      <c r="CR133" s="27" t="s">
        <v>7</v>
      </c>
      <c r="CS133" s="27" t="s">
        <v>8</v>
      </c>
      <c r="CT133" s="27" t="s">
        <v>7</v>
      </c>
      <c r="CU133" s="27" t="s">
        <v>8</v>
      </c>
      <c r="CV133" s="27" t="s">
        <v>7</v>
      </c>
      <c r="CW133" s="27" t="s">
        <v>8</v>
      </c>
      <c r="CX133" s="31"/>
      <c r="DB133" s="27" t="s">
        <v>7</v>
      </c>
    </row>
    <row r="134" spans="1:109" x14ac:dyDescent="0.25">
      <c r="A134" s="30">
        <v>176.22426237653616</v>
      </c>
      <c r="C134"/>
      <c r="E134"/>
      <c r="AA134" s="27" t="s">
        <v>8</v>
      </c>
      <c r="AB134" s="27" t="s">
        <v>7</v>
      </c>
      <c r="AC134" s="27" t="s">
        <v>8</v>
      </c>
      <c r="AW134" s="31"/>
      <c r="BT134" s="27" t="s">
        <v>7</v>
      </c>
      <c r="CR134" s="27" t="s">
        <v>7</v>
      </c>
      <c r="CS134" s="27" t="s">
        <v>8</v>
      </c>
      <c r="CT134" s="27" t="s">
        <v>7</v>
      </c>
      <c r="CU134" s="27" t="s">
        <v>8</v>
      </c>
      <c r="CV134" s="27" t="s">
        <v>7</v>
      </c>
      <c r="CW134" s="31" t="s">
        <v>8</v>
      </c>
      <c r="DB134" s="27" t="s">
        <v>7</v>
      </c>
    </row>
    <row r="135" spans="1:109" x14ac:dyDescent="0.25">
      <c r="A135" s="30">
        <v>167.83263083479633</v>
      </c>
      <c r="C135" s="1" t="s">
        <v>14</v>
      </c>
      <c r="E135"/>
      <c r="AA135" s="27" t="s">
        <v>8</v>
      </c>
      <c r="AB135" s="27" t="s">
        <v>7</v>
      </c>
      <c r="AC135" s="27" t="s">
        <v>8</v>
      </c>
      <c r="AV135" s="31"/>
      <c r="CR135" s="27" t="s">
        <v>7</v>
      </c>
      <c r="CS135" s="27" t="s">
        <v>8</v>
      </c>
      <c r="CT135" s="27" t="s">
        <v>7</v>
      </c>
      <c r="CU135" s="27" t="s">
        <v>8</v>
      </c>
      <c r="CV135" s="31" t="s">
        <v>7</v>
      </c>
      <c r="DB135" s="27" t="s">
        <v>7</v>
      </c>
    </row>
    <row r="136" spans="1:109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  <c r="AA136" s="27" t="s">
        <v>8</v>
      </c>
      <c r="AB136" s="27" t="s">
        <v>7</v>
      </c>
      <c r="AC136" s="27" t="s">
        <v>8</v>
      </c>
      <c r="AU136" s="31"/>
      <c r="CR136" s="27" t="s">
        <v>7</v>
      </c>
      <c r="CT136" s="27" t="s">
        <v>7</v>
      </c>
      <c r="DB136" s="27" t="s">
        <v>7</v>
      </c>
      <c r="DC136" s="27" t="s">
        <v>8</v>
      </c>
      <c r="DE136" s="27" t="s">
        <v>8</v>
      </c>
    </row>
    <row r="137" spans="1:109" x14ac:dyDescent="0.25">
      <c r="A137" s="30">
        <v>152.22914361432771</v>
      </c>
      <c r="E137"/>
      <c r="AA137" s="27" t="s">
        <v>8</v>
      </c>
      <c r="AB137" s="27" t="s">
        <v>7</v>
      </c>
      <c r="AT137" s="31"/>
      <c r="DB137" s="27" t="s">
        <v>7</v>
      </c>
      <c r="DC137" s="27" t="s">
        <v>8</v>
      </c>
      <c r="DD137" s="27" t="s">
        <v>7</v>
      </c>
      <c r="DE137" s="27" t="s">
        <v>8</v>
      </c>
    </row>
    <row r="138" spans="1:109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  <c r="AA138" s="27" t="s">
        <v>8</v>
      </c>
      <c r="AS138" s="31"/>
      <c r="DB138" s="27" t="s">
        <v>7</v>
      </c>
      <c r="DC138" s="27" t="s">
        <v>8</v>
      </c>
      <c r="DD138" s="27" t="s">
        <v>7</v>
      </c>
      <c r="DE138" s="27" t="s">
        <v>8</v>
      </c>
    </row>
    <row r="139" spans="1:109" x14ac:dyDescent="0.25">
      <c r="A139" s="30">
        <v>138.07632073861922</v>
      </c>
      <c r="E139"/>
      <c r="AA139" s="27" t="s">
        <v>8</v>
      </c>
      <c r="AR139" s="31"/>
      <c r="DB139" s="27" t="s">
        <v>7</v>
      </c>
      <c r="DD139" s="27" t="s">
        <v>7</v>
      </c>
      <c r="DE139" s="27" t="s">
        <v>8</v>
      </c>
    </row>
    <row r="140" spans="1:109" x14ac:dyDescent="0.25">
      <c r="A140" s="30">
        <v>131.50125784630401</v>
      </c>
      <c r="C140" s="1">
        <v>0</v>
      </c>
      <c r="E140"/>
      <c r="Y140" s="27" t="s">
        <v>8</v>
      </c>
      <c r="AA140" s="27" t="s">
        <v>8</v>
      </c>
      <c r="AQ140" s="31"/>
      <c r="DD140" s="27" t="s">
        <v>7</v>
      </c>
    </row>
    <row r="141" spans="1:109" x14ac:dyDescent="0.25">
      <c r="A141" s="30">
        <v>125.23929318695619</v>
      </c>
      <c r="C141" s="1">
        <v>1</v>
      </c>
      <c r="E141"/>
      <c r="W141" s="27" t="s">
        <v>8</v>
      </c>
      <c r="Y141" s="27" t="s">
        <v>8</v>
      </c>
      <c r="Z141" s="27" t="s">
        <v>7</v>
      </c>
      <c r="AA141" s="27" t="s">
        <v>8</v>
      </c>
      <c r="AP141" s="31"/>
    </row>
    <row r="142" spans="1:109" x14ac:dyDescent="0.25">
      <c r="A142" s="30">
        <v>119.27551732091065</v>
      </c>
      <c r="C142" s="1">
        <v>2</v>
      </c>
      <c r="E142"/>
      <c r="W142" s="27" t="s">
        <v>8</v>
      </c>
      <c r="X142" s="27" t="s">
        <v>7</v>
      </c>
      <c r="Y142" s="27" t="s">
        <v>8</v>
      </c>
      <c r="Z142" s="27" t="s">
        <v>7</v>
      </c>
      <c r="AA142" s="27" t="s">
        <v>8</v>
      </c>
      <c r="AO142" s="31"/>
    </row>
    <row r="143" spans="1:109" x14ac:dyDescent="0.25">
      <c r="A143" s="30">
        <v>113.59573078181967</v>
      </c>
      <c r="C143" s="1">
        <v>3</v>
      </c>
      <c r="E143"/>
      <c r="W143" s="27" t="s">
        <v>8</v>
      </c>
      <c r="X143" s="27" t="s">
        <v>7</v>
      </c>
      <c r="Y143" s="27" t="s">
        <v>8</v>
      </c>
      <c r="Z143" s="27" t="s">
        <v>7</v>
      </c>
      <c r="AA143" s="27" t="s">
        <v>8</v>
      </c>
      <c r="AN143" s="31"/>
    </row>
    <row r="144" spans="1:109" x14ac:dyDescent="0.25">
      <c r="A144" s="30">
        <v>108.18641026839968</v>
      </c>
      <c r="C144" s="1">
        <v>4</v>
      </c>
      <c r="E144"/>
      <c r="W144" s="27" t="s">
        <v>8</v>
      </c>
      <c r="X144" s="27" t="s">
        <v>7</v>
      </c>
      <c r="Y144" s="27" t="s">
        <v>8</v>
      </c>
      <c r="Z144" s="27" t="s">
        <v>7</v>
      </c>
      <c r="AA144" s="27" t="s">
        <v>8</v>
      </c>
      <c r="AM144" s="31"/>
    </row>
    <row r="145" spans="1:38" x14ac:dyDescent="0.25">
      <c r="A145" s="30">
        <v>103.03467644609493</v>
      </c>
      <c r="E145"/>
      <c r="W145" s="27" t="s">
        <v>8</v>
      </c>
      <c r="X145" s="27" t="s">
        <v>7</v>
      </c>
      <c r="Z145" s="27" t="s">
        <v>7</v>
      </c>
      <c r="AA145" s="27" t="s">
        <v>8</v>
      </c>
      <c r="AL145" s="31"/>
    </row>
    <row r="146" spans="1:38" x14ac:dyDescent="0.25">
      <c r="A146" s="30">
        <v>98.128263281995174</v>
      </c>
      <c r="E146"/>
      <c r="W146" s="27" t="s">
        <v>8</v>
      </c>
      <c r="Z146" s="27" t="s">
        <v>7</v>
      </c>
      <c r="AK146" s="31"/>
    </row>
    <row r="147" spans="1:38" x14ac:dyDescent="0.25">
      <c r="A147" s="30">
        <v>93.455488839995397</v>
      </c>
      <c r="E147"/>
      <c r="Q147" s="27" t="s">
        <v>8</v>
      </c>
      <c r="S147" s="27" t="s">
        <v>8</v>
      </c>
      <c r="U147" s="27" t="s">
        <v>8</v>
      </c>
      <c r="W147" s="27" t="s">
        <v>8</v>
      </c>
      <c r="AJ147" s="31"/>
    </row>
    <row r="148" spans="1:38" x14ac:dyDescent="0.25">
      <c r="A148" s="30">
        <v>89.005227466662276</v>
      </c>
      <c r="E148"/>
      <c r="Q148" s="27" t="s">
        <v>8</v>
      </c>
      <c r="R148" s="27" t="s">
        <v>7</v>
      </c>
      <c r="S148" s="27" t="s">
        <v>8</v>
      </c>
      <c r="T148" s="27" t="s">
        <v>7</v>
      </c>
      <c r="U148" s="27" t="s">
        <v>8</v>
      </c>
      <c r="V148" s="27" t="s">
        <v>7</v>
      </c>
      <c r="W148" s="27" t="s">
        <v>8</v>
      </c>
      <c r="AI148" s="31"/>
    </row>
    <row r="149" spans="1:38" x14ac:dyDescent="0.25">
      <c r="A149" s="30">
        <v>84.766883301583121</v>
      </c>
      <c r="E149"/>
      <c r="Q149" s="27" t="s">
        <v>8</v>
      </c>
      <c r="R149" s="27" t="s">
        <v>7</v>
      </c>
      <c r="S149" s="27" t="s">
        <v>8</v>
      </c>
      <c r="T149" s="27" t="s">
        <v>7</v>
      </c>
      <c r="U149" s="27" t="s">
        <v>8</v>
      </c>
      <c r="V149" s="27" t="s">
        <v>7</v>
      </c>
      <c r="W149" s="27" t="s">
        <v>8</v>
      </c>
      <c r="AH149" s="31"/>
    </row>
    <row r="150" spans="1:38" x14ac:dyDescent="0.25">
      <c r="A150" s="30">
        <v>80.730365049126775</v>
      </c>
      <c r="E150"/>
      <c r="M150" s="27" t="s">
        <v>8</v>
      </c>
      <c r="Q150" s="27" t="s">
        <v>8</v>
      </c>
      <c r="R150" s="27" t="s">
        <v>7</v>
      </c>
      <c r="T150" s="27" t="s">
        <v>7</v>
      </c>
      <c r="U150" s="27" t="s">
        <v>8</v>
      </c>
      <c r="V150" s="27" t="s">
        <v>7</v>
      </c>
      <c r="W150" s="27" t="s">
        <v>8</v>
      </c>
      <c r="AG150" s="31"/>
    </row>
    <row r="151" spans="1:38" x14ac:dyDescent="0.25">
      <c r="A151" s="30">
        <v>76.886061951549308</v>
      </c>
      <c r="E151"/>
      <c r="M151" s="27" t="s">
        <v>8</v>
      </c>
      <c r="N151" s="27" t="s">
        <v>7</v>
      </c>
      <c r="Q151" s="27" t="s">
        <v>8</v>
      </c>
      <c r="T151" s="27" t="s">
        <v>7</v>
      </c>
      <c r="U151" s="27" t="s">
        <v>8</v>
      </c>
      <c r="V151" s="27" t="s">
        <v>7</v>
      </c>
      <c r="W151" s="27" t="s">
        <v>8</v>
      </c>
      <c r="AF151" s="31"/>
    </row>
    <row r="152" spans="1:38" x14ac:dyDescent="0.25">
      <c r="A152" s="30">
        <v>73.22482090623744</v>
      </c>
      <c r="E152"/>
      <c r="M152" s="27" t="s">
        <v>8</v>
      </c>
      <c r="N152" s="27" t="s">
        <v>7</v>
      </c>
      <c r="O152" s="27" t="s">
        <v>8</v>
      </c>
      <c r="Q152" s="27" t="s">
        <v>8</v>
      </c>
      <c r="T152" s="27" t="s">
        <v>7</v>
      </c>
      <c r="V152" s="27" t="s">
        <v>7</v>
      </c>
      <c r="W152" s="27" t="s">
        <v>8</v>
      </c>
      <c r="AE152" s="31"/>
    </row>
    <row r="153" spans="1:38" x14ac:dyDescent="0.25">
      <c r="A153" s="30">
        <v>69.737924672607079</v>
      </c>
      <c r="C153" s="7"/>
      <c r="D153"/>
      <c r="E153"/>
      <c r="K153" s="27" t="s">
        <v>8</v>
      </c>
      <c r="M153" s="27" t="s">
        <v>8</v>
      </c>
      <c r="N153" s="27" t="s">
        <v>7</v>
      </c>
      <c r="O153" s="27" t="s">
        <v>8</v>
      </c>
      <c r="P153" s="27" t="s">
        <v>7</v>
      </c>
      <c r="Q153" s="27" t="s">
        <v>8</v>
      </c>
      <c r="V153" s="27" t="s">
        <v>7</v>
      </c>
      <c r="W153" s="27" t="s">
        <v>8</v>
      </c>
      <c r="AD153" s="31"/>
    </row>
    <row r="154" spans="1:38" x14ac:dyDescent="0.25">
      <c r="A154" s="30">
        <v>66.417071116768639</v>
      </c>
      <c r="E154"/>
      <c r="K154" s="27" t="s">
        <v>8</v>
      </c>
      <c r="L154" s="27" t="s">
        <v>7</v>
      </c>
      <c r="M154" s="27" t="s">
        <v>8</v>
      </c>
      <c r="N154" s="27" t="s">
        <v>7</v>
      </c>
      <c r="O154" s="27" t="s">
        <v>8</v>
      </c>
      <c r="P154" s="27" t="s">
        <v>7</v>
      </c>
      <c r="Q154" s="27" t="s">
        <v>8</v>
      </c>
      <c r="V154" s="27" t="s">
        <v>7</v>
      </c>
      <c r="W154" s="27" t="s">
        <v>8</v>
      </c>
      <c r="AC154" s="31"/>
    </row>
    <row r="155" spans="1:38" x14ac:dyDescent="0.25">
      <c r="A155" s="30">
        <v>63.254353444541557</v>
      </c>
      <c r="E155"/>
      <c r="K155" s="27" t="s">
        <v>8</v>
      </c>
      <c r="L155" s="27" t="s">
        <v>7</v>
      </c>
      <c r="M155" s="27" t="s">
        <v>8</v>
      </c>
      <c r="N155" s="27" t="s">
        <v>7</v>
      </c>
      <c r="P155" s="27" t="s">
        <v>7</v>
      </c>
      <c r="Q155" s="27" t="s">
        <v>8</v>
      </c>
      <c r="V155" s="27" t="s">
        <v>7</v>
      </c>
      <c r="AB155" s="31"/>
    </row>
    <row r="156" spans="1:38" x14ac:dyDescent="0.25">
      <c r="A156" s="30">
        <v>60.242241375753864</v>
      </c>
      <c r="C156"/>
      <c r="D156"/>
      <c r="E156"/>
      <c r="K156" s="27" t="s">
        <v>8</v>
      </c>
      <c r="L156" s="27" t="s">
        <v>7</v>
      </c>
      <c r="M156" s="27" t="s">
        <v>8</v>
      </c>
      <c r="P156" s="27" t="s">
        <v>7</v>
      </c>
      <c r="Q156" s="27" t="s">
        <v>8</v>
      </c>
      <c r="AA156" s="31"/>
    </row>
    <row r="157" spans="1:38" x14ac:dyDescent="0.25">
      <c r="A157" s="30">
        <v>57.373563215003678</v>
      </c>
      <c r="E157"/>
      <c r="K157" s="27" t="s">
        <v>8</v>
      </c>
      <c r="L157" s="27" t="s">
        <v>7</v>
      </c>
      <c r="M157" s="27" t="s">
        <v>8</v>
      </c>
      <c r="P157" s="27" t="s">
        <v>7</v>
      </c>
      <c r="Q157" s="27" t="s">
        <v>8</v>
      </c>
      <c r="Z157" s="31"/>
    </row>
    <row r="158" spans="1:38" x14ac:dyDescent="0.25">
      <c r="A158" s="30">
        <v>54.641488776193974</v>
      </c>
      <c r="E158"/>
      <c r="K158" s="27" t="s">
        <v>8</v>
      </c>
      <c r="L158" s="27" t="s">
        <v>7</v>
      </c>
      <c r="M158" s="27" t="s">
        <v>8</v>
      </c>
      <c r="P158" s="27" t="s">
        <v>7</v>
      </c>
      <c r="Q158" s="27" t="s">
        <v>8</v>
      </c>
      <c r="Y158" s="31"/>
    </row>
    <row r="159" spans="1:38" x14ac:dyDescent="0.25">
      <c r="A159" s="30">
        <v>52.039513120184736</v>
      </c>
      <c r="E159"/>
      <c r="K159" s="27" t="s">
        <v>8</v>
      </c>
      <c r="L159" s="27" t="s">
        <v>7</v>
      </c>
      <c r="P159" s="27" t="s">
        <v>7</v>
      </c>
      <c r="X159" s="31"/>
    </row>
    <row r="160" spans="1:38" x14ac:dyDescent="0.25">
      <c r="A160" s="30">
        <v>49.561441066842605</v>
      </c>
      <c r="C160"/>
      <c r="E160"/>
      <c r="K160" s="27" t="s">
        <v>8</v>
      </c>
      <c r="W160" s="31"/>
    </row>
    <row r="161" spans="1:22" x14ac:dyDescent="0.25">
      <c r="A161" s="30">
        <v>47.201372444612005</v>
      </c>
      <c r="E161"/>
      <c r="K161" s="27" t="s">
        <v>8</v>
      </c>
      <c r="V161" s="31"/>
    </row>
    <row r="162" spans="1:22" x14ac:dyDescent="0.25">
      <c r="A162" s="30">
        <v>44.95368804248762</v>
      </c>
      <c r="E162"/>
      <c r="K162" s="27" t="s">
        <v>8</v>
      </c>
      <c r="U162" s="31"/>
    </row>
    <row r="163" spans="1:22" x14ac:dyDescent="0.25">
      <c r="A163" s="30">
        <v>42.81303623094059</v>
      </c>
      <c r="E163" t="s">
        <v>8</v>
      </c>
      <c r="K163" s="27" t="s">
        <v>8</v>
      </c>
      <c r="T163" s="31"/>
    </row>
    <row r="164" spans="1:22" x14ac:dyDescent="0.25">
      <c r="A164" s="30">
        <v>40.774320219943419</v>
      </c>
      <c r="E164" t="s">
        <v>8</v>
      </c>
      <c r="F164" s="27" t="s">
        <v>7</v>
      </c>
      <c r="G164" s="27" t="s">
        <v>8</v>
      </c>
      <c r="K164" s="27" t="s">
        <v>8</v>
      </c>
      <c r="S164" s="31"/>
    </row>
    <row r="165" spans="1:22" x14ac:dyDescent="0.25">
      <c r="A165" s="30">
        <v>38.832685923755633</v>
      </c>
      <c r="E165" t="s">
        <v>8</v>
      </c>
      <c r="F165" s="27" t="s">
        <v>7</v>
      </c>
      <c r="G165" s="27" t="s">
        <v>8</v>
      </c>
      <c r="H165" s="27" t="s">
        <v>7</v>
      </c>
      <c r="K165" s="27" t="s">
        <v>8</v>
      </c>
      <c r="R165" s="31"/>
    </row>
    <row r="166" spans="1:22" x14ac:dyDescent="0.25">
      <c r="A166" s="30">
        <v>36.983510403576794</v>
      </c>
      <c r="E166" t="s">
        <v>8</v>
      </c>
      <c r="F166" s="27" t="s">
        <v>7</v>
      </c>
      <c r="G166" s="27" t="s">
        <v>8</v>
      </c>
      <c r="H166" s="27" t="s">
        <v>7</v>
      </c>
      <c r="K166" s="27" t="s">
        <v>8</v>
      </c>
      <c r="Q166" s="31"/>
    </row>
    <row r="167" spans="1:22" x14ac:dyDescent="0.25">
      <c r="A167" s="30">
        <v>35.222390860549325</v>
      </c>
      <c r="E167" t="s">
        <v>8</v>
      </c>
      <c r="F167" s="27" t="s">
        <v>7</v>
      </c>
      <c r="G167" s="27" t="s">
        <v>8</v>
      </c>
      <c r="H167" s="27" t="s">
        <v>7</v>
      </c>
      <c r="K167" s="27" t="s">
        <v>8</v>
      </c>
      <c r="P167" s="31"/>
    </row>
    <row r="168" spans="1:22" x14ac:dyDescent="0.25">
      <c r="A168" s="30">
        <v>33.545134152904119</v>
      </c>
      <c r="E168" t="s">
        <v>8</v>
      </c>
      <c r="F168" s="27" t="s">
        <v>7</v>
      </c>
      <c r="H168" s="27" t="s">
        <v>7</v>
      </c>
      <c r="I168" s="27" t="s">
        <v>8</v>
      </c>
      <c r="K168" s="27" t="s">
        <v>8</v>
      </c>
      <c r="O168" s="31"/>
    </row>
    <row r="169" spans="1:22" x14ac:dyDescent="0.25">
      <c r="A169" s="30">
        <v>31.947746812289637</v>
      </c>
      <c r="E169" t="s">
        <v>8</v>
      </c>
      <c r="H169" s="27" t="s">
        <v>7</v>
      </c>
      <c r="I169" s="27" t="s">
        <v>8</v>
      </c>
      <c r="J169" s="27" t="s">
        <v>7</v>
      </c>
      <c r="K169" s="27" t="s">
        <v>8</v>
      </c>
      <c r="N169" s="31"/>
    </row>
    <row r="170" spans="1:22" x14ac:dyDescent="0.25">
      <c r="A170" s="30">
        <v>30.426425535513939</v>
      </c>
      <c r="E170" t="s">
        <v>8</v>
      </c>
      <c r="H170" s="27" t="s">
        <v>7</v>
      </c>
      <c r="I170" s="27" t="s">
        <v>8</v>
      </c>
      <c r="J170" s="27" t="s">
        <v>7</v>
      </c>
      <c r="K170" s="27" t="s">
        <v>8</v>
      </c>
      <c r="M170" s="31"/>
    </row>
    <row r="171" spans="1:22" x14ac:dyDescent="0.25">
      <c r="A171" s="30">
        <v>28.977548129060892</v>
      </c>
      <c r="E171" t="s">
        <v>8</v>
      </c>
      <c r="H171" s="27" t="s">
        <v>7</v>
      </c>
      <c r="J171" s="27" t="s">
        <v>7</v>
      </c>
      <c r="K171" s="27" t="s">
        <v>8</v>
      </c>
      <c r="L171" s="31"/>
    </row>
    <row r="172" spans="1:22" x14ac:dyDescent="0.25">
      <c r="A172" s="30">
        <v>27.597664884819896</v>
      </c>
      <c r="E172" t="s">
        <v>8</v>
      </c>
      <c r="J172" s="27" t="s">
        <v>7</v>
      </c>
      <c r="K172" s="31" t="s">
        <v>8</v>
      </c>
    </row>
    <row r="173" spans="1:22" x14ac:dyDescent="0.25">
      <c r="A173" s="30">
        <v>26.283490366495137</v>
      </c>
      <c r="E173" t="s">
        <v>8</v>
      </c>
      <c r="J173" s="31" t="s">
        <v>7</v>
      </c>
    </row>
    <row r="174" spans="1:22" x14ac:dyDescent="0.25">
      <c r="A174" s="30">
        <v>25.031895587138223</v>
      </c>
      <c r="E174" t="s">
        <v>8</v>
      </c>
    </row>
    <row r="175" spans="1:22" x14ac:dyDescent="0.25">
      <c r="A175" s="30">
        <v>23.839900559179259</v>
      </c>
      <c r="E175" t="s">
        <v>8</v>
      </c>
    </row>
    <row r="176" spans="1:22" x14ac:dyDescent="0.25">
      <c r="A176" s="30">
        <v>22.704667199218342</v>
      </c>
      <c r="E176" t="s">
        <v>8</v>
      </c>
    </row>
    <row r="177" spans="1:5" x14ac:dyDescent="0.25">
      <c r="A177" s="30">
        <v>21.623492570684135</v>
      </c>
      <c r="E177" t="s">
        <v>8</v>
      </c>
    </row>
    <row r="178" spans="1:5" x14ac:dyDescent="0.25">
      <c r="A178" s="30">
        <v>20.593802448270605</v>
      </c>
      <c r="C178" s="7"/>
      <c r="D178"/>
      <c r="E178" t="s">
        <v>8</v>
      </c>
    </row>
    <row r="179" spans="1:5" x14ac:dyDescent="0.25">
      <c r="A179" s="30">
        <v>19.613145188829147</v>
      </c>
      <c r="E179" t="s">
        <v>8</v>
      </c>
    </row>
    <row r="180" spans="1:5" x14ac:dyDescent="0.25">
      <c r="A180" s="30">
        <v>18.679185894122998</v>
      </c>
      <c r="E180" t="s">
        <v>8</v>
      </c>
    </row>
    <row r="181" spans="1:5" x14ac:dyDescent="0.25">
      <c r="A181" s="30">
        <v>17.78970085154571</v>
      </c>
      <c r="C181"/>
      <c r="D181"/>
      <c r="E181" t="s">
        <v>8</v>
      </c>
    </row>
    <row r="182" spans="1:5" x14ac:dyDescent="0.25">
      <c r="A182" s="30">
        <v>16.942572239567344</v>
      </c>
      <c r="E182" t="s">
        <v>8</v>
      </c>
    </row>
    <row r="183" spans="1:5" x14ac:dyDescent="0.25">
      <c r="A183" s="30">
        <v>16.135783085302233</v>
      </c>
      <c r="E183" t="s">
        <v>8</v>
      </c>
    </row>
    <row r="184" spans="1:5" x14ac:dyDescent="0.25">
      <c r="A184" s="30">
        <v>15.367412462192602</v>
      </c>
      <c r="E184" t="s">
        <v>8</v>
      </c>
    </row>
    <row r="185" spans="1:5" x14ac:dyDescent="0.25">
      <c r="A185" s="30">
        <v>14.635630916373906</v>
      </c>
      <c r="C185"/>
      <c r="E185" t="s">
        <v>8</v>
      </c>
    </row>
    <row r="186" spans="1:5" x14ac:dyDescent="0.25">
      <c r="A186" s="30">
        <v>13.938696110832291</v>
      </c>
      <c r="E186" t="s">
        <v>8</v>
      </c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</row>
    <row r="188" spans="1:5" x14ac:dyDescent="0.25">
      <c r="A188" s="30">
        <v>12.64280826379346</v>
      </c>
      <c r="E188" t="s">
        <v>8</v>
      </c>
    </row>
    <row r="189" spans="1:5" x14ac:dyDescent="0.25">
      <c r="A189" s="30">
        <v>12.04076977504139</v>
      </c>
      <c r="E189" t="s">
        <v>8</v>
      </c>
    </row>
    <row r="190" spans="1:5" x14ac:dyDescent="0.25">
      <c r="A190" s="30">
        <v>11.467399785753704</v>
      </c>
      <c r="E190" t="s">
        <v>8</v>
      </c>
    </row>
    <row r="191" spans="1:5" x14ac:dyDescent="0.25">
      <c r="A191" s="30">
        <v>10.921333129289241</v>
      </c>
      <c r="E191" t="s">
        <v>8</v>
      </c>
    </row>
    <row r="192" spans="1:5" x14ac:dyDescent="0.25">
      <c r="A192" s="30">
        <v>10.401269646942135</v>
      </c>
      <c r="E192" t="s">
        <v>8</v>
      </c>
    </row>
    <row r="193" spans="1:5" x14ac:dyDescent="0.25">
      <c r="A193" s="30">
        <v>9.9059710923258422</v>
      </c>
      <c r="E193" t="s">
        <v>8</v>
      </c>
    </row>
    <row r="194" spans="1:5" x14ac:dyDescent="0.25">
      <c r="A194" s="30">
        <v>9.4342581831674686</v>
      </c>
      <c r="E194" t="s">
        <v>8</v>
      </c>
    </row>
    <row r="195" spans="1:5" x14ac:dyDescent="0.25">
      <c r="A195" s="30">
        <v>8.9850077934928265</v>
      </c>
      <c r="E195" t="s">
        <v>8</v>
      </c>
    </row>
    <row r="196" spans="1:5" x14ac:dyDescent="0.25">
      <c r="A196" s="30">
        <v>8.5571502795169767</v>
      </c>
      <c r="E196" t="s">
        <v>8</v>
      </c>
    </row>
    <row r="197" spans="1:5" x14ac:dyDescent="0.25">
      <c r="A197" s="30">
        <v>8.1496669328733109</v>
      </c>
      <c r="E197" t="s">
        <v>8</v>
      </c>
    </row>
    <row r="198" spans="1:5" x14ac:dyDescent="0.25">
      <c r="A198" s="30">
        <v>7.7615875551174378</v>
      </c>
      <c r="E198" t="s">
        <v>8</v>
      </c>
    </row>
    <row r="199" spans="1:5" x14ac:dyDescent="0.25">
      <c r="A199" s="30">
        <v>7.3919881477308929</v>
      </c>
      <c r="E199" t="s">
        <v>8</v>
      </c>
    </row>
    <row r="200" spans="1:5" x14ac:dyDescent="0.25">
      <c r="A200" s="30">
        <v>7.0399887121246598</v>
      </c>
      <c r="E200" t="s">
        <v>8</v>
      </c>
    </row>
    <row r="201" spans="1:5" x14ac:dyDescent="0.25">
      <c r="A201" s="30">
        <v>6.7047511544044376</v>
      </c>
      <c r="E201" t="s">
        <v>8</v>
      </c>
    </row>
    <row r="202" spans="1:5" x14ac:dyDescent="0.25">
      <c r="A202" s="30">
        <v>6.3854772899089882</v>
      </c>
      <c r="E202" t="s">
        <v>8</v>
      </c>
    </row>
    <row r="203" spans="1:5" x14ac:dyDescent="0.25">
      <c r="A203" s="30">
        <v>6.0814069427704647</v>
      </c>
      <c r="C203" s="7"/>
      <c r="D203"/>
      <c r="E203" t="s">
        <v>8</v>
      </c>
    </row>
    <row r="204" spans="1:5" x14ac:dyDescent="0.25">
      <c r="A204" s="30">
        <v>5.7918161359718709</v>
      </c>
      <c r="E204" t="s">
        <v>8</v>
      </c>
    </row>
    <row r="205" spans="1:5" x14ac:dyDescent="0.25">
      <c r="A205" s="30">
        <v>5.5160153675922574</v>
      </c>
      <c r="E205" t="s">
        <v>8</v>
      </c>
    </row>
    <row r="206" spans="1:5" x14ac:dyDescent="0.25">
      <c r="A206" s="30">
        <v>5.2533479691354827</v>
      </c>
      <c r="C206"/>
      <c r="D206"/>
      <c r="E206" t="s">
        <v>8</v>
      </c>
    </row>
    <row r="207" spans="1:5" x14ac:dyDescent="0.25">
      <c r="A207" s="30">
        <v>5.0031885420337927</v>
      </c>
      <c r="E207" t="s">
        <v>8</v>
      </c>
    </row>
    <row r="208" spans="1:5" x14ac:dyDescent="0.25">
      <c r="A208" s="30">
        <v>4.7649414686036122</v>
      </c>
      <c r="E208" t="s">
        <v>8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888" operator="equal">
      <formula>$U$1</formula>
    </cfRule>
    <cfRule type="cellIs" dxfId="67" priority="889" operator="equal">
      <formula>$S$1</formula>
    </cfRule>
  </conditionalFormatting>
  <conditionalFormatting sqref="D136">
    <cfRule type="cellIs" dxfId="66" priority="886" operator="equal">
      <formula>$S$1</formula>
    </cfRule>
    <cfRule type="cellIs" dxfId="65" priority="887" operator="equal">
      <formula>$U$1</formula>
    </cfRule>
  </conditionalFormatting>
  <conditionalFormatting sqref="C162">
    <cfRule type="cellIs" dxfId="64" priority="884" operator="equal">
      <formula>$U$1</formula>
    </cfRule>
    <cfRule type="cellIs" dxfId="63" priority="885" operator="equal">
      <formula>$S$1</formula>
    </cfRule>
  </conditionalFormatting>
  <conditionalFormatting sqref="D162">
    <cfRule type="cellIs" dxfId="62" priority="882" operator="equal">
      <formula>$S$1</formula>
    </cfRule>
    <cfRule type="cellIs" dxfId="61" priority="883" operator="equal">
      <formula>$U$1</formula>
    </cfRule>
  </conditionalFormatting>
  <conditionalFormatting sqref="C187">
    <cfRule type="cellIs" dxfId="60" priority="880" operator="equal">
      <formula>$U$1</formula>
    </cfRule>
    <cfRule type="cellIs" dxfId="59" priority="881" operator="equal">
      <formula>$S$1</formula>
    </cfRule>
  </conditionalFormatting>
  <conditionalFormatting sqref="D187">
    <cfRule type="cellIs" dxfId="58" priority="878" operator="equal">
      <formula>$S$1</formula>
    </cfRule>
    <cfRule type="cellIs" dxfId="57" priority="879" operator="equal">
      <formula>$U$1</formula>
    </cfRule>
  </conditionalFormatting>
  <conditionalFormatting sqref="C212">
    <cfRule type="cellIs" dxfId="56" priority="876" operator="equal">
      <formula>$U$1</formula>
    </cfRule>
    <cfRule type="cellIs" dxfId="55" priority="877" operator="equal">
      <formula>$S$1</formula>
    </cfRule>
  </conditionalFormatting>
  <conditionalFormatting sqref="D212">
    <cfRule type="cellIs" dxfId="54" priority="874" operator="equal">
      <formula>$S$1</formula>
    </cfRule>
    <cfRule type="cellIs" dxfId="53" priority="875" operator="equal">
      <formula>$U$1</formula>
    </cfRule>
  </conditionalFormatting>
  <conditionalFormatting sqref="C237">
    <cfRule type="cellIs" dxfId="52" priority="872" operator="equal">
      <formula>$U$1</formula>
    </cfRule>
    <cfRule type="cellIs" dxfId="51" priority="873" operator="equal">
      <formula>$S$1</formula>
    </cfRule>
  </conditionalFormatting>
  <conditionalFormatting sqref="D237">
    <cfRule type="cellIs" dxfId="50" priority="870" operator="equal">
      <formula>$S$1</formula>
    </cfRule>
    <cfRule type="cellIs" dxfId="49" priority="871" operator="equal">
      <formula>$U$1</formula>
    </cfRule>
  </conditionalFormatting>
  <conditionalFormatting sqref="C106">
    <cfRule type="cellIs" dxfId="48" priority="868" operator="equal">
      <formula>$U$1</formula>
    </cfRule>
    <cfRule type="cellIs" dxfId="47" priority="869" operator="equal">
      <formula>$S$1</formula>
    </cfRule>
  </conditionalFormatting>
  <conditionalFormatting sqref="D106">
    <cfRule type="cellIs" dxfId="46" priority="866" operator="equal">
      <formula>$S$1</formula>
    </cfRule>
    <cfRule type="cellIs" dxfId="45" priority="867" operator="equal">
      <formula>$U$1</formula>
    </cfRule>
  </conditionalFormatting>
  <conditionalFormatting sqref="C81">
    <cfRule type="cellIs" dxfId="44" priority="864" operator="equal">
      <formula>$U$1</formula>
    </cfRule>
    <cfRule type="cellIs" dxfId="43" priority="865" operator="equal">
      <formula>$S$1</formula>
    </cfRule>
  </conditionalFormatting>
  <conditionalFormatting sqref="D81">
    <cfRule type="cellIs" dxfId="42" priority="862" operator="equal">
      <formula>$S$1</formula>
    </cfRule>
    <cfRule type="cellIs" dxfId="41" priority="863" operator="equal">
      <formula>$U$1</formula>
    </cfRule>
  </conditionalFormatting>
  <conditionalFormatting sqref="C56">
    <cfRule type="cellIs" dxfId="40" priority="860" operator="equal">
      <formula>$U$1</formula>
    </cfRule>
    <cfRule type="cellIs" dxfId="39" priority="861" operator="equal">
      <formula>$S$1</formula>
    </cfRule>
  </conditionalFormatting>
  <conditionalFormatting sqref="D56">
    <cfRule type="cellIs" dxfId="38" priority="858" operator="equal">
      <formula>$S$1</formula>
    </cfRule>
    <cfRule type="cellIs" dxfId="37" priority="859" operator="equal">
      <formula>$U$1</formula>
    </cfRule>
  </conditionalFormatting>
  <conditionalFormatting sqref="C31">
    <cfRule type="cellIs" dxfId="36" priority="856" operator="equal">
      <formula>$U$1</formula>
    </cfRule>
    <cfRule type="cellIs" dxfId="35" priority="857" operator="equal">
      <formula>$S$1</formula>
    </cfRule>
  </conditionalFormatting>
  <conditionalFormatting sqref="D31">
    <cfRule type="cellIs" dxfId="34" priority="854" operator="equal">
      <formula>$S$1</formula>
    </cfRule>
    <cfRule type="cellIs" dxfId="33" priority="85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45" zoomScale="90" zoomScaleNormal="90" workbookViewId="0">
      <pane xSplit="4" topLeftCell="G1" activePane="topRight" state="frozen"/>
      <selection activeCell="A109" sqref="A109"/>
      <selection pane="topRight" activeCell="AP69" sqref="AP69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43" x14ac:dyDescent="0.25">
      <c r="A49" s="30">
        <v>955.59381772732638</v>
      </c>
      <c r="C49" s="1">
        <f>C38</f>
        <v>0</v>
      </c>
      <c r="E49"/>
    </row>
    <row r="50" spans="1:43" x14ac:dyDescent="0.25">
      <c r="A50" s="30">
        <v>868.72165247938756</v>
      </c>
      <c r="C50"/>
      <c r="D50"/>
      <c r="E50"/>
    </row>
    <row r="51" spans="1:43" x14ac:dyDescent="0.25">
      <c r="A51" s="30">
        <v>789.74695679944318</v>
      </c>
      <c r="C51" s="1" t="s">
        <v>14</v>
      </c>
      <c r="E51"/>
    </row>
    <row r="52" spans="1:43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43" x14ac:dyDescent="0.25">
      <c r="A53" s="30">
        <v>652.68343537144051</v>
      </c>
      <c r="E53"/>
      <c r="Y53" s="31" t="s">
        <v>8</v>
      </c>
    </row>
    <row r="54" spans="1:43" x14ac:dyDescent="0.25">
      <c r="A54" s="30">
        <v>593.34857761040041</v>
      </c>
      <c r="E54"/>
      <c r="Y54" s="27" t="s">
        <v>8</v>
      </c>
      <c r="Z54" s="31" t="s">
        <v>7</v>
      </c>
    </row>
    <row r="55" spans="1:43" x14ac:dyDescent="0.25">
      <c r="A55" s="30">
        <v>539.40779782763673</v>
      </c>
      <c r="E55"/>
      <c r="O55" s="32" t="s">
        <v>8</v>
      </c>
      <c r="Q55" s="32" t="s">
        <v>8</v>
      </c>
      <c r="Y55" s="27" t="s">
        <v>8</v>
      </c>
      <c r="Z55" s="27" t="s">
        <v>7</v>
      </c>
      <c r="AA55" s="31"/>
    </row>
    <row r="56" spans="1:43" x14ac:dyDescent="0.25">
      <c r="A56" s="30">
        <v>490.37072529785149</v>
      </c>
      <c r="E56"/>
      <c r="O56" s="27" t="s">
        <v>8</v>
      </c>
      <c r="P56" s="27" t="s">
        <v>7</v>
      </c>
      <c r="Q56" s="27" t="s">
        <v>8</v>
      </c>
      <c r="R56" s="27" t="s">
        <v>7</v>
      </c>
      <c r="Y56" s="33" t="s">
        <v>8</v>
      </c>
      <c r="Z56" s="27" t="s">
        <v>7</v>
      </c>
      <c r="AA56" s="27" t="s">
        <v>8</v>
      </c>
      <c r="AB56" s="31"/>
    </row>
    <row r="57" spans="1:43" x14ac:dyDescent="0.25">
      <c r="A57" s="30">
        <v>445.79156845259223</v>
      </c>
      <c r="E57"/>
      <c r="O57" s="27" t="s">
        <v>8</v>
      </c>
      <c r="P57" s="27" t="s">
        <v>7</v>
      </c>
      <c r="Q57" s="27" t="s">
        <v>8</v>
      </c>
      <c r="R57" s="27" t="s">
        <v>7</v>
      </c>
      <c r="U57" s="32" t="s">
        <v>8</v>
      </c>
      <c r="W57" s="32" t="s">
        <v>8</v>
      </c>
      <c r="Y57" s="27" t="s">
        <v>8</v>
      </c>
      <c r="Z57" s="27" t="s">
        <v>7</v>
      </c>
      <c r="AA57" s="27" t="s">
        <v>8</v>
      </c>
      <c r="AB57" s="27" t="s">
        <v>7</v>
      </c>
      <c r="AC57" s="31"/>
      <c r="AI57" s="27" t="s">
        <v>8</v>
      </c>
      <c r="AM57" s="33" t="s">
        <v>8</v>
      </c>
    </row>
    <row r="58" spans="1:43" x14ac:dyDescent="0.25">
      <c r="A58" s="30">
        <v>405.26506222962928</v>
      </c>
      <c r="E58"/>
      <c r="O58" s="27" t="s">
        <v>8</v>
      </c>
      <c r="P58" s="27" t="s">
        <v>7</v>
      </c>
      <c r="R58" s="27" t="s">
        <v>7</v>
      </c>
      <c r="S58" s="27" t="s">
        <v>8</v>
      </c>
      <c r="U58" s="27" t="s">
        <v>8</v>
      </c>
      <c r="V58" s="27" t="s">
        <v>7</v>
      </c>
      <c r="W58" s="27" t="s">
        <v>8</v>
      </c>
      <c r="X58" s="27" t="s">
        <v>7</v>
      </c>
      <c r="Y58" s="27" t="s">
        <v>8</v>
      </c>
      <c r="Z58" s="27" t="s">
        <v>7</v>
      </c>
      <c r="AA58" s="27" t="s">
        <v>8</v>
      </c>
      <c r="AB58" s="27" t="s">
        <v>7</v>
      </c>
      <c r="AC58" s="32" t="s">
        <v>8</v>
      </c>
      <c r="AD58" s="31"/>
      <c r="AE58" s="32" t="s">
        <v>8</v>
      </c>
      <c r="AI58" s="27" t="s">
        <v>8</v>
      </c>
      <c r="AJ58" s="27" t="s">
        <v>7</v>
      </c>
      <c r="AK58" s="27" t="s">
        <v>8</v>
      </c>
      <c r="AM58" s="27" t="s">
        <v>8</v>
      </c>
      <c r="AN58" s="31" t="s">
        <v>7</v>
      </c>
    </row>
    <row r="59" spans="1:43" x14ac:dyDescent="0.25">
      <c r="A59" s="30">
        <v>368.42278384511752</v>
      </c>
      <c r="E59"/>
      <c r="O59" s="27" t="s">
        <v>8</v>
      </c>
      <c r="R59" s="34" t="s">
        <v>7</v>
      </c>
      <c r="S59" s="27" t="s">
        <v>8</v>
      </c>
      <c r="T59" s="27" t="s">
        <v>7</v>
      </c>
      <c r="U59" s="27" t="s">
        <v>8</v>
      </c>
      <c r="V59" s="27" t="s">
        <v>7</v>
      </c>
      <c r="W59" s="27" t="s">
        <v>8</v>
      </c>
      <c r="X59" s="27" t="s">
        <v>7</v>
      </c>
      <c r="Y59" s="27" t="s">
        <v>8</v>
      </c>
      <c r="Z59" s="27" t="s">
        <v>7</v>
      </c>
      <c r="AB59" s="27" t="s">
        <v>7</v>
      </c>
      <c r="AC59" s="27" t="s">
        <v>8</v>
      </c>
      <c r="AD59" s="27" t="s">
        <v>7</v>
      </c>
      <c r="AE59" s="31" t="s">
        <v>8</v>
      </c>
      <c r="AF59" s="31" t="s">
        <v>7</v>
      </c>
      <c r="AI59" s="33" t="s">
        <v>8</v>
      </c>
      <c r="AJ59" s="27" t="s">
        <v>7</v>
      </c>
      <c r="AK59" s="27" t="s">
        <v>8</v>
      </c>
      <c r="AL59" s="27" t="s">
        <v>7</v>
      </c>
      <c r="AM59" s="27" t="s">
        <v>8</v>
      </c>
      <c r="AN59" s="27" t="s">
        <v>7</v>
      </c>
      <c r="AO59" s="31"/>
    </row>
    <row r="60" spans="1:43" x14ac:dyDescent="0.25">
      <c r="A60" s="30">
        <v>334.92980349556137</v>
      </c>
      <c r="E60"/>
      <c r="O60" s="27" t="s">
        <v>8</v>
      </c>
      <c r="R60" s="27" t="s">
        <v>7</v>
      </c>
      <c r="S60" s="27" t="s">
        <v>8</v>
      </c>
      <c r="T60" s="27" t="s">
        <v>7</v>
      </c>
      <c r="U60" s="27" t="s">
        <v>8</v>
      </c>
      <c r="V60" s="27" t="s">
        <v>7</v>
      </c>
      <c r="W60" s="27" t="s">
        <v>8</v>
      </c>
      <c r="X60" s="27" t="s">
        <v>7</v>
      </c>
      <c r="Y60" s="27" t="s">
        <v>8</v>
      </c>
      <c r="AB60" s="34" t="s">
        <v>7</v>
      </c>
      <c r="AC60" s="27" t="s">
        <v>8</v>
      </c>
      <c r="AD60" s="27" t="s">
        <v>7</v>
      </c>
      <c r="AE60" s="27" t="s">
        <v>8</v>
      </c>
      <c r="AF60" s="27" t="s">
        <v>7</v>
      </c>
      <c r="AG60" s="31" t="s">
        <v>8</v>
      </c>
      <c r="AI60" s="27" t="s">
        <v>8</v>
      </c>
      <c r="AJ60" s="27" t="s">
        <v>7</v>
      </c>
      <c r="AK60" s="27" t="s">
        <v>8</v>
      </c>
      <c r="AL60" s="27" t="s">
        <v>7</v>
      </c>
      <c r="AM60" s="27" t="s">
        <v>8</v>
      </c>
      <c r="AN60" s="27" t="s">
        <v>7</v>
      </c>
      <c r="AP60" s="31"/>
    </row>
    <row r="61" spans="1:43" x14ac:dyDescent="0.25">
      <c r="A61" s="30">
        <v>304.48163954141938</v>
      </c>
      <c r="E61"/>
      <c r="O61" s="27" t="s">
        <v>8</v>
      </c>
      <c r="R61" s="32" t="s">
        <v>7</v>
      </c>
      <c r="T61" s="32" t="s">
        <v>7</v>
      </c>
      <c r="V61" s="32" t="s">
        <v>7</v>
      </c>
      <c r="X61" s="32" t="s">
        <v>7</v>
      </c>
      <c r="AB61" s="27" t="s">
        <v>7</v>
      </c>
      <c r="AC61" s="27" t="s">
        <v>8</v>
      </c>
      <c r="AD61" s="27" t="s">
        <v>7</v>
      </c>
      <c r="AF61" s="27" t="s">
        <v>7</v>
      </c>
      <c r="AG61" s="27" t="s">
        <v>8</v>
      </c>
      <c r="AH61" s="31" t="s">
        <v>7</v>
      </c>
      <c r="AI61" s="27" t="s">
        <v>8</v>
      </c>
      <c r="AJ61" s="27" t="s">
        <v>7</v>
      </c>
      <c r="AL61" s="27" t="s">
        <v>7</v>
      </c>
      <c r="AM61" s="27" t="s">
        <v>8</v>
      </c>
      <c r="AN61" s="27" t="s">
        <v>7</v>
      </c>
      <c r="AQ61" s="31"/>
    </row>
    <row r="62" spans="1:43" x14ac:dyDescent="0.25">
      <c r="A62" s="30">
        <v>276.80149049219943</v>
      </c>
      <c r="E62"/>
      <c r="O62" s="27" t="s">
        <v>8</v>
      </c>
      <c r="AB62" s="27" t="s">
        <v>7</v>
      </c>
      <c r="AC62" s="27" t="s">
        <v>8</v>
      </c>
      <c r="AF62" s="27" t="s">
        <v>7</v>
      </c>
      <c r="AG62" s="27" t="s">
        <v>8</v>
      </c>
      <c r="AH62" s="27" t="s">
        <v>7</v>
      </c>
      <c r="AI62" s="27" t="s">
        <v>8</v>
      </c>
      <c r="AL62" s="34" t="s">
        <v>7</v>
      </c>
      <c r="AN62" s="27" t="s">
        <v>7</v>
      </c>
      <c r="AO62" s="27" t="s">
        <v>8</v>
      </c>
    </row>
    <row r="63" spans="1:43" x14ac:dyDescent="0.25">
      <c r="A63" s="30">
        <v>251.63771862927217</v>
      </c>
      <c r="E63"/>
      <c r="O63" s="27" t="s">
        <v>8</v>
      </c>
      <c r="AB63" s="27" t="s">
        <v>7</v>
      </c>
      <c r="AC63" s="27" t="s">
        <v>8</v>
      </c>
      <c r="AF63" s="27" t="s">
        <v>7</v>
      </c>
      <c r="AG63" s="27" t="s">
        <v>8</v>
      </c>
      <c r="AH63" s="18" t="s">
        <v>7</v>
      </c>
      <c r="AI63" s="27" t="s">
        <v>8</v>
      </c>
      <c r="AJ63" s="31"/>
      <c r="AN63" s="34" t="s">
        <v>7</v>
      </c>
      <c r="AO63" s="27" t="s">
        <v>8</v>
      </c>
      <c r="AP63" s="27" t="s">
        <v>7</v>
      </c>
    </row>
    <row r="64" spans="1:43" x14ac:dyDescent="0.25">
      <c r="A64" s="30">
        <v>228.76156239024741</v>
      </c>
      <c r="E64"/>
      <c r="O64" s="27" t="s">
        <v>8</v>
      </c>
      <c r="AB64" s="27" t="s">
        <v>7</v>
      </c>
      <c r="AF64" s="27" t="s">
        <v>7</v>
      </c>
      <c r="AG64" s="27" t="s">
        <v>8</v>
      </c>
      <c r="AH64" s="27" t="s">
        <v>7</v>
      </c>
      <c r="AI64" s="31"/>
      <c r="AN64" s="27" t="s">
        <v>7</v>
      </c>
      <c r="AO64" s="27" t="s">
        <v>8</v>
      </c>
      <c r="AP64" s="27" t="s">
        <v>7</v>
      </c>
    </row>
    <row r="65" spans="1:42" x14ac:dyDescent="0.25">
      <c r="A65" s="30">
        <v>207.96505671840671</v>
      </c>
      <c r="E65"/>
      <c r="M65" s="27" t="s">
        <v>8</v>
      </c>
      <c r="O65" s="27" t="s">
        <v>8</v>
      </c>
      <c r="AF65" s="27" t="s">
        <v>7</v>
      </c>
      <c r="AG65" s="27" t="s">
        <v>8</v>
      </c>
      <c r="AH65" s="31"/>
      <c r="AN65" s="27" t="s">
        <v>7</v>
      </c>
      <c r="AO65" s="27" t="s">
        <v>8</v>
      </c>
      <c r="AP65" s="27" t="s">
        <v>7</v>
      </c>
    </row>
    <row r="66" spans="1:42" x14ac:dyDescent="0.25">
      <c r="A66" s="30">
        <v>189.05914247127882</v>
      </c>
      <c r="E66"/>
      <c r="M66" s="27" t="s">
        <v>8</v>
      </c>
      <c r="N66" s="27" t="s">
        <v>7</v>
      </c>
      <c r="O66" s="27" t="s">
        <v>8</v>
      </c>
      <c r="AF66" s="27" t="s">
        <v>7</v>
      </c>
      <c r="AG66" s="31" t="s">
        <v>8</v>
      </c>
      <c r="AN66" s="27" t="s">
        <v>7</v>
      </c>
      <c r="AO66" s="27" t="s">
        <v>8</v>
      </c>
      <c r="AP66" s="27" t="s">
        <v>7</v>
      </c>
    </row>
    <row r="67" spans="1:42" x14ac:dyDescent="0.25">
      <c r="A67" s="30">
        <v>171.87194770116255</v>
      </c>
      <c r="C67" s="1" t="s">
        <v>15</v>
      </c>
      <c r="E67"/>
      <c r="M67" s="27" t="s">
        <v>8</v>
      </c>
      <c r="N67" s="27" t="s">
        <v>7</v>
      </c>
      <c r="O67" s="27" t="s">
        <v>8</v>
      </c>
      <c r="AF67" s="31" t="s">
        <v>7</v>
      </c>
      <c r="AN67" s="27" t="s">
        <v>7</v>
      </c>
      <c r="AP67" s="27" t="s">
        <v>7</v>
      </c>
    </row>
    <row r="68" spans="1:42" x14ac:dyDescent="0.25">
      <c r="A68" s="30">
        <v>156.24722518287504</v>
      </c>
      <c r="C68" s="7">
        <v>0.11167815779424731</v>
      </c>
      <c r="D68"/>
      <c r="E68"/>
      <c r="M68" s="27" t="s">
        <v>8</v>
      </c>
      <c r="N68" s="27" t="s">
        <v>7</v>
      </c>
      <c r="AP68" s="27" t="s">
        <v>7</v>
      </c>
    </row>
    <row r="69" spans="1:42" x14ac:dyDescent="0.25">
      <c r="A69" s="30">
        <v>142.04293198443185</v>
      </c>
      <c r="E69"/>
      <c r="M69" s="27" t="s">
        <v>8</v>
      </c>
      <c r="AP69" s="27" t="s">
        <v>7</v>
      </c>
    </row>
    <row r="70" spans="1:42" x14ac:dyDescent="0.25">
      <c r="A70" s="30">
        <v>129.1299381676653</v>
      </c>
      <c r="C70" s="1" t="s">
        <v>11</v>
      </c>
      <c r="D70" s="1" t="s">
        <v>12</v>
      </c>
      <c r="E70"/>
      <c r="K70" s="27" t="s">
        <v>8</v>
      </c>
      <c r="M70" s="27" t="s">
        <v>8</v>
      </c>
    </row>
    <row r="71" spans="1:42" x14ac:dyDescent="0.25">
      <c r="A71" s="30">
        <v>117.39085287969573</v>
      </c>
      <c r="C71"/>
      <c r="D71"/>
      <c r="E71"/>
      <c r="K71" s="27" t="s">
        <v>8</v>
      </c>
      <c r="L71" s="27" t="s">
        <v>7</v>
      </c>
      <c r="M71" s="27" t="s">
        <v>8</v>
      </c>
    </row>
    <row r="72" spans="1:42" x14ac:dyDescent="0.25">
      <c r="A72" s="30">
        <v>106.71895716335975</v>
      </c>
      <c r="E72"/>
      <c r="K72" s="27" t="s">
        <v>8</v>
      </c>
      <c r="L72" s="27" t="s">
        <v>7</v>
      </c>
      <c r="M72" s="27" t="s">
        <v>8</v>
      </c>
    </row>
    <row r="73" spans="1:42" x14ac:dyDescent="0.25">
      <c r="A73" s="30">
        <v>97.017233784872488</v>
      </c>
      <c r="C73" s="1" t="s">
        <v>13</v>
      </c>
      <c r="E73"/>
      <c r="K73" s="27" t="s">
        <v>8</v>
      </c>
      <c r="L73" s="27" t="s">
        <v>7</v>
      </c>
    </row>
    <row r="74" spans="1:42" x14ac:dyDescent="0.25">
      <c r="A74" s="30">
        <v>88.197485258974979</v>
      </c>
      <c r="C74" s="1">
        <f>C63</f>
        <v>0</v>
      </c>
      <c r="E74"/>
      <c r="I74" s="27" t="s">
        <v>8</v>
      </c>
      <c r="K74" s="27" t="s">
        <v>8</v>
      </c>
    </row>
    <row r="75" spans="1:42" x14ac:dyDescent="0.25">
      <c r="A75" s="30">
        <v>80.179532053613613</v>
      </c>
      <c r="C75"/>
      <c r="D75"/>
      <c r="E75"/>
      <c r="G75" s="27" t="s">
        <v>8</v>
      </c>
      <c r="I75" s="27" t="s">
        <v>8</v>
      </c>
      <c r="J75" s="27" t="s">
        <v>7</v>
      </c>
      <c r="K75" s="27" t="s">
        <v>8</v>
      </c>
    </row>
    <row r="76" spans="1:42" x14ac:dyDescent="0.25">
      <c r="A76" s="30">
        <v>72.890483685103277</v>
      </c>
      <c r="C76" s="1" t="s">
        <v>14</v>
      </c>
      <c r="E76"/>
      <c r="G76" s="27" t="s">
        <v>8</v>
      </c>
      <c r="H76" s="27" t="s">
        <v>7</v>
      </c>
      <c r="I76" s="27" t="s">
        <v>8</v>
      </c>
      <c r="J76" s="27" t="s">
        <v>7</v>
      </c>
      <c r="K76" s="27" t="s">
        <v>8</v>
      </c>
    </row>
    <row r="77" spans="1:42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  <c r="G77" s="27" t="s">
        <v>8</v>
      </c>
      <c r="H77" s="27" t="s">
        <v>7</v>
      </c>
      <c r="I77" s="27" t="s">
        <v>8</v>
      </c>
      <c r="J77" s="27" t="s">
        <v>7</v>
      </c>
    </row>
    <row r="78" spans="1:42" x14ac:dyDescent="0.25">
      <c r="A78" s="30">
        <v>60.240069161242367</v>
      </c>
      <c r="E78"/>
      <c r="G78" s="27" t="s">
        <v>8</v>
      </c>
      <c r="H78" s="27" t="s">
        <v>7</v>
      </c>
      <c r="I78" s="27" t="s">
        <v>8</v>
      </c>
    </row>
    <row r="79" spans="1:42" x14ac:dyDescent="0.25">
      <c r="A79" s="30">
        <v>54.763699237493057</v>
      </c>
      <c r="E79"/>
      <c r="G79" s="27" t="s">
        <v>8</v>
      </c>
      <c r="H79" s="27" t="s">
        <v>7</v>
      </c>
    </row>
    <row r="80" spans="1:42" x14ac:dyDescent="0.25">
      <c r="A80" s="30">
        <v>49.785181124993684</v>
      </c>
      <c r="E80"/>
      <c r="G80" s="27" t="s">
        <v>8</v>
      </c>
    </row>
    <row r="81" spans="1:7" x14ac:dyDescent="0.25">
      <c r="A81" s="30">
        <v>45.259255568176073</v>
      </c>
      <c r="E81"/>
      <c r="G81" s="27" t="s">
        <v>8</v>
      </c>
    </row>
    <row r="82" spans="1:7" x14ac:dyDescent="0.25">
      <c r="A82" s="30">
        <v>41.144777789250973</v>
      </c>
      <c r="E82" t="s">
        <v>8</v>
      </c>
      <c r="G82" s="27" t="s">
        <v>8</v>
      </c>
    </row>
    <row r="83" spans="1:7" x14ac:dyDescent="0.25">
      <c r="A83" s="30">
        <v>37.404343444773609</v>
      </c>
      <c r="E83" t="s">
        <v>8</v>
      </c>
      <c r="F83" s="27" t="s">
        <v>7</v>
      </c>
      <c r="G83" s="27" t="s">
        <v>8</v>
      </c>
    </row>
    <row r="84" spans="1:7" x14ac:dyDescent="0.25">
      <c r="A84" s="30">
        <v>34.003948586157826</v>
      </c>
      <c r="E84" t="s">
        <v>8</v>
      </c>
      <c r="F84" s="27" t="s">
        <v>7</v>
      </c>
      <c r="G84" s="27" t="s">
        <v>8</v>
      </c>
    </row>
    <row r="85" spans="1:7" x14ac:dyDescent="0.25">
      <c r="A85" s="30">
        <v>30.912680532870748</v>
      </c>
      <c r="E85" t="s">
        <v>8</v>
      </c>
      <c r="F85" s="27" t="s">
        <v>7</v>
      </c>
      <c r="G85" s="27" t="s">
        <v>8</v>
      </c>
    </row>
    <row r="86" spans="1:7" x14ac:dyDescent="0.25">
      <c r="A86" s="30">
        <v>28.102436848064315</v>
      </c>
      <c r="E86" t="s">
        <v>8</v>
      </c>
      <c r="F86" s="27" t="s">
        <v>7</v>
      </c>
    </row>
    <row r="87" spans="1:7" x14ac:dyDescent="0.25">
      <c r="A87" s="30">
        <v>25.547669861876649</v>
      </c>
      <c r="E87" t="s">
        <v>8</v>
      </c>
    </row>
    <row r="88" spans="1:7" x14ac:dyDescent="0.25">
      <c r="A88" s="30">
        <v>23.225154419887861</v>
      </c>
      <c r="E88" t="s">
        <v>8</v>
      </c>
    </row>
    <row r="89" spans="1:7" x14ac:dyDescent="0.25">
      <c r="A89" s="30">
        <v>21.113776745352599</v>
      </c>
      <c r="E89" t="s">
        <v>8</v>
      </c>
    </row>
    <row r="90" spans="1:7" x14ac:dyDescent="0.25">
      <c r="A90" s="30">
        <v>19.194342495775089</v>
      </c>
      <c r="E90" t="s">
        <v>8</v>
      </c>
    </row>
    <row r="91" spans="1:7" x14ac:dyDescent="0.25">
      <c r="A91" s="30">
        <v>17.449402268886445</v>
      </c>
      <c r="E91" t="s">
        <v>8</v>
      </c>
    </row>
    <row r="92" spans="1:7" x14ac:dyDescent="0.25">
      <c r="A92" s="30">
        <v>15.863092971714948</v>
      </c>
      <c r="C92" s="1" t="s">
        <v>15</v>
      </c>
      <c r="E92" t="s">
        <v>8</v>
      </c>
    </row>
    <row r="93" spans="1:7" x14ac:dyDescent="0.25">
      <c r="A93" s="30">
        <v>14.420993610649951</v>
      </c>
      <c r="C93" s="7">
        <v>0.11167815779424731</v>
      </c>
      <c r="D93"/>
      <c r="E93" t="s">
        <v>8</v>
      </c>
    </row>
    <row r="94" spans="1:7" x14ac:dyDescent="0.25">
      <c r="A94" s="30">
        <v>13.109994191499954</v>
      </c>
      <c r="E94" t="s">
        <v>8</v>
      </c>
    </row>
    <row r="95" spans="1:7" x14ac:dyDescent="0.25">
      <c r="A95" s="30">
        <v>11.918176537727231</v>
      </c>
      <c r="C95" s="1" t="s">
        <v>11</v>
      </c>
      <c r="D95" s="1" t="s">
        <v>12</v>
      </c>
      <c r="E95" t="s">
        <v>8</v>
      </c>
    </row>
    <row r="96" spans="1:7" x14ac:dyDescent="0.25">
      <c r="A96" s="30">
        <v>10.834705943388391</v>
      </c>
      <c r="C96"/>
      <c r="D96"/>
      <c r="E96" t="s">
        <v>8</v>
      </c>
    </row>
    <row r="97" spans="1:5" x14ac:dyDescent="0.25">
      <c r="A97" s="30">
        <v>9.849732675807628</v>
      </c>
      <c r="E97" t="s">
        <v>8</v>
      </c>
    </row>
    <row r="98" spans="1:5" x14ac:dyDescent="0.25">
      <c r="A98" s="30">
        <v>8.9543024325523888</v>
      </c>
      <c r="C98" s="1" t="s">
        <v>13</v>
      </c>
      <c r="E98" t="s">
        <v>8</v>
      </c>
    </row>
    <row r="99" spans="1:5" x14ac:dyDescent="0.25">
      <c r="A99" s="30">
        <v>8.140274938683989</v>
      </c>
      <c r="C99" s="1">
        <f>C88</f>
        <v>0</v>
      </c>
      <c r="E99" t="s">
        <v>8</v>
      </c>
    </row>
    <row r="100" spans="1:5" x14ac:dyDescent="0.25">
      <c r="A100" s="30">
        <v>7.4002499442581717</v>
      </c>
      <c r="C100"/>
      <c r="D100"/>
      <c r="E100" t="s">
        <v>8</v>
      </c>
    </row>
    <row r="101" spans="1:5" x14ac:dyDescent="0.25">
      <c r="A101" s="30">
        <v>6.72749994932561</v>
      </c>
      <c r="C101" s="1" t="s">
        <v>14</v>
      </c>
      <c r="E101" t="s">
        <v>8</v>
      </c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</row>
    <row r="103" spans="1:5" x14ac:dyDescent="0.25">
      <c r="A103" s="30">
        <v>5.5599173134922388</v>
      </c>
      <c r="E103" t="s">
        <v>8</v>
      </c>
    </row>
    <row r="104" spans="1:5" x14ac:dyDescent="0.25">
      <c r="A104" s="30">
        <v>5.0544702849929442</v>
      </c>
      <c r="E104" t="s">
        <v>8</v>
      </c>
    </row>
    <row r="105" spans="1:5" x14ac:dyDescent="0.25">
      <c r="A105" s="30">
        <v>4.594972986357222</v>
      </c>
      <c r="E105" t="s">
        <v>8</v>
      </c>
    </row>
    <row r="106" spans="1:5" x14ac:dyDescent="0.25">
      <c r="A106" s="30">
        <v>4.1772481694156562</v>
      </c>
      <c r="E106" t="s">
        <v>8</v>
      </c>
    </row>
    <row r="107" spans="1:5" x14ac:dyDescent="0.25">
      <c r="A107" s="30">
        <v>3.7974983358324148</v>
      </c>
      <c r="E107" t="s">
        <v>8</v>
      </c>
    </row>
    <row r="108" spans="1:5" x14ac:dyDescent="0.25">
      <c r="A108" s="30">
        <v>3.4522712143931042</v>
      </c>
      <c r="E108" t="s">
        <v>8</v>
      </c>
    </row>
    <row r="109" spans="1:5" x14ac:dyDescent="0.25">
      <c r="A109" s="30">
        <v>3.1384283767210035</v>
      </c>
      <c r="E109" t="s">
        <v>8</v>
      </c>
    </row>
    <row r="110" spans="1:5" x14ac:dyDescent="0.25">
      <c r="A110" s="30">
        <v>2.8531167061100029</v>
      </c>
      <c r="E110" t="s">
        <v>8</v>
      </c>
    </row>
    <row r="111" spans="1:5" x14ac:dyDescent="0.25">
      <c r="A111" s="30">
        <v>2.5937424601000023</v>
      </c>
      <c r="C111" s="1" t="str">
        <f>ADDRESS(C121-1,1,1,1)</f>
        <v>$A$68</v>
      </c>
      <c r="D111" s="1" t="str">
        <f>ADDRESS(C121-1,D121,1,1)</f>
        <v>$AP$68</v>
      </c>
      <c r="E111" t="s">
        <v>8</v>
      </c>
    </row>
    <row r="112" spans="1:5" x14ac:dyDescent="0.25">
      <c r="A112" s="30">
        <v>2.3579476910000019</v>
      </c>
      <c r="C112" s="1" t="str">
        <f>ADDRESS(C121,1,1,1)</f>
        <v>$A$69</v>
      </c>
      <c r="D112" s="1" t="str">
        <f>ADDRESS(C121,D121-1,1,1)</f>
        <v>$AO$69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$A$70</v>
      </c>
      <c r="D113" s="1" t="str">
        <f>ADDRESS(C121-1,D121+1,1,1)</f>
        <v>$AQ$68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$AP$69</v>
      </c>
      <c r="D114" s="1" t="str">
        <f>ADDRESS(C121+1,D121+1,1,1)</f>
        <v>$AQ$70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$AP$70</v>
      </c>
      <c r="E115" s="1" t="s">
        <v>8</v>
      </c>
    </row>
    <row r="116" spans="1:5" x14ac:dyDescent="0.25">
      <c r="A116" s="30">
        <v>1.6105100000000008</v>
      </c>
      <c r="C116" s="1">
        <f>C117-1</f>
        <v>68</v>
      </c>
      <c r="E116" s="1" t="s">
        <v>8</v>
      </c>
    </row>
    <row r="117" spans="1:5" x14ac:dyDescent="0.25">
      <c r="A117" s="30">
        <v>1.4641000000000006</v>
      </c>
      <c r="C117" s="1">
        <f>C121</f>
        <v>69</v>
      </c>
      <c r="D117" s="1">
        <f>D121</f>
        <v>42</v>
      </c>
      <c r="E117" s="1" t="s">
        <v>8</v>
      </c>
    </row>
    <row r="118" spans="1:5" x14ac:dyDescent="0.25">
      <c r="A118" s="30">
        <v>1.3310000000000004</v>
      </c>
      <c r="C118" s="1">
        <f>C117+1</f>
        <v>70</v>
      </c>
      <c r="D118" s="1">
        <f>D117+1</f>
        <v>43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69</v>
      </c>
      <c r="D121" s="19">
        <v>42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R69</v>
      </c>
      <c r="D123" s="1" t="str">
        <f>"C"&amp;D121</f>
        <v>C42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142.04293198443185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72" operator="equal">
      <formula>$U$1</formula>
    </cfRule>
    <cfRule type="cellIs" dxfId="30" priority="873" operator="equal">
      <formula>$S$1</formula>
    </cfRule>
  </conditionalFormatting>
  <conditionalFormatting sqref="D136">
    <cfRule type="cellIs" dxfId="29" priority="870" operator="equal">
      <formula>$S$1</formula>
    </cfRule>
    <cfRule type="cellIs" dxfId="28" priority="871" operator="equal">
      <formula>$U$1</formula>
    </cfRule>
  </conditionalFormatting>
  <conditionalFormatting sqref="C102">
    <cfRule type="cellIs" dxfId="27" priority="868" operator="equal">
      <formula>$U$1</formula>
    </cfRule>
    <cfRule type="cellIs" dxfId="26" priority="869" operator="equal">
      <formula>$S$1</formula>
    </cfRule>
  </conditionalFormatting>
  <conditionalFormatting sqref="D102">
    <cfRule type="cellIs" dxfId="25" priority="866" operator="equal">
      <formula>$S$1</formula>
    </cfRule>
    <cfRule type="cellIs" dxfId="24" priority="867" operator="equal">
      <formula>$U$1</formula>
    </cfRule>
  </conditionalFormatting>
  <conditionalFormatting sqref="C77">
    <cfRule type="cellIs" dxfId="23" priority="864" operator="equal">
      <formula>$U$1</formula>
    </cfRule>
    <cfRule type="cellIs" dxfId="22" priority="865" operator="equal">
      <formula>$S$1</formula>
    </cfRule>
  </conditionalFormatting>
  <conditionalFormatting sqref="D77">
    <cfRule type="cellIs" dxfId="21" priority="862" operator="equal">
      <formula>$S$1</formula>
    </cfRule>
    <cfRule type="cellIs" dxfId="20" priority="863" operator="equal">
      <formula>$U$1</formula>
    </cfRule>
  </conditionalFormatting>
  <conditionalFormatting sqref="C52">
    <cfRule type="cellIs" dxfId="19" priority="860" operator="equal">
      <formula>$U$1</formula>
    </cfRule>
    <cfRule type="cellIs" dxfId="18" priority="861" operator="equal">
      <formula>$S$1</formula>
    </cfRule>
  </conditionalFormatting>
  <conditionalFormatting sqref="D52">
    <cfRule type="cellIs" dxfId="17" priority="858" operator="equal">
      <formula>$S$1</formula>
    </cfRule>
    <cfRule type="cellIs" dxfId="16" priority="859" operator="equal">
      <formula>$U$1</formula>
    </cfRule>
  </conditionalFormatting>
  <conditionalFormatting sqref="C26">
    <cfRule type="cellIs" dxfId="15" priority="856" operator="equal">
      <formula>$U$1</formula>
    </cfRule>
    <cfRule type="cellIs" dxfId="14" priority="857" operator="equal">
      <formula>$S$1</formula>
    </cfRule>
  </conditionalFormatting>
  <conditionalFormatting sqref="D26">
    <cfRule type="cellIs" dxfId="13" priority="854" operator="equal">
      <formula>$S$1</formula>
    </cfRule>
    <cfRule type="cellIs" dxfId="12" priority="85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176.22426237653616</v>
      </c>
      <c r="F3" s="30">
        <v>194.28724927013116</v>
      </c>
      <c r="G3" s="30">
        <v>332.29712920686046</v>
      </c>
      <c r="H3" s="25">
        <f>IF(G3="","",(3*(G3-F3))+E3)</f>
        <v>590.25390218672408</v>
      </c>
      <c r="I3" s="7"/>
      <c r="J3" s="7">
        <f>(E3+G3)/2</f>
        <v>254.26069579169831</v>
      </c>
      <c r="K3" s="7">
        <f>H3/2</f>
        <v>295.12695109336204</v>
      </c>
      <c r="M3" s="26">
        <f>IF(OR(J3="",H3=""),"",H3/J3)</f>
        <v>2.321451612286495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2022-01-28T01:13:20Z</dcterms:modified>
</cp:coreProperties>
</file>