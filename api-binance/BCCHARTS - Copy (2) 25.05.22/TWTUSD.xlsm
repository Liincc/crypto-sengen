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41C5060-D928-48D6-94D5-6BB0441FD8C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22" i="5"/>
  <c r="C133" i="5" s="1"/>
  <c r="C136" i="5" s="1"/>
  <c r="C116" i="5"/>
  <c r="C116" i="4"/>
  <c r="C118" i="4"/>
  <c r="R765" i="1"/>
  <c r="S765" i="1" s="1"/>
  <c r="T765" i="1" s="1"/>
  <c r="C122" i="3"/>
  <c r="C133" i="3" s="1"/>
  <c r="D136" i="3" s="1"/>
  <c r="C116" i="3"/>
  <c r="C136" i="4" l="1"/>
  <c r="C138" i="4" s="1"/>
  <c r="R764" i="1"/>
  <c r="R763" i="1" s="1"/>
  <c r="D136" i="5"/>
  <c r="C138" i="5" s="1"/>
  <c r="C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<sst xmlns="http://schemas.openxmlformats.org/spreadsheetml/2006/main" count="4077" uniqueCount="34">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</sst>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0.49330000000000002</c:v>
                </c:pt>
                <c:pt idx="1">
                  <c:v>0.50149999999999995</c:v>
                </c:pt>
                <c:pt idx="2">
                  <c:v>0.51300000000000001</c:v>
                </c:pt>
                <c:pt idx="3">
                  <c:v>0.50790000000000002</c:v>
                </c:pt>
                <c:pt idx="4">
                  <c:v>0.53010000000000002</c:v>
                </c:pt>
                <c:pt idx="5">
                  <c:v>0.50760000000000005</c:v>
                </c:pt>
                <c:pt idx="6">
                  <c:v>0.56189999999999996</c:v>
                </c:pt>
                <c:pt idx="7">
                  <c:v>0.64419999999999999</c:v>
                </c:pt>
                <c:pt idx="8">
                  <c:v>0.68379999999999996</c:v>
                </c:pt>
                <c:pt idx="9">
                  <c:v>0.68159999999999998</c:v>
                </c:pt>
                <c:pt idx="10">
                  <c:v>0.69159999999999999</c:v>
                </c:pt>
                <c:pt idx="11">
                  <c:v>0.71399999999999997</c:v>
                </c:pt>
                <c:pt idx="12">
                  <c:v>0.7349</c:v>
                </c:pt>
                <c:pt idx="13">
                  <c:v>0.7107</c:v>
                </c:pt>
                <c:pt idx="14">
                  <c:v>0.66449999999999998</c:v>
                </c:pt>
                <c:pt idx="15">
                  <c:v>0.69950000000000001</c:v>
                </c:pt>
                <c:pt idx="16">
                  <c:v>0.65110000000000001</c:v>
                </c:pt>
                <c:pt idx="17">
                  <c:v>0.63180000000000003</c:v>
                </c:pt>
                <c:pt idx="18">
                  <c:v>0.64729999999999999</c:v>
                </c:pt>
                <c:pt idx="19">
                  <c:v>0.63660000000000005</c:v>
                </c:pt>
                <c:pt idx="20">
                  <c:v>0.63800000000000001</c:v>
                </c:pt>
                <c:pt idx="21">
                  <c:v>0.63849999999999996</c:v>
                </c:pt>
                <c:pt idx="22">
                  <c:v>0.64600000000000002</c:v>
                </c:pt>
                <c:pt idx="23">
                  <c:v>0.69450000000000001</c:v>
                </c:pt>
                <c:pt idx="24">
                  <c:v>0.70479999999999998</c:v>
                </c:pt>
                <c:pt idx="25">
                  <c:v>0.72699999999999998</c:v>
                </c:pt>
                <c:pt idx="26">
                  <c:v>0.73019999999999996</c:v>
                </c:pt>
                <c:pt idx="27">
                  <c:v>0.70779999999999998</c:v>
                </c:pt>
                <c:pt idx="28">
                  <c:v>0.72829999999999995</c:v>
                </c:pt>
                <c:pt idx="29">
                  <c:v>0.7006</c:v>
                </c:pt>
                <c:pt idx="30">
                  <c:v>0.71650000000000003</c:v>
                </c:pt>
                <c:pt idx="31">
                  <c:v>0.79430000000000001</c:v>
                </c:pt>
                <c:pt idx="32">
                  <c:v>0.7893</c:v>
                </c:pt>
                <c:pt idx="33">
                  <c:v>0.79159999999999997</c:v>
                </c:pt>
                <c:pt idx="34">
                  <c:v>0.79659999999999997</c:v>
                </c:pt>
                <c:pt idx="35">
                  <c:v>0.81730000000000003</c:v>
                </c:pt>
                <c:pt idx="36">
                  <c:v>0.73670000000000002</c:v>
                </c:pt>
                <c:pt idx="37">
                  <c:v>0.72</c:v>
                </c:pt>
                <c:pt idx="38">
                  <c:v>0.66920000000000002</c:v>
                </c:pt>
                <c:pt idx="39">
                  <c:v>0.69089999999999996</c:v>
                </c:pt>
                <c:pt idx="40">
                  <c:v>0.70209999999999995</c:v>
                </c:pt>
                <c:pt idx="41">
                  <c:v>0.69189999999999996</c:v>
                </c:pt>
                <c:pt idx="42">
                  <c:v>0.71499999999999997</c:v>
                </c:pt>
                <c:pt idx="43">
                  <c:v>0.73599999999999999</c:v>
                </c:pt>
                <c:pt idx="44">
                  <c:v>0.71009999999999995</c:v>
                </c:pt>
                <c:pt idx="45">
                  <c:v>0.67600000000000005</c:v>
                </c:pt>
                <c:pt idx="46">
                  <c:v>0.76719999999999999</c:v>
                </c:pt>
                <c:pt idx="47">
                  <c:v>0.75470000000000004</c:v>
                </c:pt>
                <c:pt idx="48">
                  <c:v>0.75260000000000005</c:v>
                </c:pt>
                <c:pt idx="49">
                  <c:v>0.73750000000000004</c:v>
                </c:pt>
                <c:pt idx="50">
                  <c:v>0.82579999999999998</c:v>
                </c:pt>
                <c:pt idx="51">
                  <c:v>0.80600000000000005</c:v>
                </c:pt>
                <c:pt idx="52">
                  <c:v>0.81200000000000006</c:v>
                </c:pt>
                <c:pt idx="53">
                  <c:v>0.78249999999999997</c:v>
                </c:pt>
                <c:pt idx="54">
                  <c:v>0.82809999999999995</c:v>
                </c:pt>
                <c:pt idx="55">
                  <c:v>1.0014000000000001</c:v>
                </c:pt>
                <c:pt idx="56">
                  <c:v>1.0814999999999999</c:v>
                </c:pt>
                <c:pt idx="57">
                  <c:v>1.0388999999999999</c:v>
                </c:pt>
                <c:pt idx="58">
                  <c:v>1.0405</c:v>
                </c:pt>
                <c:pt idx="59">
                  <c:v>1.0701000000000001</c:v>
                </c:pt>
                <c:pt idx="60">
                  <c:v>1.0768</c:v>
                </c:pt>
                <c:pt idx="61">
                  <c:v>1.0548999999999999</c:v>
                </c:pt>
                <c:pt idx="62">
                  <c:v>1.0301</c:v>
                </c:pt>
                <c:pt idx="63">
                  <c:v>1.1541999999999999</c:v>
                </c:pt>
                <c:pt idx="64">
                  <c:v>1.1658999999999999</c:v>
                </c:pt>
                <c:pt idx="65">
                  <c:v>1.1806000000000001</c:v>
                </c:pt>
                <c:pt idx="66">
                  <c:v>1.1039000000000001</c:v>
                </c:pt>
                <c:pt idx="67">
                  <c:v>1.1682999999999999</c:v>
                </c:pt>
                <c:pt idx="68">
                  <c:v>1.1904999999999999</c:v>
                </c:pt>
                <c:pt idx="69">
                  <c:v>1.1527000000000001</c:v>
                </c:pt>
                <c:pt idx="70">
                  <c:v>1.0881000000000001</c:v>
                </c:pt>
                <c:pt idx="71">
                  <c:v>1.1793</c:v>
                </c:pt>
                <c:pt idx="72">
                  <c:v>1.1774</c:v>
                </c:pt>
                <c:pt idx="73">
                  <c:v>1.1922999999999999</c:v>
                </c:pt>
                <c:pt idx="74">
                  <c:v>1.2594000000000001</c:v>
                </c:pt>
                <c:pt idx="75">
                  <c:v>1.3012999999999999</c:v>
                </c:pt>
                <c:pt idx="76">
                  <c:v>1.274</c:v>
                </c:pt>
                <c:pt idx="77">
                  <c:v>1.3258000000000001</c:v>
                </c:pt>
                <c:pt idx="78">
                  <c:v>1.1309</c:v>
                </c:pt>
                <c:pt idx="79">
                  <c:v>1.1668000000000001</c:v>
                </c:pt>
                <c:pt idx="80">
                  <c:v>1.1397999999999999</c:v>
                </c:pt>
                <c:pt idx="81">
                  <c:v>1.1225000000000001</c:v>
                </c:pt>
                <c:pt idx="82">
                  <c:v>1.1395999999999999</c:v>
                </c:pt>
                <c:pt idx="83">
                  <c:v>1.1415</c:v>
                </c:pt>
                <c:pt idx="84">
                  <c:v>1.1426000000000001</c:v>
                </c:pt>
                <c:pt idx="85">
                  <c:v>1.2403</c:v>
                </c:pt>
                <c:pt idx="86">
                  <c:v>1.1946000000000001</c:v>
                </c:pt>
                <c:pt idx="87">
                  <c:v>1.0477000000000001</c:v>
                </c:pt>
                <c:pt idx="88">
                  <c:v>1.0401</c:v>
                </c:pt>
                <c:pt idx="89">
                  <c:v>1.0634999999999999</c:v>
                </c:pt>
                <c:pt idx="90">
                  <c:v>1.0315000000000001</c:v>
                </c:pt>
                <c:pt idx="91">
                  <c:v>1.0186999999999999</c:v>
                </c:pt>
                <c:pt idx="92">
                  <c:v>1.0383</c:v>
                </c:pt>
                <c:pt idx="93">
                  <c:v>1.0821000000000001</c:v>
                </c:pt>
                <c:pt idx="94">
                  <c:v>1.101</c:v>
                </c:pt>
                <c:pt idx="95">
                  <c:v>1.0472999999999999</c:v>
                </c:pt>
                <c:pt idx="96">
                  <c:v>1.0846</c:v>
                </c:pt>
                <c:pt idx="97">
                  <c:v>1.1053999999999999</c:v>
                </c:pt>
                <c:pt idx="98">
                  <c:v>1.0768</c:v>
                </c:pt>
                <c:pt idx="99">
                  <c:v>1.1218999999999999</c:v>
                </c:pt>
                <c:pt idx="100">
                  <c:v>1.0952999999999999</c:v>
                </c:pt>
                <c:pt idx="101">
                  <c:v>1.0928</c:v>
                </c:pt>
                <c:pt idx="102">
                  <c:v>1.095</c:v>
                </c:pt>
                <c:pt idx="103">
                  <c:v>1.1274999999999999</c:v>
                </c:pt>
                <c:pt idx="104">
                  <c:v>1.1338999999999999</c:v>
                </c:pt>
                <c:pt idx="105">
                  <c:v>1.1902999999999999</c:v>
                </c:pt>
                <c:pt idx="106">
                  <c:v>1.2870999999999999</c:v>
                </c:pt>
                <c:pt idx="107">
                  <c:v>1.0162</c:v>
                </c:pt>
                <c:pt idx="108">
                  <c:v>1.0159</c:v>
                </c:pt>
                <c:pt idx="109">
                  <c:v>0.99550000000000005</c:v>
                </c:pt>
                <c:pt idx="110">
                  <c:v>1.0076000000000001</c:v>
                </c:pt>
                <c:pt idx="111">
                  <c:v>1.0162</c:v>
                </c:pt>
                <c:pt idx="112">
                  <c:v>1.0283</c:v>
                </c:pt>
                <c:pt idx="113">
                  <c:v>1.0535000000000001</c:v>
                </c:pt>
                <c:pt idx="114">
                  <c:v>1.048</c:v>
                </c:pt>
                <c:pt idx="115">
                  <c:v>1.0354000000000001</c:v>
                </c:pt>
                <c:pt idx="116">
                  <c:v>1.0681</c:v>
                </c:pt>
                <c:pt idx="117">
                  <c:v>1.0736000000000001</c:v>
                </c:pt>
                <c:pt idx="118">
                  <c:v>1.0726</c:v>
                </c:pt>
                <c:pt idx="119">
                  <c:v>0.98380000000000001</c:v>
                </c:pt>
                <c:pt idx="120">
                  <c:v>0.94610000000000005</c:v>
                </c:pt>
                <c:pt idx="121">
                  <c:v>0.90869999999999995</c:v>
                </c:pt>
                <c:pt idx="122">
                  <c:v>0.93179999999999996</c:v>
                </c:pt>
                <c:pt idx="123">
                  <c:v>0.99009999999999998</c:v>
                </c:pt>
                <c:pt idx="124">
                  <c:v>0.99850000000000005</c:v>
                </c:pt>
                <c:pt idx="125">
                  <c:v>1.0349999999999999</c:v>
                </c:pt>
                <c:pt idx="126">
                  <c:v>1.1136999999999999</c:v>
                </c:pt>
                <c:pt idx="127">
                  <c:v>1.1317999999999999</c:v>
                </c:pt>
                <c:pt idx="128">
                  <c:v>1.0026999999999999</c:v>
                </c:pt>
                <c:pt idx="129">
                  <c:v>1.0246</c:v>
                </c:pt>
                <c:pt idx="130">
                  <c:v>1.1548</c:v>
                </c:pt>
                <c:pt idx="131">
                  <c:v>1.2019</c:v>
                </c:pt>
                <c:pt idx="132">
                  <c:v>1.1863999999999999</c:v>
                </c:pt>
                <c:pt idx="133">
                  <c:v>1.2397</c:v>
                </c:pt>
                <c:pt idx="134">
                  <c:v>1.3121</c:v>
                </c:pt>
                <c:pt idx="135">
                  <c:v>1.3144</c:v>
                </c:pt>
                <c:pt idx="136">
                  <c:v>1.1436999999999999</c:v>
                </c:pt>
                <c:pt idx="137">
                  <c:v>1.2022999999999999</c:v>
                </c:pt>
                <c:pt idx="138">
                  <c:v>1.1757</c:v>
                </c:pt>
                <c:pt idx="139">
                  <c:v>1.1499999999999999</c:v>
                </c:pt>
                <c:pt idx="140">
                  <c:v>1.2764</c:v>
                </c:pt>
                <c:pt idx="141">
                  <c:v>1.3246</c:v>
                </c:pt>
                <c:pt idx="142">
                  <c:v>1.1611</c:v>
                </c:pt>
                <c:pt idx="143">
                  <c:v>1.3944000000000001</c:v>
                </c:pt>
                <c:pt idx="144">
                  <c:v>1.5206999999999999</c:v>
                </c:pt>
                <c:pt idx="145">
                  <c:v>1.5165</c:v>
                </c:pt>
                <c:pt idx="146">
                  <c:v>1.2019</c:v>
                </c:pt>
                <c:pt idx="147">
                  <c:v>1.0667</c:v>
                </c:pt>
                <c:pt idx="148">
                  <c:v>1.0507</c:v>
                </c:pt>
                <c:pt idx="149">
                  <c:v>0.87790000000000001</c:v>
                </c:pt>
                <c:pt idx="150">
                  <c:v>0.85799999999999998</c:v>
                </c:pt>
                <c:pt idx="151">
                  <c:v>0.89770000000000005</c:v>
                </c:pt>
                <c:pt idx="152">
                  <c:v>0.88270000000000004</c:v>
                </c:pt>
                <c:pt idx="153">
                  <c:v>0.8992</c:v>
                </c:pt>
                <c:pt idx="154">
                  <c:v>0.84370000000000001</c:v>
                </c:pt>
                <c:pt idx="155">
                  <c:v>0.94399999999999995</c:v>
                </c:pt>
                <c:pt idx="156">
                  <c:v>0.89770000000000005</c:v>
                </c:pt>
                <c:pt idx="157">
                  <c:v>0.9244</c:v>
                </c:pt>
                <c:pt idx="158">
                  <c:v>0.91830000000000001</c:v>
                </c:pt>
                <c:pt idx="159">
                  <c:v>0.83330000000000004</c:v>
                </c:pt>
                <c:pt idx="160">
                  <c:v>0.80959999999999999</c:v>
                </c:pt>
                <c:pt idx="161">
                  <c:v>0.81179999999999997</c:v>
                </c:pt>
                <c:pt idx="162">
                  <c:v>0.74</c:v>
                </c:pt>
                <c:pt idx="163">
                  <c:v>0.75890000000000002</c:v>
                </c:pt>
                <c:pt idx="164">
                  <c:v>0.70830000000000004</c:v>
                </c:pt>
                <c:pt idx="165">
                  <c:v>0.66879999999999995</c:v>
                </c:pt>
                <c:pt idx="166">
                  <c:v>0.61619999999999997</c:v>
                </c:pt>
                <c:pt idx="167">
                  <c:v>0.5212</c:v>
                </c:pt>
                <c:pt idx="168">
                  <c:v>0.48749999999999999</c:v>
                </c:pt>
                <c:pt idx="169">
                  <c:v>0.50580000000000003</c:v>
                </c:pt>
                <c:pt idx="170">
                  <c:v>0.50160000000000005</c:v>
                </c:pt>
                <c:pt idx="171">
                  <c:v>0.4803</c:v>
                </c:pt>
                <c:pt idx="172">
                  <c:v>0.4587</c:v>
                </c:pt>
                <c:pt idx="173">
                  <c:v>0.48399999999999999</c:v>
                </c:pt>
                <c:pt idx="174">
                  <c:v>0.4995</c:v>
                </c:pt>
                <c:pt idx="175">
                  <c:v>0.49730000000000002</c:v>
                </c:pt>
                <c:pt idx="176">
                  <c:v>0.46949999999999997</c:v>
                </c:pt>
                <c:pt idx="177">
                  <c:v>0.42859999999999998</c:v>
                </c:pt>
                <c:pt idx="178">
                  <c:v>0.39190000000000003</c:v>
                </c:pt>
                <c:pt idx="179">
                  <c:v>0.36430000000000001</c:v>
                </c:pt>
                <c:pt idx="180">
                  <c:v>0.39200000000000002</c:v>
                </c:pt>
                <c:pt idx="181">
                  <c:v>0.37469999999999998</c:v>
                </c:pt>
                <c:pt idx="182">
                  <c:v>0.3513</c:v>
                </c:pt>
                <c:pt idx="183">
                  <c:v>0.33210000000000001</c:v>
                </c:pt>
                <c:pt idx="184">
                  <c:v>0.33610000000000001</c:v>
                </c:pt>
                <c:pt idx="185">
                  <c:v>0.3251</c:v>
                </c:pt>
                <c:pt idx="186">
                  <c:v>0.3286</c:v>
                </c:pt>
                <c:pt idx="187">
                  <c:v>0.31680000000000003</c:v>
                </c:pt>
                <c:pt idx="188">
                  <c:v>0.3115</c:v>
                </c:pt>
                <c:pt idx="189">
                  <c:v>0.30270000000000002</c:v>
                </c:pt>
                <c:pt idx="190">
                  <c:v>0.2959</c:v>
                </c:pt>
                <c:pt idx="191">
                  <c:v>0.26840000000000003</c:v>
                </c:pt>
                <c:pt idx="192">
                  <c:v>0.28439999999999999</c:v>
                </c:pt>
                <c:pt idx="193">
                  <c:v>0.30919999999999997</c:v>
                </c:pt>
                <c:pt idx="194">
                  <c:v>0.30969999999999998</c:v>
                </c:pt>
                <c:pt idx="195">
                  <c:v>0.32190000000000002</c:v>
                </c:pt>
                <c:pt idx="196">
                  <c:v>0.34379999999999999</c:v>
                </c:pt>
                <c:pt idx="197">
                  <c:v>0.3231</c:v>
                </c:pt>
                <c:pt idx="198">
                  <c:v>0.33110000000000001</c:v>
                </c:pt>
                <c:pt idx="199">
                  <c:v>0.31730000000000003</c:v>
                </c:pt>
                <c:pt idx="200">
                  <c:v>0.3251</c:v>
                </c:pt>
                <c:pt idx="201">
                  <c:v>0.31859999999999999</c:v>
                </c:pt>
                <c:pt idx="202">
                  <c:v>0.32679999999999998</c:v>
                </c:pt>
                <c:pt idx="203">
                  <c:v>0.31740000000000002</c:v>
                </c:pt>
                <c:pt idx="204">
                  <c:v>0.34039999999999998</c:v>
                </c:pt>
                <c:pt idx="205">
                  <c:v>0.34189999999999998</c:v>
                </c:pt>
                <c:pt idx="206">
                  <c:v>0.3296</c:v>
                </c:pt>
                <c:pt idx="207">
                  <c:v>0.33789999999999998</c:v>
                </c:pt>
                <c:pt idx="208">
                  <c:v>0.33579999999999999</c:v>
                </c:pt>
                <c:pt idx="209">
                  <c:v>0.316</c:v>
                </c:pt>
                <c:pt idx="210">
                  <c:v>0.31419999999999998</c:v>
                </c:pt>
                <c:pt idx="211">
                  <c:v>0.33169999999999999</c:v>
                </c:pt>
                <c:pt idx="212">
                  <c:v>0.33250000000000002</c:v>
                </c:pt>
                <c:pt idx="213">
                  <c:v>0.32100000000000001</c:v>
                </c:pt>
                <c:pt idx="214">
                  <c:v>0.29570000000000002</c:v>
                </c:pt>
                <c:pt idx="215">
                  <c:v>0.2792</c:v>
                </c:pt>
                <c:pt idx="216">
                  <c:v>0.27329999999999999</c:v>
                </c:pt>
                <c:pt idx="217">
                  <c:v>0.31180000000000002</c:v>
                </c:pt>
                <c:pt idx="218">
                  <c:v>0.30149999999999999</c:v>
                </c:pt>
                <c:pt idx="219">
                  <c:v>0.27450000000000002</c:v>
                </c:pt>
                <c:pt idx="220">
                  <c:v>0.26469999999999999</c:v>
                </c:pt>
                <c:pt idx="221">
                  <c:v>0.32950000000000002</c:v>
                </c:pt>
                <c:pt idx="222">
                  <c:v>0.32719999999999999</c:v>
                </c:pt>
                <c:pt idx="223">
                  <c:v>0.32829999999999998</c:v>
                </c:pt>
                <c:pt idx="224">
                  <c:v>0.34799999999999998</c:v>
                </c:pt>
                <c:pt idx="225">
                  <c:v>0.3553</c:v>
                </c:pt>
                <c:pt idx="226">
                  <c:v>0.37259999999999999</c:v>
                </c:pt>
                <c:pt idx="227">
                  <c:v>0.38840000000000002</c:v>
                </c:pt>
                <c:pt idx="228">
                  <c:v>0.37030000000000002</c:v>
                </c:pt>
                <c:pt idx="229">
                  <c:v>0.35099999999999998</c:v>
                </c:pt>
                <c:pt idx="230">
                  <c:v>0.35160000000000002</c:v>
                </c:pt>
                <c:pt idx="231">
                  <c:v>0.33779999999999999</c:v>
                </c:pt>
                <c:pt idx="232">
                  <c:v>0.36230000000000001</c:v>
                </c:pt>
                <c:pt idx="233">
                  <c:v>0.32069999999999999</c:v>
                </c:pt>
                <c:pt idx="234">
                  <c:v>0.34310000000000002</c:v>
                </c:pt>
                <c:pt idx="235">
                  <c:v>0.38590000000000002</c:v>
                </c:pt>
                <c:pt idx="236">
                  <c:v>0.4194</c:v>
                </c:pt>
                <c:pt idx="237">
                  <c:v>0.45300000000000001</c:v>
                </c:pt>
                <c:pt idx="238">
                  <c:v>0.53090000000000004</c:v>
                </c:pt>
                <c:pt idx="239">
                  <c:v>0.52280000000000004</c:v>
                </c:pt>
                <c:pt idx="240">
                  <c:v>0.49919999999999998</c:v>
                </c:pt>
                <c:pt idx="241">
                  <c:v>0.52059999999999995</c:v>
                </c:pt>
                <c:pt idx="242">
                  <c:v>0.51070000000000004</c:v>
                </c:pt>
                <c:pt idx="243">
                  <c:v>0.48259999999999997</c:v>
                </c:pt>
                <c:pt idx="244">
                  <c:v>0.51749999999999996</c:v>
                </c:pt>
                <c:pt idx="245">
                  <c:v>0.57520000000000004</c:v>
                </c:pt>
                <c:pt idx="246">
                  <c:v>0.61</c:v>
                </c:pt>
                <c:pt idx="247">
                  <c:v>0.51619999999999999</c:v>
                </c:pt>
                <c:pt idx="248">
                  <c:v>0.53090000000000004</c:v>
                </c:pt>
                <c:pt idx="249">
                  <c:v>0.41849999999999998</c:v>
                </c:pt>
                <c:pt idx="250">
                  <c:v>0.48020000000000002</c:v>
                </c:pt>
                <c:pt idx="251">
                  <c:v>0.54100000000000004</c:v>
                </c:pt>
                <c:pt idx="252">
                  <c:v>0.58660000000000001</c:v>
                </c:pt>
                <c:pt idx="253">
                  <c:v>0.5</c:v>
                </c:pt>
                <c:pt idx="254">
                  <c:v>0.74709999999999999</c:v>
                </c:pt>
                <c:pt idx="255">
                  <c:v>0.72640000000000005</c:v>
                </c:pt>
                <c:pt idx="256">
                  <c:v>0.79249999999999998</c:v>
                </c:pt>
                <c:pt idx="257">
                  <c:v>0.78539999999999999</c:v>
                </c:pt>
                <c:pt idx="258">
                  <c:v>0.86809999999999998</c:v>
                </c:pt>
                <c:pt idx="259">
                  <c:v>0.80330000000000001</c:v>
                </c:pt>
                <c:pt idx="260">
                  <c:v>0.86760000000000004</c:v>
                </c:pt>
                <c:pt idx="261">
                  <c:v>0.97170000000000001</c:v>
                </c:pt>
                <c:pt idx="262">
                  <c:v>0.90659999999999996</c:v>
                </c:pt>
                <c:pt idx="263">
                  <c:v>0.93489999999999995</c:v>
                </c:pt>
                <c:pt idx="264">
                  <c:v>0.96599999999999997</c:v>
                </c:pt>
                <c:pt idx="265">
                  <c:v>0.95320000000000005</c:v>
                </c:pt>
                <c:pt idx="266">
                  <c:v>0.94399999999999995</c:v>
                </c:pt>
                <c:pt idx="267">
                  <c:v>0.99370000000000003</c:v>
                </c:pt>
                <c:pt idx="268">
                  <c:v>0.94979999999999998</c:v>
                </c:pt>
                <c:pt idx="269">
                  <c:v>1.0719000000000001</c:v>
                </c:pt>
                <c:pt idx="270">
                  <c:v>1.0819000000000001</c:v>
                </c:pt>
                <c:pt idx="271">
                  <c:v>0.74680000000000002</c:v>
                </c:pt>
                <c:pt idx="272">
                  <c:v>0.6835</c:v>
                </c:pt>
                <c:pt idx="273">
                  <c:v>0.63849999999999996</c:v>
                </c:pt>
                <c:pt idx="274">
                  <c:v>0.62529999999999997</c:v>
                </c:pt>
                <c:pt idx="275">
                  <c:v>0.66639999999999999</c:v>
                </c:pt>
                <c:pt idx="276">
                  <c:v>0.65039999999999998</c:v>
                </c:pt>
                <c:pt idx="277">
                  <c:v>0.54800000000000004</c:v>
                </c:pt>
                <c:pt idx="278">
                  <c:v>0.54349999999999998</c:v>
                </c:pt>
                <c:pt idx="279">
                  <c:v>0.58499999999999996</c:v>
                </c:pt>
                <c:pt idx="280">
                  <c:v>0.61950000000000005</c:v>
                </c:pt>
                <c:pt idx="281">
                  <c:v>0.65949999999999998</c:v>
                </c:pt>
                <c:pt idx="282">
                  <c:v>0.7097</c:v>
                </c:pt>
                <c:pt idx="283">
                  <c:v>0.65800000000000003</c:v>
                </c:pt>
                <c:pt idx="284">
                  <c:v>0.69640000000000002</c:v>
                </c:pt>
                <c:pt idx="285">
                  <c:v>0.79</c:v>
                </c:pt>
                <c:pt idx="286">
                  <c:v>0.76600000000000001</c:v>
                </c:pt>
                <c:pt idx="287">
                  <c:v>0.79949999999999999</c:v>
                </c:pt>
                <c:pt idx="288">
                  <c:v>0.79630000000000001</c:v>
                </c:pt>
                <c:pt idx="289">
                  <c:v>0.82179999999999997</c:v>
                </c:pt>
                <c:pt idx="290">
                  <c:v>0.84419999999999995</c:v>
                </c:pt>
                <c:pt idx="291">
                  <c:v>0.81430000000000002</c:v>
                </c:pt>
                <c:pt idx="292">
                  <c:v>0.70920000000000005</c:v>
                </c:pt>
                <c:pt idx="293">
                  <c:v>0.72919999999999996</c:v>
                </c:pt>
                <c:pt idx="294">
                  <c:v>0.7167</c:v>
                </c:pt>
                <c:pt idx="295">
                  <c:v>0.66220000000000001</c:v>
                </c:pt>
                <c:pt idx="296">
                  <c:v>0.73740000000000006</c:v>
                </c:pt>
                <c:pt idx="297">
                  <c:v>0.73040000000000005</c:v>
                </c:pt>
                <c:pt idx="298">
                  <c:v>0.74960000000000004</c:v>
                </c:pt>
                <c:pt idx="299">
                  <c:v>0.59319999999999995</c:v>
                </c:pt>
                <c:pt idx="300">
                  <c:v>0.60929999999999995</c:v>
                </c:pt>
                <c:pt idx="301">
                  <c:v>0.61860000000000004</c:v>
                </c:pt>
                <c:pt idx="302">
                  <c:v>0.61699999999999999</c:v>
                </c:pt>
                <c:pt idx="303">
                  <c:v>0.65600000000000003</c:v>
                </c:pt>
                <c:pt idx="304">
                  <c:v>0.64549999999999996</c:v>
                </c:pt>
                <c:pt idx="305">
                  <c:v>0.56830000000000003</c:v>
                </c:pt>
                <c:pt idx="306">
                  <c:v>0.56969999999999998</c:v>
                </c:pt>
                <c:pt idx="307">
                  <c:v>0.56310000000000004</c:v>
                </c:pt>
                <c:pt idx="308">
                  <c:v>0.50760000000000005</c:v>
                </c:pt>
                <c:pt idx="309">
                  <c:v>0.54149999999999998</c:v>
                </c:pt>
                <c:pt idx="310">
                  <c:v>0.57469999999999999</c:v>
                </c:pt>
                <c:pt idx="311">
                  <c:v>0.59530000000000005</c:v>
                </c:pt>
                <c:pt idx="312">
                  <c:v>0.61670000000000003</c:v>
                </c:pt>
                <c:pt idx="313">
                  <c:v>0.624</c:v>
                </c:pt>
                <c:pt idx="314">
                  <c:v>0.64770000000000005</c:v>
                </c:pt>
                <c:pt idx="315">
                  <c:v>0.5978</c:v>
                </c:pt>
                <c:pt idx="316">
                  <c:v>0.62409999999999999</c:v>
                </c:pt>
                <c:pt idx="317">
                  <c:v>0.63660000000000005</c:v>
                </c:pt>
                <c:pt idx="318">
                  <c:v>0.56059999999999999</c:v>
                </c:pt>
                <c:pt idx="319">
                  <c:v>0.53800000000000003</c:v>
                </c:pt>
                <c:pt idx="320">
                  <c:v>0.53349999999999997</c:v>
                </c:pt>
                <c:pt idx="321">
                  <c:v>0.49809999999999999</c:v>
                </c:pt>
                <c:pt idx="322">
                  <c:v>0.53159999999999996</c:v>
                </c:pt>
                <c:pt idx="323">
                  <c:v>0.55130000000000001</c:v>
                </c:pt>
                <c:pt idx="324">
                  <c:v>0.58940000000000003</c:v>
                </c:pt>
                <c:pt idx="325">
                  <c:v>0.54259999999999997</c:v>
                </c:pt>
                <c:pt idx="326">
                  <c:v>0.55279999999999996</c:v>
                </c:pt>
                <c:pt idx="327">
                  <c:v>0.50700000000000001</c:v>
                </c:pt>
                <c:pt idx="328">
                  <c:v>0.5</c:v>
                </c:pt>
                <c:pt idx="329">
                  <c:v>0.50880000000000003</c:v>
                </c:pt>
                <c:pt idx="330">
                  <c:v>0.54049999999999998</c:v>
                </c:pt>
                <c:pt idx="331">
                  <c:v>0.52280000000000004</c:v>
                </c:pt>
                <c:pt idx="332">
                  <c:v>0.53339999999999999</c:v>
                </c:pt>
                <c:pt idx="333">
                  <c:v>0.46050000000000002</c:v>
                </c:pt>
                <c:pt idx="334">
                  <c:v>0.53620000000000001</c:v>
                </c:pt>
                <c:pt idx="335">
                  <c:v>0.5413</c:v>
                </c:pt>
                <c:pt idx="336">
                  <c:v>0.57799999999999996</c:v>
                </c:pt>
                <c:pt idx="337">
                  <c:v>0.62890000000000001</c:v>
                </c:pt>
                <c:pt idx="338">
                  <c:v>0.60470000000000002</c:v>
                </c:pt>
                <c:pt idx="339">
                  <c:v>0.70479999999999998</c:v>
                </c:pt>
                <c:pt idx="340">
                  <c:v>0.7611</c:v>
                </c:pt>
                <c:pt idx="341">
                  <c:v>0.74139999999999995</c:v>
                </c:pt>
                <c:pt idx="342">
                  <c:v>0.87</c:v>
                </c:pt>
                <c:pt idx="343">
                  <c:v>0.77929999999999999</c:v>
                </c:pt>
                <c:pt idx="344">
                  <c:v>0.66169999999999995</c:v>
                </c:pt>
                <c:pt idx="345">
                  <c:v>0.64529999999999998</c:v>
                </c:pt>
                <c:pt idx="346">
                  <c:v>0.56930000000000003</c:v>
                </c:pt>
                <c:pt idx="347">
                  <c:v>0.63970000000000005</c:v>
                </c:pt>
                <c:pt idx="348">
                  <c:v>0.6552</c:v>
                </c:pt>
                <c:pt idx="349">
                  <c:v>0.69499999999999995</c:v>
                </c:pt>
                <c:pt idx="350">
                  <c:v>0.72119999999999995</c:v>
                </c:pt>
                <c:pt idx="351">
                  <c:v>0.63839999999999997</c:v>
                </c:pt>
                <c:pt idx="352">
                  <c:v>0.6462</c:v>
                </c:pt>
                <c:pt idx="353">
                  <c:v>0.70420000000000005</c:v>
                </c:pt>
                <c:pt idx="354">
                  <c:v>0.60960000000000003</c:v>
                </c:pt>
                <c:pt idx="355">
                  <c:v>0.5504</c:v>
                </c:pt>
                <c:pt idx="356">
                  <c:v>0.46339999999999998</c:v>
                </c:pt>
                <c:pt idx="357">
                  <c:v>0.41299999999999998</c:v>
                </c:pt>
                <c:pt idx="358">
                  <c:v>0.36959999999999998</c:v>
                </c:pt>
                <c:pt idx="359">
                  <c:v>0.3266</c:v>
                </c:pt>
                <c:pt idx="360">
                  <c:v>0.30180000000000001</c:v>
                </c:pt>
                <c:pt idx="361">
                  <c:v>0.29070000000000001</c:v>
                </c:pt>
                <c:pt idx="362">
                  <c:v>0.29799999999999999</c:v>
                </c:pt>
                <c:pt idx="363">
                  <c:v>0.28799999999999998</c:v>
                </c:pt>
                <c:pt idx="364">
                  <c:v>0.30120000000000002</c:v>
                </c:pt>
                <c:pt idx="365">
                  <c:v>0.43099999999999999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F8-4676-BC70-6857566446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-3.2388111465577327</c:v>
                </c:pt>
                <c:pt idx="1">
                  <c:v>-3.2377665724952327</c:v>
                </c:pt>
                <c:pt idx="2">
                  <c:v>-3.1902082147638353</c:v>
                </c:pt>
                <c:pt idx="3">
                  <c:v>-3.182118162197888</c:v>
                </c:pt>
                <c:pt idx="4">
                  <c:v>-3.2109606930685515</c:v>
                </c:pt>
                <c:pt idx="5">
                  <c:v>-3.2176361529397961</c:v>
                </c:pt>
                <c:pt idx="6">
                  <c:v>-3.161900688504232</c:v>
                </c:pt>
                <c:pt idx="7">
                  <c:v>-3.1030666569491565</c:v>
                </c:pt>
                <c:pt idx="8">
                  <c:v>-3.0683479060548469</c:v>
                </c:pt>
                <c:pt idx="9">
                  <c:v>-3.067939135895394</c:v>
                </c:pt>
                <c:pt idx="10">
                  <c:v>-3.0772832102123338</c:v>
                </c:pt>
                <c:pt idx="11">
                  <c:v>-3.0664784602123336</c:v>
                </c:pt>
                <c:pt idx="12">
                  <c:v>-3.0482149014104905</c:v>
                </c:pt>
                <c:pt idx="13">
                  <c:v>-3.0309717698138514</c:v>
                </c:pt>
                <c:pt idx="14">
                  <c:v>-3.0614424988138516</c:v>
                </c:pt>
                <c:pt idx="15">
                  <c:v>-3.0156739741984668</c:v>
                </c:pt>
                <c:pt idx="16">
                  <c:v>-3.0583381731215442</c:v>
                </c:pt>
                <c:pt idx="17">
                  <c:v>-3.0836328358367759</c:v>
                </c:pt>
                <c:pt idx="18">
                  <c:v>-3.0823994962289327</c:v>
                </c:pt>
                <c:pt idx="19">
                  <c:v>-3.0855529124232643</c:v>
                </c:pt>
                <c:pt idx="20">
                  <c:v>-3.0473050529781909</c:v>
                </c:pt>
                <c:pt idx="21">
                  <c:v>-3.0602055352729982</c:v>
                </c:pt>
                <c:pt idx="22">
                  <c:v>-3.0669170077885908</c:v>
                </c:pt>
                <c:pt idx="23">
                  <c:v>-3.0377163183103297</c:v>
                </c:pt>
                <c:pt idx="24">
                  <c:v>-3.0068723764728742</c:v>
                </c:pt>
                <c:pt idx="25">
                  <c:v>-2.9994061624728738</c:v>
                </c:pt>
                <c:pt idx="26">
                  <c:v>-3.0049632543647657</c:v>
                </c:pt>
                <c:pt idx="27">
                  <c:v>-3.0187453988685831</c:v>
                </c:pt>
                <c:pt idx="28">
                  <c:v>-2.9953692711087676</c:v>
                </c:pt>
                <c:pt idx="29">
                  <c:v>-3.0198216098398851</c:v>
                </c:pt>
                <c:pt idx="30">
                  <c:v>-2.9891318025116407</c:v>
                </c:pt>
                <c:pt idx="31">
                  <c:v>-2.9311738788752768</c:v>
                </c:pt>
                <c:pt idx="32">
                  <c:v>-2.8955568563220857</c:v>
                </c:pt>
                <c:pt idx="33">
                  <c:v>-2.9245669697569889</c:v>
                </c:pt>
                <c:pt idx="34">
                  <c:v>-2.8599401573743175</c:v>
                </c:pt>
                <c:pt idx="35">
                  <c:v>-2.7622019102877036</c:v>
                </c:pt>
                <c:pt idx="36">
                  <c:v>-2.8185753680331578</c:v>
                </c:pt>
                <c:pt idx="37">
                  <c:v>-2.7837099017010636</c:v>
                </c:pt>
                <c:pt idx="38">
                  <c:v>-2.8037276392217252</c:v>
                </c:pt>
                <c:pt idx="39">
                  <c:v>-2.8101128428404465</c:v>
                </c:pt>
                <c:pt idx="40">
                  <c:v>-2.7945774298992703</c:v>
                </c:pt>
                <c:pt idx="41">
                  <c:v>-2.7968462711960997</c:v>
                </c:pt>
                <c:pt idx="42">
                  <c:v>-2.775522944636553</c:v>
                </c:pt>
                <c:pt idx="43">
                  <c:v>-2.7138566795070198</c:v>
                </c:pt>
                <c:pt idx="44">
                  <c:v>-2.7115640658637559</c:v>
                </c:pt>
                <c:pt idx="45">
                  <c:v>-2.7843501858781861</c:v>
                </c:pt>
                <c:pt idx="46">
                  <c:v>-2.7205237493267935</c:v>
                </c:pt>
                <c:pt idx="47">
                  <c:v>-2.7122687168784161</c:v>
                </c:pt>
                <c:pt idx="48">
                  <c:v>-2.7152976385838423</c:v>
                </c:pt>
                <c:pt idx="49">
                  <c:v>-2.6820595126413505</c:v>
                </c:pt>
                <c:pt idx="50">
                  <c:v>-2.6041695186413509</c:v>
                </c:pt>
                <c:pt idx="51">
                  <c:v>-2.6699632589838167</c:v>
                </c:pt>
                <c:pt idx="52">
                  <c:v>-2.6199485321205458</c:v>
                </c:pt>
                <c:pt idx="53">
                  <c:v>-2.6805516521205459</c:v>
                </c:pt>
                <c:pt idx="54">
                  <c:v>-2.6293003279182789</c:v>
                </c:pt>
                <c:pt idx="55">
                  <c:v>-2.6305957447200363</c:v>
                </c:pt>
                <c:pt idx="56">
                  <c:v>-2.5554960228405186</c:v>
                </c:pt>
                <c:pt idx="57">
                  <c:v>-2.329869177457812</c:v>
                </c:pt>
                <c:pt idx="58">
                  <c:v>-2.2989526532534899</c:v>
                </c:pt>
                <c:pt idx="59">
                  <c:v>-2.293228444093022</c:v>
                </c:pt>
                <c:pt idx="60">
                  <c:v>-2.3225332687166778</c:v>
                </c:pt>
                <c:pt idx="61">
                  <c:v>-2.3883895632426171</c:v>
                </c:pt>
                <c:pt idx="62">
                  <c:v>-2.3677357941031123</c:v>
                </c:pt>
                <c:pt idx="63">
                  <c:v>-2.2429686705012446</c:v>
                </c:pt>
                <c:pt idx="64">
                  <c:v>-2.1884984931250067</c:v>
                </c:pt>
                <c:pt idx="65">
                  <c:v>-2.1958991499279805</c:v>
                </c:pt>
                <c:pt idx="66">
                  <c:v>-2.2776419218556918</c:v>
                </c:pt>
                <c:pt idx="67">
                  <c:v>-2.1780200117337403</c:v>
                </c:pt>
                <c:pt idx="68">
                  <c:v>-2.0692781366476685</c:v>
                </c:pt>
                <c:pt idx="69">
                  <c:v>-2.106420750972521</c:v>
                </c:pt>
                <c:pt idx="70">
                  <c:v>-2.1664125007802135</c:v>
                </c:pt>
                <c:pt idx="71">
                  <c:v>-2.094212071782346</c:v>
                </c:pt>
                <c:pt idx="72">
                  <c:v>-2.0401661171625469</c:v>
                </c:pt>
                <c:pt idx="73">
                  <c:v>-2.0957161376702476</c:v>
                </c:pt>
                <c:pt idx="74">
                  <c:v>-1.9610962898697939</c:v>
                </c:pt>
                <c:pt idx="75">
                  <c:v>-1.8441179658253497</c:v>
                </c:pt>
                <c:pt idx="76">
                  <c:v>-1.8818754615879214</c:v>
                </c:pt>
                <c:pt idx="77">
                  <c:v>-1.8769221112980663</c:v>
                </c:pt>
                <c:pt idx="78">
                  <c:v>-2.218123205785699</c:v>
                </c:pt>
                <c:pt idx="79">
                  <c:v>-2.1997595129525527</c:v>
                </c:pt>
                <c:pt idx="80">
                  <c:v>-2.1395076056912727</c:v>
                </c:pt>
                <c:pt idx="81">
                  <c:v>-2.1334243989719042</c:v>
                </c:pt>
                <c:pt idx="82">
                  <c:v>-2.0609465910107394</c:v>
                </c:pt>
                <c:pt idx="83">
                  <c:v>-2.07900345118773</c:v>
                </c:pt>
                <c:pt idx="84">
                  <c:v>-1.9910190660505727</c:v>
                </c:pt>
                <c:pt idx="85">
                  <c:v>-1.8252848149073402</c:v>
                </c:pt>
                <c:pt idx="86">
                  <c:v>-1.9497628339307072</c:v>
                </c:pt>
                <c:pt idx="87">
                  <c:v>-2.2841234143396294</c:v>
                </c:pt>
                <c:pt idx="88">
                  <c:v>-2.274362165118319</c:v>
                </c:pt>
                <c:pt idx="89">
                  <c:v>-2.1572258763115966</c:v>
                </c:pt>
                <c:pt idx="90">
                  <c:v>-2.1602461559915964</c:v>
                </c:pt>
                <c:pt idx="91">
                  <c:v>-2.1401055765179127</c:v>
                </c:pt>
                <c:pt idx="92">
                  <c:v>-2.1754988063350713</c:v>
                </c:pt>
                <c:pt idx="93">
                  <c:v>-2.1587159689417428</c:v>
                </c:pt>
                <c:pt idx="94">
                  <c:v>-2.0499453807701009</c:v>
                </c:pt>
                <c:pt idx="95">
                  <c:v>-2.0806613051801133</c:v>
                </c:pt>
                <c:pt idx="96">
                  <c:v>-2.0468644783144407</c:v>
                </c:pt>
                <c:pt idx="97">
                  <c:v>-2.0233481269428695</c:v>
                </c:pt>
                <c:pt idx="98">
                  <c:v>-1.9860525374247975</c:v>
                </c:pt>
                <c:pt idx="99">
                  <c:v>-1.9200368910247976</c:v>
                </c:pt>
                <c:pt idx="100">
                  <c:v>-2.0046665141361633</c:v>
                </c:pt>
                <c:pt idx="101">
                  <c:v>-1.9401907509361631</c:v>
                </c:pt>
                <c:pt idx="102">
                  <c:v>-1.924798508936163</c:v>
                </c:pt>
                <c:pt idx="103">
                  <c:v>-1.9013848615287554</c:v>
                </c:pt>
                <c:pt idx="104">
                  <c:v>-1.7994607103006852</c:v>
                </c:pt>
                <c:pt idx="105">
                  <c:v>-1.6906368794556146</c:v>
                </c:pt>
                <c:pt idx="106">
                  <c:v>-1.1984407231492376</c:v>
                </c:pt>
                <c:pt idx="107">
                  <c:v>-1.6356862886842436</c:v>
                </c:pt>
                <c:pt idx="108">
                  <c:v>-1.6812394505383939</c:v>
                </c:pt>
                <c:pt idx="109">
                  <c:v>-1.5922847492321839</c:v>
                </c:pt>
                <c:pt idx="110">
                  <c:v>-1.5749776718865862</c:v>
                </c:pt>
                <c:pt idx="111">
                  <c:v>-1.5479579921024138</c:v>
                </c:pt>
                <c:pt idx="112">
                  <c:v>-1.4718048011546383</c:v>
                </c:pt>
                <c:pt idx="113">
                  <c:v>-1.4066302864366185</c:v>
                </c:pt>
                <c:pt idx="114">
                  <c:v>-1.4549637038139083</c:v>
                </c:pt>
                <c:pt idx="115">
                  <c:v>-1.4358851760361306</c:v>
                </c:pt>
                <c:pt idx="116">
                  <c:v>-1.4105577489313352</c:v>
                </c:pt>
                <c:pt idx="117">
                  <c:v>-1.3207290106554734</c:v>
                </c:pt>
                <c:pt idx="118">
                  <c:v>-1.2556355280712044</c:v>
                </c:pt>
                <c:pt idx="119">
                  <c:v>-1.4326254560086515</c:v>
                </c:pt>
                <c:pt idx="120">
                  <c:v>-1.5035642925349677</c:v>
                </c:pt>
                <c:pt idx="121">
                  <c:v>-1.4387962197251141</c:v>
                </c:pt>
                <c:pt idx="122">
                  <c:v>-1.3493720945367393</c:v>
                </c:pt>
                <c:pt idx="123">
                  <c:v>-1.2172359667579542</c:v>
                </c:pt>
                <c:pt idx="124">
                  <c:v>-1.2584346603789094</c:v>
                </c:pt>
                <c:pt idx="125">
                  <c:v>-1.1767581169052252</c:v>
                </c:pt>
                <c:pt idx="126">
                  <c:v>-1.1202142342031467</c:v>
                </c:pt>
                <c:pt idx="127">
                  <c:v>-1.1275325753288947</c:v>
                </c:pt>
                <c:pt idx="128">
                  <c:v>-1.2943241306459135</c:v>
                </c:pt>
                <c:pt idx="129">
                  <c:v>-1.3110171741850438</c:v>
                </c:pt>
                <c:pt idx="130">
                  <c:v>-1.2250382041850438</c:v>
                </c:pt>
                <c:pt idx="131">
                  <c:v>-1.190447449203494</c:v>
                </c:pt>
                <c:pt idx="132">
                  <c:v>-1.1488086707034941</c:v>
                </c:pt>
                <c:pt idx="133">
                  <c:v>-1.0803307553258779</c:v>
                </c:pt>
                <c:pt idx="134">
                  <c:v>-1.0115433784683152</c:v>
                </c:pt>
                <c:pt idx="135">
                  <c:v>-0.97333704328813497</c:v>
                </c:pt>
                <c:pt idx="136">
                  <c:v>-1.1230558594905207</c:v>
                </c:pt>
                <c:pt idx="137">
                  <c:v>-1.0325690503909939</c:v>
                </c:pt>
                <c:pt idx="138">
                  <c:v>-1.0463782748512449</c:v>
                </c:pt>
                <c:pt idx="139">
                  <c:v>-0.98151279501103184</c:v>
                </c:pt>
                <c:pt idx="140">
                  <c:v>-0.8173656422902924</c:v>
                </c:pt>
                <c:pt idx="141">
                  <c:v>-0.65782912514343928</c:v>
                </c:pt>
                <c:pt idx="142">
                  <c:v>-0.64461350839833131</c:v>
                </c:pt>
                <c:pt idx="143">
                  <c:v>-0.41868350771499802</c:v>
                </c:pt>
                <c:pt idx="144">
                  <c:v>-0.29731528801884072</c:v>
                </c:pt>
                <c:pt idx="145">
                  <c:v>-0.19444029704209653</c:v>
                </c:pt>
                <c:pt idx="146">
                  <c:v>-1.029984434862522</c:v>
                </c:pt>
                <c:pt idx="147">
                  <c:v>-1.2069365471258378</c:v>
                </c:pt>
                <c:pt idx="148">
                  <c:v>-0.97598537676410557</c:v>
                </c:pt>
                <c:pt idx="149">
                  <c:v>-1.4561334519797922</c:v>
                </c:pt>
                <c:pt idx="150">
                  <c:v>-1.4625385771823853</c:v>
                </c:pt>
                <c:pt idx="151">
                  <c:v>-1.3946860390789368</c:v>
                </c:pt>
                <c:pt idx="152">
                  <c:v>-1.347091320870738</c:v>
                </c:pt>
                <c:pt idx="153">
                  <c:v>-1.3331259868948346</c:v>
                </c:pt>
                <c:pt idx="154">
                  <c:v>-1.4680009581992528</c:v>
                </c:pt>
                <c:pt idx="155">
                  <c:v>-1.261256646560992</c:v>
                </c:pt>
                <c:pt idx="156">
                  <c:v>-1.4103389231124688</c:v>
                </c:pt>
                <c:pt idx="157">
                  <c:v>-1.3485580933628207</c:v>
                </c:pt>
                <c:pt idx="158">
                  <c:v>-1.1900778462686334</c:v>
                </c:pt>
                <c:pt idx="159">
                  <c:v>-1.2615135495228003</c:v>
                </c:pt>
                <c:pt idx="160">
                  <c:v>-1.2441001792600803</c:v>
                </c:pt>
                <c:pt idx="161">
                  <c:v>-1.2345552449482617</c:v>
                </c:pt>
                <c:pt idx="162">
                  <c:v>-1.5216680061231824</c:v>
                </c:pt>
                <c:pt idx="163">
                  <c:v>-1.3523332205310175</c:v>
                </c:pt>
                <c:pt idx="164">
                  <c:v>-1.2216494671095743</c:v>
                </c:pt>
                <c:pt idx="165">
                  <c:v>-1.3100174748349513</c:v>
                </c:pt>
                <c:pt idx="166">
                  <c:v>-1.0811336554604269</c:v>
                </c:pt>
                <c:pt idx="167">
                  <c:v>-1.3399570898139943</c:v>
                </c:pt>
                <c:pt idx="168">
                  <c:v>-1.4195337380056026</c:v>
                </c:pt>
                <c:pt idx="169">
                  <c:v>-1.3575019675253053</c:v>
                </c:pt>
                <c:pt idx="170">
                  <c:v>-1.1400619681774067</c:v>
                </c:pt>
                <c:pt idx="171">
                  <c:v>-1.1155704546188199</c:v>
                </c:pt>
                <c:pt idx="172">
                  <c:v>-1.1471326431772877</c:v>
                </c:pt>
                <c:pt idx="173">
                  <c:v>-1.0737640477067723</c:v>
                </c:pt>
                <c:pt idx="174">
                  <c:v>-0.99451846723067272</c:v>
                </c:pt>
                <c:pt idx="175">
                  <c:v>-1.0090397046732258</c:v>
                </c:pt>
                <c:pt idx="176">
                  <c:v>-0.94571130627839628</c:v>
                </c:pt>
                <c:pt idx="177">
                  <c:v>-1.1502584264342244</c:v>
                </c:pt>
                <c:pt idx="178">
                  <c:v>-1.3086153874799384</c:v>
                </c:pt>
                <c:pt idx="179">
                  <c:v>-1.352264346377569</c:v>
                </c:pt>
                <c:pt idx="180">
                  <c:v>-1.2009490687051618</c:v>
                </c:pt>
                <c:pt idx="181">
                  <c:v>-1.326803484196071</c:v>
                </c:pt>
                <c:pt idx="182">
                  <c:v>-1.4583641601169137</c:v>
                </c:pt>
                <c:pt idx="183">
                  <c:v>-1.5387262599644613</c:v>
                </c:pt>
                <c:pt idx="184">
                  <c:v>-1.5233052434543346</c:v>
                </c:pt>
                <c:pt idx="185">
                  <c:v>-1.5948737903876682</c:v>
                </c:pt>
                <c:pt idx="186">
                  <c:v>-1.4147333565920928</c:v>
                </c:pt>
                <c:pt idx="187">
                  <c:v>-1.4694741937266607</c:v>
                </c:pt>
                <c:pt idx="188">
                  <c:v>-1.459575694386503</c:v>
                </c:pt>
                <c:pt idx="189">
                  <c:v>-1.4941315688902068</c:v>
                </c:pt>
                <c:pt idx="190">
                  <c:v>-1.5009822851137364</c:v>
                </c:pt>
                <c:pt idx="191">
                  <c:v>-1.5354611988955547</c:v>
                </c:pt>
                <c:pt idx="192">
                  <c:v>-1.5069238873741491</c:v>
                </c:pt>
                <c:pt idx="193">
                  <c:v>-1.4610578348494914</c:v>
                </c:pt>
                <c:pt idx="194">
                  <c:v>-1.419926153063777</c:v>
                </c:pt>
                <c:pt idx="195">
                  <c:v>-1.3875802274775701</c:v>
                </c:pt>
                <c:pt idx="196">
                  <c:v>-1.1605913980500828</c:v>
                </c:pt>
                <c:pt idx="197">
                  <c:v>-1.2500445432830922</c:v>
                </c:pt>
                <c:pt idx="198">
                  <c:v>-1.2958759571570648</c:v>
                </c:pt>
                <c:pt idx="199">
                  <c:v>-1.3686795481574512</c:v>
                </c:pt>
                <c:pt idx="200">
                  <c:v>-1.356600785038153</c:v>
                </c:pt>
                <c:pt idx="201">
                  <c:v>-1.3529469523815265</c:v>
                </c:pt>
                <c:pt idx="202">
                  <c:v>-1.3264455193220672</c:v>
                </c:pt>
                <c:pt idx="203">
                  <c:v>-1.3650176347659695</c:v>
                </c:pt>
                <c:pt idx="204">
                  <c:v>-1.2867254159146184</c:v>
                </c:pt>
                <c:pt idx="205">
                  <c:v>-1.1796478679820341</c:v>
                </c:pt>
                <c:pt idx="206">
                  <c:v>-1.1960532218378279</c:v>
                </c:pt>
                <c:pt idx="207">
                  <c:v>-1.2036460604768837</c:v>
                </c:pt>
                <c:pt idx="208">
                  <c:v>-1.1586049614118232</c:v>
                </c:pt>
                <c:pt idx="209">
                  <c:v>-1.2229902381304727</c:v>
                </c:pt>
                <c:pt idx="210">
                  <c:v>-1.2584140326106927</c:v>
                </c:pt>
                <c:pt idx="211">
                  <c:v>-1.2387575295652378</c:v>
                </c:pt>
                <c:pt idx="212">
                  <c:v>-1.3468108386528668</c:v>
                </c:pt>
                <c:pt idx="213">
                  <c:v>-1.3116411683421878</c:v>
                </c:pt>
                <c:pt idx="214">
                  <c:v>-1.4075731859691107</c:v>
                </c:pt>
                <c:pt idx="215">
                  <c:v>-1.4877075041915109</c:v>
                </c:pt>
                <c:pt idx="216">
                  <c:v>-1.606967138483393</c:v>
                </c:pt>
                <c:pt idx="217">
                  <c:v>-1.4496042396555042</c:v>
                </c:pt>
                <c:pt idx="218">
                  <c:v>-1.5105568741008344</c:v>
                </c:pt>
                <c:pt idx="219">
                  <c:v>-1.5574313870559511</c:v>
                </c:pt>
                <c:pt idx="220">
                  <c:v>-1.5671099257811245</c:v>
                </c:pt>
                <c:pt idx="221">
                  <c:v>-1.3627368993940723</c:v>
                </c:pt>
                <c:pt idx="222">
                  <c:v>-1.4810052338560833</c:v>
                </c:pt>
                <c:pt idx="223">
                  <c:v>-1.4503769035507772</c:v>
                </c:pt>
                <c:pt idx="224">
                  <c:v>-1.3815819983283888</c:v>
                </c:pt>
                <c:pt idx="225">
                  <c:v>-1.3048771466301128</c:v>
                </c:pt>
                <c:pt idx="226">
                  <c:v>-1.2128758511165991</c:v>
                </c:pt>
                <c:pt idx="227">
                  <c:v>-1.0743186009489376</c:v>
                </c:pt>
                <c:pt idx="228">
                  <c:v>-1.1828079777691505</c:v>
                </c:pt>
                <c:pt idx="229">
                  <c:v>-1.3287357876268742</c:v>
                </c:pt>
                <c:pt idx="230">
                  <c:v>-1.3683022697335407</c:v>
                </c:pt>
                <c:pt idx="231">
                  <c:v>-1.1871556550455156</c:v>
                </c:pt>
                <c:pt idx="232">
                  <c:v>-0.94294731711648316</c:v>
                </c:pt>
                <c:pt idx="233">
                  <c:v>-1.5949353358560914</c:v>
                </c:pt>
                <c:pt idx="234">
                  <c:v>-1.7869108714479476</c:v>
                </c:pt>
                <c:pt idx="235">
                  <c:v>-1.0896811216063778</c:v>
                </c:pt>
                <c:pt idx="236">
                  <c:v>-0.8286954034873536</c:v>
                </c:pt>
                <c:pt idx="237">
                  <c:v>-0.6653333878104114</c:v>
                </c:pt>
                <c:pt idx="238">
                  <c:v>-0.4546730879994777</c:v>
                </c:pt>
                <c:pt idx="239">
                  <c:v>-0.35664028920968593</c:v>
                </c:pt>
                <c:pt idx="240">
                  <c:v>-9.7671703186216804E-2</c:v>
                </c:pt>
                <c:pt idx="241">
                  <c:v>6.5599025954915333E-2</c:v>
                </c:pt>
                <c:pt idx="242">
                  <c:v>4.9144812170121156E-2</c:v>
                </c:pt>
                <c:pt idx="243">
                  <c:v>3.1238184621862956E-2</c:v>
                </c:pt>
                <c:pt idx="244">
                  <c:v>0.10837612432777557</c:v>
                </c:pt>
                <c:pt idx="245">
                  <c:v>0.1415589601818347</c:v>
                </c:pt>
                <c:pt idx="246">
                  <c:v>0.16566393784549055</c:v>
                </c:pt>
                <c:pt idx="247">
                  <c:v>5.632414496703339E-2</c:v>
                </c:pt>
                <c:pt idx="248">
                  <c:v>5.1750766510215249E-2</c:v>
                </c:pt>
                <c:pt idx="249">
                  <c:v>-9.9877206680283326E-2</c:v>
                </c:pt>
                <c:pt idx="250">
                  <c:v>-4.3738759444828648E-2</c:v>
                </c:pt>
                <c:pt idx="251">
                  <c:v>0.11218877862065181</c:v>
                </c:pt>
                <c:pt idx="252">
                  <c:v>0.12788096544127028</c:v>
                </c:pt>
                <c:pt idx="253">
                  <c:v>7.226056732698459E-2</c:v>
                </c:pt>
                <c:pt idx="254">
                  <c:v>0.24192246821863245</c:v>
                </c:pt>
                <c:pt idx="255">
                  <c:v>0.29442186016912747</c:v>
                </c:pt>
                <c:pt idx="256">
                  <c:v>0.33527648820602873</c:v>
                </c:pt>
                <c:pt idx="257">
                  <c:v>0.33258655310671842</c:v>
                </c:pt>
                <c:pt idx="258">
                  <c:v>0.43813684383138513</c:v>
                </c:pt>
                <c:pt idx="259">
                  <c:v>0.46110215449493885</c:v>
                </c:pt>
                <c:pt idx="260">
                  <c:v>0.6218145386160312</c:v>
                </c:pt>
                <c:pt idx="261">
                  <c:v>0.99950383567816437</c:v>
                </c:pt>
                <c:pt idx="262">
                  <c:v>0.87902954171079595</c:v>
                </c:pt>
                <c:pt idx="263">
                  <c:v>0.89658301695630849</c:v>
                </c:pt>
                <c:pt idx="264">
                  <c:v>0.91933854145850658</c:v>
                </c:pt>
                <c:pt idx="265">
                  <c:v>0.99983113304123672</c:v>
                </c:pt>
                <c:pt idx="266">
                  <c:v>1.1161981166867105</c:v>
                </c:pt>
                <c:pt idx="267">
                  <c:v>1.210507504294819</c:v>
                </c:pt>
                <c:pt idx="268">
                  <c:v>1.3231817975337941</c:v>
                </c:pt>
                <c:pt idx="269">
                  <c:v>1.8629394140429989</c:v>
                </c:pt>
                <c:pt idx="270">
                  <c:v>2.7507977766731133</c:v>
                </c:pt>
                <c:pt idx="271">
                  <c:v>1.5261297925490374</c:v>
                </c:pt>
                <c:pt idx="272">
                  <c:v>1.6162151278830093</c:v>
                </c:pt>
                <c:pt idx="273">
                  <c:v>1.5323322750045454</c:v>
                </c:pt>
                <c:pt idx="274">
                  <c:v>1.5704201093757955</c:v>
                </c:pt>
                <c:pt idx="275">
                  <c:v>1.5967712819512172</c:v>
                </c:pt>
                <c:pt idx="276">
                  <c:v>1.5829757702248279</c:v>
                </c:pt>
                <c:pt idx="277">
                  <c:v>1.5055649708344467</c:v>
                </c:pt>
                <c:pt idx="278">
                  <c:v>1.5165478822376215</c:v>
                </c:pt>
                <c:pt idx="279">
                  <c:v>1.5583925089851036</c:v>
                </c:pt>
                <c:pt idx="280">
                  <c:v>1.504058539176081</c:v>
                </c:pt>
                <c:pt idx="281">
                  <c:v>1.5970944682400807</c:v>
                </c:pt>
                <c:pt idx="282">
                  <c:v>1.7137955896854047</c:v>
                </c:pt>
                <c:pt idx="283">
                  <c:v>1.5863232385183808</c:v>
                </c:pt>
                <c:pt idx="284">
                  <c:v>1.7011522275683397</c:v>
                </c:pt>
                <c:pt idx="285">
                  <c:v>1.7724412265975737</c:v>
                </c:pt>
                <c:pt idx="286">
                  <c:v>1.7672458861540952</c:v>
                </c:pt>
                <c:pt idx="287">
                  <c:v>1.7832943025490895</c:v>
                </c:pt>
                <c:pt idx="288">
                  <c:v>1.820373348646616</c:v>
                </c:pt>
                <c:pt idx="289">
                  <c:v>1.868562732642812</c:v>
                </c:pt>
                <c:pt idx="290">
                  <c:v>1.8643392448350413</c:v>
                </c:pt>
                <c:pt idx="291">
                  <c:v>1.7146725200023289</c:v>
                </c:pt>
                <c:pt idx="292">
                  <c:v>1.5138290506484335</c:v>
                </c:pt>
                <c:pt idx="293">
                  <c:v>1.5509281080078083</c:v>
                </c:pt>
                <c:pt idx="294">
                  <c:v>1.508452396984687</c:v>
                </c:pt>
                <c:pt idx="295">
                  <c:v>1.4356632117846873</c:v>
                </c:pt>
                <c:pt idx="296">
                  <c:v>1.519923579766475</c:v>
                </c:pt>
                <c:pt idx="297">
                  <c:v>1.5061201661511927</c:v>
                </c:pt>
                <c:pt idx="298">
                  <c:v>1.5387120281659712</c:v>
                </c:pt>
                <c:pt idx="299">
                  <c:v>1.2257961915571447</c:v>
                </c:pt>
                <c:pt idx="300">
                  <c:v>1.3484476458671033</c:v>
                </c:pt>
                <c:pt idx="301">
                  <c:v>1.4137955607503689</c:v>
                </c:pt>
                <c:pt idx="302">
                  <c:v>1.4991908488719152</c:v>
                </c:pt>
                <c:pt idx="303">
                  <c:v>1.4915952795988889</c:v>
                </c:pt>
                <c:pt idx="304">
                  <c:v>1.4313540276277907</c:v>
                </c:pt>
                <c:pt idx="305">
                  <c:v>1.2941104708002453</c:v>
                </c:pt>
                <c:pt idx="306">
                  <c:v>1.3018480872923244</c:v>
                </c:pt>
                <c:pt idx="307">
                  <c:v>1.2831785131562421</c:v>
                </c:pt>
                <c:pt idx="308">
                  <c:v>1.2264668466084685</c:v>
                </c:pt>
                <c:pt idx="309">
                  <c:v>1.2576388783154171</c:v>
                </c:pt>
                <c:pt idx="310">
                  <c:v>1.3198449280464173</c:v>
                </c:pt>
                <c:pt idx="311">
                  <c:v>1.3447349044797503</c:v>
                </c:pt>
                <c:pt idx="312">
                  <c:v>1.4118755805825089</c:v>
                </c:pt>
                <c:pt idx="313">
                  <c:v>1.4172593600909382</c:v>
                </c:pt>
                <c:pt idx="314">
                  <c:v>1.5534915432576049</c:v>
                </c:pt>
                <c:pt idx="315">
                  <c:v>1.4782572460347299</c:v>
                </c:pt>
                <c:pt idx="316">
                  <c:v>1.5158712253183118</c:v>
                </c:pt>
                <c:pt idx="317">
                  <c:v>1.4725383320956276</c:v>
                </c:pt>
                <c:pt idx="318">
                  <c:v>1.361495816179922</c:v>
                </c:pt>
                <c:pt idx="319">
                  <c:v>1.3088316640549222</c:v>
                </c:pt>
                <c:pt idx="320">
                  <c:v>1.3648223233297421</c:v>
                </c:pt>
                <c:pt idx="321">
                  <c:v>1.3110629967912262</c:v>
                </c:pt>
                <c:pt idx="322">
                  <c:v>1.3624080126609579</c:v>
                </c:pt>
                <c:pt idx="323">
                  <c:v>1.41806491619037</c:v>
                </c:pt>
                <c:pt idx="324">
                  <c:v>1.47340066771144</c:v>
                </c:pt>
                <c:pt idx="325">
                  <c:v>1.4227561090425354</c:v>
                </c:pt>
                <c:pt idx="326">
                  <c:v>1.4163222521358689</c:v>
                </c:pt>
                <c:pt idx="327">
                  <c:v>1.3460323811542025</c:v>
                </c:pt>
                <c:pt idx="328">
                  <c:v>1.3397115598017604</c:v>
                </c:pt>
                <c:pt idx="329">
                  <c:v>1.3361980168274823</c:v>
                </c:pt>
                <c:pt idx="330">
                  <c:v>1.3831418831903393</c:v>
                </c:pt>
                <c:pt idx="331">
                  <c:v>1.4113366886664884</c:v>
                </c:pt>
                <c:pt idx="332">
                  <c:v>1.4351617898964883</c:v>
                </c:pt>
                <c:pt idx="333">
                  <c:v>1.3474796962847551</c:v>
                </c:pt>
                <c:pt idx="334">
                  <c:v>1.3954849707794708</c:v>
                </c:pt>
                <c:pt idx="335">
                  <c:v>1.4132139988923496</c:v>
                </c:pt>
                <c:pt idx="336">
                  <c:v>1.4121792574785033</c:v>
                </c:pt>
                <c:pt idx="337">
                  <c:v>1.5249301528473711</c:v>
                </c:pt>
                <c:pt idx="338">
                  <c:v>1.5112328660643575</c:v>
                </c:pt>
                <c:pt idx="339">
                  <c:v>1.5474620320697277</c:v>
                </c:pt>
                <c:pt idx="340">
                  <c:v>1.4458097929470386</c:v>
                </c:pt>
                <c:pt idx="341">
                  <c:v>1.4749521911547592</c:v>
                </c:pt>
                <c:pt idx="342">
                  <c:v>1.5557600871107593</c:v>
                </c:pt>
                <c:pt idx="343">
                  <c:v>1.2349153570162645</c:v>
                </c:pt>
                <c:pt idx="344">
                  <c:v>1.0200547423581343</c:v>
                </c:pt>
                <c:pt idx="345">
                  <c:v>0.90321027415931454</c:v>
                </c:pt>
                <c:pt idx="346">
                  <c:v>0.7704919868232567</c:v>
                </c:pt>
                <c:pt idx="347">
                  <c:v>0.79911232329959259</c:v>
                </c:pt>
                <c:pt idx="348">
                  <c:v>0.79885328999318428</c:v>
                </c:pt>
                <c:pt idx="349">
                  <c:v>0.88587355654519606</c:v>
                </c:pt>
                <c:pt idx="350">
                  <c:v>0.92687939642532469</c:v>
                </c:pt>
                <c:pt idx="351">
                  <c:v>0.80590218760423749</c:v>
                </c:pt>
                <c:pt idx="352">
                  <c:v>1.0334243498383966</c:v>
                </c:pt>
                <c:pt idx="353">
                  <c:v>1.1417114298668447</c:v>
                </c:pt>
                <c:pt idx="354">
                  <c:v>0.80676126902829914</c:v>
                </c:pt>
                <c:pt idx="355">
                  <c:v>0.68233322590576095</c:v>
                </c:pt>
                <c:pt idx="356">
                  <c:v>0.36012606984204432</c:v>
                </c:pt>
                <c:pt idx="357">
                  <c:v>0.52720424623250373</c:v>
                </c:pt>
                <c:pt idx="358">
                  <c:v>0.33339247697329999</c:v>
                </c:pt>
                <c:pt idx="359">
                  <c:v>0.12547050044805752</c:v>
                </c:pt>
                <c:pt idx="360">
                  <c:v>2.6756349620075726E-2</c:v>
                </c:pt>
                <c:pt idx="361">
                  <c:v>4.4977663321893714E-2</c:v>
                </c:pt>
                <c:pt idx="362">
                  <c:v>0.20733523308610396</c:v>
                </c:pt>
                <c:pt idx="363">
                  <c:v>0.4656736931861038</c:v>
                </c:pt>
                <c:pt idx="364">
                  <c:v>0.4332339816295826</c:v>
                </c:pt>
                <c:pt idx="365">
                  <c:v>1.790944152589582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8-4676-BC70-685756644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526128"/>
        <c:axId val="141523632"/>
      </c:lineChart>
      <c:dateAx>
        <c:axId val="141526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23632"/>
        <c:crosses val="autoZero"/>
        <c:auto val="1"/>
        <c:lblOffset val="100"/>
        <c:baseTimeUnit val="days"/>
      </c:dateAx>
      <c:valAx>
        <c:axId val="14152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2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5F4672-A08B-4DFA-AF81-CB40814A5DFD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4E64B6-D874-47C3-B3C5-9350CBCA2B4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1.65</v>
      </c>
      <c r="D2" s="4">
        <f>MIN(D3:D1912)</f>
        <v>0.16980000000000001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0.50149999999999995</v>
      </c>
      <c r="C5">
        <v>0.50590000000000002</v>
      </c>
      <c r="D5">
        <v>0.49309999999999998</v>
      </c>
      <c r="E5">
        <v>0.49330000000000002</v>
      </c>
      <c r="F5">
        <v>107827</v>
      </c>
      <c r="G5">
        <v>0.49330000000000002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-0.96874999999999489</v>
      </c>
      <c r="Q5">
        <f t="shared" ref="Q5" si="1">F5*P5</f>
        <v>-104457.40624999945</v>
      </c>
      <c r="R5">
        <f t="shared" ref="R5" si="2">R6+Q5</f>
        <v>-323881114.65577328</v>
      </c>
      <c r="S5">
        <f t="shared" ref="S5" si="3">R5/100000</f>
        <v>-3238.8111465577326</v>
      </c>
      <c r="T5">
        <f t="shared" ref="T5" si="4">S5/1000</f>
        <v>-3.2388111465577327</v>
      </c>
    </row>
    <row r="6" spans="1:20" x14ac:dyDescent="0.25">
      <c r="A6" s="5">
        <v>44587</v>
      </c>
      <c r="B6">
        <v>0.51300000000000001</v>
      </c>
      <c r="C6">
        <v>0.5474</v>
      </c>
      <c r="D6">
        <v>0.49230000000000002</v>
      </c>
      <c r="E6">
        <v>0.50149999999999995</v>
      </c>
      <c r="F6">
        <v>7140233</v>
      </c>
      <c r="G6">
        <v>0.50149999999999995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-0.66606170598911307</v>
      </c>
      <c r="Q6">
        <f t="shared" ref="Q6" si="6">F6*P6</f>
        <v>-4755835.7731397627</v>
      </c>
      <c r="R6">
        <f t="shared" ref="R6" si="7">R7+Q6</f>
        <v>-323776657.24952328</v>
      </c>
      <c r="S6">
        <f t="shared" ref="S6" si="8">R6/100000</f>
        <v>-3237.7665724952326</v>
      </c>
      <c r="T6">
        <f t="shared" ref="T6" si="9">S6/1000</f>
        <v>-3.2377665724952327</v>
      </c>
    </row>
    <row r="7" spans="1:20" x14ac:dyDescent="0.25">
      <c r="A7" s="5">
        <v>44586</v>
      </c>
      <c r="B7">
        <v>0.50790000000000002</v>
      </c>
      <c r="C7">
        <v>0.53749999999999998</v>
      </c>
      <c r="D7">
        <v>0.49580000000000002</v>
      </c>
      <c r="E7">
        <v>0.51300000000000001</v>
      </c>
      <c r="F7">
        <v>4621304</v>
      </c>
      <c r="G7">
        <v>0.51300000000000001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-0.17505995203836883</v>
      </c>
      <c r="Q7">
        <f t="shared" ref="Q7" si="11">F7*P7</f>
        <v>-809005.25659472204</v>
      </c>
      <c r="R7">
        <f t="shared" ref="R7" si="12">R8+Q7</f>
        <v>-319020821.47638351</v>
      </c>
      <c r="S7">
        <f t="shared" ref="S7" si="13">R7/100000</f>
        <v>-3190.2082147638353</v>
      </c>
      <c r="T7">
        <f t="shared" ref="T7" si="14">S7/1000</f>
        <v>-3.1902082147638353</v>
      </c>
    </row>
    <row r="8" spans="1:20" x14ac:dyDescent="0.25">
      <c r="A8" s="5">
        <v>44585</v>
      </c>
      <c r="B8">
        <v>0.53</v>
      </c>
      <c r="C8">
        <v>0.53</v>
      </c>
      <c r="D8">
        <v>0.4516</v>
      </c>
      <c r="E8">
        <v>0.50790000000000002</v>
      </c>
      <c r="F8">
        <v>6611855.0300000003</v>
      </c>
      <c r="G8">
        <v>0.50790000000000002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0.43622448979591832</v>
      </c>
      <c r="Q8">
        <f t="shared" ref="Q8" si="16">F8*P8</f>
        <v>2884253.0870663263</v>
      </c>
      <c r="R8">
        <f t="shared" ref="R8" si="17">R9+Q8</f>
        <v>-318211816.21978879</v>
      </c>
      <c r="S8">
        <f t="shared" ref="S8" si="18">R8/100000</f>
        <v>-3182.1181621978881</v>
      </c>
      <c r="T8">
        <f t="shared" ref="T8" si="19">S8/1000</f>
        <v>-3.182118162197888</v>
      </c>
    </row>
    <row r="9" spans="1:20" x14ac:dyDescent="0.25">
      <c r="A9" s="5">
        <v>44584</v>
      </c>
      <c r="B9">
        <v>0.50719999999999998</v>
      </c>
      <c r="C9">
        <v>0.54990000000000006</v>
      </c>
      <c r="D9">
        <v>0.50329999999999997</v>
      </c>
      <c r="E9">
        <v>0.53010000000000002</v>
      </c>
      <c r="F9">
        <v>4443949</v>
      </c>
      <c r="G9">
        <v>0.53010000000000002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0.15021459227467795</v>
      </c>
      <c r="Q9">
        <f t="shared" ref="Q9" si="21">F9*P9</f>
        <v>667545.98712446284</v>
      </c>
      <c r="R9">
        <f t="shared" ref="R9" si="22">R10+Q9</f>
        <v>-321096069.30685514</v>
      </c>
      <c r="S9">
        <f t="shared" ref="S9" si="23">R9/100000</f>
        <v>-3210.9606930685513</v>
      </c>
      <c r="T9">
        <f t="shared" ref="T9" si="24">S9/1000</f>
        <v>-3.2109606930685515</v>
      </c>
    </row>
    <row r="10" spans="1:20" x14ac:dyDescent="0.25">
      <c r="A10" s="5">
        <v>44583</v>
      </c>
      <c r="B10">
        <v>0.56179999999999997</v>
      </c>
      <c r="C10">
        <v>0.57310000000000005</v>
      </c>
      <c r="D10">
        <v>0.4924</v>
      </c>
      <c r="E10">
        <v>0.50760000000000005</v>
      </c>
      <c r="F10">
        <v>8942051.6500000004</v>
      </c>
      <c r="G10">
        <v>0.50760000000000005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-0.62329615861214283</v>
      </c>
      <c r="Q10">
        <f t="shared" ref="Q10" si="26">F10*P10</f>
        <v>-5573546.4435563739</v>
      </c>
      <c r="R10">
        <f t="shared" ref="R10" si="27">R11+Q10</f>
        <v>-321763615.29397959</v>
      </c>
      <c r="S10">
        <f t="shared" ref="S10" si="28">R10/100000</f>
        <v>-3217.6361529397959</v>
      </c>
      <c r="T10">
        <f t="shared" ref="T10" si="29">S10/1000</f>
        <v>-3.2176361529397961</v>
      </c>
    </row>
    <row r="11" spans="1:20" x14ac:dyDescent="0.25">
      <c r="A11" s="5">
        <v>44582</v>
      </c>
      <c r="B11">
        <v>0.64390000000000003</v>
      </c>
      <c r="C11">
        <v>0.64949999999999997</v>
      </c>
      <c r="D11">
        <v>0.55000000000000004</v>
      </c>
      <c r="E11">
        <v>0.56189999999999996</v>
      </c>
      <c r="F11">
        <v>7733138.8899999997</v>
      </c>
      <c r="G11">
        <v>0.56189999999999996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-0.76080402010050407</v>
      </c>
      <c r="Q11">
        <f t="shared" ref="Q11" si="31">F11*P11</f>
        <v>-5883403.1555075496</v>
      </c>
      <c r="R11">
        <f t="shared" ref="R11" si="32">R12+Q11</f>
        <v>-316190068.85042322</v>
      </c>
      <c r="S11">
        <f t="shared" ref="S11" si="33">R11/100000</f>
        <v>-3161.9006885042322</v>
      </c>
      <c r="T11">
        <f t="shared" ref="T11" si="34">S11/1000</f>
        <v>-3.161900688504232</v>
      </c>
    </row>
    <row r="12" spans="1:20" x14ac:dyDescent="0.25">
      <c r="A12" s="5">
        <v>44581</v>
      </c>
      <c r="B12">
        <v>0.68379999999999996</v>
      </c>
      <c r="C12">
        <v>0.70220000000000005</v>
      </c>
      <c r="D12">
        <v>0.64070000000000005</v>
      </c>
      <c r="E12">
        <v>0.64419999999999999</v>
      </c>
      <c r="F12">
        <v>3917804</v>
      </c>
      <c r="G12">
        <v>0.64419999999999999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-0.8861788617886196</v>
      </c>
      <c r="Q12">
        <f t="shared" ref="Q12" si="36">F12*P12</f>
        <v>-3471875.0894309012</v>
      </c>
      <c r="R12">
        <f t="shared" ref="R12" si="37">R13+Q12</f>
        <v>-310306665.69491565</v>
      </c>
      <c r="S12">
        <f t="shared" ref="S12" si="38">R12/100000</f>
        <v>-3103.0666569491564</v>
      </c>
      <c r="T12">
        <f t="shared" ref="T12" si="39">S12/1000</f>
        <v>-3.1030666569491565</v>
      </c>
    </row>
    <row r="13" spans="1:20" x14ac:dyDescent="0.25">
      <c r="A13" s="5">
        <v>44580</v>
      </c>
      <c r="B13">
        <v>0.68100000000000005</v>
      </c>
      <c r="C13">
        <v>0.70599999999999996</v>
      </c>
      <c r="D13">
        <v>0.66210000000000002</v>
      </c>
      <c r="E13">
        <v>0.68379999999999996</v>
      </c>
      <c r="F13">
        <v>3589002</v>
      </c>
      <c r="G13">
        <v>0.68379999999999996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-1.1389521640092406E-2</v>
      </c>
      <c r="Q13">
        <f t="shared" ref="Q13" si="41">F13*P13</f>
        <v>-40877.015945334926</v>
      </c>
      <c r="R13">
        <f t="shared" ref="R13" si="42">R14+Q13</f>
        <v>-306834790.60548472</v>
      </c>
      <c r="S13">
        <f t="shared" ref="S13" si="43">R13/100000</f>
        <v>-3068.347906054847</v>
      </c>
      <c r="T13">
        <f t="shared" ref="T13" si="44">S13/1000</f>
        <v>-3.0683479060548469</v>
      </c>
    </row>
    <row r="14" spans="1:20" x14ac:dyDescent="0.25">
      <c r="A14" s="5">
        <v>44579</v>
      </c>
      <c r="B14">
        <v>0.69159999999999999</v>
      </c>
      <c r="C14">
        <v>0.69430000000000003</v>
      </c>
      <c r="D14">
        <v>0.65769999999999995</v>
      </c>
      <c r="E14">
        <v>0.68159999999999998</v>
      </c>
      <c r="F14">
        <v>3053510</v>
      </c>
      <c r="G14">
        <v>0.68159999999999998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0.30601092896174764</v>
      </c>
      <c r="Q14">
        <f t="shared" ref="Q14" si="46">F14*P14</f>
        <v>934407.43169398606</v>
      </c>
      <c r="R14">
        <f t="shared" ref="R14" si="47">R15+Q14</f>
        <v>-306793913.58953941</v>
      </c>
      <c r="S14">
        <f t="shared" ref="S14" si="48">R14/100000</f>
        <v>-3067.939135895394</v>
      </c>
      <c r="T14">
        <f t="shared" ref="T14" si="49">S14/1000</f>
        <v>-3.067939135895394</v>
      </c>
    </row>
    <row r="15" spans="1:20" x14ac:dyDescent="0.25">
      <c r="A15" s="5">
        <v>44578</v>
      </c>
      <c r="B15">
        <v>0.71440000000000003</v>
      </c>
      <c r="C15">
        <v>0.71609999999999996</v>
      </c>
      <c r="D15">
        <v>0.67959999999999998</v>
      </c>
      <c r="E15">
        <v>0.69159999999999999</v>
      </c>
      <c r="F15">
        <v>3154987</v>
      </c>
      <c r="G15">
        <v>0.69159999999999999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-0.34246575342465652</v>
      </c>
      <c r="Q15">
        <f t="shared" ref="Q15" si="51">F15*P15</f>
        <v>-1080474.9999999967</v>
      </c>
      <c r="R15">
        <f t="shared" ref="R15" si="52">R16+Q15</f>
        <v>-307728321.02123338</v>
      </c>
      <c r="S15">
        <f t="shared" ref="S15" si="53">R15/100000</f>
        <v>-3077.2832102123339</v>
      </c>
      <c r="T15">
        <f t="shared" ref="T15" si="54">S15/1000</f>
        <v>-3.0772832102123338</v>
      </c>
    </row>
    <row r="16" spans="1:20" x14ac:dyDescent="0.25">
      <c r="A16" s="5">
        <v>44577</v>
      </c>
      <c r="B16">
        <v>0.73409999999999997</v>
      </c>
      <c r="C16">
        <v>0.74639999999999995</v>
      </c>
      <c r="D16">
        <v>0.70299999999999996</v>
      </c>
      <c r="E16">
        <v>0.71399999999999997</v>
      </c>
      <c r="F16">
        <v>3703918</v>
      </c>
      <c r="G16">
        <v>0.71399999999999997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-0.49308755760368611</v>
      </c>
      <c r="Q16">
        <f t="shared" ref="Q16" si="56">F16*P16</f>
        <v>-1826355.8801843298</v>
      </c>
      <c r="R16">
        <f t="shared" ref="R16" si="57">R17+Q16</f>
        <v>-306647846.02123338</v>
      </c>
      <c r="S16">
        <f t="shared" ref="S16" si="58">R16/100000</f>
        <v>-3066.4784602123336</v>
      </c>
      <c r="T16">
        <f t="shared" ref="T16" si="59">S16/1000</f>
        <v>-3.0664784602123336</v>
      </c>
    </row>
    <row r="17" spans="1:20" x14ac:dyDescent="0.25">
      <c r="A17" s="5">
        <v>44576</v>
      </c>
      <c r="B17">
        <v>0.71030000000000004</v>
      </c>
      <c r="C17">
        <v>0.77769999999999995</v>
      </c>
      <c r="D17">
        <v>0.70630000000000004</v>
      </c>
      <c r="E17">
        <v>0.7349</v>
      </c>
      <c r="F17">
        <v>8670138</v>
      </c>
      <c r="G17">
        <v>0.7349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-0.19887955182072842</v>
      </c>
      <c r="Q17">
        <f t="shared" ref="Q17" si="61">F17*P17</f>
        <v>-1724313.1596638667</v>
      </c>
      <c r="R17">
        <f t="shared" ref="R17" si="62">R18+Q17</f>
        <v>-304821490.14104903</v>
      </c>
      <c r="S17">
        <f t="shared" ref="S17" si="63">R17/100000</f>
        <v>-3048.2149014104903</v>
      </c>
      <c r="T17">
        <f t="shared" ref="T17" si="64">S17/1000</f>
        <v>-3.0482149014104905</v>
      </c>
    </row>
    <row r="18" spans="1:20" x14ac:dyDescent="0.25">
      <c r="A18" s="5">
        <v>44575</v>
      </c>
      <c r="B18">
        <v>0.66510000000000002</v>
      </c>
      <c r="C18">
        <v>0.71989999999999998</v>
      </c>
      <c r="D18">
        <v>0.64790000000000003</v>
      </c>
      <c r="E18">
        <v>0.7107</v>
      </c>
      <c r="F18">
        <v>4093083</v>
      </c>
      <c r="G18">
        <v>0.7107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0.74444444444444469</v>
      </c>
      <c r="Q18">
        <f t="shared" ref="Q18" si="66">F18*P18</f>
        <v>3047072.9000000008</v>
      </c>
      <c r="R18">
        <f t="shared" ref="R18" si="67">R19+Q18</f>
        <v>-303097176.98138517</v>
      </c>
      <c r="S18">
        <f t="shared" ref="S18" si="68">R18/100000</f>
        <v>-3030.9717698138516</v>
      </c>
      <c r="T18">
        <f t="shared" ref="T18" si="69">S18/1000</f>
        <v>-3.0309717698138514</v>
      </c>
    </row>
    <row r="19" spans="1:20" x14ac:dyDescent="0.25">
      <c r="A19" s="5">
        <v>44574</v>
      </c>
      <c r="B19">
        <v>0.6996</v>
      </c>
      <c r="C19">
        <v>0.71989999999999998</v>
      </c>
      <c r="D19">
        <v>0.66269999999999996</v>
      </c>
      <c r="E19">
        <v>0.66449999999999998</v>
      </c>
      <c r="F19">
        <v>4884253</v>
      </c>
      <c r="G19">
        <v>0.66449999999999998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-0.93706293706293631</v>
      </c>
      <c r="Q19">
        <f t="shared" ref="Q19" si="71">F19*P19</f>
        <v>-4576852.4615384582</v>
      </c>
      <c r="R19">
        <f t="shared" ref="R19" si="72">R20+Q19</f>
        <v>-306144249.88138515</v>
      </c>
      <c r="S19">
        <f t="shared" ref="S19" si="73">R19/100000</f>
        <v>-3061.4424988138517</v>
      </c>
      <c r="T19">
        <f t="shared" ref="T19" si="74">S19/1000</f>
        <v>-3.0614424988138516</v>
      </c>
    </row>
    <row r="20" spans="1:20" x14ac:dyDescent="0.25">
      <c r="A20" s="5">
        <v>44573</v>
      </c>
      <c r="B20">
        <v>0.65069999999999995</v>
      </c>
      <c r="C20">
        <v>0.71109999999999995</v>
      </c>
      <c r="D20">
        <v>0.64610000000000001</v>
      </c>
      <c r="E20">
        <v>0.69950000000000001</v>
      </c>
      <c r="F20">
        <v>6634385</v>
      </c>
      <c r="G20">
        <v>0.69950000000000001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0.64307692307692454</v>
      </c>
      <c r="Q20">
        <f t="shared" ref="Q20" si="76">F20*P20</f>
        <v>4266419.8923077025</v>
      </c>
      <c r="R20">
        <f t="shared" ref="R20" si="77">R21+Q20</f>
        <v>-301567397.41984671</v>
      </c>
      <c r="S20">
        <f t="shared" ref="S20" si="78">R20/100000</f>
        <v>-3015.673974198467</v>
      </c>
      <c r="T20">
        <f t="shared" ref="T20" si="79">S20/1000</f>
        <v>-3.0156739741984668</v>
      </c>
    </row>
    <row r="21" spans="1:20" x14ac:dyDescent="0.25">
      <c r="A21" s="5">
        <v>44572</v>
      </c>
      <c r="B21">
        <v>0.63170000000000004</v>
      </c>
      <c r="C21">
        <v>0.65529999999999999</v>
      </c>
      <c r="D21">
        <v>0.62509999999999999</v>
      </c>
      <c r="E21">
        <v>0.65110000000000001</v>
      </c>
      <c r="F21">
        <v>3504123</v>
      </c>
      <c r="G21">
        <v>0.65110000000000001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0.72185430463576283</v>
      </c>
      <c r="Q21">
        <f t="shared" ref="Q21" si="81">F21*P21</f>
        <v>2529466.2715231832</v>
      </c>
      <c r="R21">
        <f t="shared" ref="R21" si="82">R22+Q21</f>
        <v>-305833817.31215441</v>
      </c>
      <c r="S21">
        <f t="shared" ref="S21" si="83">R21/100000</f>
        <v>-3058.3381731215441</v>
      </c>
      <c r="T21">
        <f t="shared" ref="T21" si="84">S21/1000</f>
        <v>-3.0583381731215442</v>
      </c>
    </row>
    <row r="22" spans="1:20" x14ac:dyDescent="0.25">
      <c r="A22" s="5">
        <v>44571</v>
      </c>
      <c r="B22">
        <v>0.64739999999999998</v>
      </c>
      <c r="C22">
        <v>0.66320000000000001</v>
      </c>
      <c r="D22">
        <v>0.60199999999999998</v>
      </c>
      <c r="E22">
        <v>0.63180000000000003</v>
      </c>
      <c r="F22">
        <v>4717524</v>
      </c>
      <c r="G22">
        <v>0.63180000000000003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-2.6143790849672124E-2</v>
      </c>
      <c r="Q22">
        <f t="shared" ref="Q22" si="86">F22*P22</f>
        <v>-123333.96078430864</v>
      </c>
      <c r="R22">
        <f t="shared" ref="R22" si="87">R23+Q22</f>
        <v>-308363283.58367759</v>
      </c>
      <c r="S22">
        <f t="shared" ref="S22" si="88">R22/100000</f>
        <v>-3083.6328358367759</v>
      </c>
      <c r="T22">
        <f t="shared" ref="T22" si="89">S22/1000</f>
        <v>-3.0836328358367759</v>
      </c>
    </row>
    <row r="23" spans="1:20" x14ac:dyDescent="0.25">
      <c r="A23" s="5">
        <v>44570</v>
      </c>
      <c r="B23">
        <v>0.63629999999999998</v>
      </c>
      <c r="C23">
        <v>0.67</v>
      </c>
      <c r="D23">
        <v>0.62060000000000004</v>
      </c>
      <c r="E23">
        <v>0.64729999999999999</v>
      </c>
      <c r="F23">
        <v>3894469</v>
      </c>
      <c r="G23">
        <v>0.64729999999999999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8.0971659919026162E-2</v>
      </c>
      <c r="Q23">
        <f t="shared" ref="Q23" si="91">F23*P23</f>
        <v>315341.61943318992</v>
      </c>
      <c r="R23">
        <f t="shared" ref="R23" si="92">R24+Q23</f>
        <v>-308239949.62289327</v>
      </c>
      <c r="S23">
        <f t="shared" ref="S23" si="93">R23/100000</f>
        <v>-3082.3994962289325</v>
      </c>
      <c r="T23">
        <f t="shared" ref="T23" si="94">S23/1000</f>
        <v>-3.0823994962289327</v>
      </c>
    </row>
    <row r="24" spans="1:20" x14ac:dyDescent="0.25">
      <c r="A24" s="5">
        <v>44569</v>
      </c>
      <c r="B24">
        <v>0.63900000000000001</v>
      </c>
      <c r="C24">
        <v>0.70330000000000004</v>
      </c>
      <c r="D24">
        <v>0.61499999999999999</v>
      </c>
      <c r="E24">
        <v>0.63660000000000005</v>
      </c>
      <c r="F24">
        <v>7488439</v>
      </c>
      <c r="G24">
        <v>0.63660000000000005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-0.51075877689694105</v>
      </c>
      <c r="Q24">
        <f t="shared" ref="Q24" si="96">F24*P24</f>
        <v>-3824785.9445073525</v>
      </c>
      <c r="R24">
        <f t="shared" ref="R24" si="97">R25+Q24</f>
        <v>-308555291.24232644</v>
      </c>
      <c r="S24">
        <f t="shared" ref="S24" si="98">R24/100000</f>
        <v>-3085.5529124232644</v>
      </c>
      <c r="T24">
        <f t="shared" ref="T24" si="99">S24/1000</f>
        <v>-3.0855529124232643</v>
      </c>
    </row>
    <row r="25" spans="1:20" x14ac:dyDescent="0.25">
      <c r="A25" s="5">
        <v>44568</v>
      </c>
      <c r="B25">
        <v>0.6381</v>
      </c>
      <c r="C25">
        <v>0.66239999999999999</v>
      </c>
      <c r="D25">
        <v>0.60270000000000001</v>
      </c>
      <c r="E25">
        <v>0.63800000000000001</v>
      </c>
      <c r="F25">
        <v>7065677</v>
      </c>
      <c r="G25">
        <v>0.63800000000000001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0.18257956448911264</v>
      </c>
      <c r="Q25">
        <f t="shared" ref="Q25" si="101">F25*P25</f>
        <v>1290048.2294807399</v>
      </c>
      <c r="R25">
        <f t="shared" ref="R25" si="102">R26+Q25</f>
        <v>-304730505.29781908</v>
      </c>
      <c r="S25">
        <f t="shared" ref="S25" si="103">R25/100000</f>
        <v>-3047.3050529781908</v>
      </c>
      <c r="T25">
        <f t="shared" ref="T25" si="104">S25/1000</f>
        <v>-3.0473050529781909</v>
      </c>
    </row>
    <row r="26" spans="1:20" x14ac:dyDescent="0.25">
      <c r="A26" s="5">
        <v>44567</v>
      </c>
      <c r="B26">
        <v>0.64470000000000005</v>
      </c>
      <c r="C26">
        <v>0.65939999999999999</v>
      </c>
      <c r="D26">
        <v>0.61129999999999995</v>
      </c>
      <c r="E26">
        <v>0.63849999999999996</v>
      </c>
      <c r="F26">
        <v>5124156</v>
      </c>
      <c r="G26">
        <v>0.63849999999999996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0.13097713097713032</v>
      </c>
      <c r="Q26">
        <f t="shared" ref="Q26" si="106">F26*P26</f>
        <v>671147.25155924819</v>
      </c>
      <c r="R26">
        <f t="shared" ref="R26" si="107">R27+Q26</f>
        <v>-306020553.52729982</v>
      </c>
      <c r="S26">
        <f t="shared" ref="S26" si="108">R26/100000</f>
        <v>-3060.2055352729981</v>
      </c>
      <c r="T26">
        <f t="shared" ref="T26" si="109">S26/1000</f>
        <v>-3.0602055352729982</v>
      </c>
    </row>
    <row r="27" spans="1:20" x14ac:dyDescent="0.25">
      <c r="A27" s="5">
        <v>44566</v>
      </c>
      <c r="B27">
        <v>0.6946</v>
      </c>
      <c r="C27">
        <v>0.71199999999999997</v>
      </c>
      <c r="D27">
        <v>0.62</v>
      </c>
      <c r="E27">
        <v>0.64600000000000002</v>
      </c>
      <c r="F27">
        <v>6716158.5800000001</v>
      </c>
      <c r="G27">
        <v>0.64600000000000002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-0.4347826086956515</v>
      </c>
      <c r="Q27">
        <f t="shared" ref="Q27" si="111">F27*P27</f>
        <v>-2920068.9478260824</v>
      </c>
      <c r="R27">
        <f t="shared" ref="R27" si="112">R28+Q27</f>
        <v>-306691700.77885908</v>
      </c>
      <c r="S27">
        <f t="shared" ref="S27" si="113">R27/100000</f>
        <v>-3066.9170077885906</v>
      </c>
      <c r="T27">
        <f t="shared" ref="T27" si="114">S27/1000</f>
        <v>-3.0669170077885908</v>
      </c>
    </row>
    <row r="28" spans="1:20" x14ac:dyDescent="0.25">
      <c r="A28" s="5">
        <v>44565</v>
      </c>
      <c r="B28">
        <v>0.70469999999999999</v>
      </c>
      <c r="C28">
        <v>0.72</v>
      </c>
      <c r="D28">
        <v>0.69169999999999998</v>
      </c>
      <c r="E28">
        <v>0.69450000000000001</v>
      </c>
      <c r="F28">
        <v>3845302</v>
      </c>
      <c r="G28">
        <v>0.69450000000000001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-0.80212014134275433</v>
      </c>
      <c r="Q28">
        <f t="shared" ref="Q28" si="116">F28*P28</f>
        <v>-3084394.1837455761</v>
      </c>
      <c r="R28">
        <f t="shared" ref="R28" si="117">R29+Q28</f>
        <v>-303771631.83103299</v>
      </c>
      <c r="S28">
        <f t="shared" ref="S28" si="118">R28/100000</f>
        <v>-3037.7163183103298</v>
      </c>
      <c r="T28">
        <f t="shared" ref="T28" si="119">S28/1000</f>
        <v>-3.0377163183103297</v>
      </c>
    </row>
    <row r="29" spans="1:20" x14ac:dyDescent="0.25">
      <c r="A29" s="5">
        <v>44564</v>
      </c>
      <c r="B29">
        <v>0.72670000000000001</v>
      </c>
      <c r="C29">
        <v>0.72670000000000001</v>
      </c>
      <c r="D29">
        <v>0.69020000000000004</v>
      </c>
      <c r="E29">
        <v>0.70479999999999998</v>
      </c>
      <c r="F29">
        <v>3733107</v>
      </c>
      <c r="G29">
        <v>0.70479999999999998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-0.20000000000000243</v>
      </c>
      <c r="Q29">
        <f t="shared" ref="Q29" si="121">F29*P29</f>
        <v>-746621.4000000091</v>
      </c>
      <c r="R29">
        <f t="shared" ref="R29" si="122">R30+Q29</f>
        <v>-300687237.64728743</v>
      </c>
      <c r="S29">
        <f t="shared" ref="S29" si="123">R29/100000</f>
        <v>-3006.8723764728743</v>
      </c>
      <c r="T29">
        <f t="shared" ref="T29" si="124">S29/1000</f>
        <v>-3.0068723764728742</v>
      </c>
    </row>
    <row r="30" spans="1:20" x14ac:dyDescent="0.25">
      <c r="A30" s="5">
        <v>44563</v>
      </c>
      <c r="B30">
        <v>0.73089999999999999</v>
      </c>
      <c r="C30">
        <v>0.73750000000000004</v>
      </c>
      <c r="D30">
        <v>0.71160000000000001</v>
      </c>
      <c r="E30">
        <v>0.72699999999999998</v>
      </c>
      <c r="F30">
        <v>2937320</v>
      </c>
      <c r="G30">
        <v>0.72699999999999998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0.18918918918918526</v>
      </c>
      <c r="Q30">
        <f t="shared" ref="Q30" si="126">F30*P30</f>
        <v>555709.18918917759</v>
      </c>
      <c r="R30">
        <f t="shared" ref="R30" si="127">R31+Q30</f>
        <v>-299940616.24728739</v>
      </c>
      <c r="S30">
        <f t="shared" ref="S30" si="128">R30/100000</f>
        <v>-2999.4061624728738</v>
      </c>
      <c r="T30">
        <f t="shared" ref="T30" si="129">S30/1000</f>
        <v>-2.9994061624728738</v>
      </c>
    </row>
    <row r="31" spans="1:20" x14ac:dyDescent="0.25">
      <c r="A31" s="5">
        <v>44562</v>
      </c>
      <c r="B31">
        <v>0.70799999999999996</v>
      </c>
      <c r="C31">
        <v>0.73419999999999996</v>
      </c>
      <c r="D31">
        <v>0.70799999999999996</v>
      </c>
      <c r="E31">
        <v>0.73019999999999996</v>
      </c>
      <c r="F31">
        <v>1984023</v>
      </c>
      <c r="G31">
        <v>0.73019999999999996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0.69465648854961803</v>
      </c>
      <c r="Q31">
        <f t="shared" ref="Q31" si="131">F31*P31</f>
        <v>1378214.4503816788</v>
      </c>
      <c r="R31">
        <f t="shared" ref="R31" si="132">R32+Q31</f>
        <v>-300496325.43647659</v>
      </c>
      <c r="S31">
        <f t="shared" ref="S31" si="133">R31/100000</f>
        <v>-3004.9632543647658</v>
      </c>
      <c r="T31">
        <f t="shared" ref="T31" si="134">S31/1000</f>
        <v>-3.0049632543647657</v>
      </c>
    </row>
    <row r="32" spans="1:20" x14ac:dyDescent="0.25">
      <c r="A32" s="5">
        <v>44561</v>
      </c>
      <c r="B32">
        <v>0.72819999999999996</v>
      </c>
      <c r="C32">
        <v>0.74339999999999995</v>
      </c>
      <c r="D32">
        <v>0.70009999999999994</v>
      </c>
      <c r="E32">
        <v>0.70779999999999998</v>
      </c>
      <c r="F32">
        <v>3627908</v>
      </c>
      <c r="G32">
        <v>0.70779999999999998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-0.64434180138567954</v>
      </c>
      <c r="Q32">
        <f t="shared" ref="Q32" si="136">F32*P32</f>
        <v>-2337612.775981518</v>
      </c>
      <c r="R32">
        <f t="shared" ref="R32" si="137">R33+Q32</f>
        <v>-301874539.88685828</v>
      </c>
      <c r="S32">
        <f t="shared" ref="S32" si="138">R32/100000</f>
        <v>-3018.7453988685829</v>
      </c>
      <c r="T32">
        <f t="shared" ref="T32" si="139">S32/1000</f>
        <v>-3.0187453988685831</v>
      </c>
    </row>
    <row r="33" spans="1:20" x14ac:dyDescent="0.25">
      <c r="A33" s="5">
        <v>44560</v>
      </c>
      <c r="B33">
        <v>0.7006</v>
      </c>
      <c r="C33">
        <v>0.75</v>
      </c>
      <c r="D33">
        <v>0.68379999999999996</v>
      </c>
      <c r="E33">
        <v>0.72829999999999995</v>
      </c>
      <c r="F33">
        <v>7099758</v>
      </c>
      <c r="G33">
        <v>0.72829999999999995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0.34441087613292931</v>
      </c>
      <c r="Q33">
        <f t="shared" ref="Q33" si="141">F33*P33</f>
        <v>2445233.8731117737</v>
      </c>
      <c r="R33">
        <f t="shared" ref="R33" si="142">R34+Q33</f>
        <v>-299536927.11087674</v>
      </c>
      <c r="S33">
        <f t="shared" ref="S33" si="143">R33/100000</f>
        <v>-2995.3692711087674</v>
      </c>
      <c r="T33">
        <f t="shared" ref="T33" si="144">S33/1000</f>
        <v>-2.9953692711087676</v>
      </c>
    </row>
    <row r="34" spans="1:20" x14ac:dyDescent="0.25">
      <c r="A34" s="5">
        <v>44559</v>
      </c>
      <c r="B34">
        <v>0.71619999999999995</v>
      </c>
      <c r="C34">
        <v>0.74490000000000001</v>
      </c>
      <c r="D34">
        <v>0.6925</v>
      </c>
      <c r="E34">
        <v>0.7006</v>
      </c>
      <c r="F34">
        <v>4442392</v>
      </c>
      <c r="G34">
        <v>0.7006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-0.69083969465648876</v>
      </c>
      <c r="Q34">
        <f t="shared" ref="Q34" si="146">F34*P34</f>
        <v>-3068980.7328244285</v>
      </c>
      <c r="R34">
        <f t="shared" ref="R34" si="147">R35+Q34</f>
        <v>-301982160.98398852</v>
      </c>
      <c r="S34">
        <f t="shared" ref="S34" si="148">R34/100000</f>
        <v>-3019.8216098398852</v>
      </c>
      <c r="T34">
        <f t="shared" ref="T34" si="149">S34/1000</f>
        <v>-3.0198216098398851</v>
      </c>
    </row>
    <row r="35" spans="1:20" x14ac:dyDescent="0.25">
      <c r="A35" s="5">
        <v>44558</v>
      </c>
      <c r="B35">
        <v>0.79359999999999997</v>
      </c>
      <c r="C35">
        <v>0.79479999999999995</v>
      </c>
      <c r="D35">
        <v>0.70130000000000003</v>
      </c>
      <c r="E35">
        <v>0.71650000000000003</v>
      </c>
      <c r="F35">
        <v>8588060</v>
      </c>
      <c r="G35">
        <v>0.71650000000000003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-0.67486631016042775</v>
      </c>
      <c r="Q35">
        <f t="shared" ref="Q35" si="151">F35*P35</f>
        <v>-5795792.3636363633</v>
      </c>
      <c r="R35">
        <f t="shared" ref="R35" si="152">R36+Q35</f>
        <v>-298913180.25116408</v>
      </c>
      <c r="S35">
        <f t="shared" ref="S35" si="153">R35/100000</f>
        <v>-2989.1318025116407</v>
      </c>
      <c r="T35">
        <f t="shared" ref="T35" si="154">S35/1000</f>
        <v>-2.9891318025116407</v>
      </c>
    </row>
    <row r="36" spans="1:20" x14ac:dyDescent="0.25">
      <c r="A36" s="5">
        <v>44557</v>
      </c>
      <c r="B36">
        <v>0.78969999999999996</v>
      </c>
      <c r="C36">
        <v>0.82179999999999997</v>
      </c>
      <c r="D36">
        <v>0.78420000000000001</v>
      </c>
      <c r="E36">
        <v>0.79430000000000001</v>
      </c>
      <c r="F36">
        <v>7696552</v>
      </c>
      <c r="G36">
        <v>0.79430000000000001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-0.46276595744680815</v>
      </c>
      <c r="Q36">
        <f t="shared" ref="Q36" si="156">F36*P36</f>
        <v>-3561702.255319146</v>
      </c>
      <c r="R36">
        <f t="shared" ref="R36" si="157">R37+Q36</f>
        <v>-293117387.8875277</v>
      </c>
      <c r="S36">
        <f t="shared" ref="S36" si="158">R36/100000</f>
        <v>-2931.1738788752768</v>
      </c>
      <c r="T36">
        <f t="shared" ref="T36" si="159">S36/1000</f>
        <v>-2.9311738788752768</v>
      </c>
    </row>
    <row r="37" spans="1:20" x14ac:dyDescent="0.25">
      <c r="A37" s="5">
        <v>44556</v>
      </c>
      <c r="B37">
        <v>0.79159999999999997</v>
      </c>
      <c r="C37">
        <v>0.79959999999999998</v>
      </c>
      <c r="D37">
        <v>0.76349999999999996</v>
      </c>
      <c r="E37">
        <v>0.7893</v>
      </c>
      <c r="F37">
        <v>6756549</v>
      </c>
      <c r="G37">
        <v>0.7893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0.42936288088642827</v>
      </c>
      <c r="Q37">
        <f t="shared" ref="Q37" si="161">F37*P37</f>
        <v>2901011.3434903161</v>
      </c>
      <c r="R37">
        <f t="shared" ref="R37" si="162">R38+Q37</f>
        <v>-289555685.63220859</v>
      </c>
      <c r="S37">
        <f t="shared" ref="S37" si="163">R37/100000</f>
        <v>-2895.5568563220859</v>
      </c>
      <c r="T37">
        <f t="shared" ref="T37" si="164">S37/1000</f>
        <v>-2.8955568563220857</v>
      </c>
    </row>
    <row r="38" spans="1:20" x14ac:dyDescent="0.25">
      <c r="A38" s="5">
        <v>44555</v>
      </c>
      <c r="B38">
        <v>0.79559999999999997</v>
      </c>
      <c r="C38">
        <v>0.84</v>
      </c>
      <c r="D38">
        <v>0.78459999999999996</v>
      </c>
      <c r="E38">
        <v>0.79159999999999997</v>
      </c>
      <c r="F38">
        <v>8648129</v>
      </c>
      <c r="G38">
        <v>0.79159999999999997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-0.74729241877256303</v>
      </c>
      <c r="Q38">
        <f t="shared" ref="Q38" si="166">F38*P38</f>
        <v>-6462681.238267147</v>
      </c>
      <c r="R38">
        <f t="shared" ref="R38" si="167">R39+Q38</f>
        <v>-292456696.97569889</v>
      </c>
      <c r="S38">
        <f t="shared" ref="S38" si="168">R38/100000</f>
        <v>-2924.5669697569888</v>
      </c>
      <c r="T38">
        <f t="shared" ref="T38" si="169">S38/1000</f>
        <v>-2.9245669697569889</v>
      </c>
    </row>
    <row r="39" spans="1:20" x14ac:dyDescent="0.25">
      <c r="A39" s="5">
        <v>44554</v>
      </c>
      <c r="B39">
        <v>0.81979999999999997</v>
      </c>
      <c r="C39">
        <v>0.88</v>
      </c>
      <c r="D39">
        <v>0.79110000000000003</v>
      </c>
      <c r="E39">
        <v>0.79659999999999997</v>
      </c>
      <c r="F39">
        <v>11153954</v>
      </c>
      <c r="G39">
        <v>0.79659999999999997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-0.87626546681664907</v>
      </c>
      <c r="Q39">
        <f t="shared" ref="Q39" si="171">F39*P39</f>
        <v>-9773824.7086614296</v>
      </c>
      <c r="R39">
        <f t="shared" ref="R39" si="172">R40+Q39</f>
        <v>-285994015.73743176</v>
      </c>
      <c r="S39">
        <f t="shared" ref="S39" si="173">R39/100000</f>
        <v>-2859.9401573743176</v>
      </c>
      <c r="T39">
        <f t="shared" ref="T39" si="174">S39/1000</f>
        <v>-2.8599401573743175</v>
      </c>
    </row>
    <row r="40" spans="1:20" x14ac:dyDescent="0.25">
      <c r="A40" s="5">
        <v>44553</v>
      </c>
      <c r="B40">
        <v>0.73680000000000001</v>
      </c>
      <c r="C40">
        <v>0.85760000000000003</v>
      </c>
      <c r="D40">
        <v>0.72009999999999996</v>
      </c>
      <c r="E40">
        <v>0.81730000000000003</v>
      </c>
      <c r="F40">
        <v>13622760</v>
      </c>
      <c r="G40">
        <v>0.81730000000000003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0.41381818181818208</v>
      </c>
      <c r="Q40">
        <f t="shared" ref="Q40" si="176">F40*P40</f>
        <v>5637345.7745454581</v>
      </c>
      <c r="R40">
        <f t="shared" ref="R40" si="177">R41+Q40</f>
        <v>-276220191.02877033</v>
      </c>
      <c r="S40">
        <f t="shared" ref="S40" si="178">R40/100000</f>
        <v>-2762.2019102877034</v>
      </c>
      <c r="T40">
        <f t="shared" ref="T40" si="179">S40/1000</f>
        <v>-2.7622019102877036</v>
      </c>
    </row>
    <row r="41" spans="1:20" x14ac:dyDescent="0.25">
      <c r="A41" s="5">
        <v>44552</v>
      </c>
      <c r="B41">
        <v>0.72009999999999996</v>
      </c>
      <c r="C41">
        <v>0.79</v>
      </c>
      <c r="D41">
        <v>0.70930000000000004</v>
      </c>
      <c r="E41">
        <v>0.73670000000000002</v>
      </c>
      <c r="F41">
        <v>10863487</v>
      </c>
      <c r="G41">
        <v>0.73670000000000002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-0.3209417596034701</v>
      </c>
      <c r="Q41">
        <f t="shared" ref="Q41" si="181">F41*P41</f>
        <v>-3486546.6332094227</v>
      </c>
      <c r="R41">
        <f t="shared" ref="R41" si="182">R42+Q41</f>
        <v>-281857536.80331576</v>
      </c>
      <c r="S41">
        <f t="shared" ref="S41" si="183">R41/100000</f>
        <v>-2818.5753680331577</v>
      </c>
      <c r="T41">
        <f t="shared" ref="T41" si="184">S41/1000</f>
        <v>-2.8185753680331578</v>
      </c>
    </row>
    <row r="42" spans="1:20" x14ac:dyDescent="0.25">
      <c r="A42" s="5">
        <v>44551</v>
      </c>
      <c r="B42">
        <v>0.66879999999999995</v>
      </c>
      <c r="C42">
        <v>0.75290000000000001</v>
      </c>
      <c r="D42">
        <v>0.66820000000000002</v>
      </c>
      <c r="E42">
        <v>0.72</v>
      </c>
      <c r="F42">
        <v>8970912</v>
      </c>
      <c r="G42">
        <v>0.72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0.22314049586776763</v>
      </c>
      <c r="Q42">
        <f t="shared" ref="Q42" si="186">F42*P42</f>
        <v>2001773.752066107</v>
      </c>
      <c r="R42">
        <f t="shared" ref="R42" si="187">R43+Q42</f>
        <v>-278370990.17010635</v>
      </c>
      <c r="S42">
        <f t="shared" ref="S42" si="188">R42/100000</f>
        <v>-2783.7099017010637</v>
      </c>
      <c r="T42">
        <f t="shared" ref="T42" si="189">S42/1000</f>
        <v>-2.7837099017010636</v>
      </c>
    </row>
    <row r="43" spans="1:20" x14ac:dyDescent="0.25">
      <c r="A43" s="5">
        <v>44550</v>
      </c>
      <c r="B43">
        <v>0.69030000000000002</v>
      </c>
      <c r="C43">
        <v>0.69830000000000003</v>
      </c>
      <c r="D43">
        <v>0.63260000000000005</v>
      </c>
      <c r="E43">
        <v>0.66920000000000002</v>
      </c>
      <c r="F43">
        <v>5593438.3700000001</v>
      </c>
      <c r="G43">
        <v>0.66920000000000002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0.1141552511415518</v>
      </c>
      <c r="Q43">
        <f t="shared" ref="Q43" si="191">F43*P43</f>
        <v>638520.36187214218</v>
      </c>
      <c r="R43">
        <f t="shared" ref="R43" si="192">R44+Q43</f>
        <v>-280372763.92217249</v>
      </c>
      <c r="S43">
        <f t="shared" ref="S43" si="193">R43/100000</f>
        <v>-2803.727639221725</v>
      </c>
      <c r="T43">
        <f t="shared" ref="T43" si="194">S43/1000</f>
        <v>-2.8037276392217252</v>
      </c>
    </row>
    <row r="44" spans="1:20" x14ac:dyDescent="0.25">
      <c r="A44" s="5">
        <v>44549</v>
      </c>
      <c r="B44">
        <v>0.70020000000000004</v>
      </c>
      <c r="C44">
        <v>0.71120000000000005</v>
      </c>
      <c r="D44">
        <v>0.68569999999999998</v>
      </c>
      <c r="E44">
        <v>0.69089999999999996</v>
      </c>
      <c r="F44">
        <v>2623530</v>
      </c>
      <c r="G44">
        <v>0.69089999999999996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-0.59215686274510071</v>
      </c>
      <c r="Q44">
        <f t="shared" ref="Q44" si="196">F44*P44</f>
        <v>-1553541.294117654</v>
      </c>
      <c r="R44">
        <f t="shared" ref="R44" si="197">R45+Q44</f>
        <v>-281011284.28404462</v>
      </c>
      <c r="S44">
        <f t="shared" ref="S44" si="198">R44/100000</f>
        <v>-2810.1128428404463</v>
      </c>
      <c r="T44">
        <f t="shared" ref="T44" si="199">S44/1000</f>
        <v>-2.8101128428404465</v>
      </c>
    </row>
    <row r="45" spans="1:20" x14ac:dyDescent="0.25">
      <c r="A45" s="5">
        <v>44548</v>
      </c>
      <c r="B45">
        <v>0.69179999999999997</v>
      </c>
      <c r="C45">
        <v>0.71830000000000005</v>
      </c>
      <c r="D45">
        <v>0.68359999999999999</v>
      </c>
      <c r="E45">
        <v>0.70209999999999995</v>
      </c>
      <c r="F45">
        <v>3422991</v>
      </c>
      <c r="G45">
        <v>0.70209999999999995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6.6282420749275317E-2</v>
      </c>
      <c r="Q45">
        <f t="shared" ref="Q45" si="201">F45*P45</f>
        <v>226884.12968298266</v>
      </c>
      <c r="R45">
        <f t="shared" ref="R45" si="202">R46+Q45</f>
        <v>-279457742.98992699</v>
      </c>
      <c r="S45">
        <f t="shared" ref="S45" si="203">R45/100000</f>
        <v>-2794.5774298992701</v>
      </c>
      <c r="T45">
        <f t="shared" ref="T45" si="204">S45/1000</f>
        <v>-2.7945774298992703</v>
      </c>
    </row>
    <row r="46" spans="1:20" x14ac:dyDescent="0.25">
      <c r="A46" s="5">
        <v>44547</v>
      </c>
      <c r="B46">
        <v>0.71579999999999999</v>
      </c>
      <c r="C46">
        <v>0.72919999999999996</v>
      </c>
      <c r="D46">
        <v>0.67630000000000001</v>
      </c>
      <c r="E46">
        <v>0.69189999999999996</v>
      </c>
      <c r="F46">
        <v>5198175</v>
      </c>
      <c r="G46">
        <v>0.69189999999999996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-0.41020793950850803</v>
      </c>
      <c r="Q46">
        <f t="shared" ref="Q46" si="206">F46*P46</f>
        <v>-2132332.655954639</v>
      </c>
      <c r="R46">
        <f t="shared" ref="R46" si="207">R47+Q46</f>
        <v>-279684627.11960995</v>
      </c>
      <c r="S46">
        <f t="shared" ref="S46" si="208">R46/100000</f>
        <v>-2796.8462711960997</v>
      </c>
      <c r="T46">
        <f t="shared" ref="T46" si="209">S46/1000</f>
        <v>-2.7968462711960997</v>
      </c>
    </row>
    <row r="47" spans="1:20" x14ac:dyDescent="0.25">
      <c r="A47" s="5">
        <v>44546</v>
      </c>
      <c r="B47">
        <v>0.73670000000000002</v>
      </c>
      <c r="C47">
        <v>0.77210000000000001</v>
      </c>
      <c r="D47">
        <v>0.71419999999999995</v>
      </c>
      <c r="E47">
        <v>0.71499999999999997</v>
      </c>
      <c r="F47">
        <v>6341877</v>
      </c>
      <c r="G47">
        <v>0.71499999999999997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-0.97236614853195091</v>
      </c>
      <c r="Q47">
        <f t="shared" ref="Q47" si="211">F47*P47</f>
        <v>-6166626.5129533634</v>
      </c>
      <c r="R47">
        <f t="shared" ref="R47" si="212">R48+Q47</f>
        <v>-277552294.46365529</v>
      </c>
      <c r="S47">
        <f t="shared" ref="S47" si="213">R47/100000</f>
        <v>-2775.5229446365529</v>
      </c>
      <c r="T47">
        <f t="shared" ref="T47" si="214">S47/1000</f>
        <v>-2.775522944636553</v>
      </c>
    </row>
    <row r="48" spans="1:20" x14ac:dyDescent="0.25">
      <c r="A48" s="5">
        <v>44545</v>
      </c>
      <c r="B48">
        <v>0.71009999999999995</v>
      </c>
      <c r="C48">
        <v>0.79</v>
      </c>
      <c r="D48">
        <v>0.68459999999999999</v>
      </c>
      <c r="E48">
        <v>0.73599999999999999</v>
      </c>
      <c r="F48">
        <v>9293903</v>
      </c>
      <c r="G48">
        <v>0.73599999999999999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-2.4667931688804986E-2</v>
      </c>
      <c r="Q48">
        <f t="shared" ref="Q48" si="216">F48*P48</f>
        <v>-229261.36432637973</v>
      </c>
      <c r="R48">
        <f t="shared" ref="R48" si="217">R49+Q48</f>
        <v>-271385667.95070195</v>
      </c>
      <c r="S48">
        <f t="shared" ref="S48" si="218">R48/100000</f>
        <v>-2713.8566795070196</v>
      </c>
      <c r="T48">
        <f t="shared" ref="T48" si="219">S48/1000</f>
        <v>-2.7138566795070198</v>
      </c>
    </row>
    <row r="49" spans="1:20" x14ac:dyDescent="0.25">
      <c r="A49" s="5">
        <v>44544</v>
      </c>
      <c r="B49">
        <v>0.67600000000000005</v>
      </c>
      <c r="C49">
        <v>0.71419999999999995</v>
      </c>
      <c r="D49">
        <v>0.64490000000000003</v>
      </c>
      <c r="E49">
        <v>0.71009999999999995</v>
      </c>
      <c r="F49">
        <v>8255447</v>
      </c>
      <c r="G49">
        <v>0.71009999999999995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0.88167388167388172</v>
      </c>
      <c r="Q49">
        <f t="shared" ref="Q49" si="221">F49*P49</f>
        <v>7278612.0014430014</v>
      </c>
      <c r="R49">
        <f t="shared" ref="R49" si="222">R50+Q49</f>
        <v>-271156406.58637559</v>
      </c>
      <c r="S49">
        <f t="shared" ref="S49" si="223">R49/100000</f>
        <v>-2711.5640658637558</v>
      </c>
      <c r="T49">
        <f t="shared" ref="T49" si="224">S49/1000</f>
        <v>-2.7115640658637559</v>
      </c>
    </row>
    <row r="50" spans="1:20" x14ac:dyDescent="0.25">
      <c r="A50" s="5">
        <v>44543</v>
      </c>
      <c r="B50">
        <v>0.76739999999999997</v>
      </c>
      <c r="C50">
        <v>0.77159999999999995</v>
      </c>
      <c r="D50">
        <v>0.66749999999999998</v>
      </c>
      <c r="E50">
        <v>0.67600000000000005</v>
      </c>
      <c r="F50">
        <v>7628395</v>
      </c>
      <c r="G50">
        <v>0.67600000000000005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-0.83669548511046943</v>
      </c>
      <c r="Q50">
        <f t="shared" ref="Q50" si="226">F50*P50</f>
        <v>-6382643.6551392796</v>
      </c>
      <c r="R50">
        <f t="shared" ref="R50" si="227">R51+Q50</f>
        <v>-278435018.58781862</v>
      </c>
      <c r="S50">
        <f t="shared" ref="S50" si="228">R50/100000</f>
        <v>-2784.350185878186</v>
      </c>
      <c r="T50">
        <f t="shared" ref="T50" si="229">S50/1000</f>
        <v>-2.7843501858781861</v>
      </c>
    </row>
    <row r="51" spans="1:20" x14ac:dyDescent="0.25">
      <c r="A51" s="5">
        <v>44542</v>
      </c>
      <c r="B51">
        <v>0.77849999999999997</v>
      </c>
      <c r="C51">
        <v>0.78749999999999998</v>
      </c>
      <c r="D51">
        <v>0.75360000000000005</v>
      </c>
      <c r="E51">
        <v>0.76719999999999999</v>
      </c>
      <c r="F51">
        <v>4176800</v>
      </c>
      <c r="G51">
        <v>0.76719999999999999</v>
      </c>
      <c r="L51" t="s">
        <v>7</v>
      </c>
      <c r="M51" t="s">
        <v>8</v>
      </c>
      <c r="N51" t="s">
        <v>7</v>
      </c>
      <c r="P51">
        <f t="shared" ref="P51" si="230">IF(C51=D51,0,((E51-D51)-(C51-E51))/(C51-D51))</f>
        <v>-0.19764011799410186</v>
      </c>
      <c r="Q51">
        <f t="shared" ref="Q51" si="231">F51*P51</f>
        <v>-825503.24483776465</v>
      </c>
      <c r="R51">
        <f t="shared" ref="R51" si="232">R52+Q51</f>
        <v>-272052374.93267936</v>
      </c>
      <c r="S51">
        <f t="shared" ref="S51" si="233">R51/100000</f>
        <v>-2720.5237493267937</v>
      </c>
      <c r="T51">
        <f t="shared" ref="T51" si="234">S51/1000</f>
        <v>-2.7205237493267935</v>
      </c>
    </row>
    <row r="52" spans="1:20" x14ac:dyDescent="0.25">
      <c r="A52" s="5">
        <v>44541</v>
      </c>
      <c r="B52">
        <v>0.75460000000000005</v>
      </c>
      <c r="C52">
        <v>0.75780000000000003</v>
      </c>
      <c r="D52">
        <v>0.73199999999999998</v>
      </c>
      <c r="E52">
        <v>0.75470000000000004</v>
      </c>
      <c r="F52">
        <v>398705</v>
      </c>
      <c r="G52">
        <v>0.75470000000000004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0.75968992248062117</v>
      </c>
      <c r="Q52">
        <f t="shared" ref="Q52" si="236">F52*P52</f>
        <v>302892.17054263607</v>
      </c>
      <c r="R52">
        <f t="shared" ref="R52" si="237">R53+Q52</f>
        <v>-271226871.68784159</v>
      </c>
      <c r="S52">
        <f t="shared" ref="S52" si="238">R52/100000</f>
        <v>-2712.2687168784159</v>
      </c>
      <c r="T52">
        <f t="shared" ref="T52" si="239">S52/1000</f>
        <v>-2.7122687168784161</v>
      </c>
    </row>
    <row r="53" spans="1:20" x14ac:dyDescent="0.25">
      <c r="A53" s="5">
        <v>44540</v>
      </c>
      <c r="B53">
        <v>0.73750000000000004</v>
      </c>
      <c r="C53">
        <v>0.8</v>
      </c>
      <c r="D53">
        <v>0.73740000000000006</v>
      </c>
      <c r="E53">
        <v>0.75260000000000005</v>
      </c>
      <c r="F53">
        <v>6461822</v>
      </c>
      <c r="G53">
        <v>0.75260000000000005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-0.51437699680511206</v>
      </c>
      <c r="Q53">
        <f t="shared" ref="Q53" si="241">F53*P53</f>
        <v>-3323812.5942492029</v>
      </c>
      <c r="R53">
        <f t="shared" ref="R53" si="242">R54+Q53</f>
        <v>-271529763.85838425</v>
      </c>
      <c r="S53">
        <f t="shared" ref="S53" si="243">R53/100000</f>
        <v>-2715.2976385838424</v>
      </c>
      <c r="T53">
        <f t="shared" ref="T53" si="244">S53/1000</f>
        <v>-2.7152976385838423</v>
      </c>
    </row>
    <row r="54" spans="1:20" x14ac:dyDescent="0.25">
      <c r="A54" s="5">
        <v>44539</v>
      </c>
      <c r="B54">
        <v>0.82579999999999998</v>
      </c>
      <c r="C54">
        <v>0.83299999999999996</v>
      </c>
      <c r="D54">
        <v>0.73299999999999998</v>
      </c>
      <c r="E54">
        <v>0.73750000000000004</v>
      </c>
      <c r="F54">
        <v>8559340</v>
      </c>
      <c r="G54">
        <v>0.73750000000000004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-0.90999999999999881</v>
      </c>
      <c r="Q54">
        <f t="shared" ref="Q54" si="246">F54*P54</f>
        <v>-7788999.3999999901</v>
      </c>
      <c r="R54">
        <f t="shared" ref="R54" si="247">R55+Q54</f>
        <v>-268205951.26413506</v>
      </c>
      <c r="S54">
        <f t="shared" ref="S54" si="248">R54/100000</f>
        <v>-2682.0595126413505</v>
      </c>
      <c r="T54">
        <f t="shared" ref="T54" si="249">S54/1000</f>
        <v>-2.6820595126413505</v>
      </c>
    </row>
    <row r="55" spans="1:20" x14ac:dyDescent="0.25">
      <c r="A55" s="5">
        <v>44538</v>
      </c>
      <c r="B55">
        <v>0.80500000000000005</v>
      </c>
      <c r="C55">
        <v>0.8387</v>
      </c>
      <c r="D55">
        <v>0.75109999999999999</v>
      </c>
      <c r="E55">
        <v>0.82579999999999998</v>
      </c>
      <c r="F55">
        <v>9326103</v>
      </c>
      <c r="G55">
        <v>0.82579999999999998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0.70547945205479401</v>
      </c>
      <c r="Q55">
        <f t="shared" ref="Q55" si="251">F55*P55</f>
        <v>6579374.0342465704</v>
      </c>
      <c r="R55">
        <f t="shared" ref="R55" si="252">R56+Q55</f>
        <v>-260416951.86413509</v>
      </c>
      <c r="S55">
        <f t="shared" ref="S55" si="253">R55/100000</f>
        <v>-2604.1695186413508</v>
      </c>
      <c r="T55">
        <f t="shared" ref="T55" si="254">S55/1000</f>
        <v>-2.6041695186413509</v>
      </c>
    </row>
    <row r="56" spans="1:20" x14ac:dyDescent="0.25">
      <c r="A56" s="5">
        <v>44537</v>
      </c>
      <c r="B56">
        <v>0.81030000000000002</v>
      </c>
      <c r="C56">
        <v>0.8609</v>
      </c>
      <c r="D56">
        <v>0.7863</v>
      </c>
      <c r="E56">
        <v>0.80600000000000005</v>
      </c>
      <c r="F56">
        <v>10599712</v>
      </c>
      <c r="G56">
        <v>0.80600000000000005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-0.47184986595174128</v>
      </c>
      <c r="Q56">
        <f t="shared" ref="Q56" si="256">F56*P56</f>
        <v>-5001472.6863270635</v>
      </c>
      <c r="R56">
        <f t="shared" ref="R56" si="257">R57+Q56</f>
        <v>-266996325.89838165</v>
      </c>
      <c r="S56">
        <f t="shared" ref="S56" si="258">R56/100000</f>
        <v>-2669.9632589838166</v>
      </c>
      <c r="T56">
        <f t="shared" ref="T56" si="259">S56/1000</f>
        <v>-2.6699632589838167</v>
      </c>
    </row>
    <row r="57" spans="1:20" x14ac:dyDescent="0.25">
      <c r="A57" s="5">
        <v>44536</v>
      </c>
      <c r="B57">
        <v>0.78339999999999999</v>
      </c>
      <c r="C57">
        <v>0.86380000000000001</v>
      </c>
      <c r="D57">
        <v>0.68459999999999999</v>
      </c>
      <c r="E57">
        <v>0.81200000000000006</v>
      </c>
      <c r="F57">
        <v>14365184</v>
      </c>
      <c r="G57">
        <v>0.81200000000000006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0.42187500000000056</v>
      </c>
      <c r="Q57">
        <f t="shared" ref="Q57" si="261">F57*P57</f>
        <v>6060312.0000000084</v>
      </c>
      <c r="R57">
        <f t="shared" ref="R57" si="262">R58+Q57</f>
        <v>-261994853.21205458</v>
      </c>
      <c r="S57">
        <f t="shared" ref="S57" si="263">R57/100000</f>
        <v>-2619.9485321205457</v>
      </c>
      <c r="T57">
        <f t="shared" ref="T57" si="264">S57/1000</f>
        <v>-2.6199485321205458</v>
      </c>
    </row>
    <row r="58" spans="1:20" x14ac:dyDescent="0.25">
      <c r="A58" s="5">
        <v>44535</v>
      </c>
      <c r="B58">
        <v>0.82679999999999998</v>
      </c>
      <c r="C58">
        <v>0.86939999999999995</v>
      </c>
      <c r="D58">
        <v>0.75470000000000004</v>
      </c>
      <c r="E58">
        <v>0.78249999999999997</v>
      </c>
      <c r="F58">
        <v>9946746</v>
      </c>
      <c r="G58">
        <v>0.78249999999999997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-0.51525719267654824</v>
      </c>
      <c r="Q58">
        <f t="shared" ref="Q58" si="266">F58*P58</f>
        <v>-5125132.4202266857</v>
      </c>
      <c r="R58">
        <f t="shared" ref="R58" si="267">R59+Q58</f>
        <v>-268055165.21205458</v>
      </c>
      <c r="S58">
        <f t="shared" ref="S58" si="268">R58/100000</f>
        <v>-2680.5516521205459</v>
      </c>
      <c r="T58">
        <f t="shared" ref="T58" si="269">S58/1000</f>
        <v>-2.6805516521205459</v>
      </c>
    </row>
    <row r="59" spans="1:20" x14ac:dyDescent="0.25">
      <c r="A59" s="5">
        <v>44534</v>
      </c>
      <c r="B59">
        <v>1</v>
      </c>
      <c r="C59">
        <v>1.0094000000000001</v>
      </c>
      <c r="D59">
        <v>0.6452</v>
      </c>
      <c r="E59">
        <v>0.82809999999999995</v>
      </c>
      <c r="F59">
        <v>29486924.949999999</v>
      </c>
      <c r="G59">
        <v>0.82809999999999995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4.3931905546398227E-3</v>
      </c>
      <c r="Q59">
        <f t="shared" ref="Q59" si="271">F59*P59</f>
        <v>129541.68017571332</v>
      </c>
      <c r="R59">
        <f t="shared" ref="R59" si="272">R60+Q59</f>
        <v>-262930032.79182789</v>
      </c>
      <c r="S59">
        <f t="shared" ref="S59" si="273">R59/100000</f>
        <v>-2629.300327918279</v>
      </c>
      <c r="T59">
        <f t="shared" ref="T59" si="274">S59/1000</f>
        <v>-2.6293003279182789</v>
      </c>
    </row>
    <row r="60" spans="1:20" x14ac:dyDescent="0.25">
      <c r="A60" s="5">
        <v>44533</v>
      </c>
      <c r="B60">
        <v>1.0814999999999999</v>
      </c>
      <c r="C60">
        <v>1.0866</v>
      </c>
      <c r="D60">
        <v>0.96209999999999996</v>
      </c>
      <c r="E60">
        <v>1.0014000000000001</v>
      </c>
      <c r="F60">
        <v>20370186</v>
      </c>
      <c r="G60">
        <v>1.0014000000000001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-0.36867469879517917</v>
      </c>
      <c r="Q60">
        <f t="shared" ref="Q60" si="276">F60*P60</f>
        <v>-7509972.1879517753</v>
      </c>
      <c r="R60">
        <f t="shared" ref="R60" si="277">R61+Q60</f>
        <v>-263059574.47200361</v>
      </c>
      <c r="S60">
        <f t="shared" ref="S60" si="278">R60/100000</f>
        <v>-2630.5957447200362</v>
      </c>
      <c r="T60">
        <f t="shared" ref="T60" si="279">S60/1000</f>
        <v>-2.6305957447200363</v>
      </c>
    </row>
    <row r="61" spans="1:20" x14ac:dyDescent="0.25">
      <c r="A61" s="5">
        <v>44532</v>
      </c>
      <c r="B61">
        <v>1.0386</v>
      </c>
      <c r="C61">
        <v>1.27</v>
      </c>
      <c r="D61">
        <v>1.0283</v>
      </c>
      <c r="E61">
        <v>1.0814999999999999</v>
      </c>
      <c r="F61">
        <v>40305993</v>
      </c>
      <c r="G61">
        <v>1.0814999999999999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-0.55978485726106819</v>
      </c>
      <c r="Q61">
        <f t="shared" ref="Q61" si="281">F61*P61</f>
        <v>-22562684.538270615</v>
      </c>
      <c r="R61">
        <f t="shared" ref="R61" si="282">R62+Q61</f>
        <v>-255549602.28405184</v>
      </c>
      <c r="S61">
        <f t="shared" ref="S61" si="283">R61/100000</f>
        <v>-2555.4960228405184</v>
      </c>
      <c r="T61">
        <f t="shared" ref="T61" si="284">S61/1000</f>
        <v>-2.5554960228405186</v>
      </c>
    </row>
    <row r="62" spans="1:20" x14ac:dyDescent="0.25">
      <c r="A62" s="5">
        <v>44531</v>
      </c>
      <c r="B62">
        <v>1.0410999999999999</v>
      </c>
      <c r="C62">
        <v>1.0749</v>
      </c>
      <c r="D62">
        <v>1.024</v>
      </c>
      <c r="E62">
        <v>1.0388999999999999</v>
      </c>
      <c r="F62">
        <v>7458062</v>
      </c>
      <c r="G62">
        <v>1.0388999999999999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-0.41453831041257644</v>
      </c>
      <c r="Q62">
        <f t="shared" ref="Q62" si="286">F62*P62</f>
        <v>-3091652.4204322407</v>
      </c>
      <c r="R62">
        <f t="shared" ref="R62" si="287">R63+Q62</f>
        <v>-232986917.74578121</v>
      </c>
      <c r="S62">
        <f t="shared" ref="S62" si="288">R62/100000</f>
        <v>-2329.8691774578119</v>
      </c>
      <c r="T62">
        <f t="shared" ref="T62" si="289">S62/1000</f>
        <v>-2.329869177457812</v>
      </c>
    </row>
    <row r="63" spans="1:20" x14ac:dyDescent="0.25">
      <c r="A63" s="5">
        <v>44530</v>
      </c>
      <c r="B63">
        <v>1.0701000000000001</v>
      </c>
      <c r="C63">
        <v>1.0900000000000001</v>
      </c>
      <c r="D63">
        <v>0.99590000000000001</v>
      </c>
      <c r="E63">
        <v>1.0405</v>
      </c>
      <c r="F63">
        <v>10992818</v>
      </c>
      <c r="G63">
        <v>1.0405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-5.2072263549416818E-2</v>
      </c>
      <c r="Q63">
        <f t="shared" ref="Q63" si="291">F63*P63</f>
        <v>-572420.91604677308</v>
      </c>
      <c r="R63">
        <f t="shared" ref="R63" si="292">R64+Q63</f>
        <v>-229895265.32534897</v>
      </c>
      <c r="S63">
        <f t="shared" ref="S63" si="293">R63/100000</f>
        <v>-2298.9526532534896</v>
      </c>
      <c r="T63">
        <f t="shared" ref="T63" si="294">S63/1000</f>
        <v>-2.2989526532534899</v>
      </c>
    </row>
    <row r="64" spans="1:20" x14ac:dyDescent="0.25">
      <c r="A64" s="5">
        <v>44529</v>
      </c>
      <c r="B64">
        <v>1.0769</v>
      </c>
      <c r="C64">
        <v>1.0867</v>
      </c>
      <c r="D64">
        <v>1.0308999999999999</v>
      </c>
      <c r="E64">
        <v>1.0701000000000001</v>
      </c>
      <c r="F64">
        <v>7235439</v>
      </c>
      <c r="G64">
        <v>1.0701000000000001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0.40501792114695601</v>
      </c>
      <c r="Q64">
        <f t="shared" ref="Q64" si="296">F64*P64</f>
        <v>2930482.4623656101</v>
      </c>
      <c r="R64">
        <f t="shared" ref="R64" si="297">R65+Q64</f>
        <v>-229322844.4093022</v>
      </c>
      <c r="S64">
        <f t="shared" ref="S64" si="298">R64/100000</f>
        <v>-2293.2284440930221</v>
      </c>
      <c r="T64">
        <f t="shared" ref="T64" si="299">S64/1000</f>
        <v>-2.293228444093022</v>
      </c>
    </row>
    <row r="65" spans="1:20" x14ac:dyDescent="0.25">
      <c r="A65" s="5">
        <v>44528</v>
      </c>
      <c r="B65">
        <v>1.0548999999999999</v>
      </c>
      <c r="C65">
        <v>1.0919000000000001</v>
      </c>
      <c r="D65">
        <v>0.98009999999999997</v>
      </c>
      <c r="E65">
        <v>1.0768</v>
      </c>
      <c r="F65">
        <v>9022958</v>
      </c>
      <c r="G65">
        <v>1.0768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0.72987477638640252</v>
      </c>
      <c r="Q65">
        <f t="shared" ref="Q65" si="301">F65*P65</f>
        <v>6585629.4525939021</v>
      </c>
      <c r="R65">
        <f t="shared" ref="R65" si="302">R66+Q65</f>
        <v>-232253326.8716678</v>
      </c>
      <c r="S65">
        <f t="shared" ref="S65" si="303">R65/100000</f>
        <v>-2322.5332687166779</v>
      </c>
      <c r="T65">
        <f t="shared" ref="T65" si="304">S65/1000</f>
        <v>-2.3225332687166778</v>
      </c>
    </row>
    <row r="66" spans="1:20" x14ac:dyDescent="0.25">
      <c r="A66" s="5">
        <v>44527</v>
      </c>
      <c r="B66">
        <v>1.0323</v>
      </c>
      <c r="C66">
        <v>1.1022000000000001</v>
      </c>
      <c r="D66">
        <v>1.0255000000000001</v>
      </c>
      <c r="E66">
        <v>1.0548999999999999</v>
      </c>
      <c r="F66">
        <v>8849967</v>
      </c>
      <c r="G66">
        <v>1.0548999999999999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-0.23337679269882988</v>
      </c>
      <c r="Q66">
        <f t="shared" ref="Q66" si="306">F66*P66</f>
        <v>-2065376.9139504854</v>
      </c>
      <c r="R66">
        <f t="shared" ref="R66" si="307">R67+Q66</f>
        <v>-238838956.3242617</v>
      </c>
      <c r="S66">
        <f t="shared" ref="S66" si="308">R66/100000</f>
        <v>-2388.389563242617</v>
      </c>
      <c r="T66">
        <f t="shared" ref="T66" si="309">S66/1000</f>
        <v>-2.3883895632426171</v>
      </c>
    </row>
    <row r="67" spans="1:20" x14ac:dyDescent="0.25">
      <c r="A67" s="5">
        <v>44526</v>
      </c>
      <c r="B67">
        <v>1.1546000000000001</v>
      </c>
      <c r="C67">
        <v>1.1818</v>
      </c>
      <c r="D67">
        <v>1.0105</v>
      </c>
      <c r="E67">
        <v>1.0301</v>
      </c>
      <c r="F67">
        <v>16179113</v>
      </c>
      <c r="G67">
        <v>1.0301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-0.77116170461179145</v>
      </c>
      <c r="Q67">
        <f t="shared" ref="Q67" si="311">F67*P67</f>
        <v>-12476712.360186795</v>
      </c>
      <c r="R67">
        <f t="shared" ref="R67" si="312">R68+Q67</f>
        <v>-236773579.41031122</v>
      </c>
      <c r="S67">
        <f t="shared" ref="S67" si="313">R67/100000</f>
        <v>-2367.7357941031123</v>
      </c>
      <c r="T67">
        <f t="shared" ref="T67" si="314">S67/1000</f>
        <v>-2.3677357941031123</v>
      </c>
    </row>
    <row r="68" spans="1:20" x14ac:dyDescent="0.25">
      <c r="A68" s="5">
        <v>44525</v>
      </c>
      <c r="B68">
        <v>1.1372</v>
      </c>
      <c r="C68">
        <v>1.21</v>
      </c>
      <c r="D68">
        <v>1.1292</v>
      </c>
      <c r="E68">
        <v>1.1541999999999999</v>
      </c>
      <c r="F68">
        <v>14289579</v>
      </c>
      <c r="G68">
        <v>1.1541999999999999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-0.38118811881188325</v>
      </c>
      <c r="Q68">
        <f t="shared" ref="Q68" si="316">F68*P68</f>
        <v>-5447017.7376237921</v>
      </c>
      <c r="R68">
        <f t="shared" ref="R68" si="317">R69+Q68</f>
        <v>-224296867.05012444</v>
      </c>
      <c r="S68">
        <f t="shared" ref="S68" si="318">R68/100000</f>
        <v>-2242.9686705012446</v>
      </c>
      <c r="T68">
        <f t="shared" ref="T68" si="319">S68/1000</f>
        <v>-2.2429686705012446</v>
      </c>
    </row>
    <row r="69" spans="1:20" x14ac:dyDescent="0.25">
      <c r="A69" s="5">
        <v>44524</v>
      </c>
      <c r="B69">
        <v>1.1803999999999999</v>
      </c>
      <c r="C69">
        <v>1.1852</v>
      </c>
      <c r="D69">
        <v>1.1314</v>
      </c>
      <c r="E69">
        <v>1.1658999999999999</v>
      </c>
      <c r="F69">
        <v>2619443</v>
      </c>
      <c r="G69">
        <v>1.1658999999999999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0.28252788104088961</v>
      </c>
      <c r="Q69">
        <f t="shared" ref="Q69" si="321">F69*P69</f>
        <v>740065.68029739102</v>
      </c>
      <c r="R69">
        <f t="shared" ref="R69" si="322">R70+Q69</f>
        <v>-218849849.31250066</v>
      </c>
      <c r="S69">
        <f t="shared" ref="S69" si="323">R69/100000</f>
        <v>-2188.4984931250065</v>
      </c>
      <c r="T69">
        <f t="shared" ref="T69" si="324">S69/1000</f>
        <v>-2.1884984931250067</v>
      </c>
    </row>
    <row r="70" spans="1:20" x14ac:dyDescent="0.25">
      <c r="A70" s="5">
        <v>44523</v>
      </c>
      <c r="B70">
        <v>1.1039000000000001</v>
      </c>
      <c r="C70">
        <v>1.21</v>
      </c>
      <c r="D70">
        <v>1.0938000000000001</v>
      </c>
      <c r="E70">
        <v>1.1806000000000001</v>
      </c>
      <c r="F70">
        <v>16547927</v>
      </c>
      <c r="G70">
        <v>1.1806000000000001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0.49397590361445942</v>
      </c>
      <c r="Q70">
        <f t="shared" ref="Q70" si="326">F70*P70</f>
        <v>8174277.1927711107</v>
      </c>
      <c r="R70">
        <f t="shared" ref="R70" si="327">R71+Q70</f>
        <v>-219589914.99279806</v>
      </c>
      <c r="S70">
        <f t="shared" ref="S70" si="328">R70/100000</f>
        <v>-2195.8991499279805</v>
      </c>
      <c r="T70">
        <f t="shared" ref="T70" si="329">S70/1000</f>
        <v>-2.1958991499279805</v>
      </c>
    </row>
    <row r="71" spans="1:20" x14ac:dyDescent="0.25">
      <c r="A71" s="5">
        <v>44522</v>
      </c>
      <c r="B71">
        <v>1.1682999999999999</v>
      </c>
      <c r="C71">
        <v>1.1744000000000001</v>
      </c>
      <c r="D71">
        <v>1.0924</v>
      </c>
      <c r="E71">
        <v>1.1039000000000001</v>
      </c>
      <c r="F71">
        <v>13845757</v>
      </c>
      <c r="G71">
        <v>1.1039000000000001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-0.71951219512194986</v>
      </c>
      <c r="Q71">
        <f t="shared" ref="Q71" si="331">F71*P71</f>
        <v>-9962191.0121951029</v>
      </c>
      <c r="R71">
        <f t="shared" ref="R71" si="332">R72+Q71</f>
        <v>-227764192.18556917</v>
      </c>
      <c r="S71">
        <f t="shared" ref="S71" si="333">R71/100000</f>
        <v>-2277.6419218556916</v>
      </c>
      <c r="T71">
        <f t="shared" ref="T71" si="334">S71/1000</f>
        <v>-2.2776419218556918</v>
      </c>
    </row>
    <row r="72" spans="1:20" x14ac:dyDescent="0.25">
      <c r="A72" s="5">
        <v>44521</v>
      </c>
      <c r="B72">
        <v>1.1907000000000001</v>
      </c>
      <c r="C72">
        <v>1.2272000000000001</v>
      </c>
      <c r="D72">
        <v>1.1633</v>
      </c>
      <c r="E72">
        <v>1.1682999999999999</v>
      </c>
      <c r="F72">
        <v>12891662</v>
      </c>
      <c r="G72">
        <v>1.1682999999999999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-0.84350547730829772</v>
      </c>
      <c r="Q72">
        <f t="shared" ref="Q72" si="336">F72*P72</f>
        <v>-10874187.508607244</v>
      </c>
      <c r="R72">
        <f t="shared" ref="R72" si="337">R73+Q72</f>
        <v>-217802001.17337406</v>
      </c>
      <c r="S72">
        <f t="shared" ref="S72" si="338">R72/100000</f>
        <v>-2178.0200117337404</v>
      </c>
      <c r="T72">
        <f t="shared" ref="T72" si="339">S72/1000</f>
        <v>-2.1780200117337403</v>
      </c>
    </row>
    <row r="73" spans="1:20" x14ac:dyDescent="0.25">
      <c r="A73" s="5">
        <v>44520</v>
      </c>
      <c r="B73">
        <v>1.1524000000000001</v>
      </c>
      <c r="C73">
        <v>1.23</v>
      </c>
      <c r="D73">
        <v>1.1277999999999999</v>
      </c>
      <c r="E73">
        <v>1.1904999999999999</v>
      </c>
      <c r="F73">
        <v>16361962</v>
      </c>
      <c r="G73">
        <v>1.1904999999999999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0.22700587084148602</v>
      </c>
      <c r="Q73">
        <f t="shared" ref="Q73" si="341">F73*P73</f>
        <v>3714261.4324853024</v>
      </c>
      <c r="R73">
        <f t="shared" ref="R73" si="342">R74+Q73</f>
        <v>-206927813.66476682</v>
      </c>
      <c r="S73">
        <f t="shared" ref="S73" si="343">R73/100000</f>
        <v>-2069.2781366476684</v>
      </c>
      <c r="T73">
        <f t="shared" ref="T73" si="344">S73/1000</f>
        <v>-2.0692781366476685</v>
      </c>
    </row>
    <row r="74" spans="1:20" x14ac:dyDescent="0.25">
      <c r="A74" s="5">
        <v>44519</v>
      </c>
      <c r="B74">
        <v>1.087</v>
      </c>
      <c r="C74">
        <v>1.1833</v>
      </c>
      <c r="D74">
        <v>1.0585</v>
      </c>
      <c r="E74">
        <v>1.1527000000000001</v>
      </c>
      <c r="F74">
        <v>11771966</v>
      </c>
      <c r="G74">
        <v>1.1527000000000001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0.50961538461538536</v>
      </c>
      <c r="Q74">
        <f t="shared" ref="Q74" si="346">F74*P74</f>
        <v>5999174.9807692394</v>
      </c>
      <c r="R74">
        <f t="shared" ref="R74" si="347">R75+Q74</f>
        <v>-210642075.09725213</v>
      </c>
      <c r="S74">
        <f t="shared" ref="S74" si="348">R74/100000</f>
        <v>-2106.4207509725211</v>
      </c>
      <c r="T74">
        <f t="shared" ref="T74" si="349">S74/1000</f>
        <v>-2.106420750972521</v>
      </c>
    </row>
    <row r="75" spans="1:20" x14ac:dyDescent="0.25">
      <c r="A75" s="5">
        <v>44518</v>
      </c>
      <c r="B75">
        <v>1.1793</v>
      </c>
      <c r="C75">
        <v>1.1907000000000001</v>
      </c>
      <c r="D75">
        <v>1.05</v>
      </c>
      <c r="E75">
        <v>1.0881000000000001</v>
      </c>
      <c r="F75">
        <v>15749768</v>
      </c>
      <c r="G75">
        <v>1.0881000000000001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-0.45842217484008513</v>
      </c>
      <c r="Q75">
        <f t="shared" ref="Q75" si="351">F75*P75</f>
        <v>-7220042.8997867778</v>
      </c>
      <c r="R75">
        <f t="shared" ref="R75" si="352">R76+Q75</f>
        <v>-216641250.07802138</v>
      </c>
      <c r="S75">
        <f t="shared" ref="S75" si="353">R75/100000</f>
        <v>-2166.4125007802136</v>
      </c>
      <c r="T75">
        <f t="shared" ref="T75" si="354">S75/1000</f>
        <v>-2.1664125007802135</v>
      </c>
    </row>
    <row r="76" spans="1:20" x14ac:dyDescent="0.25">
      <c r="A76" s="5">
        <v>44517</v>
      </c>
      <c r="B76">
        <v>1.1781999999999999</v>
      </c>
      <c r="C76">
        <v>1.2250000000000001</v>
      </c>
      <c r="D76">
        <v>1.1553</v>
      </c>
      <c r="E76">
        <v>1.1793</v>
      </c>
      <c r="F76">
        <v>17359461</v>
      </c>
      <c r="G76">
        <v>1.1793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-0.31133428981348671</v>
      </c>
      <c r="Q76">
        <f t="shared" ref="Q76" si="356">F76*P76</f>
        <v>-5404595.46197992</v>
      </c>
      <c r="R76">
        <f t="shared" ref="R76" si="357">R77+Q76</f>
        <v>-209421207.17823461</v>
      </c>
      <c r="S76">
        <f t="shared" ref="S76" si="358">R76/100000</f>
        <v>-2094.2120717823459</v>
      </c>
      <c r="T76">
        <f t="shared" ref="T76" si="359">S76/1000</f>
        <v>-2.094212071782346</v>
      </c>
    </row>
    <row r="77" spans="1:20" x14ac:dyDescent="0.25">
      <c r="A77" s="5">
        <v>44516</v>
      </c>
      <c r="B77">
        <v>1.1930000000000001</v>
      </c>
      <c r="C77">
        <v>1.2490000000000001</v>
      </c>
      <c r="D77">
        <v>1.0737000000000001</v>
      </c>
      <c r="E77">
        <v>1.1774</v>
      </c>
      <c r="F77">
        <v>30336195</v>
      </c>
      <c r="G77">
        <v>1.1774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0.18311466058185849</v>
      </c>
      <c r="Q77">
        <f t="shared" ref="Q77" si="361">F77*P77</f>
        <v>5555002.0507700723</v>
      </c>
      <c r="R77">
        <f t="shared" ref="R77" si="362">R78+Q77</f>
        <v>-204016611.71625468</v>
      </c>
      <c r="S77">
        <f t="shared" ref="S77" si="363">R77/100000</f>
        <v>-2040.1661171625469</v>
      </c>
      <c r="T77">
        <f t="shared" ref="T77" si="364">S77/1000</f>
        <v>-2.0401661171625469</v>
      </c>
    </row>
    <row r="78" spans="1:20" x14ac:dyDescent="0.25">
      <c r="A78" s="5">
        <v>44515</v>
      </c>
      <c r="B78">
        <v>1.2597</v>
      </c>
      <c r="C78">
        <v>1.3145</v>
      </c>
      <c r="D78">
        <v>1.1821999999999999</v>
      </c>
      <c r="E78">
        <v>1.1922999999999999</v>
      </c>
      <c r="F78">
        <v>15887784</v>
      </c>
      <c r="G78">
        <v>1.1922999999999999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-0.84731670445956175</v>
      </c>
      <c r="Q78">
        <f t="shared" ref="Q78" si="366">F78*P78</f>
        <v>-13461984.780045355</v>
      </c>
      <c r="R78">
        <f t="shared" ref="R78" si="367">R79+Q78</f>
        <v>-209571613.76702476</v>
      </c>
      <c r="S78">
        <f t="shared" ref="S78" si="368">R78/100000</f>
        <v>-2095.7161376702475</v>
      </c>
      <c r="T78">
        <f t="shared" ref="T78" si="369">S78/1000</f>
        <v>-2.0957161376702476</v>
      </c>
    </row>
    <row r="79" spans="1:20" x14ac:dyDescent="0.25">
      <c r="A79" s="5">
        <v>44514</v>
      </c>
      <c r="B79">
        <v>1.2996000000000001</v>
      </c>
      <c r="C79">
        <v>1.3712</v>
      </c>
      <c r="D79">
        <v>1.2362</v>
      </c>
      <c r="E79">
        <v>1.2594000000000001</v>
      </c>
      <c r="F79">
        <v>17824011</v>
      </c>
      <c r="G79">
        <v>1.2594000000000001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-0.65629629629629471</v>
      </c>
      <c r="Q79">
        <f t="shared" ref="Q79" si="371">F79*P79</f>
        <v>-11697832.404444417</v>
      </c>
      <c r="R79">
        <f t="shared" ref="R79" si="372">R80+Q79</f>
        <v>-196109628.9869794</v>
      </c>
      <c r="S79">
        <f t="shared" ref="S79" si="373">R79/100000</f>
        <v>-1961.096289869794</v>
      </c>
      <c r="T79">
        <f t="shared" ref="T79" si="374">S79/1000</f>
        <v>-1.9610962898697939</v>
      </c>
    </row>
    <row r="80" spans="1:20" x14ac:dyDescent="0.25">
      <c r="A80" s="5">
        <v>44513</v>
      </c>
      <c r="B80">
        <v>1.2753000000000001</v>
      </c>
      <c r="C80">
        <v>1.3501000000000001</v>
      </c>
      <c r="D80">
        <v>1.2287999999999999</v>
      </c>
      <c r="E80">
        <v>1.3012999999999999</v>
      </c>
      <c r="F80">
        <v>19324828</v>
      </c>
      <c r="G80">
        <v>1.3012999999999999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0.19538334707337013</v>
      </c>
      <c r="Q80">
        <f t="shared" ref="Q80" si="376">F80*P80</f>
        <v>3775749.5762571809</v>
      </c>
      <c r="R80">
        <f t="shared" ref="R80" si="377">R81+Q80</f>
        <v>-184411796.58253497</v>
      </c>
      <c r="S80">
        <f t="shared" ref="S80" si="378">R80/100000</f>
        <v>-1844.1179658253498</v>
      </c>
      <c r="T80">
        <f t="shared" ref="T80" si="379">S80/1000</f>
        <v>-1.8441179658253497</v>
      </c>
    </row>
    <row r="81" spans="1:20" x14ac:dyDescent="0.25">
      <c r="A81" s="5">
        <v>44512</v>
      </c>
      <c r="B81">
        <v>1.3241000000000001</v>
      </c>
      <c r="C81">
        <v>1.3754999999999999</v>
      </c>
      <c r="D81">
        <v>1.1754</v>
      </c>
      <c r="E81">
        <v>1.274</v>
      </c>
      <c r="F81">
        <v>34178117</v>
      </c>
      <c r="G81">
        <v>1.274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-1.4492753623187924E-2</v>
      </c>
      <c r="Q81">
        <f t="shared" ref="Q81" si="381">F81*P81</f>
        <v>-495335.02898549079</v>
      </c>
      <c r="R81">
        <f t="shared" ref="R81" si="382">R82+Q81</f>
        <v>-188187546.15879214</v>
      </c>
      <c r="S81">
        <f t="shared" ref="S81" si="383">R81/100000</f>
        <v>-1881.8754615879213</v>
      </c>
      <c r="T81">
        <f t="shared" ref="T81" si="384">S81/1000</f>
        <v>-1.8818754615879214</v>
      </c>
    </row>
    <row r="82" spans="1:20" x14ac:dyDescent="0.25">
      <c r="A82" s="5">
        <v>44511</v>
      </c>
      <c r="B82">
        <v>1.1309</v>
      </c>
      <c r="C82">
        <v>1.3647</v>
      </c>
      <c r="D82">
        <v>1.1100000000000001</v>
      </c>
      <c r="E82">
        <v>1.3258000000000001</v>
      </c>
      <c r="F82">
        <v>49126014</v>
      </c>
      <c r="G82">
        <v>1.3258000000000001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0.69454259913623917</v>
      </c>
      <c r="Q82">
        <f t="shared" ref="Q82" si="386">F82*P82</f>
        <v>34120109.448763274</v>
      </c>
      <c r="R82">
        <f t="shared" ref="R82" si="387">R83+Q82</f>
        <v>-187692211.12980664</v>
      </c>
      <c r="S82">
        <f t="shared" ref="S82" si="388">R82/100000</f>
        <v>-1876.9221112980663</v>
      </c>
      <c r="T82">
        <f t="shared" ref="T82" si="389">S82/1000</f>
        <v>-1.8769221112980663</v>
      </c>
    </row>
    <row r="83" spans="1:20" x14ac:dyDescent="0.25">
      <c r="A83" s="5">
        <v>44510</v>
      </c>
      <c r="B83">
        <v>1.1692</v>
      </c>
      <c r="C83">
        <v>1.2273000000000001</v>
      </c>
      <c r="D83">
        <v>1.0487</v>
      </c>
      <c r="E83">
        <v>1.1309</v>
      </c>
      <c r="F83">
        <v>23096870</v>
      </c>
      <c r="G83">
        <v>1.1309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-7.9507278835386247E-2</v>
      </c>
      <c r="Q83">
        <f t="shared" ref="Q83" si="391">F83*P83</f>
        <v>-1836369.2833146676</v>
      </c>
      <c r="R83">
        <f t="shared" ref="R83" si="392">R84+Q83</f>
        <v>-221812320.57856992</v>
      </c>
      <c r="S83">
        <f t="shared" ref="S83" si="393">R83/100000</f>
        <v>-2218.1232057856992</v>
      </c>
      <c r="T83">
        <f t="shared" ref="T83" si="394">S83/1000</f>
        <v>-2.218123205785699</v>
      </c>
    </row>
    <row r="84" spans="1:20" x14ac:dyDescent="0.25">
      <c r="A84" s="5">
        <v>44509</v>
      </c>
      <c r="B84">
        <v>1.1398999999999999</v>
      </c>
      <c r="C84">
        <v>1.2290000000000001</v>
      </c>
      <c r="D84">
        <v>1.1336999999999999</v>
      </c>
      <c r="E84">
        <v>1.1668000000000001</v>
      </c>
      <c r="F84">
        <v>19731982</v>
      </c>
      <c r="G84">
        <v>1.1668000000000001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-0.3053515215110163</v>
      </c>
      <c r="Q84">
        <f t="shared" ref="Q84" si="396">F84*P84</f>
        <v>-6025190.7261279868</v>
      </c>
      <c r="R84">
        <f t="shared" ref="R84" si="397">R85+Q84</f>
        <v>-219975951.29525524</v>
      </c>
      <c r="S84">
        <f t="shared" ref="S84" si="398">R84/100000</f>
        <v>-2199.7595129525525</v>
      </c>
      <c r="T84">
        <f t="shared" ref="T84" si="399">S84/1000</f>
        <v>-2.1997595129525527</v>
      </c>
    </row>
    <row r="85" spans="1:20" x14ac:dyDescent="0.25">
      <c r="A85" s="5">
        <v>44508</v>
      </c>
      <c r="B85">
        <v>1.1238999999999999</v>
      </c>
      <c r="C85">
        <v>1.1666000000000001</v>
      </c>
      <c r="D85">
        <v>1.1160000000000001</v>
      </c>
      <c r="E85">
        <v>1.1397999999999999</v>
      </c>
      <c r="F85">
        <v>10260342</v>
      </c>
      <c r="G85">
        <v>1.1397999999999999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-5.9288537549413774E-2</v>
      </c>
      <c r="Q85">
        <f t="shared" ref="Q85" si="401">F85*P85</f>
        <v>-608320.67193682725</v>
      </c>
      <c r="R85">
        <f t="shared" ref="R85" si="402">R86+Q85</f>
        <v>-213950760.56912726</v>
      </c>
      <c r="S85">
        <f t="shared" ref="S85" si="403">R85/100000</f>
        <v>-2139.5076056912726</v>
      </c>
      <c r="T85">
        <f t="shared" ref="T85" si="404">S85/1000</f>
        <v>-2.1395076056912727</v>
      </c>
    </row>
    <row r="86" spans="1:20" x14ac:dyDescent="0.25">
      <c r="A86" s="5">
        <v>44507</v>
      </c>
      <c r="B86">
        <v>1.1392</v>
      </c>
      <c r="C86">
        <v>1.17</v>
      </c>
      <c r="D86">
        <v>1.1185</v>
      </c>
      <c r="E86">
        <v>1.1225000000000001</v>
      </c>
      <c r="F86">
        <v>8580706</v>
      </c>
      <c r="G86">
        <v>1.1225000000000001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-0.8446601941747568</v>
      </c>
      <c r="Q86">
        <f t="shared" ref="Q86" si="406">F86*P86</f>
        <v>-7247780.7961165011</v>
      </c>
      <c r="R86">
        <f t="shared" ref="R86" si="407">R87+Q86</f>
        <v>-213342439.89719042</v>
      </c>
      <c r="S86">
        <f t="shared" ref="S86" si="408">R86/100000</f>
        <v>-2133.4243989719043</v>
      </c>
      <c r="T86">
        <f t="shared" ref="T86" si="409">S86/1000</f>
        <v>-2.1334243989719042</v>
      </c>
    </row>
    <row r="87" spans="1:20" x14ac:dyDescent="0.25">
      <c r="A87" s="5">
        <v>44506</v>
      </c>
      <c r="B87">
        <v>1.1415999999999999</v>
      </c>
      <c r="C87">
        <v>1.1679999999999999</v>
      </c>
      <c r="D87">
        <v>1.1002000000000001</v>
      </c>
      <c r="E87">
        <v>1.1395999999999999</v>
      </c>
      <c r="F87">
        <v>11129592</v>
      </c>
      <c r="G87">
        <v>1.1395999999999999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0.16224188790560357</v>
      </c>
      <c r="Q87">
        <f t="shared" ref="Q87" si="411">F87*P87</f>
        <v>1805686.0176991022</v>
      </c>
      <c r="R87">
        <f t="shared" ref="R87" si="412">R88+Q87</f>
        <v>-206094659.10107392</v>
      </c>
      <c r="S87">
        <f t="shared" ref="S87" si="413">R87/100000</f>
        <v>-2060.9465910107392</v>
      </c>
      <c r="T87">
        <f t="shared" ref="T87" si="414">S87/1000</f>
        <v>-2.0609465910107394</v>
      </c>
    </row>
    <row r="88" spans="1:20" x14ac:dyDescent="0.25">
      <c r="A88" s="5">
        <v>44505</v>
      </c>
      <c r="B88">
        <v>1.1423000000000001</v>
      </c>
      <c r="C88">
        <v>1.2050000000000001</v>
      </c>
      <c r="D88">
        <v>1.1248</v>
      </c>
      <c r="E88">
        <v>1.1415</v>
      </c>
      <c r="F88">
        <v>15077666</v>
      </c>
      <c r="G88">
        <v>1.1415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-0.58354114713217142</v>
      </c>
      <c r="Q88">
        <f t="shared" ref="Q88" si="416">F88*P88</f>
        <v>-8798438.5137157384</v>
      </c>
      <c r="R88">
        <f t="shared" ref="R88" si="417">R89+Q88</f>
        <v>-207900345.11877301</v>
      </c>
      <c r="S88">
        <f t="shared" ref="S88" si="418">R88/100000</f>
        <v>-2079.0034511877302</v>
      </c>
      <c r="T88">
        <f t="shared" ref="T88" si="419">S88/1000</f>
        <v>-2.07900345118773</v>
      </c>
    </row>
    <row r="89" spans="1:20" x14ac:dyDescent="0.25">
      <c r="A89" s="5">
        <v>44504</v>
      </c>
      <c r="B89">
        <v>1.2406999999999999</v>
      </c>
      <c r="C89">
        <v>1.2763</v>
      </c>
      <c r="D89">
        <v>1.1241000000000001</v>
      </c>
      <c r="E89">
        <v>1.1426000000000001</v>
      </c>
      <c r="F89">
        <v>21896487</v>
      </c>
      <c r="G89">
        <v>1.1426000000000001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-0.75689881734559827</v>
      </c>
      <c r="Q89">
        <f t="shared" ref="Q89" si="421">F89*P89</f>
        <v>-16573425.114323268</v>
      </c>
      <c r="R89">
        <f t="shared" ref="R89" si="422">R90+Q89</f>
        <v>-199101906.60505727</v>
      </c>
      <c r="S89">
        <f t="shared" ref="S89" si="423">R89/100000</f>
        <v>-1991.0190660505727</v>
      </c>
      <c r="T89">
        <f t="shared" ref="T89" si="424">S89/1000</f>
        <v>-1.9910190660505727</v>
      </c>
    </row>
    <row r="90" spans="1:20" x14ac:dyDescent="0.25">
      <c r="A90" s="5">
        <v>44503</v>
      </c>
      <c r="B90">
        <v>1.1953</v>
      </c>
      <c r="C90">
        <v>1.3</v>
      </c>
      <c r="D90">
        <v>1.1331</v>
      </c>
      <c r="E90">
        <v>1.2403</v>
      </c>
      <c r="F90">
        <v>43737645</v>
      </c>
      <c r="G90">
        <v>1.2403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0.2846015578190525</v>
      </c>
      <c r="Q90">
        <f t="shared" ref="Q90" si="426">F90*P90</f>
        <v>12447801.902336692</v>
      </c>
      <c r="R90">
        <f t="shared" ref="R90" si="427">R91+Q90</f>
        <v>-182528481.49073401</v>
      </c>
      <c r="S90">
        <f t="shared" ref="S90" si="428">R90/100000</f>
        <v>-1825.2848149073402</v>
      </c>
      <c r="T90">
        <f t="shared" ref="T90" si="429">S90/1000</f>
        <v>-1.8252848149073402</v>
      </c>
    </row>
    <row r="91" spans="1:20" x14ac:dyDescent="0.25">
      <c r="A91" s="5">
        <v>44502</v>
      </c>
      <c r="B91">
        <v>1.0477000000000001</v>
      </c>
      <c r="C91">
        <v>1.2</v>
      </c>
      <c r="D91">
        <v>1.0386</v>
      </c>
      <c r="E91">
        <v>1.1946000000000001</v>
      </c>
      <c r="F91">
        <v>35833863</v>
      </c>
      <c r="G91">
        <v>1.1946000000000001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0.93308550185873795</v>
      </c>
      <c r="Q91">
        <f t="shared" ref="Q91" si="431">F91*P91</f>
        <v>33436058.040892262</v>
      </c>
      <c r="R91">
        <f t="shared" ref="R91" si="432">R92+Q91</f>
        <v>-194976283.3930707</v>
      </c>
      <c r="S91">
        <f t="shared" ref="S91" si="433">R91/100000</f>
        <v>-1949.7628339307071</v>
      </c>
      <c r="T91">
        <f t="shared" ref="T91" si="434">S91/1000</f>
        <v>-1.9497628339307072</v>
      </c>
    </row>
    <row r="92" spans="1:20" x14ac:dyDescent="0.25">
      <c r="A92" s="5">
        <v>44501</v>
      </c>
      <c r="B92">
        <v>1.0401</v>
      </c>
      <c r="C92">
        <v>1.0740000000000001</v>
      </c>
      <c r="D92">
        <v>1.0251999999999999</v>
      </c>
      <c r="E92">
        <v>1.0477000000000001</v>
      </c>
      <c r="F92">
        <v>12535499</v>
      </c>
      <c r="G92">
        <v>1.0477000000000001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-7.7868852459012081E-2</v>
      </c>
      <c r="Q92">
        <f t="shared" ref="Q92" si="436">F92*P92</f>
        <v>-976124.92213109345</v>
      </c>
      <c r="R92">
        <f t="shared" ref="R92" si="437">R93+Q92</f>
        <v>-228412341.43396297</v>
      </c>
      <c r="S92">
        <f t="shared" ref="S92" si="438">R92/100000</f>
        <v>-2284.1234143396296</v>
      </c>
      <c r="T92">
        <f t="shared" ref="T92" si="439">S92/1000</f>
        <v>-2.2841234143396294</v>
      </c>
    </row>
    <row r="93" spans="1:20" x14ac:dyDescent="0.25">
      <c r="A93" s="5">
        <v>44500</v>
      </c>
      <c r="B93">
        <v>1.0658000000000001</v>
      </c>
      <c r="C93">
        <v>1.1299999999999999</v>
      </c>
      <c r="D93">
        <v>1.0109999999999999</v>
      </c>
      <c r="E93">
        <v>1.0401</v>
      </c>
      <c r="F93">
        <v>22926346</v>
      </c>
      <c r="G93">
        <v>1.0401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-0.51092436974789701</v>
      </c>
      <c r="Q93">
        <f t="shared" ref="Q93" si="441">F93*P93</f>
        <v>-11713628.88067222</v>
      </c>
      <c r="R93">
        <f t="shared" ref="R93" si="442">R94+Q93</f>
        <v>-227436216.51183188</v>
      </c>
      <c r="S93">
        <f t="shared" ref="S93" si="443">R93/100000</f>
        <v>-2274.3621651183189</v>
      </c>
      <c r="T93">
        <f t="shared" ref="T93" si="444">S93/1000</f>
        <v>-2.274362165118319</v>
      </c>
    </row>
    <row r="94" spans="1:20" x14ac:dyDescent="0.25">
      <c r="A94" s="5">
        <v>44499</v>
      </c>
      <c r="B94">
        <v>1.0313000000000001</v>
      </c>
      <c r="C94">
        <v>1.125</v>
      </c>
      <c r="D94">
        <v>1</v>
      </c>
      <c r="E94">
        <v>1.0634999999999999</v>
      </c>
      <c r="F94">
        <v>18876748</v>
      </c>
      <c r="G94">
        <v>1.0634999999999999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1.5999999999998238E-2</v>
      </c>
      <c r="Q94">
        <f t="shared" ref="Q94" si="446">F94*P94</f>
        <v>302027.96799996676</v>
      </c>
      <c r="R94">
        <f t="shared" ref="R94" si="447">R95+Q94</f>
        <v>-215722587.63115966</v>
      </c>
      <c r="S94">
        <f t="shared" ref="S94" si="448">R94/100000</f>
        <v>-2157.2258763115965</v>
      </c>
      <c r="T94">
        <f t="shared" ref="T94" si="449">S94/1000</f>
        <v>-2.1572258763115966</v>
      </c>
    </row>
    <row r="95" spans="1:20" x14ac:dyDescent="0.25">
      <c r="A95" s="5">
        <v>44498</v>
      </c>
      <c r="B95">
        <v>1.0186999999999999</v>
      </c>
      <c r="C95">
        <v>1.0627</v>
      </c>
      <c r="D95">
        <v>1.0095000000000001</v>
      </c>
      <c r="E95">
        <v>1.0315000000000001</v>
      </c>
      <c r="F95">
        <v>11646509</v>
      </c>
      <c r="G95">
        <v>1.0315000000000001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-0.17293233082706561</v>
      </c>
      <c r="Q95">
        <f t="shared" ref="Q95" si="451">F95*P95</f>
        <v>-2014057.9473683969</v>
      </c>
      <c r="R95">
        <f t="shared" ref="R95" si="452">R96+Q95</f>
        <v>-216024615.59915963</v>
      </c>
      <c r="S95">
        <f t="shared" ref="S95" si="453">R95/100000</f>
        <v>-2160.2461559915964</v>
      </c>
      <c r="T95">
        <f t="shared" ref="T95" si="454">S95/1000</f>
        <v>-2.1602461559915964</v>
      </c>
    </row>
    <row r="96" spans="1:20" x14ac:dyDescent="0.25">
      <c r="A96" s="5">
        <v>44497</v>
      </c>
      <c r="B96">
        <v>1.0379</v>
      </c>
      <c r="C96">
        <v>1.044</v>
      </c>
      <c r="D96">
        <v>0.97289999999999999</v>
      </c>
      <c r="E96">
        <v>1.0186999999999999</v>
      </c>
      <c r="F96">
        <v>12275408</v>
      </c>
      <c r="G96">
        <v>1.0186999999999999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0.28832630098452655</v>
      </c>
      <c r="Q96">
        <f t="shared" ref="Q96" si="456">F96*P96</f>
        <v>3539322.981715865</v>
      </c>
      <c r="R96">
        <f t="shared" ref="R96" si="457">R97+Q96</f>
        <v>-214010557.65179124</v>
      </c>
      <c r="S96">
        <f t="shared" ref="S96" si="458">R96/100000</f>
        <v>-2140.1055765179126</v>
      </c>
      <c r="T96">
        <f t="shared" ref="T96" si="459">S96/1000</f>
        <v>-2.1401055765179127</v>
      </c>
    </row>
    <row r="97" spans="1:20" x14ac:dyDescent="0.25">
      <c r="A97" s="5">
        <v>44496</v>
      </c>
      <c r="B97">
        <v>1.0823</v>
      </c>
      <c r="C97">
        <v>1.111</v>
      </c>
      <c r="D97">
        <v>0.98209999999999997</v>
      </c>
      <c r="E97">
        <v>1.0383</v>
      </c>
      <c r="F97">
        <v>13110956</v>
      </c>
      <c r="G97">
        <v>1.0383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-0.12800620636152021</v>
      </c>
      <c r="Q97">
        <f t="shared" ref="Q97" si="461">F97*P97</f>
        <v>-1678283.7393328117</v>
      </c>
      <c r="R97">
        <f t="shared" ref="R97" si="462">R98+Q97</f>
        <v>-217549880.6335071</v>
      </c>
      <c r="S97">
        <f t="shared" ref="S97" si="463">R97/100000</f>
        <v>-2175.4988063350711</v>
      </c>
      <c r="T97">
        <f t="shared" ref="T97" si="464">S97/1000</f>
        <v>-2.1754988063350713</v>
      </c>
    </row>
    <row r="98" spans="1:20" x14ac:dyDescent="0.25">
      <c r="A98" s="5">
        <v>44495</v>
      </c>
      <c r="B98">
        <v>1.1009</v>
      </c>
      <c r="C98">
        <v>1.1335999999999999</v>
      </c>
      <c r="D98">
        <v>1.08</v>
      </c>
      <c r="E98">
        <v>1.0821000000000001</v>
      </c>
      <c r="F98">
        <v>11801829</v>
      </c>
      <c r="G98">
        <v>1.0821000000000001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-0.92164179104477628</v>
      </c>
      <c r="Q98">
        <f t="shared" ref="Q98" si="466">F98*P98</f>
        <v>-10877058.817164181</v>
      </c>
      <c r="R98">
        <f t="shared" ref="R98" si="467">R99+Q98</f>
        <v>-215871596.89417428</v>
      </c>
      <c r="S98">
        <f t="shared" ref="S98" si="468">R98/100000</f>
        <v>-2158.7159689417426</v>
      </c>
      <c r="T98">
        <f t="shared" ref="T98" si="469">S98/1000</f>
        <v>-2.1587159689417428</v>
      </c>
    </row>
    <row r="99" spans="1:20" x14ac:dyDescent="0.25">
      <c r="A99" s="5">
        <v>44494</v>
      </c>
      <c r="B99">
        <v>1.0465</v>
      </c>
      <c r="C99">
        <v>1.1299999999999999</v>
      </c>
      <c r="D99">
        <v>1.0461</v>
      </c>
      <c r="E99">
        <v>1.101</v>
      </c>
      <c r="F99">
        <v>9950062</v>
      </c>
      <c r="G99">
        <v>1.101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0.30870083432658019</v>
      </c>
      <c r="Q99">
        <f t="shared" ref="Q99" si="471">F99*P99</f>
        <v>3071592.441001201</v>
      </c>
      <c r="R99">
        <f t="shared" ref="R99" si="472">R100+Q99</f>
        <v>-204994538.0770101</v>
      </c>
      <c r="S99">
        <f t="shared" ref="S99" si="473">R99/100000</f>
        <v>-2049.9453807701011</v>
      </c>
      <c r="T99">
        <f t="shared" ref="T99" si="474">S99/1000</f>
        <v>-2.0499453807701009</v>
      </c>
    </row>
    <row r="100" spans="1:20" x14ac:dyDescent="0.25">
      <c r="A100" s="5">
        <v>44493</v>
      </c>
      <c r="B100">
        <v>1.0832999999999999</v>
      </c>
      <c r="C100">
        <v>1.0920000000000001</v>
      </c>
      <c r="D100">
        <v>1.0317000000000001</v>
      </c>
      <c r="E100">
        <v>1.0472999999999999</v>
      </c>
      <c r="F100">
        <v>7003260</v>
      </c>
      <c r="G100">
        <v>1.0472999999999999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-0.48258706467662255</v>
      </c>
      <c r="Q100">
        <f t="shared" ref="Q100" si="476">F100*P100</f>
        <v>-3379682.6865672036</v>
      </c>
      <c r="R100">
        <f t="shared" ref="R100" si="477">R101+Q100</f>
        <v>-208066130.5180113</v>
      </c>
      <c r="S100">
        <f t="shared" ref="S100" si="478">R100/100000</f>
        <v>-2080.6613051801132</v>
      </c>
      <c r="T100">
        <f t="shared" ref="T100" si="479">S100/1000</f>
        <v>-2.0806613051801133</v>
      </c>
    </row>
    <row r="101" spans="1:20" x14ac:dyDescent="0.25">
      <c r="A101" s="5">
        <v>44492</v>
      </c>
      <c r="B101">
        <v>1.1052</v>
      </c>
      <c r="C101">
        <v>1.1129</v>
      </c>
      <c r="D101">
        <v>1.0728</v>
      </c>
      <c r="E101">
        <v>1.0846</v>
      </c>
      <c r="F101">
        <v>5715186</v>
      </c>
      <c r="G101">
        <v>1.0846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-0.41147132169575934</v>
      </c>
      <c r="Q101">
        <f t="shared" ref="Q101" si="481">F101*P101</f>
        <v>-2351635.1371571003</v>
      </c>
      <c r="R101">
        <f t="shared" ref="R101" si="482">R102+Q101</f>
        <v>-204686447.83144408</v>
      </c>
      <c r="S101">
        <f t="shared" ref="S101" si="483">R101/100000</f>
        <v>-2046.8644783144409</v>
      </c>
      <c r="T101">
        <f t="shared" ref="T101" si="484">S101/1000</f>
        <v>-2.0468644783144407</v>
      </c>
    </row>
    <row r="102" spans="1:20" x14ac:dyDescent="0.25">
      <c r="A102" s="5">
        <v>44491</v>
      </c>
      <c r="B102">
        <v>1.077</v>
      </c>
      <c r="C102">
        <v>1.1599999999999999</v>
      </c>
      <c r="D102">
        <v>1.077</v>
      </c>
      <c r="E102">
        <v>1.1053999999999999</v>
      </c>
      <c r="F102">
        <v>11815015</v>
      </c>
      <c r="G102">
        <v>1.1053999999999999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-0.31566265060240978</v>
      </c>
      <c r="Q102">
        <f t="shared" ref="Q102" si="486">F102*P102</f>
        <v>-3729558.9518072307</v>
      </c>
      <c r="R102">
        <f t="shared" ref="R102" si="487">R103+Q102</f>
        <v>-202334812.69428697</v>
      </c>
      <c r="S102">
        <f t="shared" ref="S102" si="488">R102/100000</f>
        <v>-2023.3481269428696</v>
      </c>
      <c r="T102">
        <f t="shared" ref="T102" si="489">S102/1000</f>
        <v>-2.0233481269428695</v>
      </c>
    </row>
    <row r="103" spans="1:20" x14ac:dyDescent="0.25">
      <c r="A103" s="5">
        <v>44490</v>
      </c>
      <c r="B103">
        <v>1.1218999999999999</v>
      </c>
      <c r="C103">
        <v>1.135</v>
      </c>
      <c r="D103">
        <v>1.0649999999999999</v>
      </c>
      <c r="E103">
        <v>1.0768</v>
      </c>
      <c r="F103">
        <v>9959257</v>
      </c>
      <c r="G103">
        <v>1.0768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-0.66285714285714226</v>
      </c>
      <c r="Q103">
        <f t="shared" ref="Q103" si="491">F103*P103</f>
        <v>-6601564.6399999941</v>
      </c>
      <c r="R103">
        <f t="shared" ref="R103" si="492">R104+Q103</f>
        <v>-198605253.74247974</v>
      </c>
      <c r="S103">
        <f t="shared" ref="S103" si="493">R103/100000</f>
        <v>-1986.0525374247975</v>
      </c>
      <c r="T103">
        <f t="shared" ref="T103" si="494">S103/1000</f>
        <v>-1.9860525374247975</v>
      </c>
    </row>
    <row r="104" spans="1:20" x14ac:dyDescent="0.25">
      <c r="A104" s="5">
        <v>44489</v>
      </c>
      <c r="B104">
        <v>1.0967</v>
      </c>
      <c r="C104">
        <v>1.1361000000000001</v>
      </c>
      <c r="D104">
        <v>1.0489999999999999</v>
      </c>
      <c r="E104">
        <v>1.1218999999999999</v>
      </c>
      <c r="F104">
        <v>12557479</v>
      </c>
      <c r="G104">
        <v>1.1218999999999999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0.67393800229620704</v>
      </c>
      <c r="Q104">
        <f t="shared" ref="Q104" si="496">F104*P104</f>
        <v>8462962.3111365717</v>
      </c>
      <c r="R104">
        <f t="shared" ref="R104" si="497">R105+Q104</f>
        <v>-192003689.10247976</v>
      </c>
      <c r="S104">
        <f t="shared" ref="S104" si="498">R104/100000</f>
        <v>-1920.0368910247976</v>
      </c>
      <c r="T104">
        <f t="shared" ref="T104" si="499">S104/1000</f>
        <v>-1.9200368910247976</v>
      </c>
    </row>
    <row r="105" spans="1:20" x14ac:dyDescent="0.25">
      <c r="A105" s="5">
        <v>44488</v>
      </c>
      <c r="B105">
        <v>1.0928</v>
      </c>
      <c r="C105">
        <v>1.165</v>
      </c>
      <c r="D105">
        <v>1.08</v>
      </c>
      <c r="E105">
        <v>1.0952999999999999</v>
      </c>
      <c r="F105">
        <v>10074338</v>
      </c>
      <c r="G105">
        <v>1.0952999999999999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-0.6400000000000029</v>
      </c>
      <c r="Q105">
        <f t="shared" ref="Q105" si="501">F105*P105</f>
        <v>-6447576.3200000292</v>
      </c>
      <c r="R105">
        <f t="shared" ref="R105" si="502">R106+Q105</f>
        <v>-200466651.41361633</v>
      </c>
      <c r="S105">
        <f t="shared" ref="S105" si="503">R105/100000</f>
        <v>-2004.6665141361632</v>
      </c>
      <c r="T105">
        <f t="shared" ref="T105" si="504">S105/1000</f>
        <v>-2.0046665141361633</v>
      </c>
    </row>
    <row r="106" spans="1:20" x14ac:dyDescent="0.25">
      <c r="A106" s="5">
        <v>44487</v>
      </c>
      <c r="B106">
        <v>1.0943000000000001</v>
      </c>
      <c r="C106">
        <v>1.1288</v>
      </c>
      <c r="D106">
        <v>1.0663</v>
      </c>
      <c r="E106">
        <v>1.0928</v>
      </c>
      <c r="F106">
        <v>10126475</v>
      </c>
      <c r="G106">
        <v>1.0928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-0.15200000000000102</v>
      </c>
      <c r="Q106">
        <f t="shared" ref="Q106" si="506">F106*P106</f>
        <v>-1539224.2000000104</v>
      </c>
      <c r="R106">
        <f t="shared" ref="R106" si="507">R107+Q106</f>
        <v>-194019075.09361631</v>
      </c>
      <c r="S106">
        <f t="shared" ref="S106" si="508">R106/100000</f>
        <v>-1940.1907509361631</v>
      </c>
      <c r="T106">
        <f t="shared" ref="T106" si="509">S106/1000</f>
        <v>-1.9401907509361631</v>
      </c>
    </row>
    <row r="107" spans="1:20" x14ac:dyDescent="0.25">
      <c r="A107" s="5">
        <v>44486</v>
      </c>
      <c r="B107">
        <v>1.1282000000000001</v>
      </c>
      <c r="C107">
        <v>1.1726000000000001</v>
      </c>
      <c r="D107">
        <v>1.0429999999999999</v>
      </c>
      <c r="E107">
        <v>1.095</v>
      </c>
      <c r="F107">
        <v>11853159</v>
      </c>
      <c r="G107">
        <v>1.095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-0.19753086419753113</v>
      </c>
      <c r="Q107">
        <f t="shared" ref="Q107" si="511">F107*P107</f>
        <v>-2341364.7407407439</v>
      </c>
      <c r="R107">
        <f t="shared" ref="R107" si="512">R108+Q107</f>
        <v>-192479850.89361629</v>
      </c>
      <c r="S107">
        <f t="shared" ref="S107" si="513">R107/100000</f>
        <v>-1924.798508936163</v>
      </c>
      <c r="T107">
        <f t="shared" ref="T107" si="514">S107/1000</f>
        <v>-1.924798508936163</v>
      </c>
    </row>
    <row r="108" spans="1:20" x14ac:dyDescent="0.25">
      <c r="A108" s="5">
        <v>44485</v>
      </c>
      <c r="B108">
        <v>1.1355</v>
      </c>
      <c r="C108">
        <v>1.1937</v>
      </c>
      <c r="D108">
        <v>1.1195999999999999</v>
      </c>
      <c r="E108">
        <v>1.1274999999999999</v>
      </c>
      <c r="F108">
        <v>12954682</v>
      </c>
      <c r="G108">
        <v>1.1274999999999999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-0.78677462887989169</v>
      </c>
      <c r="Q108">
        <f t="shared" ref="Q108" si="516">F108*P108</f>
        <v>-10192415.122807013</v>
      </c>
      <c r="R108">
        <f t="shared" ref="R108" si="517">R109+Q108</f>
        <v>-190138486.15287554</v>
      </c>
      <c r="S108">
        <f t="shared" ref="S108" si="518">R108/100000</f>
        <v>-1901.3848615287554</v>
      </c>
      <c r="T108">
        <f t="shared" ref="T108" si="519">S108/1000</f>
        <v>-1.9013848615287554</v>
      </c>
    </row>
    <row r="109" spans="1:20" x14ac:dyDescent="0.25">
      <c r="A109" s="5">
        <v>44484</v>
      </c>
      <c r="B109">
        <v>1.1916</v>
      </c>
      <c r="C109">
        <v>1.2020999999999999</v>
      </c>
      <c r="D109">
        <v>1.1097999999999999</v>
      </c>
      <c r="E109">
        <v>1.1338999999999999</v>
      </c>
      <c r="F109">
        <v>22776507</v>
      </c>
      <c r="G109">
        <v>1.1338999999999999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-0.47778981581798491</v>
      </c>
      <c r="Q109">
        <f t="shared" ref="Q109" si="521">F109*P109</f>
        <v>-10882383.084507044</v>
      </c>
      <c r="R109">
        <f t="shared" ref="R109" si="522">R110+Q109</f>
        <v>-179946071.03006852</v>
      </c>
      <c r="S109">
        <f t="shared" ref="S109" si="523">R109/100000</f>
        <v>-1799.4607103006852</v>
      </c>
      <c r="T109">
        <f t="shared" ref="T109" si="524">S109/1000</f>
        <v>-1.7994607103006852</v>
      </c>
    </row>
    <row r="110" spans="1:20" x14ac:dyDescent="0.25">
      <c r="A110" s="5">
        <v>44483</v>
      </c>
      <c r="B110">
        <v>1.2886</v>
      </c>
      <c r="C110">
        <v>1.4296</v>
      </c>
      <c r="D110">
        <v>1.1724000000000001</v>
      </c>
      <c r="E110">
        <v>1.1902999999999999</v>
      </c>
      <c r="F110">
        <v>57178343</v>
      </c>
      <c r="G110">
        <v>1.1902999999999999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-0.86080870917574015</v>
      </c>
      <c r="Q110">
        <f t="shared" ref="Q110" si="526">F110*P110</f>
        <v>-49219615.63063772</v>
      </c>
      <c r="R110">
        <f t="shared" ref="R110" si="527">R111+Q110</f>
        <v>-169063687.94556147</v>
      </c>
      <c r="S110">
        <f t="shared" ref="S110" si="528">R110/100000</f>
        <v>-1690.6368794556147</v>
      </c>
      <c r="T110">
        <f t="shared" ref="T110" si="529">S110/1000</f>
        <v>-1.6906368794556146</v>
      </c>
    </row>
    <row r="111" spans="1:20" x14ac:dyDescent="0.25">
      <c r="A111" s="5">
        <v>44482</v>
      </c>
      <c r="B111">
        <v>1.018</v>
      </c>
      <c r="C111">
        <v>1.4459</v>
      </c>
      <c r="D111">
        <v>0.99170000000000003</v>
      </c>
      <c r="E111">
        <v>1.2870999999999999</v>
      </c>
      <c r="F111">
        <v>145385751</v>
      </c>
      <c r="G111">
        <v>1.2870999999999999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0.30074856891237306</v>
      </c>
      <c r="Q111">
        <f t="shared" ref="Q111" si="531">F111*P111</f>
        <v>43724556.553500608</v>
      </c>
      <c r="R111">
        <f t="shared" ref="R111" si="532">R112+Q111</f>
        <v>-119844072.31492375</v>
      </c>
      <c r="S111">
        <f t="shared" ref="S111" si="533">R111/100000</f>
        <v>-1198.4407231492376</v>
      </c>
      <c r="T111">
        <f t="shared" ref="T111" si="534">S111/1000</f>
        <v>-1.1984407231492376</v>
      </c>
    </row>
    <row r="112" spans="1:20" x14ac:dyDescent="0.25">
      <c r="A112" s="5">
        <v>44481</v>
      </c>
      <c r="B112">
        <v>1.0172000000000001</v>
      </c>
      <c r="C112">
        <v>1.0658000000000001</v>
      </c>
      <c r="D112">
        <v>0.93689999999999996</v>
      </c>
      <c r="E112">
        <v>1.0162</v>
      </c>
      <c r="F112">
        <v>19770379</v>
      </c>
      <c r="G112">
        <v>1.0162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0.23041117145073639</v>
      </c>
      <c r="Q112">
        <f t="shared" ref="Q112" si="536">F112*P112</f>
        <v>4555316.1854150379</v>
      </c>
      <c r="R112">
        <f t="shared" ref="R112" si="537">R113+Q112</f>
        <v>-163568628.86842436</v>
      </c>
      <c r="S112">
        <f t="shared" ref="S112" si="538">R112/100000</f>
        <v>-1635.6862886842437</v>
      </c>
      <c r="T112">
        <f t="shared" ref="T112" si="539">S112/1000</f>
        <v>-1.6356862886842436</v>
      </c>
    </row>
    <row r="113" spans="1:20" x14ac:dyDescent="0.25">
      <c r="A113" s="5">
        <v>44480</v>
      </c>
      <c r="B113">
        <v>0.99619999999999997</v>
      </c>
      <c r="C113">
        <v>1.1105</v>
      </c>
      <c r="D113">
        <v>0.97040000000000004</v>
      </c>
      <c r="E113">
        <v>1.0159</v>
      </c>
      <c r="F113">
        <v>25381983</v>
      </c>
      <c r="G113">
        <v>1.0159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-0.35046395431834426</v>
      </c>
      <c r="Q113">
        <f t="shared" ref="Q113" si="541">F113*P113</f>
        <v>-8895470.1306209899</v>
      </c>
      <c r="R113">
        <f t="shared" ref="R113" si="542">R114+Q113</f>
        <v>-168123945.05383939</v>
      </c>
      <c r="S113">
        <f t="shared" ref="S113" si="543">R113/100000</f>
        <v>-1681.2394505383938</v>
      </c>
      <c r="T113">
        <f t="shared" ref="T113" si="544">S113/1000</f>
        <v>-1.6812394505383939</v>
      </c>
    </row>
    <row r="114" spans="1:20" x14ac:dyDescent="0.25">
      <c r="A114" s="5">
        <v>44479</v>
      </c>
      <c r="B114">
        <v>1.0076000000000001</v>
      </c>
      <c r="C114">
        <v>1.04</v>
      </c>
      <c r="D114">
        <v>0.96389999999999998</v>
      </c>
      <c r="E114">
        <v>0.99550000000000005</v>
      </c>
      <c r="F114">
        <v>10209834</v>
      </c>
      <c r="G114">
        <v>0.99550000000000005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-0.16951379763468991</v>
      </c>
      <c r="Q114">
        <f t="shared" ref="Q114" si="546">F114*P114</f>
        <v>-1730707.7345597765</v>
      </c>
      <c r="R114">
        <f t="shared" ref="R114" si="547">R115+Q114</f>
        <v>-159228474.9232184</v>
      </c>
      <c r="S114">
        <f t="shared" ref="S114" si="548">R114/100000</f>
        <v>-1592.2847492321839</v>
      </c>
      <c r="T114">
        <f t="shared" ref="T114" si="549">S114/1000</f>
        <v>-1.5922847492321839</v>
      </c>
    </row>
    <row r="115" spans="1:20" x14ac:dyDescent="0.25">
      <c r="A115" s="5">
        <v>44478</v>
      </c>
      <c r="B115">
        <v>1.0175000000000001</v>
      </c>
      <c r="C115">
        <v>1.0343</v>
      </c>
      <c r="D115">
        <v>0.99260000000000004</v>
      </c>
      <c r="E115">
        <v>1.0076000000000001</v>
      </c>
      <c r="F115">
        <v>9630091</v>
      </c>
      <c r="G115">
        <v>1.0076000000000001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-0.28057553956834397</v>
      </c>
      <c r="Q115">
        <f t="shared" ref="Q115" si="551">F115*P115</f>
        <v>-2701967.9784172531</v>
      </c>
      <c r="R115">
        <f t="shared" ref="R115" si="552">R116+Q115</f>
        <v>-157497767.18865862</v>
      </c>
      <c r="S115">
        <f t="shared" ref="S115" si="553">R115/100000</f>
        <v>-1574.9776718865862</v>
      </c>
      <c r="T115">
        <f t="shared" ref="T115" si="554">S115/1000</f>
        <v>-1.5749776718865862</v>
      </c>
    </row>
    <row r="116" spans="1:20" x14ac:dyDescent="0.25">
      <c r="A116" s="5">
        <v>44477</v>
      </c>
      <c r="B116">
        <v>1.0299</v>
      </c>
      <c r="C116">
        <v>1.06</v>
      </c>
      <c r="D116">
        <v>1.0083</v>
      </c>
      <c r="E116">
        <v>1.0162</v>
      </c>
      <c r="F116">
        <v>10966908</v>
      </c>
      <c r="G116">
        <v>1.0162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-0.69439071566731114</v>
      </c>
      <c r="Q116">
        <f t="shared" ref="Q116" si="556">F116*P116</f>
        <v>-7615319.0947775599</v>
      </c>
      <c r="R116">
        <f t="shared" ref="R116" si="557">R117+Q116</f>
        <v>-154795799.21024138</v>
      </c>
      <c r="S116">
        <f t="shared" ref="S116" si="558">R116/100000</f>
        <v>-1547.9579921024138</v>
      </c>
      <c r="T116">
        <f t="shared" ref="T116" si="559">S116/1000</f>
        <v>-1.5479579921024138</v>
      </c>
    </row>
    <row r="117" spans="1:20" x14ac:dyDescent="0.25">
      <c r="A117" s="5">
        <v>44476</v>
      </c>
      <c r="B117">
        <v>1.0547</v>
      </c>
      <c r="C117">
        <v>1.0819000000000001</v>
      </c>
      <c r="D117">
        <v>1.0092000000000001</v>
      </c>
      <c r="E117">
        <v>1.0283</v>
      </c>
      <c r="F117">
        <v>13733876</v>
      </c>
      <c r="G117">
        <v>1.0283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-0.47455295735901243</v>
      </c>
      <c r="Q117">
        <f t="shared" ref="Q117" si="561">F117*P117</f>
        <v>-6517451.4718019646</v>
      </c>
      <c r="R117">
        <f t="shared" ref="R117" si="562">R118+Q117</f>
        <v>-147180480.11546382</v>
      </c>
      <c r="S117">
        <f t="shared" ref="S117" si="563">R117/100000</f>
        <v>-1471.8048011546382</v>
      </c>
      <c r="T117">
        <f t="shared" ref="T117" si="564">S117/1000</f>
        <v>-1.4718048011546383</v>
      </c>
    </row>
    <row r="118" spans="1:20" x14ac:dyDescent="0.25">
      <c r="A118" s="5">
        <v>44475</v>
      </c>
      <c r="B118">
        <v>1.0485</v>
      </c>
      <c r="C118">
        <v>1.1071</v>
      </c>
      <c r="D118">
        <v>0.97060000000000002</v>
      </c>
      <c r="E118">
        <v>1.0535000000000001</v>
      </c>
      <c r="F118">
        <v>22517104</v>
      </c>
      <c r="G118">
        <v>1.0535000000000001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0.2146520146520163</v>
      </c>
      <c r="Q118">
        <f t="shared" ref="Q118" si="566">F118*P118</f>
        <v>4833341.7377289748</v>
      </c>
      <c r="R118">
        <f t="shared" ref="R118" si="567">R119+Q118</f>
        <v>-140663028.64366186</v>
      </c>
      <c r="S118">
        <f t="shared" ref="S118" si="568">R118/100000</f>
        <v>-1406.6302864366185</v>
      </c>
      <c r="T118">
        <f t="shared" ref="T118" si="569">S118/1000</f>
        <v>-1.4066302864366185</v>
      </c>
    </row>
    <row r="119" spans="1:20" x14ac:dyDescent="0.25">
      <c r="A119" s="5">
        <v>44474</v>
      </c>
      <c r="B119">
        <v>1.0358000000000001</v>
      </c>
      <c r="C119">
        <v>1.0880000000000001</v>
      </c>
      <c r="D119">
        <v>1.016</v>
      </c>
      <c r="E119">
        <v>1.048</v>
      </c>
      <c r="F119">
        <v>17170675</v>
      </c>
      <c r="G119">
        <v>1.048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-0.1111111111111111</v>
      </c>
      <c r="Q119">
        <f t="shared" ref="Q119" si="571">F119*P119</f>
        <v>-1907852.7777777778</v>
      </c>
      <c r="R119">
        <f t="shared" ref="R119" si="572">R120+Q119</f>
        <v>-145496370.38139084</v>
      </c>
      <c r="S119">
        <f t="shared" ref="S119" si="573">R119/100000</f>
        <v>-1454.9637038139083</v>
      </c>
      <c r="T119">
        <f t="shared" ref="T119" si="574">S119/1000</f>
        <v>-1.4549637038139083</v>
      </c>
    </row>
    <row r="120" spans="1:20" x14ac:dyDescent="0.25">
      <c r="A120" s="5">
        <v>44473</v>
      </c>
      <c r="B120">
        <v>1.0669</v>
      </c>
      <c r="C120">
        <v>1.0681</v>
      </c>
      <c r="D120">
        <v>1.0118</v>
      </c>
      <c r="E120">
        <v>1.0354000000000001</v>
      </c>
      <c r="F120">
        <v>15669606</v>
      </c>
      <c r="G120">
        <v>1.0354000000000001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-0.16163410301953612</v>
      </c>
      <c r="Q120">
        <f t="shared" ref="Q120" si="576">F120*P120</f>
        <v>-2532742.7104795412</v>
      </c>
      <c r="R120">
        <f t="shared" ref="R120" si="577">R121+Q120</f>
        <v>-143588517.60361305</v>
      </c>
      <c r="S120">
        <f t="shared" ref="S120" si="578">R120/100000</f>
        <v>-1435.8851760361306</v>
      </c>
      <c r="T120">
        <f t="shared" ref="T120" si="579">S120/1000</f>
        <v>-1.4358851760361306</v>
      </c>
    </row>
    <row r="121" spans="1:20" x14ac:dyDescent="0.25">
      <c r="A121" s="5">
        <v>44472</v>
      </c>
      <c r="B121">
        <v>1.0724</v>
      </c>
      <c r="C121">
        <v>1.1218999999999999</v>
      </c>
      <c r="D121">
        <v>1.0609999999999999</v>
      </c>
      <c r="E121">
        <v>1.0681</v>
      </c>
      <c r="F121">
        <v>11714283</v>
      </c>
      <c r="G121">
        <v>1.0681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-0.76683087027914243</v>
      </c>
      <c r="Q121">
        <f t="shared" ref="Q121" si="581">F121*P121</f>
        <v>-8982873.8275861628</v>
      </c>
      <c r="R121">
        <f t="shared" ref="R121" si="582">R122+Q121</f>
        <v>-141055774.89313352</v>
      </c>
      <c r="S121">
        <f t="shared" ref="S121" si="583">R121/100000</f>
        <v>-1410.5577489313353</v>
      </c>
      <c r="T121">
        <f t="shared" ref="T121" si="584">S121/1000</f>
        <v>-1.4105577489313352</v>
      </c>
    </row>
    <row r="122" spans="1:20" x14ac:dyDescent="0.25">
      <c r="A122" s="5">
        <v>44471</v>
      </c>
      <c r="B122">
        <v>1.0730999999999999</v>
      </c>
      <c r="C122">
        <v>1.159</v>
      </c>
      <c r="D122">
        <v>1.0344</v>
      </c>
      <c r="E122">
        <v>1.0736000000000001</v>
      </c>
      <c r="F122">
        <v>17555515</v>
      </c>
      <c r="G122">
        <v>1.0736000000000001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-0.37078651685393083</v>
      </c>
      <c r="Q122">
        <f t="shared" ref="Q122" si="586">F122*P122</f>
        <v>-6509348.2584269354</v>
      </c>
      <c r="R122">
        <f t="shared" ref="R122" si="587">R123+Q122</f>
        <v>-132072901.06554736</v>
      </c>
      <c r="S122">
        <f t="shared" ref="S122" si="588">R122/100000</f>
        <v>-1320.7290106554735</v>
      </c>
      <c r="T122">
        <f t="shared" ref="T122" si="589">S122/1000</f>
        <v>-1.3207290106554734</v>
      </c>
    </row>
    <row r="123" spans="1:20" x14ac:dyDescent="0.25">
      <c r="A123" s="5">
        <v>44470</v>
      </c>
      <c r="B123">
        <v>0.98460000000000003</v>
      </c>
      <c r="C123">
        <v>1.085</v>
      </c>
      <c r="D123">
        <v>0.9667</v>
      </c>
      <c r="E123">
        <v>1.0726</v>
      </c>
      <c r="F123">
        <v>22393485</v>
      </c>
      <c r="G123">
        <v>1.0726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0.79036348267117551</v>
      </c>
      <c r="Q123">
        <f t="shared" ref="Q123" si="591">F123*P123</f>
        <v>17698992.793744728</v>
      </c>
      <c r="R123">
        <f t="shared" ref="R123" si="592">R124+Q123</f>
        <v>-125563552.80712043</v>
      </c>
      <c r="S123">
        <f t="shared" ref="S123" si="593">R123/100000</f>
        <v>-1255.6355280712044</v>
      </c>
      <c r="T123">
        <f t="shared" ref="T123" si="594">S123/1000</f>
        <v>-1.2556355280712044</v>
      </c>
    </row>
    <row r="124" spans="1:20" x14ac:dyDescent="0.25">
      <c r="A124" s="5">
        <v>44469</v>
      </c>
      <c r="B124">
        <v>0.94589999999999996</v>
      </c>
      <c r="C124">
        <v>1.0029999999999999</v>
      </c>
      <c r="D124">
        <v>0.92700000000000005</v>
      </c>
      <c r="E124">
        <v>0.98380000000000001</v>
      </c>
      <c r="F124">
        <v>14338701</v>
      </c>
      <c r="G124">
        <v>0.98380000000000001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0.4947368421052652</v>
      </c>
      <c r="Q124">
        <f t="shared" ref="Q124" si="596">F124*P124</f>
        <v>7093883.6526316078</v>
      </c>
      <c r="R124">
        <f t="shared" ref="R124" si="597">R125+Q124</f>
        <v>-143262545.60086516</v>
      </c>
      <c r="S124">
        <f t="shared" ref="S124" si="598">R124/100000</f>
        <v>-1432.6254560086516</v>
      </c>
      <c r="T124">
        <f t="shared" ref="T124" si="599">S124/1000</f>
        <v>-1.4326254560086515</v>
      </c>
    </row>
    <row r="125" spans="1:20" x14ac:dyDescent="0.25">
      <c r="A125" s="5">
        <v>44468</v>
      </c>
      <c r="B125">
        <v>0.90849999999999997</v>
      </c>
      <c r="C125">
        <v>1.0374000000000001</v>
      </c>
      <c r="D125">
        <v>0.90749999999999997</v>
      </c>
      <c r="E125">
        <v>0.94610000000000005</v>
      </c>
      <c r="F125">
        <v>15964654</v>
      </c>
      <c r="G125">
        <v>0.94610000000000005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-0.40569668976135426</v>
      </c>
      <c r="Q125">
        <f t="shared" ref="Q125" si="601">F125*P125</f>
        <v>-6476807.2809853628</v>
      </c>
      <c r="R125">
        <f t="shared" ref="R125" si="602">R126+Q125</f>
        <v>-150356429.25349677</v>
      </c>
      <c r="S125">
        <f t="shared" ref="S125" si="603">R125/100000</f>
        <v>-1503.5642925349678</v>
      </c>
      <c r="T125">
        <f t="shared" ref="T125" si="604">S125/1000</f>
        <v>-1.5035642925349677</v>
      </c>
    </row>
    <row r="126" spans="1:20" x14ac:dyDescent="0.25">
      <c r="A126" s="5">
        <v>44467</v>
      </c>
      <c r="B126">
        <v>0.93230000000000002</v>
      </c>
      <c r="C126">
        <v>0.98340000000000005</v>
      </c>
      <c r="D126">
        <v>0.89049999999999996</v>
      </c>
      <c r="E126">
        <v>0.90869999999999995</v>
      </c>
      <c r="F126">
        <v>14703542</v>
      </c>
      <c r="G126">
        <v>0.90869999999999995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-0.60818083961248703</v>
      </c>
      <c r="Q126">
        <f t="shared" ref="Q126" si="606">F126*P126</f>
        <v>-8942412.5188374668</v>
      </c>
      <c r="R126">
        <f t="shared" ref="R126" si="607">R127+Q126</f>
        <v>-143879621.97251141</v>
      </c>
      <c r="S126">
        <f t="shared" ref="S126" si="608">R126/100000</f>
        <v>-1438.796219725114</v>
      </c>
      <c r="T126">
        <f t="shared" ref="T126" si="609">S126/1000</f>
        <v>-1.4387962197251141</v>
      </c>
    </row>
    <row r="127" spans="1:20" x14ac:dyDescent="0.25">
      <c r="A127" s="5">
        <v>44466</v>
      </c>
      <c r="B127">
        <v>0.9889</v>
      </c>
      <c r="C127">
        <v>1.0419</v>
      </c>
      <c r="D127">
        <v>0.93159999999999998</v>
      </c>
      <c r="E127">
        <v>0.93179999999999996</v>
      </c>
      <c r="F127">
        <v>13261706</v>
      </c>
      <c r="G127">
        <v>0.93179999999999996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-0.9963735267452406</v>
      </c>
      <c r="Q127">
        <f t="shared" ref="Q127" si="611">F127*P127</f>
        <v>-13213612.777878517</v>
      </c>
      <c r="R127">
        <f t="shared" ref="R127" si="612">R128+Q127</f>
        <v>-134937209.45367393</v>
      </c>
      <c r="S127">
        <f t="shared" ref="S127" si="613">R127/100000</f>
        <v>-1349.3720945367393</v>
      </c>
      <c r="T127">
        <f t="shared" ref="T127" si="614">S127/1000</f>
        <v>-1.3493720945367393</v>
      </c>
    </row>
    <row r="128" spans="1:20" x14ac:dyDescent="0.25">
      <c r="A128" s="5">
        <v>44465</v>
      </c>
      <c r="B128">
        <v>0.99850000000000005</v>
      </c>
      <c r="C128">
        <v>1.0398000000000001</v>
      </c>
      <c r="D128">
        <v>0.91</v>
      </c>
      <c r="E128">
        <v>0.99009999999999998</v>
      </c>
      <c r="F128">
        <v>17590758</v>
      </c>
      <c r="G128">
        <v>0.99009999999999998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0.23420647149460605</v>
      </c>
      <c r="Q128">
        <f t="shared" ref="Q128" si="616">F128*P128</f>
        <v>4119869.3620955134</v>
      </c>
      <c r="R128">
        <f t="shared" ref="R128" si="617">R129+Q128</f>
        <v>-121723596.67579542</v>
      </c>
      <c r="S128">
        <f t="shared" ref="S128" si="618">R128/100000</f>
        <v>-1217.2359667579542</v>
      </c>
      <c r="T128">
        <f t="shared" ref="T128" si="619">S128/1000</f>
        <v>-1.2172359667579542</v>
      </c>
    </row>
    <row r="129" spans="1:20" x14ac:dyDescent="0.25">
      <c r="A129" s="5">
        <v>44464</v>
      </c>
      <c r="B129">
        <v>1.0347999999999999</v>
      </c>
      <c r="C129">
        <v>1.0693999999999999</v>
      </c>
      <c r="D129">
        <v>0.9839</v>
      </c>
      <c r="E129">
        <v>0.99850000000000005</v>
      </c>
      <c r="F129">
        <v>12403809</v>
      </c>
      <c r="G129">
        <v>0.99850000000000005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-0.658479532163741</v>
      </c>
      <c r="Q129">
        <f t="shared" ref="Q129" si="621">F129*P129</f>
        <v>-8167654.3473684005</v>
      </c>
      <c r="R129">
        <f t="shared" ref="R129" si="622">R130+Q129</f>
        <v>-125843466.03789094</v>
      </c>
      <c r="S129">
        <f t="shared" ref="S129" si="623">R129/100000</f>
        <v>-1258.4346603789095</v>
      </c>
      <c r="T129">
        <f t="shared" ref="T129" si="624">S129/1000</f>
        <v>-1.2584346603789094</v>
      </c>
    </row>
    <row r="130" spans="1:20" x14ac:dyDescent="0.25">
      <c r="A130" s="5">
        <v>44463</v>
      </c>
      <c r="B130">
        <v>1.1135999999999999</v>
      </c>
      <c r="C130">
        <v>1.1171</v>
      </c>
      <c r="D130">
        <v>0.98719999999999997</v>
      </c>
      <c r="E130">
        <v>1.0349999999999999</v>
      </c>
      <c r="F130">
        <v>21414141</v>
      </c>
      <c r="G130">
        <v>1.0349999999999999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-0.2640492686682071</v>
      </c>
      <c r="Q130">
        <f t="shared" ref="Q130" si="626">F130*P130</f>
        <v>-5654388.2702078689</v>
      </c>
      <c r="R130">
        <f t="shared" ref="R130" si="627">R131+Q130</f>
        <v>-117675811.69052254</v>
      </c>
      <c r="S130">
        <f t="shared" ref="S130" si="628">R130/100000</f>
        <v>-1176.7581169052253</v>
      </c>
      <c r="T130">
        <f t="shared" ref="T130" si="629">S130/1000</f>
        <v>-1.1767581169052252</v>
      </c>
    </row>
    <row r="131" spans="1:20" x14ac:dyDescent="0.25">
      <c r="A131" s="5">
        <v>44462</v>
      </c>
      <c r="B131">
        <v>1.1317999999999999</v>
      </c>
      <c r="C131">
        <v>1.1535</v>
      </c>
      <c r="D131">
        <v>1.07</v>
      </c>
      <c r="E131">
        <v>1.1136999999999999</v>
      </c>
      <c r="F131">
        <v>15668756</v>
      </c>
      <c r="G131">
        <v>1.1136999999999999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4.6706586826344869E-2</v>
      </c>
      <c r="Q131">
        <f t="shared" ref="Q131" si="631">F131*P131</f>
        <v>731834.11257481214</v>
      </c>
      <c r="R131">
        <f t="shared" ref="R131" si="632">R132+Q131</f>
        <v>-112021423.42031467</v>
      </c>
      <c r="S131">
        <f t="shared" ref="S131" si="633">R131/100000</f>
        <v>-1120.2142342031466</v>
      </c>
      <c r="T131">
        <f t="shared" ref="T131" si="634">S131/1000</f>
        <v>-1.1202142342031467</v>
      </c>
    </row>
    <row r="132" spans="1:20" x14ac:dyDescent="0.25">
      <c r="A132" s="5">
        <v>44461</v>
      </c>
      <c r="B132">
        <v>1.006</v>
      </c>
      <c r="C132">
        <v>1.17</v>
      </c>
      <c r="D132">
        <v>0.99019999999999997</v>
      </c>
      <c r="E132">
        <v>1.1317999999999999</v>
      </c>
      <c r="F132">
        <v>29003019</v>
      </c>
      <c r="G132">
        <v>1.1317999999999999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0.57508342602892082</v>
      </c>
      <c r="Q132">
        <f t="shared" ref="Q132" si="636">F132*P132</f>
        <v>16679155.531701885</v>
      </c>
      <c r="R132">
        <f t="shared" ref="R132" si="637">R133+Q132</f>
        <v>-112753257.53288949</v>
      </c>
      <c r="S132">
        <f t="shared" ref="S132" si="638">R132/100000</f>
        <v>-1127.5325753288948</v>
      </c>
      <c r="T132">
        <f t="shared" ref="T132" si="639">S132/1000</f>
        <v>-1.1275325753288947</v>
      </c>
    </row>
    <row r="133" spans="1:20" x14ac:dyDescent="0.25">
      <c r="A133" s="5">
        <v>44460</v>
      </c>
      <c r="B133">
        <v>0.94650000000000001</v>
      </c>
      <c r="C133">
        <v>1.113</v>
      </c>
      <c r="D133">
        <v>0.88300000000000001</v>
      </c>
      <c r="E133">
        <v>1.0026999999999999</v>
      </c>
      <c r="F133">
        <v>40844681</v>
      </c>
      <c r="G133">
        <v>1.0026999999999999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4.0869565217390665E-2</v>
      </c>
      <c r="Q133">
        <f t="shared" ref="Q133" si="641">F133*P133</f>
        <v>1669304.3539130173</v>
      </c>
      <c r="R133">
        <f t="shared" ref="R133" si="642">R134+Q133</f>
        <v>-129432413.06459136</v>
      </c>
      <c r="S133">
        <f t="shared" ref="S133" si="643">R133/100000</f>
        <v>-1294.3241306459136</v>
      </c>
      <c r="T133">
        <f t="shared" ref="T133" si="644">S133/1000</f>
        <v>-1.2943241306459135</v>
      </c>
    </row>
    <row r="134" spans="1:20" x14ac:dyDescent="0.25">
      <c r="A134" s="5">
        <v>44459</v>
      </c>
      <c r="B134">
        <v>1.1548</v>
      </c>
      <c r="C134">
        <v>1.1639999999999999</v>
      </c>
      <c r="D134">
        <v>1</v>
      </c>
      <c r="E134">
        <v>1.0246</v>
      </c>
      <c r="F134">
        <v>12282710</v>
      </c>
      <c r="G134">
        <v>1.0246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-0.7000000000000004</v>
      </c>
      <c r="Q134">
        <f t="shared" ref="Q134" si="646">F134*P134</f>
        <v>-8597897.0000000056</v>
      </c>
      <c r="R134">
        <f t="shared" ref="R134" si="647">R135+Q134</f>
        <v>-131101717.41850439</v>
      </c>
      <c r="S134">
        <f t="shared" ref="S134" si="648">R134/100000</f>
        <v>-1311.0171741850438</v>
      </c>
      <c r="T134">
        <f t="shared" ref="T134" si="649">S134/1000</f>
        <v>-1.3110171741850438</v>
      </c>
    </row>
    <row r="135" spans="1:20" x14ac:dyDescent="0.25">
      <c r="A135" s="5">
        <v>44458</v>
      </c>
      <c r="B135">
        <v>1.2019</v>
      </c>
      <c r="C135">
        <v>1.2097</v>
      </c>
      <c r="D135">
        <v>1.1284000000000001</v>
      </c>
      <c r="E135">
        <v>1.1548</v>
      </c>
      <c r="F135">
        <v>9867468</v>
      </c>
      <c r="G135">
        <v>1.1548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-0.35055350553505527</v>
      </c>
      <c r="Q135">
        <f t="shared" ref="Q135" si="651">F135*P135</f>
        <v>-3459075.4981549806</v>
      </c>
      <c r="R135">
        <f t="shared" ref="R135" si="652">R136+Q135</f>
        <v>-122503820.41850439</v>
      </c>
      <c r="S135">
        <f t="shared" ref="S135" si="653">R135/100000</f>
        <v>-1225.0382041850439</v>
      </c>
      <c r="T135">
        <f t="shared" ref="T135" si="654">S135/1000</f>
        <v>-1.2250382041850438</v>
      </c>
    </row>
    <row r="136" spans="1:20" x14ac:dyDescent="0.25">
      <c r="A136" s="5">
        <v>44457</v>
      </c>
      <c r="B136">
        <v>1.1865000000000001</v>
      </c>
      <c r="C136">
        <v>1.2649999999999999</v>
      </c>
      <c r="D136">
        <v>1.169</v>
      </c>
      <c r="E136">
        <v>1.2019</v>
      </c>
      <c r="F136">
        <v>13236168</v>
      </c>
      <c r="G136">
        <v>1.2019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-0.31458333333333383</v>
      </c>
      <c r="Q136">
        <f t="shared" ref="Q136" si="656">F136*P136</f>
        <v>-4163877.8500000066</v>
      </c>
      <c r="R136">
        <f t="shared" ref="R136" si="657">R137+Q136</f>
        <v>-119044744.9203494</v>
      </c>
      <c r="S136">
        <f t="shared" ref="S136" si="658">R136/100000</f>
        <v>-1190.447449203494</v>
      </c>
      <c r="T136">
        <f t="shared" ref="T136" si="659">S136/1000</f>
        <v>-1.190447449203494</v>
      </c>
    </row>
    <row r="137" spans="1:20" x14ac:dyDescent="0.25">
      <c r="A137" s="5">
        <v>44456</v>
      </c>
      <c r="B137">
        <v>1.2379</v>
      </c>
      <c r="C137">
        <v>1.2699</v>
      </c>
      <c r="D137">
        <v>1.1599999999999999</v>
      </c>
      <c r="E137">
        <v>1.1863999999999999</v>
      </c>
      <c r="F137">
        <v>13179900</v>
      </c>
      <c r="G137">
        <v>1.1863999999999999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-0.51956323930846304</v>
      </c>
      <c r="Q137">
        <f t="shared" ref="Q137" si="661">F137*P137</f>
        <v>-6847791.5377616119</v>
      </c>
      <c r="R137">
        <f t="shared" ref="R137" si="662">R138+Q137</f>
        <v>-114880867.0703494</v>
      </c>
      <c r="S137">
        <f t="shared" ref="S137" si="663">R137/100000</f>
        <v>-1148.808670703494</v>
      </c>
      <c r="T137">
        <f t="shared" ref="T137" si="664">S137/1000</f>
        <v>-1.1488086707034941</v>
      </c>
    </row>
    <row r="138" spans="1:20" x14ac:dyDescent="0.25">
      <c r="A138" s="5">
        <v>44455</v>
      </c>
      <c r="B138">
        <v>1.3131999999999999</v>
      </c>
      <c r="C138">
        <v>1.3349</v>
      </c>
      <c r="D138">
        <v>1.1987000000000001</v>
      </c>
      <c r="E138">
        <v>1.2397</v>
      </c>
      <c r="F138">
        <v>17285684</v>
      </c>
      <c r="G138">
        <v>1.2397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-0.39794419970631478</v>
      </c>
      <c r="Q138">
        <f t="shared" ref="Q138" si="666">F138*P138</f>
        <v>-6878737.6857562503</v>
      </c>
      <c r="R138">
        <f t="shared" ref="R138" si="667">R139+Q138</f>
        <v>-108033075.53258778</v>
      </c>
      <c r="S138">
        <f t="shared" ref="S138" si="668">R138/100000</f>
        <v>-1080.3307553258778</v>
      </c>
      <c r="T138">
        <f t="shared" ref="T138" si="669">S138/1000</f>
        <v>-1.0803307553258779</v>
      </c>
    </row>
    <row r="139" spans="1:20" x14ac:dyDescent="0.25">
      <c r="A139" s="5">
        <v>44454</v>
      </c>
      <c r="B139">
        <v>1.3144</v>
      </c>
      <c r="C139">
        <v>1.3663000000000001</v>
      </c>
      <c r="D139">
        <v>1.2775000000000001</v>
      </c>
      <c r="E139">
        <v>1.3121</v>
      </c>
      <c r="F139">
        <v>17309809</v>
      </c>
      <c r="G139">
        <v>1.3121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-0.22072072072072144</v>
      </c>
      <c r="Q139">
        <f t="shared" ref="Q139" si="671">F139*P139</f>
        <v>-3820633.5180180306</v>
      </c>
      <c r="R139">
        <f t="shared" ref="R139" si="672">R140+Q139</f>
        <v>-101154337.84683153</v>
      </c>
      <c r="S139">
        <f t="shared" ref="S139" si="673">R139/100000</f>
        <v>-1011.5433784683153</v>
      </c>
      <c r="T139">
        <f t="shared" ref="T139" si="674">S139/1000</f>
        <v>-1.0115433784683152</v>
      </c>
    </row>
    <row r="140" spans="1:20" x14ac:dyDescent="0.25">
      <c r="A140" s="5">
        <v>44453</v>
      </c>
      <c r="B140">
        <v>1.1446000000000001</v>
      </c>
      <c r="C140">
        <v>1.397</v>
      </c>
      <c r="D140">
        <v>1.1371</v>
      </c>
      <c r="E140">
        <v>1.3144</v>
      </c>
      <c r="F140">
        <v>41089673</v>
      </c>
      <c r="G140">
        <v>1.3144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0.36437091188918813</v>
      </c>
      <c r="Q140">
        <f t="shared" ref="Q140" si="676">F140*P140</f>
        <v>14971881.620238552</v>
      </c>
      <c r="R140">
        <f t="shared" ref="R140" si="677">R141+Q140</f>
        <v>-97333704.328813493</v>
      </c>
      <c r="S140">
        <f t="shared" ref="S140" si="678">R140/100000</f>
        <v>-973.33704328813496</v>
      </c>
      <c r="T140">
        <f t="shared" ref="T140" si="679">S140/1000</f>
        <v>-0.97333704328813497</v>
      </c>
    </row>
    <row r="141" spans="1:20" x14ac:dyDescent="0.25">
      <c r="A141" s="5">
        <v>44452</v>
      </c>
      <c r="B141">
        <v>1.2023999999999999</v>
      </c>
      <c r="C141">
        <v>1.2157</v>
      </c>
      <c r="D141">
        <v>1.1102000000000001</v>
      </c>
      <c r="E141">
        <v>1.1436999999999999</v>
      </c>
      <c r="F141">
        <v>24795736</v>
      </c>
      <c r="G141">
        <v>1.1436999999999999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-0.36492890995260879</v>
      </c>
      <c r="Q141">
        <f t="shared" ref="Q141" si="681">F141*P141</f>
        <v>-9048680.909952661</v>
      </c>
      <c r="R141">
        <f t="shared" ref="R141" si="682">R142+Q141</f>
        <v>-112305585.94905205</v>
      </c>
      <c r="S141">
        <f t="shared" ref="S141" si="683">R141/100000</f>
        <v>-1123.0558594905206</v>
      </c>
      <c r="T141">
        <f t="shared" ref="T141" si="684">S141/1000</f>
        <v>-1.1230558594905207</v>
      </c>
    </row>
    <row r="142" spans="1:20" x14ac:dyDescent="0.25">
      <c r="A142" s="5">
        <v>44451</v>
      </c>
      <c r="B142">
        <v>1.1757</v>
      </c>
      <c r="C142">
        <v>1.2574000000000001</v>
      </c>
      <c r="D142">
        <v>1.1378999999999999</v>
      </c>
      <c r="E142">
        <v>1.2022999999999999</v>
      </c>
      <c r="F142">
        <v>17744111</v>
      </c>
      <c r="G142">
        <v>1.2022999999999999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7.782426778242553E-2</v>
      </c>
      <c r="Q142">
        <f t="shared" ref="Q142" si="686">F142*P142</f>
        <v>1380922.4460250824</v>
      </c>
      <c r="R142">
        <f t="shared" ref="R142" si="687">R143+Q142</f>
        <v>-103256905.0390994</v>
      </c>
      <c r="S142">
        <f t="shared" ref="S142" si="688">R142/100000</f>
        <v>-1032.5690503909939</v>
      </c>
      <c r="T142">
        <f t="shared" ref="T142" si="689">S142/1000</f>
        <v>-1.0325690503909939</v>
      </c>
    </row>
    <row r="143" spans="1:20" x14ac:dyDescent="0.25">
      <c r="A143" s="5">
        <v>44450</v>
      </c>
      <c r="B143">
        <v>1.1494</v>
      </c>
      <c r="C143">
        <v>1.2751999999999999</v>
      </c>
      <c r="D143">
        <v>1.125</v>
      </c>
      <c r="E143">
        <v>1.1757</v>
      </c>
      <c r="F143">
        <v>19964744</v>
      </c>
      <c r="G143">
        <v>1.1757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-0.32490013315579219</v>
      </c>
      <c r="Q143">
        <f t="shared" ref="Q143" si="691">F143*P143</f>
        <v>-6486547.9840213032</v>
      </c>
      <c r="R143">
        <f t="shared" ref="R143" si="692">R144+Q143</f>
        <v>-104637827.48512448</v>
      </c>
      <c r="S143">
        <f t="shared" ref="S143" si="693">R143/100000</f>
        <v>-1046.3782748512449</v>
      </c>
      <c r="T143">
        <f t="shared" ref="T143" si="694">S143/1000</f>
        <v>-1.0463782748512449</v>
      </c>
    </row>
    <row r="144" spans="1:20" x14ac:dyDescent="0.25">
      <c r="A144" s="5">
        <v>44449</v>
      </c>
      <c r="B144">
        <v>1.2756000000000001</v>
      </c>
      <c r="C144">
        <v>1.3079000000000001</v>
      </c>
      <c r="D144">
        <v>1.1131</v>
      </c>
      <c r="E144">
        <v>1.1499999999999999</v>
      </c>
      <c r="F144">
        <v>26426335</v>
      </c>
      <c r="G144">
        <v>1.1499999999999999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-0.62114989733059633</v>
      </c>
      <c r="Q144">
        <f t="shared" ref="Q144" si="696">F144*P144</f>
        <v>-16414715.272073945</v>
      </c>
      <c r="R144">
        <f t="shared" ref="R144" si="697">R145+Q144</f>
        <v>-98151279.501103178</v>
      </c>
      <c r="S144">
        <f t="shared" ref="S144" si="698">R144/100000</f>
        <v>-981.51279501103181</v>
      </c>
      <c r="T144">
        <f t="shared" ref="T144" si="699">S144/1000</f>
        <v>-0.98151279501103184</v>
      </c>
    </row>
    <row r="145" spans="1:20" x14ac:dyDescent="0.25">
      <c r="A145" s="5">
        <v>44448</v>
      </c>
      <c r="B145">
        <v>1.3239000000000001</v>
      </c>
      <c r="C145">
        <v>1.385</v>
      </c>
      <c r="D145">
        <v>1.242</v>
      </c>
      <c r="E145">
        <v>1.2764</v>
      </c>
      <c r="F145">
        <v>30746256</v>
      </c>
      <c r="G145">
        <v>1.2764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-0.5188811188811191</v>
      </c>
      <c r="Q145">
        <f t="shared" ref="Q145" si="701">F145*P145</f>
        <v>-15953651.714685321</v>
      </c>
      <c r="R145">
        <f t="shared" ref="R145" si="702">R146+Q145</f>
        <v>-81736564.229029238</v>
      </c>
      <c r="S145">
        <f t="shared" ref="S145" si="703">R145/100000</f>
        <v>-817.36564229029239</v>
      </c>
      <c r="T145">
        <f t="shared" ref="T145" si="704">S145/1000</f>
        <v>-0.8173656422902924</v>
      </c>
    </row>
    <row r="146" spans="1:20" x14ac:dyDescent="0.25">
      <c r="A146" s="5">
        <v>44447</v>
      </c>
      <c r="B146">
        <v>1.1608000000000001</v>
      </c>
      <c r="C146">
        <v>1.53</v>
      </c>
      <c r="D146">
        <v>1.1263000000000001</v>
      </c>
      <c r="E146">
        <v>1.3246</v>
      </c>
      <c r="F146">
        <v>75142880</v>
      </c>
      <c r="G146">
        <v>1.3246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-1.7587317314838015E-2</v>
      </c>
      <c r="Q146">
        <f t="shared" ref="Q146" si="706">F146*P146</f>
        <v>-1321561.6745107952</v>
      </c>
      <c r="R146">
        <f t="shared" ref="R146" si="707">R147+Q146</f>
        <v>-65782912.514343917</v>
      </c>
      <c r="S146">
        <f t="shared" ref="S146" si="708">R146/100000</f>
        <v>-657.82912514343923</v>
      </c>
      <c r="T146">
        <f t="shared" ref="T146" si="709">S146/1000</f>
        <v>-0.65782912514343928</v>
      </c>
    </row>
    <row r="147" spans="1:20" x14ac:dyDescent="0.25">
      <c r="A147" s="5">
        <v>44446</v>
      </c>
      <c r="B147">
        <v>1.3944000000000001</v>
      </c>
      <c r="C147">
        <v>1.55</v>
      </c>
      <c r="D147">
        <v>0.95</v>
      </c>
      <c r="E147">
        <v>1.1611</v>
      </c>
      <c r="F147">
        <v>76241845</v>
      </c>
      <c r="G147">
        <v>1.1611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-0.29633333333333323</v>
      </c>
      <c r="Q147">
        <f t="shared" ref="Q147" si="711">F147*P147</f>
        <v>-22593000.068333324</v>
      </c>
      <c r="R147">
        <f t="shared" ref="R147" si="712">R148+Q147</f>
        <v>-64461350.839833125</v>
      </c>
      <c r="S147">
        <f t="shared" ref="S147" si="713">R147/100000</f>
        <v>-644.61350839833131</v>
      </c>
      <c r="T147">
        <f t="shared" ref="T147" si="714">S147/1000</f>
        <v>-0.64461350839833131</v>
      </c>
    </row>
    <row r="148" spans="1:20" x14ac:dyDescent="0.25">
      <c r="A148" s="5">
        <v>44445</v>
      </c>
      <c r="B148">
        <v>1.5226</v>
      </c>
      <c r="C148">
        <v>1.5374000000000001</v>
      </c>
      <c r="D148">
        <v>1.3136000000000001</v>
      </c>
      <c r="E148">
        <v>1.3944000000000001</v>
      </c>
      <c r="F148">
        <v>43669144</v>
      </c>
      <c r="G148">
        <v>1.3944000000000001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-0.27792672028596976</v>
      </c>
      <c r="Q148">
        <f t="shared" ref="Q148" si="716">F148*P148</f>
        <v>-12136821.969615735</v>
      </c>
      <c r="R148">
        <f t="shared" ref="R148" si="717">R149+Q148</f>
        <v>-41868350.771499805</v>
      </c>
      <c r="S148">
        <f t="shared" ref="S148" si="718">R148/100000</f>
        <v>-418.68350771499803</v>
      </c>
      <c r="T148">
        <f t="shared" ref="T148" si="719">S148/1000</f>
        <v>-0.41868350771499802</v>
      </c>
    </row>
    <row r="149" spans="1:20" x14ac:dyDescent="0.25">
      <c r="A149" s="5">
        <v>44444</v>
      </c>
      <c r="B149">
        <v>1.518</v>
      </c>
      <c r="C149">
        <v>1.65</v>
      </c>
      <c r="D149">
        <v>1.4177999999999999</v>
      </c>
      <c r="E149">
        <v>1.5206999999999999</v>
      </c>
      <c r="F149">
        <v>90483230.700000003</v>
      </c>
      <c r="G149">
        <v>1.5206999999999999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-0.11369509043927642</v>
      </c>
      <c r="Q149">
        <f t="shared" ref="Q149" si="721">F149*P149</f>
        <v>-10287499.097674413</v>
      </c>
      <c r="R149">
        <f t="shared" ref="R149" si="722">R150+Q149</f>
        <v>-29731528.80188407</v>
      </c>
      <c r="S149">
        <f t="shared" ref="S149" si="723">R149/100000</f>
        <v>-297.3152880188407</v>
      </c>
      <c r="T149">
        <f t="shared" ref="T149" si="724">S149/1000</f>
        <v>-0.29731528801884072</v>
      </c>
    </row>
    <row r="150" spans="1:20" x14ac:dyDescent="0.25">
      <c r="A150" s="5">
        <v>44443</v>
      </c>
      <c r="B150">
        <v>1.2044999999999999</v>
      </c>
      <c r="C150">
        <v>1.5422</v>
      </c>
      <c r="D150">
        <v>1.1946000000000001</v>
      </c>
      <c r="E150">
        <v>1.5165</v>
      </c>
      <c r="F150">
        <v>98053727.989999995</v>
      </c>
      <c r="G150">
        <v>1.5165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0.85212888377445306</v>
      </c>
      <c r="Q150">
        <f t="shared" ref="Q150" si="726">F150*P150</f>
        <v>83554413.782042533</v>
      </c>
      <c r="R150">
        <f t="shared" ref="R150" si="727">R151+Q150</f>
        <v>-19444029.704209656</v>
      </c>
      <c r="S150">
        <f t="shared" ref="S150" si="728">R150/100000</f>
        <v>-194.44029704209655</v>
      </c>
      <c r="T150">
        <f t="shared" ref="T150" si="729">S150/1000</f>
        <v>-0.19444029704209653</v>
      </c>
    </row>
    <row r="151" spans="1:20" x14ac:dyDescent="0.25">
      <c r="A151" s="5">
        <v>44442</v>
      </c>
      <c r="B151">
        <v>1.0677000000000001</v>
      </c>
      <c r="C151">
        <v>1.2679</v>
      </c>
      <c r="D151">
        <v>1.0549999999999999</v>
      </c>
      <c r="E151">
        <v>1.2019</v>
      </c>
      <c r="F151">
        <v>46567496.539999999</v>
      </c>
      <c r="G151">
        <v>1.2019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0.37999060591827122</v>
      </c>
      <c r="Q151">
        <f t="shared" ref="Q151" si="731">F151*P151</f>
        <v>17695211.226331599</v>
      </c>
      <c r="R151">
        <f t="shared" ref="R151" si="732">R152+Q151</f>
        <v>-102998443.48625219</v>
      </c>
      <c r="S151">
        <f t="shared" ref="S151" si="733">R151/100000</f>
        <v>-1029.984434862522</v>
      </c>
      <c r="T151">
        <f t="shared" ref="T151" si="734">S151/1000</f>
        <v>-1.029984434862522</v>
      </c>
    </row>
    <row r="152" spans="1:20" x14ac:dyDescent="0.25">
      <c r="A152" s="5">
        <v>44441</v>
      </c>
      <c r="B152">
        <v>1.0494000000000001</v>
      </c>
      <c r="C152">
        <v>1.173</v>
      </c>
      <c r="D152">
        <v>1.0217000000000001</v>
      </c>
      <c r="E152">
        <v>1.0667</v>
      </c>
      <c r="F152">
        <v>57003119.210000001</v>
      </c>
      <c r="G152">
        <v>1.0667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-0.40515532055518927</v>
      </c>
      <c r="Q152">
        <f t="shared" ref="Q152" si="736">F152*P152</f>
        <v>-23095117.036173217</v>
      </c>
      <c r="R152">
        <f t="shared" ref="R152" si="737">R153+Q152</f>
        <v>-120693654.71258378</v>
      </c>
      <c r="S152">
        <f t="shared" ref="S152" si="738">R152/100000</f>
        <v>-1206.9365471258377</v>
      </c>
      <c r="T152">
        <f t="shared" ref="T152" si="739">S152/1000</f>
        <v>-1.2069365471258378</v>
      </c>
    </row>
    <row r="153" spans="1:20" x14ac:dyDescent="0.25">
      <c r="A153" s="5">
        <v>44440</v>
      </c>
      <c r="B153">
        <v>0.87719999999999998</v>
      </c>
      <c r="C153">
        <v>1.0852999999999999</v>
      </c>
      <c r="D153">
        <v>0.8609</v>
      </c>
      <c r="E153">
        <v>1.0507</v>
      </c>
      <c r="F153">
        <v>69423471.700000003</v>
      </c>
      <c r="G153">
        <v>1.0507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0.69162210338680952</v>
      </c>
      <c r="Q153">
        <f t="shared" ref="Q153" si="741">F153*P153</f>
        <v>48014807.521568649</v>
      </c>
      <c r="R153">
        <f t="shared" ref="R153" si="742">R154+Q153</f>
        <v>-97598537.676410556</v>
      </c>
      <c r="S153">
        <f t="shared" ref="S153" si="743">R153/100000</f>
        <v>-975.98537676410558</v>
      </c>
      <c r="T153">
        <f t="shared" ref="T153" si="744">S153/1000</f>
        <v>-0.97598537676410557</v>
      </c>
    </row>
    <row r="154" spans="1:20" x14ac:dyDescent="0.25">
      <c r="A154" s="5">
        <v>44439</v>
      </c>
      <c r="B154">
        <v>0.85780000000000001</v>
      </c>
      <c r="C154">
        <v>0.90749999999999997</v>
      </c>
      <c r="D154">
        <v>0.8458</v>
      </c>
      <c r="E154">
        <v>0.87790000000000001</v>
      </c>
      <c r="F154">
        <v>15807849</v>
      </c>
      <c r="G154">
        <v>0.87790000000000001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4.0518638573744874E-2</v>
      </c>
      <c r="Q154">
        <f t="shared" ref="Q154" si="746">F154*P154</f>
        <v>640512.52025933436</v>
      </c>
      <c r="R154">
        <f t="shared" ref="R154" si="747">R155+Q154</f>
        <v>-145613345.19797921</v>
      </c>
      <c r="S154">
        <f t="shared" ref="S154" si="748">R154/100000</f>
        <v>-1456.1334519797922</v>
      </c>
      <c r="T154">
        <f t="shared" ref="T154" si="749">S154/1000</f>
        <v>-1.4561334519797922</v>
      </c>
    </row>
    <row r="155" spans="1:20" x14ac:dyDescent="0.25">
      <c r="A155" s="5">
        <v>44438</v>
      </c>
      <c r="B155">
        <v>0.89710000000000001</v>
      </c>
      <c r="C155">
        <v>0.90249999999999997</v>
      </c>
      <c r="D155">
        <v>0.84450000000000003</v>
      </c>
      <c r="E155">
        <v>0.85799999999999998</v>
      </c>
      <c r="F155">
        <v>12694991</v>
      </c>
      <c r="G155">
        <v>0.85799999999999998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-0.53448275862069072</v>
      </c>
      <c r="Q155">
        <f t="shared" ref="Q155" si="751">F155*P155</f>
        <v>-6785253.8103448413</v>
      </c>
      <c r="R155">
        <f t="shared" ref="R155" si="752">R156+Q155</f>
        <v>-146253857.71823853</v>
      </c>
      <c r="S155">
        <f t="shared" ref="S155" si="753">R155/100000</f>
        <v>-1462.5385771823853</v>
      </c>
      <c r="T155">
        <f t="shared" ref="T155" si="754">S155/1000</f>
        <v>-1.4625385771823853</v>
      </c>
    </row>
    <row r="156" spans="1:20" x14ac:dyDescent="0.25">
      <c r="A156" s="5">
        <v>44437</v>
      </c>
      <c r="B156">
        <v>0.88360000000000005</v>
      </c>
      <c r="C156">
        <v>0.9425</v>
      </c>
      <c r="D156">
        <v>0.87419999999999998</v>
      </c>
      <c r="E156">
        <v>0.89770000000000005</v>
      </c>
      <c r="F156">
        <v>15261592.74</v>
      </c>
      <c r="G156">
        <v>0.89770000000000005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-0.31185944363103757</v>
      </c>
      <c r="Q156">
        <f t="shared" ref="Q156" si="756">F156*P156</f>
        <v>-4759471.8208198827</v>
      </c>
      <c r="R156">
        <f t="shared" ref="R156" si="757">R157+Q156</f>
        <v>-139468603.90789369</v>
      </c>
      <c r="S156">
        <f t="shared" ref="S156" si="758">R156/100000</f>
        <v>-1394.6860390789368</v>
      </c>
      <c r="T156">
        <f t="shared" ref="T156" si="759">S156/1000</f>
        <v>-1.3946860390789368</v>
      </c>
    </row>
    <row r="157" spans="1:20" x14ac:dyDescent="0.25">
      <c r="A157" s="5">
        <v>44436</v>
      </c>
      <c r="B157">
        <v>0.89570000000000005</v>
      </c>
      <c r="C157">
        <v>0.91</v>
      </c>
      <c r="D157">
        <v>0.86019999999999996</v>
      </c>
      <c r="E157">
        <v>0.88270000000000004</v>
      </c>
      <c r="F157">
        <v>14489034</v>
      </c>
      <c r="G157">
        <v>0.88270000000000004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-9.6385542168672872E-2</v>
      </c>
      <c r="Q157">
        <f t="shared" ref="Q157" si="761">F157*P157</f>
        <v>-1396533.397590335</v>
      </c>
      <c r="R157">
        <f t="shared" ref="R157" si="762">R158+Q157</f>
        <v>-134709132.0870738</v>
      </c>
      <c r="S157">
        <f t="shared" ref="S157" si="763">R157/100000</f>
        <v>-1347.0913208707379</v>
      </c>
      <c r="T157">
        <f t="shared" ref="T157" si="764">S157/1000</f>
        <v>-1.347091320870738</v>
      </c>
    </row>
    <row r="158" spans="1:20" x14ac:dyDescent="0.25">
      <c r="A158" s="5">
        <v>44435</v>
      </c>
      <c r="B158">
        <v>0.84350000000000003</v>
      </c>
      <c r="C158">
        <v>0.91769999999999996</v>
      </c>
      <c r="D158">
        <v>0.8</v>
      </c>
      <c r="E158">
        <v>0.8992</v>
      </c>
      <c r="F158">
        <v>19671355.789999999</v>
      </c>
      <c r="G158">
        <v>0.8992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0.68564146134239634</v>
      </c>
      <c r="Q158">
        <f t="shared" ref="Q158" si="766">F158*P158</f>
        <v>13487497.130441809</v>
      </c>
      <c r="R158">
        <f t="shared" ref="R158" si="767">R159+Q158</f>
        <v>-133312598.68948346</v>
      </c>
      <c r="S158">
        <f t="shared" ref="S158" si="768">R158/100000</f>
        <v>-1333.1259868948346</v>
      </c>
      <c r="T158">
        <f t="shared" ref="T158" si="769">S158/1000</f>
        <v>-1.3331259868948346</v>
      </c>
    </row>
    <row r="159" spans="1:20" x14ac:dyDescent="0.25">
      <c r="A159" s="5">
        <v>44434</v>
      </c>
      <c r="B159">
        <v>0.94430000000000003</v>
      </c>
      <c r="C159">
        <v>0.95720000000000005</v>
      </c>
      <c r="D159">
        <v>0.84219999999999995</v>
      </c>
      <c r="E159">
        <v>0.84370000000000001</v>
      </c>
      <c r="F159">
        <v>21228210.57</v>
      </c>
      <c r="G159">
        <v>0.84370000000000001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-0.97391304347825991</v>
      </c>
      <c r="Q159">
        <f t="shared" ref="Q159" si="771">F159*P159</f>
        <v>-20674431.163826067</v>
      </c>
      <c r="R159">
        <f t="shared" ref="R159" si="772">R160+Q159</f>
        <v>-146800095.81992528</v>
      </c>
      <c r="S159">
        <f t="shared" ref="S159" si="773">R159/100000</f>
        <v>-1468.0009581992529</v>
      </c>
      <c r="T159">
        <f t="shared" ref="T159" si="774">S159/1000</f>
        <v>-1.4680009581992528</v>
      </c>
    </row>
    <row r="160" spans="1:20" x14ac:dyDescent="0.25">
      <c r="A160" s="5">
        <v>44433</v>
      </c>
      <c r="B160">
        <v>0.89770000000000005</v>
      </c>
      <c r="C160">
        <v>0.97</v>
      </c>
      <c r="D160">
        <v>0.87519999999999998</v>
      </c>
      <c r="E160">
        <v>0.94399999999999995</v>
      </c>
      <c r="F160">
        <v>33021027.609999999</v>
      </c>
      <c r="G160">
        <v>0.94399999999999995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0.45147679324894463</v>
      </c>
      <c r="Q160">
        <f t="shared" ref="Q160" si="776">F160*P160</f>
        <v>14908227.655147662</v>
      </c>
      <c r="R160">
        <f t="shared" ref="R160" si="777">R161+Q160</f>
        <v>-126125664.65609922</v>
      </c>
      <c r="S160">
        <f t="shared" ref="S160" si="778">R160/100000</f>
        <v>-1261.2566465609921</v>
      </c>
      <c r="T160">
        <f t="shared" ref="T160" si="779">S160/1000</f>
        <v>-1.261256646560992</v>
      </c>
    </row>
    <row r="161" spans="1:20" x14ac:dyDescent="0.25">
      <c r="A161" s="5">
        <v>44432</v>
      </c>
      <c r="B161">
        <v>0.92320000000000002</v>
      </c>
      <c r="C161">
        <v>0.98</v>
      </c>
      <c r="D161">
        <v>0.83779999999999999</v>
      </c>
      <c r="E161">
        <v>0.89770000000000005</v>
      </c>
      <c r="F161">
        <v>39219794.600000001</v>
      </c>
      <c r="G161">
        <v>0.89770000000000005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-0.15752461322081482</v>
      </c>
      <c r="Q161">
        <f t="shared" ref="Q161" si="781">F161*P161</f>
        <v>-6178082.9749648022</v>
      </c>
      <c r="R161">
        <f t="shared" ref="R161" si="782">R162+Q161</f>
        <v>-141033892.31124687</v>
      </c>
      <c r="S161">
        <f t="shared" ref="S161" si="783">R161/100000</f>
        <v>-1410.3389231124688</v>
      </c>
      <c r="T161">
        <f t="shared" ref="T161" si="784">S161/1000</f>
        <v>-1.4103389231124688</v>
      </c>
    </row>
    <row r="162" spans="1:20" x14ac:dyDescent="0.25">
      <c r="A162" s="5">
        <v>44431</v>
      </c>
      <c r="B162">
        <v>0.94010000000000005</v>
      </c>
      <c r="C162">
        <v>0.99</v>
      </c>
      <c r="D162">
        <v>0.90569999999999995</v>
      </c>
      <c r="E162">
        <v>0.9244</v>
      </c>
      <c r="F162">
        <v>28485895.16</v>
      </c>
      <c r="G162">
        <v>0.9244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-0.55634638196915676</v>
      </c>
      <c r="Q162">
        <f t="shared" ref="Q162" si="786">F162*P162</f>
        <v>-15848024.709418714</v>
      </c>
      <c r="R162">
        <f t="shared" ref="R162" si="787">R163+Q162</f>
        <v>-134855809.33628207</v>
      </c>
      <c r="S162">
        <f t="shared" ref="S162" si="788">R162/100000</f>
        <v>-1348.5580933628207</v>
      </c>
      <c r="T162">
        <f t="shared" ref="T162" si="789">S162/1000</f>
        <v>-1.3485580933628207</v>
      </c>
    </row>
    <row r="163" spans="1:20" x14ac:dyDescent="0.25">
      <c r="A163" s="5">
        <v>44430</v>
      </c>
      <c r="B163">
        <v>0.83350000000000002</v>
      </c>
      <c r="C163">
        <v>0.93279999999999996</v>
      </c>
      <c r="D163">
        <v>0.83199999999999996</v>
      </c>
      <c r="E163">
        <v>0.91830000000000001</v>
      </c>
      <c r="F163">
        <v>10028856.390000001</v>
      </c>
      <c r="G163">
        <v>0.91830000000000001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0.7123015873015881</v>
      </c>
      <c r="Q163">
        <f t="shared" ref="Q163" si="791">F163*P163</f>
        <v>7143570.3254166748</v>
      </c>
      <c r="R163">
        <f t="shared" ref="R163" si="792">R164+Q163</f>
        <v>-119007784.62686336</v>
      </c>
      <c r="S163">
        <f t="shared" ref="S163" si="793">R163/100000</f>
        <v>-1190.0778462686335</v>
      </c>
      <c r="T163">
        <f t="shared" ref="T163" si="794">S163/1000</f>
        <v>-1.1900778462686334</v>
      </c>
    </row>
    <row r="164" spans="1:20" x14ac:dyDescent="0.25">
      <c r="A164" s="5">
        <v>44429</v>
      </c>
      <c r="B164">
        <v>0.80959999999999999</v>
      </c>
      <c r="C164">
        <v>0.88349999999999995</v>
      </c>
      <c r="D164">
        <v>0.78720000000000001</v>
      </c>
      <c r="E164">
        <v>0.83330000000000004</v>
      </c>
      <c r="F164">
        <v>40900184.299999997</v>
      </c>
      <c r="G164">
        <v>0.83330000000000004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-4.2575285565938564E-2</v>
      </c>
      <c r="Q164">
        <f t="shared" ref="Q164" si="796">F164*P164</f>
        <v>-1741337.026272017</v>
      </c>
      <c r="R164">
        <f t="shared" ref="R164" si="797">R165+Q164</f>
        <v>-126151354.95228003</v>
      </c>
      <c r="S164">
        <f t="shared" ref="S164" si="798">R164/100000</f>
        <v>-1261.5135495228003</v>
      </c>
      <c r="T164">
        <f t="shared" ref="T164" si="799">S164/1000</f>
        <v>-1.2615135495228003</v>
      </c>
    </row>
    <row r="165" spans="1:20" x14ac:dyDescent="0.25">
      <c r="A165" s="5">
        <v>44428</v>
      </c>
      <c r="B165">
        <v>0.81179999999999997</v>
      </c>
      <c r="C165">
        <v>0.85499999999999998</v>
      </c>
      <c r="D165">
        <v>0.76700000000000002</v>
      </c>
      <c r="E165">
        <v>0.80959999999999999</v>
      </c>
      <c r="F165">
        <v>29998364.98</v>
      </c>
      <c r="G165">
        <v>0.80959999999999999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-3.1818181818182113E-2</v>
      </c>
      <c r="Q165">
        <f t="shared" ref="Q165" si="801">F165*P165</f>
        <v>-954493.43118182709</v>
      </c>
      <c r="R165">
        <f t="shared" ref="R165" si="802">R166+Q165</f>
        <v>-124410017.92600802</v>
      </c>
      <c r="S165">
        <f t="shared" ref="S165" si="803">R165/100000</f>
        <v>-1244.1001792600803</v>
      </c>
      <c r="T165">
        <f t="shared" ref="T165" si="804">S165/1000</f>
        <v>-1.2441001792600803</v>
      </c>
    </row>
    <row r="166" spans="1:20" x14ac:dyDescent="0.25">
      <c r="A166" s="5">
        <v>44427</v>
      </c>
      <c r="B166">
        <v>0.7419</v>
      </c>
      <c r="C166">
        <v>0.81489999999999996</v>
      </c>
      <c r="D166">
        <v>0.72040000000000004</v>
      </c>
      <c r="E166">
        <v>0.81179999999999997</v>
      </c>
      <c r="F166">
        <v>30727243.41</v>
      </c>
      <c r="G166">
        <v>0.81179999999999997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0.93439153439153455</v>
      </c>
      <c r="Q166">
        <f t="shared" ref="Q166" si="806">F166*P166</f>
        <v>28711276.117492069</v>
      </c>
      <c r="R166">
        <f t="shared" ref="R166" si="807">R167+Q166</f>
        <v>-123455524.49482618</v>
      </c>
      <c r="S166">
        <f t="shared" ref="S166" si="808">R166/100000</f>
        <v>-1234.5552449482618</v>
      </c>
      <c r="T166">
        <f t="shared" ref="T166" si="809">S166/1000</f>
        <v>-1.2345552449482617</v>
      </c>
    </row>
    <row r="167" spans="1:20" x14ac:dyDescent="0.25">
      <c r="A167" s="5">
        <v>44426</v>
      </c>
      <c r="B167">
        <v>0.75890000000000002</v>
      </c>
      <c r="C167">
        <v>0.81240000000000001</v>
      </c>
      <c r="D167">
        <v>0.71030000000000004</v>
      </c>
      <c r="E167">
        <v>0.74</v>
      </c>
      <c r="F167">
        <v>40489652.479999997</v>
      </c>
      <c r="G167">
        <v>0.74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-0.41821743388834559</v>
      </c>
      <c r="Q167">
        <f t="shared" ref="Q167" si="811">F167*P167</f>
        <v>-16933478.559216488</v>
      </c>
      <c r="R167">
        <f t="shared" ref="R167" si="812">R168+Q167</f>
        <v>-152166800.61231825</v>
      </c>
      <c r="S167">
        <f t="shared" ref="S167" si="813">R167/100000</f>
        <v>-1521.6680061231825</v>
      </c>
      <c r="T167">
        <f t="shared" ref="T167" si="814">S167/1000</f>
        <v>-1.5216680061231824</v>
      </c>
    </row>
    <row r="168" spans="1:20" x14ac:dyDescent="0.25">
      <c r="A168" s="5">
        <v>44425</v>
      </c>
      <c r="B168">
        <v>0.70860000000000001</v>
      </c>
      <c r="C168">
        <v>0.8448</v>
      </c>
      <c r="D168">
        <v>0.69510000000000005</v>
      </c>
      <c r="E168">
        <v>0.75890000000000002</v>
      </c>
      <c r="F168">
        <v>88521981.390000001</v>
      </c>
      <c r="G168">
        <v>0.75890000000000002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-0.14762859051436217</v>
      </c>
      <c r="Q168">
        <f t="shared" ref="Q168" si="816">F168*P168</f>
        <v>-13068375.342144299</v>
      </c>
      <c r="R168">
        <f t="shared" ref="R168" si="817">R169+Q168</f>
        <v>-135233322.05310175</v>
      </c>
      <c r="S168">
        <f t="shared" ref="S168" si="818">R168/100000</f>
        <v>-1352.3332205310176</v>
      </c>
      <c r="T168">
        <f t="shared" ref="T168" si="819">S168/1000</f>
        <v>-1.3523332205310175</v>
      </c>
    </row>
    <row r="169" spans="1:20" x14ac:dyDescent="0.25">
      <c r="A169" s="5">
        <v>44424</v>
      </c>
      <c r="B169">
        <v>0.66910000000000003</v>
      </c>
      <c r="C169">
        <v>0.74419999999999997</v>
      </c>
      <c r="D169">
        <v>0.65790000000000004</v>
      </c>
      <c r="E169">
        <v>0.70830000000000004</v>
      </c>
      <c r="F169">
        <v>52594200.460000001</v>
      </c>
      <c r="G169">
        <v>0.70830000000000004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0.16801853997682595</v>
      </c>
      <c r="Q169">
        <f t="shared" ref="Q169" si="821">F169*P169</f>
        <v>8836800.7725377083</v>
      </c>
      <c r="R169">
        <f t="shared" ref="R169" si="822">R170+Q169</f>
        <v>-122164946.71095744</v>
      </c>
      <c r="S169">
        <f t="shared" ref="S169" si="823">R169/100000</f>
        <v>-1221.6494671095743</v>
      </c>
      <c r="T169">
        <f t="shared" ref="T169" si="824">S169/1000</f>
        <v>-1.2216494671095743</v>
      </c>
    </row>
    <row r="170" spans="1:20" x14ac:dyDescent="0.25">
      <c r="A170" s="5">
        <v>44423</v>
      </c>
      <c r="B170">
        <v>0.6159</v>
      </c>
      <c r="C170">
        <v>0.76500000000000001</v>
      </c>
      <c r="D170">
        <v>0.59699999999999998</v>
      </c>
      <c r="E170">
        <v>0.66879999999999995</v>
      </c>
      <c r="F170">
        <v>157592137.93000001</v>
      </c>
      <c r="G170">
        <v>0.66879999999999995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-0.14523809523809572</v>
      </c>
      <c r="Q170">
        <f t="shared" ref="Q170" si="826">F170*P170</f>
        <v>-22888381.937452458</v>
      </c>
      <c r="R170">
        <f t="shared" ref="R170" si="827">R171+Q170</f>
        <v>-131001747.48349515</v>
      </c>
      <c r="S170">
        <f t="shared" ref="S170" si="828">R170/100000</f>
        <v>-1310.0174748349514</v>
      </c>
      <c r="T170">
        <f t="shared" ref="T170" si="829">S170/1000</f>
        <v>-1.3100174748349513</v>
      </c>
    </row>
    <row r="171" spans="1:20" x14ac:dyDescent="0.25">
      <c r="A171" s="5">
        <v>44422</v>
      </c>
      <c r="B171">
        <v>0.52159999999999995</v>
      </c>
      <c r="C171">
        <v>0.67659999999999998</v>
      </c>
      <c r="D171">
        <v>0.49440000000000001</v>
      </c>
      <c r="E171">
        <v>0.61619999999999997</v>
      </c>
      <c r="F171">
        <v>76803957.230000004</v>
      </c>
      <c r="G171">
        <v>0.61619999999999997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0.33699231613611397</v>
      </c>
      <c r="Q171">
        <f t="shared" ref="Q171" si="831">F171*P171</f>
        <v>25882343.435356736</v>
      </c>
      <c r="R171">
        <f t="shared" ref="R171" si="832">R172+Q171</f>
        <v>-108113365.5460427</v>
      </c>
      <c r="S171">
        <f t="shared" ref="S171" si="833">R171/100000</f>
        <v>-1081.133655460427</v>
      </c>
      <c r="T171">
        <f t="shared" ref="T171" si="834">S171/1000</f>
        <v>-1.0811336554604269</v>
      </c>
    </row>
    <row r="172" spans="1:20" x14ac:dyDescent="0.25">
      <c r="A172" s="5">
        <v>44421</v>
      </c>
      <c r="B172">
        <v>0.4879</v>
      </c>
      <c r="C172">
        <v>0.52800000000000002</v>
      </c>
      <c r="D172">
        <v>0.48509999999999998</v>
      </c>
      <c r="E172">
        <v>0.5212</v>
      </c>
      <c r="F172">
        <v>11651324.939999999</v>
      </c>
      <c r="G172">
        <v>0.5212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0.68298368298368206</v>
      </c>
      <c r="Q172">
        <f t="shared" ref="Q172" si="836">F172*P172</f>
        <v>7957664.8191608284</v>
      </c>
      <c r="R172">
        <f t="shared" ref="R172" si="837">R173+Q172</f>
        <v>-133995708.98139943</v>
      </c>
      <c r="S172">
        <f t="shared" ref="S172" si="838">R172/100000</f>
        <v>-1339.9570898139943</v>
      </c>
      <c r="T172">
        <f t="shared" ref="T172" si="839">S172/1000</f>
        <v>-1.3399570898139943</v>
      </c>
    </row>
    <row r="173" spans="1:20" x14ac:dyDescent="0.25">
      <c r="A173" s="5">
        <v>44420</v>
      </c>
      <c r="B173">
        <v>0.50529999999999997</v>
      </c>
      <c r="C173">
        <v>0.52400000000000002</v>
      </c>
      <c r="D173">
        <v>0.47020000000000001</v>
      </c>
      <c r="E173">
        <v>0.48749999999999999</v>
      </c>
      <c r="F173">
        <v>17381819.02</v>
      </c>
      <c r="G173">
        <v>0.48749999999999999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-0.35687732342007517</v>
      </c>
      <c r="Q173">
        <f t="shared" ref="Q173" si="841">F173*P173</f>
        <v>-6203177.0480297534</v>
      </c>
      <c r="R173">
        <f t="shared" ref="R173" si="842">R174+Q173</f>
        <v>-141953373.80056027</v>
      </c>
      <c r="S173">
        <f t="shared" ref="S173" si="843">R173/100000</f>
        <v>-1419.5337380056026</v>
      </c>
      <c r="T173">
        <f t="shared" ref="T173" si="844">S173/1000</f>
        <v>-1.4195337380056026</v>
      </c>
    </row>
    <row r="174" spans="1:20" x14ac:dyDescent="0.25">
      <c r="A174" s="5">
        <v>44419</v>
      </c>
      <c r="B174">
        <v>0.50080000000000002</v>
      </c>
      <c r="C174">
        <v>0.54800000000000004</v>
      </c>
      <c r="D174">
        <v>0.50039999999999996</v>
      </c>
      <c r="E174">
        <v>0.50580000000000003</v>
      </c>
      <c r="F174">
        <v>28125391.219999999</v>
      </c>
      <c r="G174">
        <v>0.50580000000000003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-0.77310924369747636</v>
      </c>
      <c r="Q174">
        <f t="shared" ref="Q174" si="846">F174*P174</f>
        <v>-21743999.93478984</v>
      </c>
      <c r="R174">
        <f t="shared" ref="R174" si="847">R175+Q174</f>
        <v>-135750196.75253052</v>
      </c>
      <c r="S174">
        <f t="shared" ref="S174" si="848">R174/100000</f>
        <v>-1357.5019675253052</v>
      </c>
      <c r="T174">
        <f t="shared" ref="T174" si="849">S174/1000</f>
        <v>-1.3575019675253053</v>
      </c>
    </row>
    <row r="175" spans="1:20" x14ac:dyDescent="0.25">
      <c r="A175" s="5">
        <v>44418</v>
      </c>
      <c r="B175">
        <v>0.48</v>
      </c>
      <c r="C175">
        <v>0.54669999999999996</v>
      </c>
      <c r="D175">
        <v>0.46460000000000001</v>
      </c>
      <c r="E175">
        <v>0.50160000000000005</v>
      </c>
      <c r="F175">
        <v>24824114.359999999</v>
      </c>
      <c r="G175">
        <v>0.50160000000000005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-9.8660170523750187E-2</v>
      </c>
      <c r="Q175">
        <f t="shared" ref="Q175" si="851">F175*P175</f>
        <v>-2449151.3558586757</v>
      </c>
      <c r="R175">
        <f t="shared" ref="R175" si="852">R176+Q175</f>
        <v>-114006196.81774066</v>
      </c>
      <c r="S175">
        <f t="shared" ref="S175" si="853">R175/100000</f>
        <v>-1140.0619681774067</v>
      </c>
      <c r="T175">
        <f t="shared" ref="T175" si="854">S175/1000</f>
        <v>-1.1400619681774067</v>
      </c>
    </row>
    <row r="176" spans="1:20" x14ac:dyDescent="0.25">
      <c r="A176" s="5">
        <v>44417</v>
      </c>
      <c r="B176">
        <v>0.4587</v>
      </c>
      <c r="C176">
        <v>0.49959999999999999</v>
      </c>
      <c r="D176">
        <v>0.45</v>
      </c>
      <c r="E176">
        <v>0.4803</v>
      </c>
      <c r="F176">
        <v>14231677.75</v>
      </c>
      <c r="G176">
        <v>0.4803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0.2217741935483874</v>
      </c>
      <c r="Q176">
        <f t="shared" ref="Q176" si="856">F176*P176</f>
        <v>3156218.8558467785</v>
      </c>
      <c r="R176">
        <f t="shared" ref="R176" si="857">R177+Q176</f>
        <v>-111557045.461882</v>
      </c>
      <c r="S176">
        <f t="shared" ref="S176" si="858">R176/100000</f>
        <v>-1115.5704546188199</v>
      </c>
      <c r="T176">
        <f t="shared" ref="T176" si="859">S176/1000</f>
        <v>-1.1155704546188199</v>
      </c>
    </row>
    <row r="177" spans="1:20" x14ac:dyDescent="0.25">
      <c r="A177" s="5">
        <v>44416</v>
      </c>
      <c r="B177">
        <v>0.48330000000000001</v>
      </c>
      <c r="C177">
        <v>0.4955</v>
      </c>
      <c r="D177">
        <v>0.44700000000000001</v>
      </c>
      <c r="E177">
        <v>0.4587</v>
      </c>
      <c r="F177">
        <v>14176800.32</v>
      </c>
      <c r="G177">
        <v>0.4587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-0.51752577319587667</v>
      </c>
      <c r="Q177">
        <f t="shared" ref="Q177" si="861">F177*P177</f>
        <v>-7336859.5470515518</v>
      </c>
      <c r="R177">
        <f t="shared" ref="R177" si="862">R178+Q177</f>
        <v>-114713264.31772877</v>
      </c>
      <c r="S177">
        <f t="shared" ref="S177" si="863">R177/100000</f>
        <v>-1147.1326431772877</v>
      </c>
      <c r="T177">
        <f t="shared" ref="T177" si="864">S177/1000</f>
        <v>-1.1471326431772877</v>
      </c>
    </row>
    <row r="178" spans="1:20" x14ac:dyDescent="0.25">
      <c r="A178" s="5">
        <v>44415</v>
      </c>
      <c r="B178">
        <v>0.49959999999999999</v>
      </c>
      <c r="C178">
        <v>0.52</v>
      </c>
      <c r="D178">
        <v>0.4677</v>
      </c>
      <c r="E178">
        <v>0.48399999999999999</v>
      </c>
      <c r="F178">
        <v>21038293.699999999</v>
      </c>
      <c r="G178">
        <v>0.48399999999999999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-0.37667304015296454</v>
      </c>
      <c r="Q178">
        <f t="shared" ref="Q178" si="866">F178*P178</f>
        <v>-7924558.0476099607</v>
      </c>
      <c r="R178">
        <f t="shared" ref="R178" si="867">R179+Q178</f>
        <v>-107376404.77067722</v>
      </c>
      <c r="S178">
        <f t="shared" ref="S178" si="868">R178/100000</f>
        <v>-1073.7640477067723</v>
      </c>
      <c r="T178">
        <f t="shared" ref="T178" si="869">S178/1000</f>
        <v>-1.0737640477067723</v>
      </c>
    </row>
    <row r="179" spans="1:20" x14ac:dyDescent="0.25">
      <c r="A179" s="5">
        <v>44414</v>
      </c>
      <c r="B179">
        <v>0.49680000000000002</v>
      </c>
      <c r="C179">
        <v>0.5171</v>
      </c>
      <c r="D179">
        <v>0.47949999999999998</v>
      </c>
      <c r="E179">
        <v>0.4995</v>
      </c>
      <c r="F179">
        <v>22749938.66</v>
      </c>
      <c r="G179">
        <v>0.4995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6.3829787234042867E-2</v>
      </c>
      <c r="Q179">
        <f t="shared" ref="Q179" si="871">F179*P179</f>
        <v>1452123.7442553262</v>
      </c>
      <c r="R179">
        <f t="shared" ref="R179" si="872">R180+Q179</f>
        <v>-99451846.723067269</v>
      </c>
      <c r="S179">
        <f t="shared" ref="S179" si="873">R179/100000</f>
        <v>-994.51846723067274</v>
      </c>
      <c r="T179">
        <f t="shared" ref="T179" si="874">S179/1000</f>
        <v>-0.99451846723067272</v>
      </c>
    </row>
    <row r="180" spans="1:20" x14ac:dyDescent="0.25">
      <c r="A180" s="5">
        <v>44413</v>
      </c>
      <c r="B180">
        <v>0.46960000000000002</v>
      </c>
      <c r="C180">
        <v>0.54510000000000003</v>
      </c>
      <c r="D180">
        <v>0.46</v>
      </c>
      <c r="E180">
        <v>0.49730000000000002</v>
      </c>
      <c r="F180">
        <v>51326159.079999998</v>
      </c>
      <c r="G180">
        <v>0.49730000000000002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-0.12338425381903652</v>
      </c>
      <c r="Q180">
        <f t="shared" ref="Q180" si="876">F180*P180</f>
        <v>-6332839.8394829659</v>
      </c>
      <c r="R180">
        <f t="shared" ref="R180" si="877">R181+Q180</f>
        <v>-100903970.46732259</v>
      </c>
      <c r="S180">
        <f t="shared" ref="S180" si="878">R180/100000</f>
        <v>-1009.0397046732259</v>
      </c>
      <c r="T180">
        <f t="shared" ref="T180" si="879">S180/1000</f>
        <v>-1.0090397046732258</v>
      </c>
    </row>
    <row r="181" spans="1:20" x14ac:dyDescent="0.25">
      <c r="A181" s="5">
        <v>44412</v>
      </c>
      <c r="B181">
        <v>0.4289</v>
      </c>
      <c r="C181">
        <v>0.49</v>
      </c>
      <c r="D181">
        <v>0.40849999999999997</v>
      </c>
      <c r="E181">
        <v>0.46949999999999997</v>
      </c>
      <c r="F181">
        <v>41161951.340000004</v>
      </c>
      <c r="G181">
        <v>0.46949999999999997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0.496932515337423</v>
      </c>
      <c r="Q181">
        <f t="shared" ref="Q181" si="881">F181*P181</f>
        <v>20454712.015582811</v>
      </c>
      <c r="R181">
        <f t="shared" ref="R181" si="882">R182+Q181</f>
        <v>-94571130.627839625</v>
      </c>
      <c r="S181">
        <f t="shared" ref="S181" si="883">R181/100000</f>
        <v>-945.71130627839625</v>
      </c>
      <c r="T181">
        <f t="shared" ref="T181" si="884">S181/1000</f>
        <v>-0.94571130627839628</v>
      </c>
    </row>
    <row r="182" spans="1:20" x14ac:dyDescent="0.25">
      <c r="A182" s="5">
        <v>44411</v>
      </c>
      <c r="B182">
        <v>0.39240000000000003</v>
      </c>
      <c r="C182">
        <v>0.443</v>
      </c>
      <c r="D182">
        <v>0.38</v>
      </c>
      <c r="E182">
        <v>0.42859999999999998</v>
      </c>
      <c r="F182">
        <v>29171019.140000001</v>
      </c>
      <c r="G182">
        <v>0.42859999999999998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0.54285714285714215</v>
      </c>
      <c r="Q182">
        <f t="shared" ref="Q182" si="886">F182*P182</f>
        <v>15835696.104571408</v>
      </c>
      <c r="R182">
        <f t="shared" ref="R182" si="887">R183+Q182</f>
        <v>-115025842.64342244</v>
      </c>
      <c r="S182">
        <f t="shared" ref="S182" si="888">R182/100000</f>
        <v>-1150.2584264342245</v>
      </c>
      <c r="T182">
        <f t="shared" ref="T182" si="889">S182/1000</f>
        <v>-1.1502584264342244</v>
      </c>
    </row>
    <row r="183" spans="1:20" x14ac:dyDescent="0.25">
      <c r="A183" s="5">
        <v>44410</v>
      </c>
      <c r="B183">
        <v>0.36409999999999998</v>
      </c>
      <c r="C183">
        <v>0.41860000000000003</v>
      </c>
      <c r="D183">
        <v>0.3553</v>
      </c>
      <c r="E183">
        <v>0.39190000000000003</v>
      </c>
      <c r="F183">
        <v>27908879.780000001</v>
      </c>
      <c r="G183">
        <v>0.39190000000000003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0.1563981042654031</v>
      </c>
      <c r="Q183">
        <f t="shared" ref="Q183" si="891">F183*P183</f>
        <v>4364895.8897630405</v>
      </c>
      <c r="R183">
        <f t="shared" ref="R183" si="892">R184+Q183</f>
        <v>-130861538.74799384</v>
      </c>
      <c r="S183">
        <f t="shared" ref="S183" si="893">R183/100000</f>
        <v>-1308.6153874799384</v>
      </c>
      <c r="T183">
        <f t="shared" ref="T183" si="894">S183/1000</f>
        <v>-1.3086153874799384</v>
      </c>
    </row>
    <row r="184" spans="1:20" x14ac:dyDescent="0.25">
      <c r="A184" s="5">
        <v>44409</v>
      </c>
      <c r="B184">
        <v>0.39200000000000002</v>
      </c>
      <c r="C184">
        <v>0.41</v>
      </c>
      <c r="D184">
        <v>0.3589</v>
      </c>
      <c r="E184">
        <v>0.36430000000000001</v>
      </c>
      <c r="F184">
        <v>19186627.02</v>
      </c>
      <c r="G184">
        <v>0.36430000000000001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-0.78864970645792487</v>
      </c>
      <c r="Q184">
        <f t="shared" ref="Q184" si="896">F184*P184</f>
        <v>-15131527.76724069</v>
      </c>
      <c r="R184">
        <f t="shared" ref="R184" si="897">R185+Q184</f>
        <v>-135226434.63775688</v>
      </c>
      <c r="S184">
        <f t="shared" ref="S184" si="898">R184/100000</f>
        <v>-1352.2643463775689</v>
      </c>
      <c r="T184">
        <f t="shared" ref="T184" si="899">S184/1000</f>
        <v>-1.352264346377569</v>
      </c>
    </row>
    <row r="185" spans="1:20" x14ac:dyDescent="0.25">
      <c r="A185" s="5">
        <v>44408</v>
      </c>
      <c r="B185">
        <v>0.37409999999999999</v>
      </c>
      <c r="C185">
        <v>0.39800000000000002</v>
      </c>
      <c r="D185">
        <v>0.35399999999999998</v>
      </c>
      <c r="E185">
        <v>0.39200000000000002</v>
      </c>
      <c r="F185">
        <v>17304982.129999999</v>
      </c>
      <c r="G185">
        <v>0.39200000000000002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0.72727272727272729</v>
      </c>
      <c r="Q185">
        <f t="shared" ref="Q185" si="901">F185*P185</f>
        <v>12585441.549090909</v>
      </c>
      <c r="R185">
        <f t="shared" ref="R185" si="902">R186+Q185</f>
        <v>-120094906.87051618</v>
      </c>
      <c r="S185">
        <f t="shared" ref="S185" si="903">R185/100000</f>
        <v>-1200.9490687051618</v>
      </c>
      <c r="T185">
        <f t="shared" ref="T185" si="904">S185/1000</f>
        <v>-1.2009490687051618</v>
      </c>
    </row>
    <row r="186" spans="1:20" x14ac:dyDescent="0.25">
      <c r="A186" s="5">
        <v>44407</v>
      </c>
      <c r="B186">
        <v>0.35189999999999999</v>
      </c>
      <c r="C186">
        <v>0.37669999999999998</v>
      </c>
      <c r="D186">
        <v>0.33400000000000002</v>
      </c>
      <c r="E186">
        <v>0.37469999999999998</v>
      </c>
      <c r="F186">
        <v>14515867.859999999</v>
      </c>
      <c r="G186">
        <v>0.37469999999999998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0.90632318501170939</v>
      </c>
      <c r="Q186">
        <f t="shared" ref="Q186" si="906">F186*P186</f>
        <v>13156067.592084305</v>
      </c>
      <c r="R186">
        <f t="shared" ref="R186" si="907">R187+Q186</f>
        <v>-132680348.41960709</v>
      </c>
      <c r="S186">
        <f t="shared" ref="S186" si="908">R186/100000</f>
        <v>-1326.8034841960709</v>
      </c>
      <c r="T186">
        <f t="shared" ref="T186" si="909">S186/1000</f>
        <v>-1.326803484196071</v>
      </c>
    </row>
    <row r="187" spans="1:20" x14ac:dyDescent="0.25">
      <c r="A187" s="5">
        <v>44406</v>
      </c>
      <c r="B187">
        <v>0.33200000000000002</v>
      </c>
      <c r="C187">
        <v>0.35399999999999998</v>
      </c>
      <c r="D187">
        <v>0.32750000000000001</v>
      </c>
      <c r="E187">
        <v>0.3513</v>
      </c>
      <c r="F187">
        <v>10092870.359999999</v>
      </c>
      <c r="G187">
        <v>0.3513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0.79622641509434089</v>
      </c>
      <c r="Q187">
        <f t="shared" ref="Q187" si="911">F187*P187</f>
        <v>8036209.9847547291</v>
      </c>
      <c r="R187">
        <f t="shared" ref="R187" si="912">R188+Q187</f>
        <v>-145836416.01169139</v>
      </c>
      <c r="S187">
        <f t="shared" ref="S187" si="913">R187/100000</f>
        <v>-1458.3641601169138</v>
      </c>
      <c r="T187">
        <f t="shared" ref="T187" si="914">S187/1000</f>
        <v>-1.4583641601169137</v>
      </c>
    </row>
    <row r="188" spans="1:20" x14ac:dyDescent="0.25">
      <c r="A188" s="5">
        <v>44405</v>
      </c>
      <c r="B188">
        <v>0.33439999999999998</v>
      </c>
      <c r="C188">
        <v>0.34129999999999999</v>
      </c>
      <c r="D188">
        <v>0.32550000000000001</v>
      </c>
      <c r="E188">
        <v>0.33210000000000001</v>
      </c>
      <c r="F188">
        <v>9371233.1099999994</v>
      </c>
      <c r="G188">
        <v>0.33210000000000001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-0.16455696202531611</v>
      </c>
      <c r="Q188">
        <f t="shared" ref="Q188" si="916">F188*P188</f>
        <v>-1542101.6510126549</v>
      </c>
      <c r="R188">
        <f t="shared" ref="R188" si="917">R189+Q188</f>
        <v>-153872625.99644613</v>
      </c>
      <c r="S188">
        <f t="shared" ref="S188" si="918">R188/100000</f>
        <v>-1538.7262599644614</v>
      </c>
      <c r="T188">
        <f t="shared" ref="T188" si="919">S188/1000</f>
        <v>-1.5387262599644613</v>
      </c>
    </row>
    <row r="189" spans="1:20" x14ac:dyDescent="0.25">
      <c r="A189" s="5">
        <v>44404</v>
      </c>
      <c r="B189">
        <v>0.3251</v>
      </c>
      <c r="C189">
        <v>0.33910000000000001</v>
      </c>
      <c r="D189">
        <v>0.3211</v>
      </c>
      <c r="E189">
        <v>0.33610000000000001</v>
      </c>
      <c r="F189">
        <v>10735282.039999999</v>
      </c>
      <c r="G189">
        <v>0.33610000000000001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0.66666666666666663</v>
      </c>
      <c r="Q189">
        <f t="shared" ref="Q189" si="921">F189*P189</f>
        <v>7156854.6933333324</v>
      </c>
      <c r="R189">
        <f t="shared" ref="R189" si="922">R190+Q189</f>
        <v>-152330524.34543347</v>
      </c>
      <c r="S189">
        <f t="shared" ref="S189" si="923">R189/100000</f>
        <v>-1523.3052434543347</v>
      </c>
      <c r="T189">
        <f t="shared" ref="T189" si="924">S189/1000</f>
        <v>-1.5233052434543346</v>
      </c>
    </row>
    <row r="190" spans="1:20" x14ac:dyDescent="0.25">
      <c r="A190" s="5">
        <v>44403</v>
      </c>
      <c r="B190">
        <v>0.3281</v>
      </c>
      <c r="C190">
        <v>0.35749999999999998</v>
      </c>
      <c r="D190">
        <v>0.3236</v>
      </c>
      <c r="E190">
        <v>0.3251</v>
      </c>
      <c r="F190">
        <v>19762979.629999999</v>
      </c>
      <c r="G190">
        <v>0.3251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-0.91150442477876092</v>
      </c>
      <c r="Q190">
        <f t="shared" ref="Q190" si="926">F190*P190</f>
        <v>-18014043.37955752</v>
      </c>
      <c r="R190">
        <f t="shared" ref="R190" si="927">R191+Q190</f>
        <v>-159487379.0387668</v>
      </c>
      <c r="S190">
        <f t="shared" ref="S190" si="928">R190/100000</f>
        <v>-1594.8737903876681</v>
      </c>
      <c r="T190">
        <f t="shared" ref="T190" si="929">S190/1000</f>
        <v>-1.5948737903876682</v>
      </c>
    </row>
    <row r="191" spans="1:20" x14ac:dyDescent="0.25">
      <c r="A191" s="5">
        <v>44402</v>
      </c>
      <c r="B191">
        <v>0.31759999999999999</v>
      </c>
      <c r="C191">
        <v>0.33660000000000001</v>
      </c>
      <c r="D191">
        <v>0.30420000000000003</v>
      </c>
      <c r="E191">
        <v>0.3286</v>
      </c>
      <c r="F191">
        <v>10814653.189999999</v>
      </c>
      <c r="G191">
        <v>0.3286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0.5061728395061722</v>
      </c>
      <c r="Q191">
        <f t="shared" ref="Q191" si="931">F191*P191</f>
        <v>5474083.7134567825</v>
      </c>
      <c r="R191">
        <f t="shared" ref="R191" si="932">R192+Q191</f>
        <v>-141473335.65920928</v>
      </c>
      <c r="S191">
        <f t="shared" ref="S191" si="933">R191/100000</f>
        <v>-1414.7333565920928</v>
      </c>
      <c r="T191">
        <f t="shared" ref="T191:T197" si="934">S191/1000</f>
        <v>-1.4147333565920928</v>
      </c>
    </row>
    <row r="192" spans="1:20" x14ac:dyDescent="0.25">
      <c r="A192" s="5">
        <v>44401</v>
      </c>
      <c r="B192">
        <v>0.31219999999999998</v>
      </c>
      <c r="C192">
        <v>0.3306</v>
      </c>
      <c r="D192">
        <v>0.30520000000000003</v>
      </c>
      <c r="E192">
        <v>0.31680000000000003</v>
      </c>
      <c r="F192">
        <v>11428267.42</v>
      </c>
      <c r="G192">
        <v>0.31680000000000003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-8.6614173228345734E-2</v>
      </c>
      <c r="Q192">
        <f t="shared" ref="Q192" si="936">F192*P192</f>
        <v>-989849.93401573971</v>
      </c>
      <c r="R192">
        <f t="shared" ref="R192" si="937">R193+Q192</f>
        <v>-146947419.37266606</v>
      </c>
      <c r="S192">
        <f t="shared" ref="S192" si="938">R192/100000</f>
        <v>-1469.4741937266606</v>
      </c>
      <c r="T192">
        <f t="shared" si="934"/>
        <v>-1.4694741937266607</v>
      </c>
    </row>
    <row r="193" spans="1:20" x14ac:dyDescent="0.25">
      <c r="A193" s="5">
        <v>44400</v>
      </c>
      <c r="B193">
        <v>0.30349999999999999</v>
      </c>
      <c r="C193">
        <v>0.31780000000000003</v>
      </c>
      <c r="D193">
        <v>0.29349999999999998</v>
      </c>
      <c r="E193">
        <v>0.3115</v>
      </c>
      <c r="F193">
        <v>7176989.3200000003</v>
      </c>
      <c r="G193">
        <v>0.3115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0.48148148148148012</v>
      </c>
      <c r="Q193">
        <f t="shared" ref="Q193" si="940">F193*P193</f>
        <v>3455587.4503703606</v>
      </c>
      <c r="R193">
        <f t="shared" ref="R193" si="941">R194+Q193</f>
        <v>-145957569.43865031</v>
      </c>
      <c r="S193">
        <f t="shared" ref="S193" si="942">R193/100000</f>
        <v>-1459.5756943865031</v>
      </c>
      <c r="T193">
        <f t="shared" si="934"/>
        <v>-1.459575694386503</v>
      </c>
    </row>
    <row r="194" spans="1:20" x14ac:dyDescent="0.25">
      <c r="A194" s="5">
        <v>44399</v>
      </c>
      <c r="B194">
        <v>0.29520000000000002</v>
      </c>
      <c r="C194">
        <v>0.31109999999999999</v>
      </c>
      <c r="D194">
        <v>0.29239999999999999</v>
      </c>
      <c r="E194">
        <v>0.30270000000000002</v>
      </c>
      <c r="F194">
        <v>6742547.0199999996</v>
      </c>
      <c r="G194">
        <v>0.30270000000000002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0.10160427807486999</v>
      </c>
      <c r="Q194">
        <f t="shared" ref="Q194" si="944">F194*P194</f>
        <v>685071.62235296599</v>
      </c>
      <c r="R194">
        <f t="shared" ref="R194" si="945">R195+Q194</f>
        <v>-149413156.88902068</v>
      </c>
      <c r="S194">
        <f t="shared" ref="S194" si="946">R194/100000</f>
        <v>-1494.1315688902068</v>
      </c>
      <c r="T194">
        <f t="shared" si="934"/>
        <v>-1.4941315688902068</v>
      </c>
    </row>
    <row r="195" spans="1:20" x14ac:dyDescent="0.25">
      <c r="A195" s="5">
        <v>44398</v>
      </c>
      <c r="B195">
        <v>0.26740000000000003</v>
      </c>
      <c r="C195">
        <v>0.31209999999999999</v>
      </c>
      <c r="D195">
        <v>0.2626</v>
      </c>
      <c r="E195">
        <v>0.2959</v>
      </c>
      <c r="F195">
        <v>9980738.1999999993</v>
      </c>
      <c r="G195">
        <v>0.2959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0.34545454545454563</v>
      </c>
      <c r="Q195">
        <f t="shared" ref="Q195" si="948">F195*P195</f>
        <v>3447891.3781818198</v>
      </c>
      <c r="R195">
        <f t="shared" ref="R195" si="949">R196+Q195</f>
        <v>-150098228.51137364</v>
      </c>
      <c r="S195">
        <f t="shared" ref="S195" si="950">R195/100000</f>
        <v>-1500.9822851137365</v>
      </c>
      <c r="T195">
        <f t="shared" si="934"/>
        <v>-1.5009822851137364</v>
      </c>
    </row>
    <row r="196" spans="1:20" x14ac:dyDescent="0.25">
      <c r="A196" s="5">
        <v>44397</v>
      </c>
      <c r="B196">
        <v>0.28439999999999999</v>
      </c>
      <c r="C196">
        <v>0.28949999999999998</v>
      </c>
      <c r="D196">
        <v>0.25819999999999999</v>
      </c>
      <c r="E196">
        <v>0.26840000000000003</v>
      </c>
      <c r="F196">
        <v>8194659.1799999997</v>
      </c>
      <c r="G196">
        <v>0.26840000000000003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-0.34824281150159464</v>
      </c>
      <c r="Q196">
        <f t="shared" ref="Q196" si="952">F196*P196</f>
        <v>-2853731.1521405522</v>
      </c>
      <c r="R196">
        <f t="shared" ref="R196" si="953">R197+Q196</f>
        <v>-153546119.88955545</v>
      </c>
      <c r="S196">
        <f t="shared" ref="S196" si="954">R196/100000</f>
        <v>-1535.4611988955546</v>
      </c>
      <c r="T196">
        <f t="shared" si="934"/>
        <v>-1.5354611988955547</v>
      </c>
    </row>
    <row r="197" spans="1:20" x14ac:dyDescent="0.25">
      <c r="A197" s="5">
        <v>44396</v>
      </c>
      <c r="B197">
        <v>0.30919999999999997</v>
      </c>
      <c r="C197">
        <v>0.30930000000000002</v>
      </c>
      <c r="D197">
        <v>0.28010000000000002</v>
      </c>
      <c r="E197">
        <v>0.28439999999999999</v>
      </c>
      <c r="F197">
        <v>6501401.6200000001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-0.70547945205479656</v>
      </c>
      <c r="Q197">
        <f t="shared" ref="Q197" si="956">F197*P197</f>
        <v>-4586605.2524657669</v>
      </c>
      <c r="R197">
        <f t="shared" ref="R197" si="957">R198+Q197</f>
        <v>-150692388.7374149</v>
      </c>
      <c r="S197">
        <f t="shared" ref="S197" si="958">R197/100000</f>
        <v>-1506.923887374149</v>
      </c>
      <c r="T197">
        <f t="shared" si="934"/>
        <v>-1.5069238873741491</v>
      </c>
    </row>
    <row r="198" spans="1:20" x14ac:dyDescent="0.25">
      <c r="A198" s="5">
        <v>44395</v>
      </c>
      <c r="B198">
        <v>0.30909999999999999</v>
      </c>
      <c r="C198">
        <v>0.32240000000000002</v>
      </c>
      <c r="D198">
        <v>0.307</v>
      </c>
      <c r="E198">
        <v>0.30919999999999997</v>
      </c>
      <c r="F198">
        <v>5758435.4500000002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-0.71428571428571741</v>
      </c>
      <c r="Q198">
        <f t="shared" ref="Q198:Q261" si="960">F198*P198</f>
        <v>-4113168.1785714468</v>
      </c>
      <c r="R198">
        <f t="shared" ref="R198:R261" si="961">R199+Q198</f>
        <v>-146105783.48494914</v>
      </c>
      <c r="S198">
        <f t="shared" ref="S198:S261" si="962">R198/100000</f>
        <v>-1461.0578348494914</v>
      </c>
      <c r="T198">
        <f t="shared" ref="T198:T261" si="963">S198/1000</f>
        <v>-1.4610578348494914</v>
      </c>
    </row>
    <row r="199" spans="1:20" x14ac:dyDescent="0.25">
      <c r="A199" s="5">
        <v>44394</v>
      </c>
      <c r="B199">
        <v>0.3211</v>
      </c>
      <c r="C199">
        <v>0.3266</v>
      </c>
      <c r="D199">
        <v>0.3034</v>
      </c>
      <c r="E199">
        <v>0.30969999999999998</v>
      </c>
      <c r="F199">
        <v>7079485.5999999996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-0.45689655172414029</v>
      </c>
      <c r="Q199">
        <f t="shared" si="960"/>
        <v>-3234592.5586207062</v>
      </c>
      <c r="R199">
        <f t="shared" si="961"/>
        <v>-141992615.30637771</v>
      </c>
      <c r="S199">
        <f t="shared" si="962"/>
        <v>-1419.9261530637771</v>
      </c>
      <c r="T199">
        <f t="shared" si="963"/>
        <v>-1.419926153063777</v>
      </c>
    </row>
    <row r="200" spans="1:20" x14ac:dyDescent="0.25">
      <c r="A200" s="5">
        <v>44393</v>
      </c>
      <c r="B200">
        <v>0.34429999999999999</v>
      </c>
      <c r="C200">
        <v>0.37769999999999998</v>
      </c>
      <c r="D200">
        <v>0.31840000000000002</v>
      </c>
      <c r="E200">
        <v>0.32190000000000002</v>
      </c>
      <c r="F200">
        <v>25736974.350000001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-0.8819561551433388</v>
      </c>
      <c r="Q200">
        <f t="shared" si="960"/>
        <v>-22698882.942748733</v>
      </c>
      <c r="R200">
        <f t="shared" si="961"/>
        <v>-138758022.74775702</v>
      </c>
      <c r="S200">
        <f t="shared" si="962"/>
        <v>-1387.5802274775701</v>
      </c>
      <c r="T200">
        <f t="shared" si="963"/>
        <v>-1.3875802274775701</v>
      </c>
    </row>
    <row r="201" spans="1:20" x14ac:dyDescent="0.25">
      <c r="A201" s="5">
        <v>44392</v>
      </c>
      <c r="B201">
        <v>0.3226</v>
      </c>
      <c r="C201">
        <v>0.35820000000000002</v>
      </c>
      <c r="D201">
        <v>0.317</v>
      </c>
      <c r="E201">
        <v>0.34379999999999999</v>
      </c>
      <c r="F201">
        <v>29721528.899999999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0.30097087378640686</v>
      </c>
      <c r="Q201">
        <f t="shared" si="960"/>
        <v>8945314.5233009439</v>
      </c>
      <c r="R201">
        <f t="shared" si="961"/>
        <v>-116059139.80500828</v>
      </c>
      <c r="S201">
        <f t="shared" si="962"/>
        <v>-1160.5913980500827</v>
      </c>
      <c r="T201">
        <f t="shared" si="963"/>
        <v>-1.1605913980500828</v>
      </c>
    </row>
    <row r="202" spans="1:20" x14ac:dyDescent="0.25">
      <c r="A202" s="5">
        <v>44391</v>
      </c>
      <c r="B202">
        <v>0.33100000000000002</v>
      </c>
      <c r="C202">
        <v>0.33129999999999998</v>
      </c>
      <c r="D202">
        <v>0.30209999999999998</v>
      </c>
      <c r="E202">
        <v>0.3231</v>
      </c>
      <c r="F202">
        <v>10455291.289999999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0.43835616438356273</v>
      </c>
      <c r="Q202">
        <f t="shared" si="960"/>
        <v>4583141.3873972716</v>
      </c>
      <c r="R202">
        <f t="shared" si="961"/>
        <v>-125004454.32830922</v>
      </c>
      <c r="S202">
        <f t="shared" si="962"/>
        <v>-1250.0445432830923</v>
      </c>
      <c r="T202">
        <f t="shared" si="963"/>
        <v>-1.2500445432830922</v>
      </c>
    </row>
    <row r="203" spans="1:20" x14ac:dyDescent="0.25">
      <c r="A203" s="5">
        <v>44390</v>
      </c>
      <c r="B203">
        <v>0.31659999999999999</v>
      </c>
      <c r="C203">
        <v>0.3352</v>
      </c>
      <c r="D203">
        <v>0.30930000000000002</v>
      </c>
      <c r="E203">
        <v>0.33110000000000001</v>
      </c>
      <c r="F203">
        <v>10653180.83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0.6833976833976837</v>
      </c>
      <c r="Q203">
        <f t="shared" si="960"/>
        <v>7280359.1000386132</v>
      </c>
      <c r="R203">
        <f t="shared" si="961"/>
        <v>-129587595.7157065</v>
      </c>
      <c r="S203">
        <f t="shared" si="962"/>
        <v>-1295.8759571570649</v>
      </c>
      <c r="T203">
        <f t="shared" si="963"/>
        <v>-1.2958759571570648</v>
      </c>
    </row>
    <row r="204" spans="1:20" x14ac:dyDescent="0.25">
      <c r="A204" s="5">
        <v>44389</v>
      </c>
      <c r="B204">
        <v>0.32500000000000001</v>
      </c>
      <c r="C204">
        <v>0.33479999999999999</v>
      </c>
      <c r="D204">
        <v>0.30630000000000002</v>
      </c>
      <c r="E204">
        <v>0.31730000000000003</v>
      </c>
      <c r="F204">
        <v>5296073.0599999996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-0.22807017543859498</v>
      </c>
      <c r="Q204">
        <f t="shared" si="960"/>
        <v>-1207876.3119298164</v>
      </c>
      <c r="R204">
        <f t="shared" si="961"/>
        <v>-136867954.81574512</v>
      </c>
      <c r="S204">
        <f t="shared" si="962"/>
        <v>-1368.6795481574511</v>
      </c>
      <c r="T204">
        <f t="shared" si="963"/>
        <v>-1.3686795481574512</v>
      </c>
    </row>
    <row r="205" spans="1:20" x14ac:dyDescent="0.25">
      <c r="A205" s="5">
        <v>44388</v>
      </c>
      <c r="B205">
        <v>0.31859999999999999</v>
      </c>
      <c r="C205">
        <v>0.33389999999999997</v>
      </c>
      <c r="D205">
        <v>0.31730000000000003</v>
      </c>
      <c r="E205">
        <v>0.3251</v>
      </c>
      <c r="F205">
        <v>6065362.21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-6.0240963855421929E-2</v>
      </c>
      <c r="Q205">
        <f t="shared" si="960"/>
        <v>-365383.26566265209</v>
      </c>
      <c r="R205">
        <f t="shared" si="961"/>
        <v>-135660078.50381529</v>
      </c>
      <c r="S205">
        <f t="shared" si="962"/>
        <v>-1356.6007850381529</v>
      </c>
      <c r="T205">
        <f t="shared" si="963"/>
        <v>-1.356600785038153</v>
      </c>
    </row>
    <row r="206" spans="1:20" x14ac:dyDescent="0.25">
      <c r="A206" s="5">
        <v>44387</v>
      </c>
      <c r="B206">
        <v>0.32679999999999998</v>
      </c>
      <c r="C206">
        <v>0.33479999999999999</v>
      </c>
      <c r="D206">
        <v>0.31259999999999999</v>
      </c>
      <c r="E206">
        <v>0.31859999999999999</v>
      </c>
      <c r="F206">
        <v>5767958.96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-0.45945945945945893</v>
      </c>
      <c r="Q206">
        <f t="shared" si="960"/>
        <v>-2650143.3059459426</v>
      </c>
      <c r="R206">
        <f t="shared" si="961"/>
        <v>-135294695.23815265</v>
      </c>
      <c r="S206">
        <f t="shared" si="962"/>
        <v>-1352.9469523815264</v>
      </c>
      <c r="T206">
        <f t="shared" si="963"/>
        <v>-1.3529469523815265</v>
      </c>
    </row>
    <row r="207" spans="1:20" x14ac:dyDescent="0.25">
      <c r="A207" s="5">
        <v>44386</v>
      </c>
      <c r="B207">
        <v>0.31740000000000002</v>
      </c>
      <c r="C207">
        <v>0.33100000000000002</v>
      </c>
      <c r="D207">
        <v>0.30640000000000001</v>
      </c>
      <c r="E207">
        <v>0.32679999999999998</v>
      </c>
      <c r="F207">
        <v>5857247.1600000001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0.6585365853658508</v>
      </c>
      <c r="Q207">
        <f t="shared" si="960"/>
        <v>3857211.5443902272</v>
      </c>
      <c r="R207">
        <f t="shared" si="961"/>
        <v>-132644551.93220672</v>
      </c>
      <c r="S207">
        <f t="shared" si="962"/>
        <v>-1326.4455193220672</v>
      </c>
      <c r="T207">
        <f t="shared" si="963"/>
        <v>-1.3264455193220672</v>
      </c>
    </row>
    <row r="208" spans="1:20" x14ac:dyDescent="0.25">
      <c r="A208" s="5">
        <v>44385</v>
      </c>
      <c r="B208">
        <v>0.34039999999999998</v>
      </c>
      <c r="C208">
        <v>0.3453</v>
      </c>
      <c r="D208">
        <v>0.312</v>
      </c>
      <c r="E208">
        <v>0.31740000000000002</v>
      </c>
      <c r="F208">
        <v>11587248.390000001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-0.67567567567567466</v>
      </c>
      <c r="Q208">
        <f t="shared" si="960"/>
        <v>-7829221.8851351235</v>
      </c>
      <c r="R208">
        <f t="shared" si="961"/>
        <v>-136501763.47659695</v>
      </c>
      <c r="S208">
        <f t="shared" si="962"/>
        <v>-1365.0176347659694</v>
      </c>
      <c r="T208">
        <f t="shared" si="963"/>
        <v>-1.3650176347659695</v>
      </c>
    </row>
    <row r="209" spans="1:20" x14ac:dyDescent="0.25">
      <c r="A209" s="5">
        <v>44384</v>
      </c>
      <c r="B209">
        <v>0.34279999999999999</v>
      </c>
      <c r="C209">
        <v>0.35770000000000002</v>
      </c>
      <c r="D209">
        <v>0.33989999999999998</v>
      </c>
      <c r="E209">
        <v>0.34039999999999998</v>
      </c>
      <c r="F209">
        <v>11345121.15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-0.94382022471910121</v>
      </c>
      <c r="Q209">
        <f t="shared" si="960"/>
        <v>-10707754.793258429</v>
      </c>
      <c r="R209">
        <f t="shared" si="961"/>
        <v>-128672541.59146184</v>
      </c>
      <c r="S209">
        <f t="shared" si="962"/>
        <v>-1286.7254159146185</v>
      </c>
      <c r="T209">
        <f t="shared" si="963"/>
        <v>-1.2867254159146184</v>
      </c>
    </row>
    <row r="210" spans="1:20" x14ac:dyDescent="0.25">
      <c r="A210" s="5">
        <v>44383</v>
      </c>
      <c r="B210">
        <v>0.33</v>
      </c>
      <c r="C210">
        <v>0.35199999999999998</v>
      </c>
      <c r="D210">
        <v>0.32869999999999999</v>
      </c>
      <c r="E210">
        <v>0.34189999999999998</v>
      </c>
      <c r="F210">
        <v>12330475.640000001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0.1330472103004289</v>
      </c>
      <c r="Q210">
        <f t="shared" si="960"/>
        <v>1640535.3855793958</v>
      </c>
      <c r="R210">
        <f t="shared" si="961"/>
        <v>-117964786.79820341</v>
      </c>
      <c r="S210">
        <f t="shared" si="962"/>
        <v>-1179.6478679820341</v>
      </c>
      <c r="T210">
        <f t="shared" si="963"/>
        <v>-1.1796478679820341</v>
      </c>
    </row>
    <row r="211" spans="1:20" x14ac:dyDescent="0.25">
      <c r="A211" s="5">
        <v>44382</v>
      </c>
      <c r="B211">
        <v>0.33710000000000001</v>
      </c>
      <c r="C211">
        <v>0.34029999999999999</v>
      </c>
      <c r="D211">
        <v>0.317</v>
      </c>
      <c r="E211">
        <v>0.3296</v>
      </c>
      <c r="F211">
        <v>9311217.9100000001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8.1545064377682996E-2</v>
      </c>
      <c r="Q211">
        <f t="shared" si="960"/>
        <v>759283.86390558491</v>
      </c>
      <c r="R211">
        <f t="shared" si="961"/>
        <v>-119605322.1837828</v>
      </c>
      <c r="S211">
        <f t="shared" si="962"/>
        <v>-1196.053221837828</v>
      </c>
      <c r="T211">
        <f t="shared" si="963"/>
        <v>-1.1960532218378279</v>
      </c>
    </row>
    <row r="212" spans="1:20" x14ac:dyDescent="0.25">
      <c r="A212" s="5">
        <v>44381</v>
      </c>
      <c r="B212">
        <v>0.33629999999999999</v>
      </c>
      <c r="C212">
        <v>0.35499999999999998</v>
      </c>
      <c r="D212">
        <v>0.3301</v>
      </c>
      <c r="E212">
        <v>0.33789999999999998</v>
      </c>
      <c r="F212">
        <v>12059391.039999999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-0.37349397590361599</v>
      </c>
      <c r="Q212">
        <f t="shared" si="960"/>
        <v>-4504109.906506042</v>
      </c>
      <c r="R212">
        <f t="shared" si="961"/>
        <v>-120364606.04768838</v>
      </c>
      <c r="S212">
        <f t="shared" si="962"/>
        <v>-1203.6460604768838</v>
      </c>
      <c r="T212">
        <f t="shared" si="963"/>
        <v>-1.2036460604768837</v>
      </c>
    </row>
    <row r="213" spans="1:20" x14ac:dyDescent="0.25">
      <c r="A213" s="5">
        <v>44380</v>
      </c>
      <c r="B213">
        <v>0.31430000000000002</v>
      </c>
      <c r="C213">
        <v>0.34110000000000001</v>
      </c>
      <c r="D213">
        <v>0.31</v>
      </c>
      <c r="E213">
        <v>0.33579999999999999</v>
      </c>
      <c r="F213">
        <v>9767717.5899999999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0.65916398713826208</v>
      </c>
      <c r="Q213">
        <f t="shared" si="960"/>
        <v>6438527.6718649361</v>
      </c>
      <c r="R213">
        <f t="shared" si="961"/>
        <v>-115860496.14118233</v>
      </c>
      <c r="S213">
        <f t="shared" si="962"/>
        <v>-1158.6049614118233</v>
      </c>
      <c r="T213">
        <f t="shared" si="963"/>
        <v>-1.1586049614118232</v>
      </c>
    </row>
    <row r="214" spans="1:20" x14ac:dyDescent="0.25">
      <c r="A214" s="5">
        <v>44379</v>
      </c>
      <c r="B214">
        <v>0.31340000000000001</v>
      </c>
      <c r="C214">
        <v>0.32</v>
      </c>
      <c r="D214">
        <v>0.30180000000000001</v>
      </c>
      <c r="E214">
        <v>0.316</v>
      </c>
      <c r="F214">
        <v>6320716.2699999996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0.56043956043955989</v>
      </c>
      <c r="Q214">
        <f t="shared" si="960"/>
        <v>3542379.4480219744</v>
      </c>
      <c r="R214">
        <f t="shared" si="961"/>
        <v>-122299023.81304727</v>
      </c>
      <c r="S214">
        <f t="shared" si="962"/>
        <v>-1222.9902381304728</v>
      </c>
      <c r="T214">
        <f t="shared" si="963"/>
        <v>-1.2229902381304727</v>
      </c>
    </row>
    <row r="215" spans="1:20" x14ac:dyDescent="0.25">
      <c r="A215" s="5">
        <v>44378</v>
      </c>
      <c r="B215">
        <v>0.33100000000000002</v>
      </c>
      <c r="C215">
        <v>0.33169999999999999</v>
      </c>
      <c r="D215">
        <v>0.3009</v>
      </c>
      <c r="E215">
        <v>0.31419999999999998</v>
      </c>
      <c r="F215">
        <v>14414768.9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-0.1363636363636376</v>
      </c>
      <c r="Q215">
        <f t="shared" si="960"/>
        <v>-1965650.3045454724</v>
      </c>
      <c r="R215">
        <f t="shared" si="961"/>
        <v>-125841403.26106925</v>
      </c>
      <c r="S215">
        <f t="shared" si="962"/>
        <v>-1258.4140326106926</v>
      </c>
      <c r="T215">
        <f t="shared" si="963"/>
        <v>-1.2584140326106927</v>
      </c>
    </row>
    <row r="216" spans="1:20" x14ac:dyDescent="0.25">
      <c r="A216" s="5">
        <v>44377</v>
      </c>
      <c r="B216">
        <v>0.33310000000000001</v>
      </c>
      <c r="C216">
        <v>0.33689999999999998</v>
      </c>
      <c r="D216">
        <v>0.29809999999999998</v>
      </c>
      <c r="E216">
        <v>0.33169999999999999</v>
      </c>
      <c r="F216">
        <v>14762212.65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0.73195876288659889</v>
      </c>
      <c r="Q216">
        <f t="shared" si="960"/>
        <v>10805330.9087629</v>
      </c>
      <c r="R216">
        <f t="shared" si="961"/>
        <v>-123875752.95652378</v>
      </c>
      <c r="S216">
        <f t="shared" si="962"/>
        <v>-1238.7575295652377</v>
      </c>
      <c r="T216">
        <f t="shared" si="963"/>
        <v>-1.2387575295652378</v>
      </c>
    </row>
    <row r="217" spans="1:20" x14ac:dyDescent="0.25">
      <c r="A217" s="5">
        <v>44376</v>
      </c>
      <c r="B217">
        <v>0.32119999999999999</v>
      </c>
      <c r="C217">
        <v>0.35049999999999998</v>
      </c>
      <c r="D217">
        <v>0.3196</v>
      </c>
      <c r="E217">
        <v>0.33250000000000002</v>
      </c>
      <c r="F217">
        <v>21308682.600000001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-0.16504854368931848</v>
      </c>
      <c r="Q217">
        <f t="shared" si="960"/>
        <v>-3516967.0310679208</v>
      </c>
      <c r="R217">
        <f t="shared" si="961"/>
        <v>-134681083.86528668</v>
      </c>
      <c r="S217">
        <f t="shared" si="962"/>
        <v>-1346.8108386528668</v>
      </c>
      <c r="T217">
        <f t="shared" si="963"/>
        <v>-1.3468108386528668</v>
      </c>
    </row>
    <row r="218" spans="1:20" x14ac:dyDescent="0.25">
      <c r="A218" s="5">
        <v>44375</v>
      </c>
      <c r="B218">
        <v>0.29649999999999999</v>
      </c>
      <c r="C218">
        <v>0.33300000000000002</v>
      </c>
      <c r="D218">
        <v>0.29139999999999999</v>
      </c>
      <c r="E218">
        <v>0.32100000000000001</v>
      </c>
      <c r="F218">
        <v>22674840.530000001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0.42307692307692291</v>
      </c>
      <c r="Q218">
        <f t="shared" si="960"/>
        <v>9593201.7626923043</v>
      </c>
      <c r="R218">
        <f t="shared" si="961"/>
        <v>-131164116.83421877</v>
      </c>
      <c r="S218">
        <f t="shared" si="962"/>
        <v>-1311.6411683421877</v>
      </c>
      <c r="T218">
        <f t="shared" si="963"/>
        <v>-1.3116411683421878</v>
      </c>
    </row>
    <row r="219" spans="1:20" x14ac:dyDescent="0.25">
      <c r="A219" s="5">
        <v>44374</v>
      </c>
      <c r="B219">
        <v>0.27979999999999999</v>
      </c>
      <c r="C219">
        <v>0.3</v>
      </c>
      <c r="D219">
        <v>0.27500000000000002</v>
      </c>
      <c r="E219">
        <v>0.29570000000000002</v>
      </c>
      <c r="F219">
        <v>12215597.289999999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0.65600000000000191</v>
      </c>
      <c r="Q219">
        <f t="shared" si="960"/>
        <v>8013431.8222400229</v>
      </c>
      <c r="R219">
        <f t="shared" si="961"/>
        <v>-140757318.59691107</v>
      </c>
      <c r="S219">
        <f t="shared" si="962"/>
        <v>-1407.5731859691107</v>
      </c>
      <c r="T219">
        <f t="shared" si="963"/>
        <v>-1.4075731859691107</v>
      </c>
    </row>
    <row r="220" spans="1:20" x14ac:dyDescent="0.25">
      <c r="A220" s="5">
        <v>44373</v>
      </c>
      <c r="B220">
        <v>0.27239999999999998</v>
      </c>
      <c r="C220">
        <v>0.28210000000000002</v>
      </c>
      <c r="D220">
        <v>0.255</v>
      </c>
      <c r="E220">
        <v>0.2792</v>
      </c>
      <c r="F220">
        <v>15173408.869999999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0.78597785977859691</v>
      </c>
      <c r="Q220">
        <f t="shared" si="960"/>
        <v>11925963.429188179</v>
      </c>
      <c r="R220">
        <f t="shared" si="961"/>
        <v>-148770750.4191511</v>
      </c>
      <c r="S220">
        <f t="shared" si="962"/>
        <v>-1487.7075041915109</v>
      </c>
      <c r="T220">
        <f t="shared" si="963"/>
        <v>-1.4877075041915109</v>
      </c>
    </row>
    <row r="221" spans="1:20" x14ac:dyDescent="0.25">
      <c r="A221" s="5">
        <v>44372</v>
      </c>
      <c r="B221">
        <v>0.31180000000000002</v>
      </c>
      <c r="C221">
        <v>0.32019999999999998</v>
      </c>
      <c r="D221">
        <v>0.27</v>
      </c>
      <c r="E221">
        <v>0.27329999999999999</v>
      </c>
      <c r="F221">
        <v>18118388.809999999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-0.86852589641434375</v>
      </c>
      <c r="Q221">
        <f t="shared" si="960"/>
        <v>-15736289.882788863</v>
      </c>
      <c r="R221">
        <f t="shared" si="961"/>
        <v>-160696713.84833929</v>
      </c>
      <c r="S221">
        <f t="shared" si="962"/>
        <v>-1606.967138483393</v>
      </c>
      <c r="T221">
        <f t="shared" si="963"/>
        <v>-1.606967138483393</v>
      </c>
    </row>
    <row r="222" spans="1:20" x14ac:dyDescent="0.25">
      <c r="A222" s="5">
        <v>44371</v>
      </c>
      <c r="B222">
        <v>0.30149999999999999</v>
      </c>
      <c r="C222">
        <v>0.32390000000000002</v>
      </c>
      <c r="D222">
        <v>0.28000000000000003</v>
      </c>
      <c r="E222">
        <v>0.31180000000000002</v>
      </c>
      <c r="F222">
        <v>13582845.949999999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0.44874715261958992</v>
      </c>
      <c r="Q222">
        <f t="shared" si="960"/>
        <v>6095263.4445330286</v>
      </c>
      <c r="R222">
        <f t="shared" si="961"/>
        <v>-144960423.96555042</v>
      </c>
      <c r="S222">
        <f t="shared" si="962"/>
        <v>-1449.6042396555042</v>
      </c>
      <c r="T222">
        <f t="shared" si="963"/>
        <v>-1.4496042396555042</v>
      </c>
    </row>
    <row r="223" spans="1:20" x14ac:dyDescent="0.25">
      <c r="A223" s="5">
        <v>44370</v>
      </c>
      <c r="B223">
        <v>0.27510000000000001</v>
      </c>
      <c r="C223">
        <v>0.32190000000000002</v>
      </c>
      <c r="D223">
        <v>0.26619999999999999</v>
      </c>
      <c r="E223">
        <v>0.30149999999999999</v>
      </c>
      <c r="F223">
        <v>17522888.399999999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0.26750448833034041</v>
      </c>
      <c r="Q223">
        <f t="shared" si="960"/>
        <v>4687451.2955116564</v>
      </c>
      <c r="R223">
        <f t="shared" si="961"/>
        <v>-151055687.41008344</v>
      </c>
      <c r="S223">
        <f t="shared" si="962"/>
        <v>-1510.5568741008344</v>
      </c>
      <c r="T223">
        <f t="shared" si="963"/>
        <v>-1.5105568741008344</v>
      </c>
    </row>
    <row r="224" spans="1:20" x14ac:dyDescent="0.25">
      <c r="A224" s="5">
        <v>44369</v>
      </c>
      <c r="B224">
        <v>0.26479999999999998</v>
      </c>
      <c r="C224">
        <v>0.31659999999999999</v>
      </c>
      <c r="D224">
        <v>0.23</v>
      </c>
      <c r="E224">
        <v>0.27450000000000002</v>
      </c>
      <c r="F224">
        <v>34923393.899999999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2.7713625866051288E-2</v>
      </c>
      <c r="Q224">
        <f t="shared" si="960"/>
        <v>967853.87251733779</v>
      </c>
      <c r="R224">
        <f t="shared" si="961"/>
        <v>-155743138.70559511</v>
      </c>
      <c r="S224">
        <f t="shared" si="962"/>
        <v>-1557.4313870559511</v>
      </c>
      <c r="T224">
        <f t="shared" si="963"/>
        <v>-1.5574313870559511</v>
      </c>
    </row>
    <row r="225" spans="1:20" x14ac:dyDescent="0.25">
      <c r="A225" s="5">
        <v>44368</v>
      </c>
      <c r="B225">
        <v>0.32950000000000002</v>
      </c>
      <c r="C225">
        <v>0.33329999999999999</v>
      </c>
      <c r="D225">
        <v>0.26069999999999999</v>
      </c>
      <c r="E225">
        <v>0.26469999999999999</v>
      </c>
      <c r="F225">
        <v>22968237.949999999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-0.88980716253443515</v>
      </c>
      <c r="Q225">
        <f t="shared" si="960"/>
        <v>-20437302.638705231</v>
      </c>
      <c r="R225">
        <f t="shared" si="961"/>
        <v>-156710992.57811245</v>
      </c>
      <c r="S225">
        <f t="shared" si="962"/>
        <v>-1567.1099257811245</v>
      </c>
      <c r="T225">
        <f t="shared" si="963"/>
        <v>-1.5671099257811245</v>
      </c>
    </row>
    <row r="226" spans="1:20" x14ac:dyDescent="0.25">
      <c r="A226" s="5">
        <v>44367</v>
      </c>
      <c r="B226">
        <v>0.32740000000000002</v>
      </c>
      <c r="C226">
        <v>0.33310000000000001</v>
      </c>
      <c r="D226">
        <v>0.29730000000000001</v>
      </c>
      <c r="E226">
        <v>0.32950000000000002</v>
      </c>
      <c r="F226">
        <v>14804218.09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0.79888268156424624</v>
      </c>
      <c r="Q226">
        <f t="shared" si="960"/>
        <v>11826833.446201123</v>
      </c>
      <c r="R226">
        <f t="shared" si="961"/>
        <v>-136273689.93940723</v>
      </c>
      <c r="S226">
        <f t="shared" si="962"/>
        <v>-1362.7368993940722</v>
      </c>
      <c r="T226">
        <f t="shared" si="963"/>
        <v>-1.3627368993940723</v>
      </c>
    </row>
    <row r="227" spans="1:20" x14ac:dyDescent="0.25">
      <c r="A227" s="5">
        <v>44366</v>
      </c>
      <c r="B227">
        <v>0.32869999999999999</v>
      </c>
      <c r="C227">
        <v>0.34300000000000003</v>
      </c>
      <c r="D227">
        <v>0.31850000000000001</v>
      </c>
      <c r="E227">
        <v>0.32719999999999999</v>
      </c>
      <c r="F227">
        <v>10568930.880000001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-0.28979591836734875</v>
      </c>
      <c r="Q227">
        <f t="shared" si="960"/>
        <v>-3062833.0305306315</v>
      </c>
      <c r="R227">
        <f t="shared" si="961"/>
        <v>-148100523.38560835</v>
      </c>
      <c r="S227">
        <f t="shared" si="962"/>
        <v>-1481.0052338560834</v>
      </c>
      <c r="T227">
        <f t="shared" si="963"/>
        <v>-1.4810052338560833</v>
      </c>
    </row>
    <row r="228" spans="1:20" x14ac:dyDescent="0.25">
      <c r="A228" s="5">
        <v>44365</v>
      </c>
      <c r="B228">
        <v>0.34849999999999998</v>
      </c>
      <c r="C228">
        <v>0.35770000000000002</v>
      </c>
      <c r="D228">
        <v>0.3175</v>
      </c>
      <c r="E228">
        <v>0.32829999999999998</v>
      </c>
      <c r="F228">
        <v>14868576.289999999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-0.46268656716418044</v>
      </c>
      <c r="Q228">
        <f t="shared" si="960"/>
        <v>-6879490.5222388254</v>
      </c>
      <c r="R228">
        <f t="shared" si="961"/>
        <v>-145037690.35507771</v>
      </c>
      <c r="S228">
        <f t="shared" si="962"/>
        <v>-1450.3769035507771</v>
      </c>
      <c r="T228">
        <f t="shared" si="963"/>
        <v>-1.4503769035507772</v>
      </c>
    </row>
    <row r="229" spans="1:20" x14ac:dyDescent="0.25">
      <c r="A229" s="5">
        <v>44364</v>
      </c>
      <c r="B229">
        <v>0.35449999999999998</v>
      </c>
      <c r="C229">
        <v>0.37590000000000001</v>
      </c>
      <c r="D229">
        <v>0.34110000000000001</v>
      </c>
      <c r="E229">
        <v>0.34799999999999998</v>
      </c>
      <c r="F229">
        <v>12711089.710000001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-0.60344827586207117</v>
      </c>
      <c r="Q229">
        <f t="shared" si="960"/>
        <v>-7670485.1698276149</v>
      </c>
      <c r="R229">
        <f t="shared" si="961"/>
        <v>-138158199.83283889</v>
      </c>
      <c r="S229">
        <f t="shared" si="962"/>
        <v>-1381.5819983283889</v>
      </c>
      <c r="T229">
        <f t="shared" si="963"/>
        <v>-1.3815819983283888</v>
      </c>
    </row>
    <row r="230" spans="1:20" x14ac:dyDescent="0.25">
      <c r="A230" s="5">
        <v>44363</v>
      </c>
      <c r="B230">
        <v>0.373</v>
      </c>
      <c r="C230">
        <v>0.37990000000000002</v>
      </c>
      <c r="D230">
        <v>0.3503</v>
      </c>
      <c r="E230">
        <v>0.3553</v>
      </c>
      <c r="F230">
        <v>13894073.199999999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-0.66216216216216206</v>
      </c>
      <c r="Q230">
        <f t="shared" si="960"/>
        <v>-9200129.5513513498</v>
      </c>
      <c r="R230">
        <f t="shared" si="961"/>
        <v>-130487714.66301127</v>
      </c>
      <c r="S230">
        <f t="shared" si="962"/>
        <v>-1304.8771466301127</v>
      </c>
      <c r="T230">
        <f t="shared" si="963"/>
        <v>-1.3048771466301128</v>
      </c>
    </row>
    <row r="231" spans="1:20" x14ac:dyDescent="0.25">
      <c r="A231" s="5">
        <v>44362</v>
      </c>
      <c r="B231">
        <v>0.38819999999999999</v>
      </c>
      <c r="C231">
        <v>0.39069999999999999</v>
      </c>
      <c r="D231">
        <v>0.37059999999999998</v>
      </c>
      <c r="E231">
        <v>0.37259999999999999</v>
      </c>
      <c r="F231">
        <v>17298141.170000002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-0.8009950248756218</v>
      </c>
      <c r="Q231">
        <f t="shared" si="960"/>
        <v>-13855725.016766168</v>
      </c>
      <c r="R231">
        <f t="shared" si="961"/>
        <v>-121287585.11165991</v>
      </c>
      <c r="S231">
        <f t="shared" si="962"/>
        <v>-1212.8758511165991</v>
      </c>
      <c r="T231">
        <f t="shared" si="963"/>
        <v>-1.2128758511165991</v>
      </c>
    </row>
    <row r="232" spans="1:20" x14ac:dyDescent="0.25">
      <c r="A232" s="5">
        <v>44361</v>
      </c>
      <c r="B232">
        <v>0.371</v>
      </c>
      <c r="C232">
        <v>0.39710000000000001</v>
      </c>
      <c r="D232">
        <v>0.35949999999999999</v>
      </c>
      <c r="E232">
        <v>0.38840000000000002</v>
      </c>
      <c r="F232">
        <v>20194062.219999999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0.53723404255319251</v>
      </c>
      <c r="Q232">
        <f t="shared" si="960"/>
        <v>10848937.682021298</v>
      </c>
      <c r="R232">
        <f t="shared" si="961"/>
        <v>-107431860.09489375</v>
      </c>
      <c r="S232">
        <f t="shared" si="962"/>
        <v>-1074.3186009489375</v>
      </c>
      <c r="T232">
        <f t="shared" si="963"/>
        <v>-1.0743186009489376</v>
      </c>
    </row>
    <row r="233" spans="1:20" x14ac:dyDescent="0.25">
      <c r="A233" s="5">
        <v>44360</v>
      </c>
      <c r="B233">
        <v>0.35049999999999998</v>
      </c>
      <c r="C233">
        <v>0.375</v>
      </c>
      <c r="D233">
        <v>0.33810000000000001</v>
      </c>
      <c r="E233">
        <v>0.37030000000000002</v>
      </c>
      <c r="F233">
        <v>19580858.850000001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0.74525745257452669</v>
      </c>
      <c r="Q233">
        <f t="shared" si="960"/>
        <v>14592780.985772377</v>
      </c>
      <c r="R233">
        <f t="shared" si="961"/>
        <v>-118280797.77691504</v>
      </c>
      <c r="S233">
        <f t="shared" si="962"/>
        <v>-1182.8079777691505</v>
      </c>
      <c r="T233">
        <f t="shared" si="963"/>
        <v>-1.1828079777691505</v>
      </c>
    </row>
    <row r="234" spans="1:20" x14ac:dyDescent="0.25">
      <c r="A234" s="5">
        <v>44359</v>
      </c>
      <c r="B234">
        <v>0.35110000000000002</v>
      </c>
      <c r="C234">
        <v>0.37409999999999999</v>
      </c>
      <c r="D234">
        <v>0.3201</v>
      </c>
      <c r="E234">
        <v>0.35099999999999998</v>
      </c>
      <c r="F234">
        <v>27392179.920000002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0.14444444444444399</v>
      </c>
      <c r="Q234">
        <f t="shared" si="960"/>
        <v>3956648.2106666542</v>
      </c>
      <c r="R234">
        <f t="shared" si="961"/>
        <v>-132873578.76268741</v>
      </c>
      <c r="S234">
        <f t="shared" si="962"/>
        <v>-1328.7357876268741</v>
      </c>
      <c r="T234">
        <f t="shared" si="963"/>
        <v>-1.3287357876268742</v>
      </c>
    </row>
    <row r="235" spans="1:20" x14ac:dyDescent="0.25">
      <c r="A235" s="5">
        <v>44358</v>
      </c>
      <c r="B235">
        <v>0.33800000000000002</v>
      </c>
      <c r="C235">
        <v>0.40350000000000003</v>
      </c>
      <c r="D235">
        <v>0.32500000000000001</v>
      </c>
      <c r="E235">
        <v>0.35160000000000002</v>
      </c>
      <c r="F235">
        <v>56205570.170000002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-0.32229299363057307</v>
      </c>
      <c r="Q235">
        <f t="shared" si="960"/>
        <v>-18114661.468802538</v>
      </c>
      <c r="R235">
        <f t="shared" si="961"/>
        <v>-136830226.97335407</v>
      </c>
      <c r="S235">
        <f t="shared" si="962"/>
        <v>-1368.3022697335407</v>
      </c>
      <c r="T235">
        <f t="shared" si="963"/>
        <v>-1.3683022697335407</v>
      </c>
    </row>
    <row r="236" spans="1:20" x14ac:dyDescent="0.25">
      <c r="A236" s="5">
        <v>44357</v>
      </c>
      <c r="B236">
        <v>0.36170000000000002</v>
      </c>
      <c r="C236">
        <v>0.36430000000000001</v>
      </c>
      <c r="D236">
        <v>0.33329999999999999</v>
      </c>
      <c r="E236">
        <v>0.33779999999999999</v>
      </c>
      <c r="F236">
        <v>34411174.890000001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-0.70967741935483875</v>
      </c>
      <c r="Q236">
        <f t="shared" si="960"/>
        <v>-24420833.792903226</v>
      </c>
      <c r="R236">
        <f t="shared" si="961"/>
        <v>-118715565.50455154</v>
      </c>
      <c r="S236">
        <f t="shared" si="962"/>
        <v>-1187.1556550455155</v>
      </c>
      <c r="T236">
        <f t="shared" si="963"/>
        <v>-1.1871556550455156</v>
      </c>
    </row>
    <row r="237" spans="1:20" x14ac:dyDescent="0.25">
      <c r="A237" s="5">
        <v>44356</v>
      </c>
      <c r="B237">
        <v>0.32069999999999999</v>
      </c>
      <c r="C237">
        <v>0.37</v>
      </c>
      <c r="D237">
        <v>0.29349999999999998</v>
      </c>
      <c r="E237">
        <v>0.36230000000000001</v>
      </c>
      <c r="F237">
        <v>81631887.780000001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0.79869281045751672</v>
      </c>
      <c r="Q237">
        <f t="shared" si="960"/>
        <v>65198801.873960815</v>
      </c>
      <c r="R237">
        <f t="shared" si="961"/>
        <v>-94294731.711648315</v>
      </c>
      <c r="S237">
        <f t="shared" si="962"/>
        <v>-942.94731711648319</v>
      </c>
      <c r="T237">
        <f t="shared" si="963"/>
        <v>-0.94294731711648316</v>
      </c>
    </row>
    <row r="238" spans="1:20" x14ac:dyDescent="0.25">
      <c r="A238" s="5">
        <v>44355</v>
      </c>
      <c r="B238">
        <v>0.34260000000000002</v>
      </c>
      <c r="C238">
        <v>0.35410000000000003</v>
      </c>
      <c r="D238">
        <v>0.27550000000000002</v>
      </c>
      <c r="E238">
        <v>0.32069999999999999</v>
      </c>
      <c r="F238">
        <v>127875229.64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0.15012722646310334</v>
      </c>
      <c r="Q238">
        <f t="shared" si="960"/>
        <v>19197553.559185624</v>
      </c>
      <c r="R238">
        <f t="shared" si="961"/>
        <v>-159493533.58560914</v>
      </c>
      <c r="S238">
        <f t="shared" si="962"/>
        <v>-1594.9353358560913</v>
      </c>
      <c r="T238">
        <f t="shared" si="963"/>
        <v>-1.5949353358560914</v>
      </c>
    </row>
    <row r="239" spans="1:20" x14ac:dyDescent="0.25">
      <c r="A239" s="5">
        <v>44354</v>
      </c>
      <c r="B239">
        <v>0.38590000000000002</v>
      </c>
      <c r="C239">
        <v>0.4088</v>
      </c>
      <c r="D239">
        <v>0.34</v>
      </c>
      <c r="E239">
        <v>0.34310000000000002</v>
      </c>
      <c r="F239">
        <v>76628445.349999994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-0.90988372093023273</v>
      </c>
      <c r="Q239">
        <f t="shared" si="960"/>
        <v>-69722974.984156981</v>
      </c>
      <c r="R239">
        <f t="shared" si="961"/>
        <v>-178691087.14479476</v>
      </c>
      <c r="S239">
        <f t="shared" si="962"/>
        <v>-1786.9108714479476</v>
      </c>
      <c r="T239">
        <f t="shared" si="963"/>
        <v>-1.7869108714479476</v>
      </c>
    </row>
    <row r="240" spans="1:20" x14ac:dyDescent="0.25">
      <c r="A240" s="5">
        <v>44353</v>
      </c>
      <c r="B240">
        <v>0.4194</v>
      </c>
      <c r="C240">
        <v>0.45900000000000002</v>
      </c>
      <c r="D240">
        <v>0.35649999999999998</v>
      </c>
      <c r="E240">
        <v>0.38590000000000002</v>
      </c>
      <c r="F240">
        <v>61215185.600000001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-0.42634146341463364</v>
      </c>
      <c r="Q240">
        <f t="shared" si="960"/>
        <v>-26098571.811902408</v>
      </c>
      <c r="R240">
        <f t="shared" si="961"/>
        <v>-108968112.16063777</v>
      </c>
      <c r="S240">
        <f t="shared" si="962"/>
        <v>-1089.6811216063777</v>
      </c>
      <c r="T240">
        <f t="shared" si="963"/>
        <v>-1.0896811216063778</v>
      </c>
    </row>
    <row r="241" spans="1:20" x14ac:dyDescent="0.25">
      <c r="A241" s="5">
        <v>44352</v>
      </c>
      <c r="B241">
        <v>0.45300000000000001</v>
      </c>
      <c r="C241">
        <v>0.48720000000000002</v>
      </c>
      <c r="D241">
        <v>0.40610000000000002</v>
      </c>
      <c r="E241">
        <v>0.4194</v>
      </c>
      <c r="F241">
        <v>24309466.920000002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-0.672009864364982</v>
      </c>
      <c r="Q241">
        <f t="shared" si="960"/>
        <v>-16336201.567694219</v>
      </c>
      <c r="R241">
        <f t="shared" si="961"/>
        <v>-82869540.348735362</v>
      </c>
      <c r="S241">
        <f t="shared" si="962"/>
        <v>-828.69540348735359</v>
      </c>
      <c r="T241">
        <f t="shared" si="963"/>
        <v>-0.8286954034873536</v>
      </c>
    </row>
    <row r="242" spans="1:20" x14ac:dyDescent="0.25">
      <c r="A242" s="5">
        <v>44351</v>
      </c>
      <c r="B242">
        <v>0.53110000000000002</v>
      </c>
      <c r="C242">
        <v>0.53359999999999996</v>
      </c>
      <c r="D242">
        <v>0.44579999999999997</v>
      </c>
      <c r="E242">
        <v>0.45300000000000001</v>
      </c>
      <c r="F242">
        <v>25198875.100000001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-0.83599088838268698</v>
      </c>
      <c r="Q242">
        <f t="shared" si="960"/>
        <v>-21066029.981093373</v>
      </c>
      <c r="R242">
        <f t="shared" si="961"/>
        <v>-66533338.781041145</v>
      </c>
      <c r="S242">
        <f t="shared" si="962"/>
        <v>-665.33338781041141</v>
      </c>
      <c r="T242">
        <f t="shared" si="963"/>
        <v>-0.6653333878104114</v>
      </c>
    </row>
    <row r="243" spans="1:20" x14ac:dyDescent="0.25">
      <c r="A243" s="5">
        <v>44350</v>
      </c>
      <c r="B243">
        <v>0.52290000000000003</v>
      </c>
      <c r="C243">
        <v>0.56679999999999997</v>
      </c>
      <c r="D243">
        <v>0.51390000000000002</v>
      </c>
      <c r="E243">
        <v>0.53090000000000004</v>
      </c>
      <c r="F243">
        <v>27438809.82</v>
      </c>
      <c r="G243">
        <v>0</v>
      </c>
      <c r="L243" t="s">
        <v>7</v>
      </c>
      <c r="M243" t="s">
        <v>7</v>
      </c>
      <c r="N243" t="s">
        <v>8</v>
      </c>
      <c r="P243">
        <f t="shared" si="959"/>
        <v>-0.35727788279773037</v>
      </c>
      <c r="Q243">
        <f t="shared" si="960"/>
        <v>-9803279.8789791726</v>
      </c>
      <c r="R243">
        <f t="shared" si="961"/>
        <v>-45467308.799947768</v>
      </c>
      <c r="S243">
        <f t="shared" si="962"/>
        <v>-454.67308799947767</v>
      </c>
      <c r="T243">
        <f t="shared" si="963"/>
        <v>-0.4546730879994777</v>
      </c>
    </row>
    <row r="244" spans="1:20" x14ac:dyDescent="0.25">
      <c r="A244" s="5">
        <v>44349</v>
      </c>
      <c r="B244">
        <v>0.49840000000000001</v>
      </c>
      <c r="C244">
        <v>0.69769999999999999</v>
      </c>
      <c r="D244">
        <v>0.48209999999999997</v>
      </c>
      <c r="E244">
        <v>0.52280000000000004</v>
      </c>
      <c r="F244">
        <v>41604789.229999997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-0.62244897959183609</v>
      </c>
      <c r="Q244">
        <f t="shared" si="960"/>
        <v>-25896858.602346908</v>
      </c>
      <c r="R244">
        <f t="shared" si="961"/>
        <v>-35664028.920968592</v>
      </c>
      <c r="S244">
        <f t="shared" si="962"/>
        <v>-356.64028920968593</v>
      </c>
      <c r="T244">
        <f t="shared" si="963"/>
        <v>-0.35664028920968593</v>
      </c>
    </row>
    <row r="245" spans="1:20" x14ac:dyDescent="0.25">
      <c r="A245" s="5">
        <v>44348</v>
      </c>
      <c r="B245">
        <v>0.52039999999999997</v>
      </c>
      <c r="C245">
        <v>0.56999999999999995</v>
      </c>
      <c r="D245">
        <v>0.49049999999999999</v>
      </c>
      <c r="E245">
        <v>0.49919999999999998</v>
      </c>
      <c r="F245">
        <v>20901808.32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-0.78113207547169838</v>
      </c>
      <c r="Q245">
        <f t="shared" si="960"/>
        <v>-16327072.914113214</v>
      </c>
      <c r="R245">
        <f t="shared" si="961"/>
        <v>-9767170.3186216801</v>
      </c>
      <c r="S245">
        <f t="shared" si="962"/>
        <v>-97.671703186216803</v>
      </c>
      <c r="T245">
        <f t="shared" si="963"/>
        <v>-9.7671703186216804E-2</v>
      </c>
    </row>
    <row r="246" spans="1:20" x14ac:dyDescent="0.25">
      <c r="A246" s="5">
        <v>44347</v>
      </c>
      <c r="B246">
        <v>0.50949999999999995</v>
      </c>
      <c r="C246">
        <v>0.54369999999999996</v>
      </c>
      <c r="D246">
        <v>0.48780000000000001</v>
      </c>
      <c r="E246">
        <v>0.52059999999999995</v>
      </c>
      <c r="F246">
        <v>9482376.8100000005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0.17352415026833523</v>
      </c>
      <c r="Q246">
        <f t="shared" si="960"/>
        <v>1645421.3784794174</v>
      </c>
      <c r="R246">
        <f t="shared" si="961"/>
        <v>6559902.5954915332</v>
      </c>
      <c r="S246">
        <f t="shared" si="962"/>
        <v>65.599025954915334</v>
      </c>
      <c r="T246">
        <f t="shared" si="963"/>
        <v>6.5599025954915333E-2</v>
      </c>
    </row>
    <row r="247" spans="1:20" x14ac:dyDescent="0.25">
      <c r="A247" s="5">
        <v>44346</v>
      </c>
      <c r="B247">
        <v>0.48370000000000002</v>
      </c>
      <c r="C247">
        <v>0.53879999999999995</v>
      </c>
      <c r="D247">
        <v>0.46129999999999999</v>
      </c>
      <c r="E247">
        <v>0.51070000000000004</v>
      </c>
      <c r="F247">
        <v>6515322.2300000004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0.27483870967742147</v>
      </c>
      <c r="Q247">
        <f t="shared" si="960"/>
        <v>1790662.7548258204</v>
      </c>
      <c r="R247">
        <f t="shared" si="961"/>
        <v>4914481.2170121158</v>
      </c>
      <c r="S247">
        <f t="shared" si="962"/>
        <v>49.144812170121156</v>
      </c>
      <c r="T247">
        <f t="shared" si="963"/>
        <v>4.9144812170121156E-2</v>
      </c>
    </row>
    <row r="248" spans="1:20" x14ac:dyDescent="0.25">
      <c r="A248" s="5">
        <v>44345</v>
      </c>
      <c r="B248">
        <v>0.51739999999999997</v>
      </c>
      <c r="C248">
        <v>0.57999999999999996</v>
      </c>
      <c r="D248">
        <v>0.46329999999999999</v>
      </c>
      <c r="E248">
        <v>0.48259999999999997</v>
      </c>
      <c r="F248">
        <v>11526245.279999999</v>
      </c>
      <c r="G248">
        <v>0</v>
      </c>
      <c r="L248" t="s">
        <v>7</v>
      </c>
      <c r="M248" t="s">
        <v>8</v>
      </c>
      <c r="N248" t="s">
        <v>7</v>
      </c>
      <c r="P248">
        <f t="shared" si="959"/>
        <v>-0.66923736075407048</v>
      </c>
      <c r="Q248">
        <f t="shared" si="960"/>
        <v>-7713793.970591262</v>
      </c>
      <c r="R248">
        <f t="shared" si="961"/>
        <v>3123818.4621862955</v>
      </c>
      <c r="S248">
        <f t="shared" si="962"/>
        <v>31.238184621862956</v>
      </c>
      <c r="T248">
        <f t="shared" si="963"/>
        <v>3.1238184621862956E-2</v>
      </c>
    </row>
    <row r="249" spans="1:20" x14ac:dyDescent="0.25">
      <c r="A249" s="5">
        <v>44344</v>
      </c>
      <c r="B249">
        <v>0.57379999999999998</v>
      </c>
      <c r="C249">
        <v>0.58940000000000003</v>
      </c>
      <c r="D249">
        <v>0.48099999999999998</v>
      </c>
      <c r="E249">
        <v>0.51749999999999996</v>
      </c>
      <c r="F249">
        <v>10161071.77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-0.32656826568265757</v>
      </c>
      <c r="Q249">
        <f t="shared" si="960"/>
        <v>-3318283.5854059113</v>
      </c>
      <c r="R249">
        <f t="shared" si="961"/>
        <v>10837612.432777558</v>
      </c>
      <c r="S249">
        <f t="shared" si="962"/>
        <v>108.37612432777557</v>
      </c>
      <c r="T249">
        <f t="shared" si="963"/>
        <v>0.10837612432777557</v>
      </c>
    </row>
    <row r="250" spans="1:20" x14ac:dyDescent="0.25">
      <c r="A250" s="5">
        <v>44343</v>
      </c>
      <c r="B250">
        <v>0.61</v>
      </c>
      <c r="C250">
        <v>0.63</v>
      </c>
      <c r="D250">
        <v>0.53700000000000003</v>
      </c>
      <c r="E250">
        <v>0.57520000000000004</v>
      </c>
      <c r="F250">
        <v>13504595.92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-0.17849462365591348</v>
      </c>
      <c r="Q250">
        <f t="shared" si="960"/>
        <v>-2410497.7663655845</v>
      </c>
      <c r="R250">
        <f t="shared" si="961"/>
        <v>14155896.01818347</v>
      </c>
      <c r="S250">
        <f t="shared" si="962"/>
        <v>141.55896018183469</v>
      </c>
      <c r="T250">
        <f t="shared" si="963"/>
        <v>0.1415589601818347</v>
      </c>
    </row>
    <row r="251" spans="1:20" x14ac:dyDescent="0.25">
      <c r="A251" s="5">
        <v>44342</v>
      </c>
      <c r="B251">
        <v>0.51719999999999999</v>
      </c>
      <c r="C251">
        <v>0.64159999999999995</v>
      </c>
      <c r="D251">
        <v>0.50419999999999998</v>
      </c>
      <c r="E251">
        <v>0.61</v>
      </c>
      <c r="F251">
        <v>20247018.25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0.54002911208151427</v>
      </c>
      <c r="Q251">
        <f t="shared" si="960"/>
        <v>10933979.287845716</v>
      </c>
      <c r="R251">
        <f t="shared" si="961"/>
        <v>16566393.784549054</v>
      </c>
      <c r="S251">
        <f t="shared" si="962"/>
        <v>165.66393784549055</v>
      </c>
      <c r="T251">
        <f t="shared" si="963"/>
        <v>0.16566393784549055</v>
      </c>
    </row>
    <row r="252" spans="1:20" x14ac:dyDescent="0.25">
      <c r="A252" s="5">
        <v>44341</v>
      </c>
      <c r="B252">
        <v>0.53239999999999998</v>
      </c>
      <c r="C252">
        <v>0.56759999999999999</v>
      </c>
      <c r="D252">
        <v>0.46200000000000002</v>
      </c>
      <c r="E252">
        <v>0.51619999999999999</v>
      </c>
      <c r="F252">
        <v>17248170.18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2.6515151515151231E-2</v>
      </c>
      <c r="Q252">
        <f t="shared" si="960"/>
        <v>457337.84568181325</v>
      </c>
      <c r="R252">
        <f t="shared" si="961"/>
        <v>5632414.4967033388</v>
      </c>
      <c r="S252">
        <f t="shared" si="962"/>
        <v>56.324144967033391</v>
      </c>
      <c r="T252">
        <f t="shared" si="963"/>
        <v>5.632414496703339E-2</v>
      </c>
    </row>
    <row r="253" spans="1:20" x14ac:dyDescent="0.25">
      <c r="A253" s="5">
        <v>44340</v>
      </c>
      <c r="B253">
        <v>0.41810000000000003</v>
      </c>
      <c r="C253">
        <v>0.53939999999999999</v>
      </c>
      <c r="D253">
        <v>0.41099999999999998</v>
      </c>
      <c r="E253">
        <v>0.53090000000000004</v>
      </c>
      <c r="F253">
        <v>17476689.190000001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0.86760124610591971</v>
      </c>
      <c r="Q253">
        <f t="shared" si="960"/>
        <v>15162797.319049858</v>
      </c>
      <c r="R253">
        <f t="shared" si="961"/>
        <v>5175076.6510215253</v>
      </c>
      <c r="S253">
        <f t="shared" si="962"/>
        <v>51.75076651021525</v>
      </c>
      <c r="T253">
        <f t="shared" si="963"/>
        <v>5.1750766510215249E-2</v>
      </c>
    </row>
    <row r="254" spans="1:20" x14ac:dyDescent="0.25">
      <c r="A254" s="5">
        <v>44339</v>
      </c>
      <c r="B254">
        <v>0.48180000000000001</v>
      </c>
      <c r="C254">
        <v>0.55000000000000004</v>
      </c>
      <c r="D254">
        <v>0.33</v>
      </c>
      <c r="E254">
        <v>0.41849999999999998</v>
      </c>
      <c r="F254">
        <v>28721996.260000002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-0.19545454545454585</v>
      </c>
      <c r="Q254">
        <f t="shared" si="960"/>
        <v>-5613844.7235454665</v>
      </c>
      <c r="R254">
        <f t="shared" si="961"/>
        <v>-9987720.6680283323</v>
      </c>
      <c r="S254">
        <f t="shared" si="962"/>
        <v>-99.877206680283322</v>
      </c>
      <c r="T254">
        <f t="shared" si="963"/>
        <v>-9.9877206680283326E-2</v>
      </c>
    </row>
    <row r="255" spans="1:20" x14ac:dyDescent="0.25">
      <c r="A255" s="5">
        <v>44338</v>
      </c>
      <c r="B255">
        <v>0.54010000000000002</v>
      </c>
      <c r="C255">
        <v>0.59</v>
      </c>
      <c r="D255">
        <v>0.47760000000000002</v>
      </c>
      <c r="E255">
        <v>0.48020000000000002</v>
      </c>
      <c r="F255">
        <v>16349118.73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-0.95373665480427061</v>
      </c>
      <c r="Q255">
        <f t="shared" si="960"/>
        <v>-15592753.806548046</v>
      </c>
      <c r="R255">
        <f t="shared" si="961"/>
        <v>-4373875.9444828648</v>
      </c>
      <c r="S255">
        <f t="shared" si="962"/>
        <v>-43.738759444828645</v>
      </c>
      <c r="T255">
        <f t="shared" si="963"/>
        <v>-4.3738759444828648E-2</v>
      </c>
    </row>
    <row r="256" spans="1:20" x14ac:dyDescent="0.25">
      <c r="A256" s="5">
        <v>44337</v>
      </c>
      <c r="B256">
        <v>0.58360000000000001</v>
      </c>
      <c r="C256">
        <v>0.65649999999999997</v>
      </c>
      <c r="D256">
        <v>0.44309999999999999</v>
      </c>
      <c r="E256">
        <v>0.54100000000000004</v>
      </c>
      <c r="F256">
        <v>19026776.52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-8.2474226804123224E-2</v>
      </c>
      <c r="Q256">
        <f t="shared" si="960"/>
        <v>-1569218.6820618464</v>
      </c>
      <c r="R256">
        <f t="shared" si="961"/>
        <v>11218877.862065181</v>
      </c>
      <c r="S256">
        <f t="shared" si="962"/>
        <v>112.18877862065182</v>
      </c>
      <c r="T256">
        <f t="shared" si="963"/>
        <v>0.11218877862065181</v>
      </c>
    </row>
    <row r="257" spans="1:20" x14ac:dyDescent="0.25">
      <c r="A257" s="5">
        <v>44336</v>
      </c>
      <c r="B257">
        <v>0.5</v>
      </c>
      <c r="C257">
        <v>0.66310000000000002</v>
      </c>
      <c r="D257">
        <v>0.44890000000000002</v>
      </c>
      <c r="E257">
        <v>0.58660000000000001</v>
      </c>
      <c r="F257">
        <v>19467139.34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0.28571428571428559</v>
      </c>
      <c r="Q257">
        <f t="shared" si="960"/>
        <v>5562039.8114285693</v>
      </c>
      <c r="R257">
        <f t="shared" si="961"/>
        <v>12788096.544127028</v>
      </c>
      <c r="S257">
        <f t="shared" si="962"/>
        <v>127.88096544127029</v>
      </c>
      <c r="T257">
        <f t="shared" si="963"/>
        <v>0.12788096544127028</v>
      </c>
    </row>
    <row r="258" spans="1:20" x14ac:dyDescent="0.25">
      <c r="A258" s="5">
        <v>44335</v>
      </c>
      <c r="B258">
        <v>0.74829999999999997</v>
      </c>
      <c r="C258">
        <v>0.76119999999999999</v>
      </c>
      <c r="D258">
        <v>0.40679999999999999</v>
      </c>
      <c r="E258">
        <v>0.5</v>
      </c>
      <c r="F258">
        <v>35790581.950000003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-0.47404063205417601</v>
      </c>
      <c r="Q258">
        <f t="shared" si="960"/>
        <v>-16966190.089164786</v>
      </c>
      <c r="R258">
        <f t="shared" si="961"/>
        <v>7226056.7326984592</v>
      </c>
      <c r="S258">
        <f t="shared" si="962"/>
        <v>72.260567326984585</v>
      </c>
      <c r="T258">
        <f t="shared" si="963"/>
        <v>7.226056732698459E-2</v>
      </c>
    </row>
    <row r="259" spans="1:20" x14ac:dyDescent="0.25">
      <c r="A259" s="5">
        <v>44334</v>
      </c>
      <c r="B259">
        <v>0.72699999999999998</v>
      </c>
      <c r="C259">
        <v>0.82299999999999995</v>
      </c>
      <c r="D259">
        <v>0.71189999999999998</v>
      </c>
      <c r="E259">
        <v>0.74709999999999999</v>
      </c>
      <c r="F259">
        <v>14330915.1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-0.36633663366336605</v>
      </c>
      <c r="Q259">
        <f t="shared" si="960"/>
        <v>-5249939.195049501</v>
      </c>
      <c r="R259">
        <f t="shared" si="961"/>
        <v>24192246.821863245</v>
      </c>
      <c r="S259">
        <f t="shared" si="962"/>
        <v>241.92246821863245</v>
      </c>
      <c r="T259">
        <f t="shared" si="963"/>
        <v>0.24192246821863245</v>
      </c>
    </row>
    <row r="260" spans="1:20" x14ac:dyDescent="0.25">
      <c r="A260" s="5">
        <v>44333</v>
      </c>
      <c r="B260">
        <v>0.79369999999999996</v>
      </c>
      <c r="C260">
        <v>0.79530000000000001</v>
      </c>
      <c r="D260">
        <v>0.68879999999999997</v>
      </c>
      <c r="E260">
        <v>0.72640000000000005</v>
      </c>
      <c r="F260">
        <v>13901015.609999999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-0.29389671361502229</v>
      </c>
      <c r="Q260">
        <f t="shared" si="960"/>
        <v>-4085462.8036901243</v>
      </c>
      <c r="R260">
        <f t="shared" si="961"/>
        <v>29442186.016912747</v>
      </c>
      <c r="S260">
        <f t="shared" si="962"/>
        <v>294.42186016912746</v>
      </c>
      <c r="T260">
        <f t="shared" si="963"/>
        <v>0.29442186016912747</v>
      </c>
    </row>
    <row r="261" spans="1:20" x14ac:dyDescent="0.25">
      <c r="A261" s="5">
        <v>44332</v>
      </c>
      <c r="B261">
        <v>0.78600000000000003</v>
      </c>
      <c r="C261">
        <v>0.86360000000000003</v>
      </c>
      <c r="D261">
        <v>0.71860000000000002</v>
      </c>
      <c r="E261">
        <v>0.79249999999999998</v>
      </c>
      <c r="F261">
        <v>13930021.050000001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1.9310344827585608E-2</v>
      </c>
      <c r="Q261">
        <f t="shared" si="960"/>
        <v>268993.50993102614</v>
      </c>
      <c r="R261">
        <f t="shared" si="961"/>
        <v>33527648.820602871</v>
      </c>
      <c r="S261">
        <f t="shared" si="962"/>
        <v>335.27648820602872</v>
      </c>
      <c r="T261">
        <f t="shared" si="963"/>
        <v>0.33527648820602873</v>
      </c>
    </row>
    <row r="262" spans="1:20" x14ac:dyDescent="0.25">
      <c r="A262" s="5">
        <v>44331</v>
      </c>
      <c r="B262">
        <v>0.86799999999999999</v>
      </c>
      <c r="C262">
        <v>0.93</v>
      </c>
      <c r="D262">
        <v>0.75</v>
      </c>
      <c r="E262">
        <v>0.78539999999999999</v>
      </c>
      <c r="F262">
        <v>17398399.57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-0.60666666666666691</v>
      </c>
      <c r="Q262">
        <f t="shared" ref="Q262:Q325" si="965">F262*P262</f>
        <v>-10555029.072466671</v>
      </c>
      <c r="R262">
        <f t="shared" ref="R262:R325" si="966">R263+Q262</f>
        <v>33258655.310671844</v>
      </c>
      <c r="S262">
        <f t="shared" ref="S262:S325" si="967">R262/100000</f>
        <v>332.58655310671844</v>
      </c>
      <c r="T262">
        <f t="shared" ref="T262:T325" si="968">S262/1000</f>
        <v>0.33258655310671842</v>
      </c>
    </row>
    <row r="263" spans="1:20" x14ac:dyDescent="0.25">
      <c r="A263" s="5">
        <v>44330</v>
      </c>
      <c r="B263">
        <v>0.80320000000000003</v>
      </c>
      <c r="C263">
        <v>0.96</v>
      </c>
      <c r="D263">
        <v>0.79510000000000003</v>
      </c>
      <c r="E263">
        <v>0.86809999999999998</v>
      </c>
      <c r="F263">
        <v>20036929.780000001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-0.11461491813220155</v>
      </c>
      <c r="Q263">
        <f t="shared" si="965"/>
        <v>-2296531.0663553714</v>
      </c>
      <c r="R263">
        <f t="shared" si="966"/>
        <v>43813684.383138515</v>
      </c>
      <c r="S263">
        <f t="shared" si="967"/>
        <v>438.13684383138514</v>
      </c>
      <c r="T263">
        <f t="shared" si="968"/>
        <v>0.43813684383138513</v>
      </c>
    </row>
    <row r="264" spans="1:20" x14ac:dyDescent="0.25">
      <c r="A264" s="5">
        <v>44329</v>
      </c>
      <c r="B264">
        <v>0.86429999999999996</v>
      </c>
      <c r="C264">
        <v>0.98099999999999998</v>
      </c>
      <c r="D264">
        <v>0.74299999999999999</v>
      </c>
      <c r="E264">
        <v>0.80330000000000001</v>
      </c>
      <c r="F264">
        <v>32580534.43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-0.49327731092436955</v>
      </c>
      <c r="Q264">
        <f t="shared" si="965"/>
        <v>-16071238.412109237</v>
      </c>
      <c r="R264">
        <f t="shared" si="966"/>
        <v>46110215.449493885</v>
      </c>
      <c r="S264">
        <f t="shared" si="967"/>
        <v>461.10215449493887</v>
      </c>
      <c r="T264">
        <f t="shared" si="968"/>
        <v>0.46110215449493885</v>
      </c>
    </row>
    <row r="265" spans="1:20" x14ac:dyDescent="0.25">
      <c r="A265" s="5">
        <v>44328</v>
      </c>
      <c r="B265">
        <v>0.97170000000000001</v>
      </c>
      <c r="C265">
        <v>1.1499999999999999</v>
      </c>
      <c r="D265">
        <v>0.85</v>
      </c>
      <c r="E265">
        <v>0.86760000000000004</v>
      </c>
      <c r="F265">
        <v>42789572.93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-0.88266666666666627</v>
      </c>
      <c r="Q265">
        <f t="shared" si="965"/>
        <v>-37768929.706213318</v>
      </c>
      <c r="R265">
        <f t="shared" si="966"/>
        <v>62181453.861603118</v>
      </c>
      <c r="S265">
        <f t="shared" si="967"/>
        <v>621.8145386160312</v>
      </c>
      <c r="T265">
        <f t="shared" si="968"/>
        <v>0.6218145386160312</v>
      </c>
    </row>
    <row r="266" spans="1:20" x14ac:dyDescent="0.25">
      <c r="A266" s="5">
        <v>44327</v>
      </c>
      <c r="B266">
        <v>0.90510000000000002</v>
      </c>
      <c r="C266">
        <v>0.97499999999999998</v>
      </c>
      <c r="D266">
        <v>0.86099999999999999</v>
      </c>
      <c r="E266">
        <v>0.97170000000000001</v>
      </c>
      <c r="F266">
        <v>12787774.220000001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0.94210526315789522</v>
      </c>
      <c r="Q266">
        <f t="shared" si="965"/>
        <v>12047429.396736849</v>
      </c>
      <c r="R266">
        <f t="shared" si="966"/>
        <v>99950383.567816436</v>
      </c>
      <c r="S266">
        <f t="shared" si="967"/>
        <v>999.50383567816436</v>
      </c>
      <c r="T266">
        <f t="shared" si="968"/>
        <v>0.99950383567816437</v>
      </c>
    </row>
    <row r="267" spans="1:20" x14ac:dyDescent="0.25">
      <c r="A267" s="5">
        <v>44326</v>
      </c>
      <c r="B267">
        <v>0.93510000000000004</v>
      </c>
      <c r="C267">
        <v>0.99970000000000003</v>
      </c>
      <c r="D267">
        <v>0.82699999999999996</v>
      </c>
      <c r="E267">
        <v>0.90659999999999996</v>
      </c>
      <c r="F267">
        <v>22455445.739999998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-7.8170237405906548E-2</v>
      </c>
      <c r="Q267">
        <f t="shared" si="965"/>
        <v>-1755347.5245512526</v>
      </c>
      <c r="R267">
        <f t="shared" si="966"/>
        <v>87902954.171079591</v>
      </c>
      <c r="S267">
        <f t="shared" si="967"/>
        <v>879.02954171079591</v>
      </c>
      <c r="T267">
        <f t="shared" si="968"/>
        <v>0.87902954171079595</v>
      </c>
    </row>
    <row r="268" spans="1:20" x14ac:dyDescent="0.25">
      <c r="A268" s="5">
        <v>44325</v>
      </c>
      <c r="B268">
        <v>0.96870000000000001</v>
      </c>
      <c r="C268">
        <v>0.97270000000000001</v>
      </c>
      <c r="D268">
        <v>0.90900000000000003</v>
      </c>
      <c r="E268">
        <v>0.93489999999999995</v>
      </c>
      <c r="F268">
        <v>12180898.41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-0.18681318681318895</v>
      </c>
      <c r="Q268">
        <f t="shared" si="965"/>
        <v>-2275552.4502198063</v>
      </c>
      <c r="R268">
        <f t="shared" si="966"/>
        <v>89658301.695630848</v>
      </c>
      <c r="S268">
        <f t="shared" si="967"/>
        <v>896.58301695630848</v>
      </c>
      <c r="T268">
        <f t="shared" si="968"/>
        <v>0.89658301695630849</v>
      </c>
    </row>
    <row r="269" spans="1:20" x14ac:dyDescent="0.25">
      <c r="A269" s="5">
        <v>44324</v>
      </c>
      <c r="B269">
        <v>0.9516</v>
      </c>
      <c r="C269">
        <v>1.0346</v>
      </c>
      <c r="D269">
        <v>0.93789999999999996</v>
      </c>
      <c r="E269">
        <v>0.96599999999999997</v>
      </c>
      <c r="F269">
        <v>19218848.41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-0.41882109617373298</v>
      </c>
      <c r="Q269">
        <f t="shared" si="965"/>
        <v>-8049259.1582730049</v>
      </c>
      <c r="R269">
        <f t="shared" si="966"/>
        <v>91933854.145850658</v>
      </c>
      <c r="S269">
        <f t="shared" si="967"/>
        <v>919.3385414585066</v>
      </c>
      <c r="T269">
        <f t="shared" si="968"/>
        <v>0.91933854145850658</v>
      </c>
    </row>
    <row r="270" spans="1:20" x14ac:dyDescent="0.25">
      <c r="A270" s="5">
        <v>44323</v>
      </c>
      <c r="B270">
        <v>0.94450000000000001</v>
      </c>
      <c r="C270">
        <v>1.079</v>
      </c>
      <c r="D270">
        <v>0.89339999999999997</v>
      </c>
      <c r="E270">
        <v>0.95320000000000005</v>
      </c>
      <c r="F270">
        <v>32723806.309999999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-0.35560344827586121</v>
      </c>
      <c r="Q270">
        <f t="shared" si="965"/>
        <v>-11636698.364547385</v>
      </c>
      <c r="R270">
        <f t="shared" si="966"/>
        <v>99983113.30412367</v>
      </c>
      <c r="S270">
        <f t="shared" si="967"/>
        <v>999.83113304123674</v>
      </c>
      <c r="T270">
        <f t="shared" si="968"/>
        <v>0.99983113304123672</v>
      </c>
    </row>
    <row r="271" spans="1:20" x14ac:dyDescent="0.25">
      <c r="A271" s="5">
        <v>44322</v>
      </c>
      <c r="B271">
        <v>0.99519999999999997</v>
      </c>
      <c r="C271">
        <v>1.0136000000000001</v>
      </c>
      <c r="D271">
        <v>0.91</v>
      </c>
      <c r="E271">
        <v>0.94399999999999995</v>
      </c>
      <c r="F271">
        <v>27445091.449999999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-0.34362934362934533</v>
      </c>
      <c r="Q271">
        <f t="shared" si="965"/>
        <v>-9430938.7608108576</v>
      </c>
      <c r="R271">
        <f t="shared" si="966"/>
        <v>111619811.66867106</v>
      </c>
      <c r="S271">
        <f t="shared" si="967"/>
        <v>1116.1981166867106</v>
      </c>
      <c r="T271">
        <f t="shared" si="968"/>
        <v>1.1161981166867105</v>
      </c>
    </row>
    <row r="272" spans="1:20" x14ac:dyDescent="0.25">
      <c r="A272" s="5">
        <v>44321</v>
      </c>
      <c r="B272">
        <v>0.9506</v>
      </c>
      <c r="C272">
        <v>1.0934999999999999</v>
      </c>
      <c r="D272">
        <v>0.94520000000000004</v>
      </c>
      <c r="E272">
        <v>0.99370000000000003</v>
      </c>
      <c r="F272">
        <v>32572315.18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-0.34592043155765301</v>
      </c>
      <c r="Q272">
        <f t="shared" si="965"/>
        <v>-11267429.323897492</v>
      </c>
      <c r="R272">
        <f t="shared" si="966"/>
        <v>121050750.42948191</v>
      </c>
      <c r="S272">
        <f t="shared" si="967"/>
        <v>1210.507504294819</v>
      </c>
      <c r="T272">
        <f t="shared" si="968"/>
        <v>1.210507504294819</v>
      </c>
    </row>
    <row r="273" spans="1:20" x14ac:dyDescent="0.25">
      <c r="A273" s="5">
        <v>44320</v>
      </c>
      <c r="B273">
        <v>1.0719000000000001</v>
      </c>
      <c r="C273">
        <v>1.18</v>
      </c>
      <c r="D273">
        <v>0.93230000000000002</v>
      </c>
      <c r="E273">
        <v>0.94979999999999998</v>
      </c>
      <c r="F273">
        <v>62857527.789999999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-0.85870004037141734</v>
      </c>
      <c r="Q273">
        <f t="shared" si="965"/>
        <v>-53975761.650920488</v>
      </c>
      <c r="R273">
        <f t="shared" si="966"/>
        <v>132318179.7533794</v>
      </c>
      <c r="S273">
        <f t="shared" si="967"/>
        <v>1323.181797533794</v>
      </c>
      <c r="T273">
        <f t="shared" si="968"/>
        <v>1.3231817975337941</v>
      </c>
    </row>
    <row r="274" spans="1:20" x14ac:dyDescent="0.25">
      <c r="A274" s="5">
        <v>44319</v>
      </c>
      <c r="B274">
        <v>1.0835999999999999</v>
      </c>
      <c r="C274">
        <v>1.3192999999999999</v>
      </c>
      <c r="D274">
        <v>1.0167999999999999</v>
      </c>
      <c r="E274">
        <v>1.0719000000000001</v>
      </c>
      <c r="F274">
        <v>139665707.06999999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-0.63570247933884194</v>
      </c>
      <c r="Q274">
        <f t="shared" si="965"/>
        <v>-88785836.263011426</v>
      </c>
      <c r="R274">
        <f t="shared" si="966"/>
        <v>186293941.40429989</v>
      </c>
      <c r="S274">
        <f t="shared" si="967"/>
        <v>1862.9394140429988</v>
      </c>
      <c r="T274">
        <f t="shared" si="968"/>
        <v>1.8629394140429989</v>
      </c>
    </row>
    <row r="275" spans="1:20" x14ac:dyDescent="0.25">
      <c r="A275" s="5">
        <v>44318</v>
      </c>
      <c r="B275">
        <v>0.74680000000000002</v>
      </c>
      <c r="C275">
        <v>1.1696</v>
      </c>
      <c r="D275">
        <v>0.74009999999999998</v>
      </c>
      <c r="E275">
        <v>1.0819000000000001</v>
      </c>
      <c r="F275">
        <v>207003108.69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0.5916181606519213</v>
      </c>
      <c r="Q275">
        <f t="shared" si="965"/>
        <v>122466798.41240755</v>
      </c>
      <c r="R275">
        <f t="shared" si="966"/>
        <v>275079777.66731131</v>
      </c>
      <c r="S275">
        <f t="shared" si="967"/>
        <v>2750.7977766731133</v>
      </c>
      <c r="T275">
        <f t="shared" si="968"/>
        <v>2.7507977766731133</v>
      </c>
    </row>
    <row r="276" spans="1:20" x14ac:dyDescent="0.25">
      <c r="A276" s="5">
        <v>44317</v>
      </c>
      <c r="B276">
        <v>0.68489999999999995</v>
      </c>
      <c r="C276">
        <v>0.86939999999999995</v>
      </c>
      <c r="D276">
        <v>0.66069999999999995</v>
      </c>
      <c r="E276">
        <v>0.74680000000000002</v>
      </c>
      <c r="F276">
        <v>51509067.079999998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-0.17489218974604631</v>
      </c>
      <c r="Q276">
        <f t="shared" si="965"/>
        <v>-9008533.5333971865</v>
      </c>
      <c r="R276">
        <f t="shared" si="966"/>
        <v>152612979.25490373</v>
      </c>
      <c r="S276">
        <f t="shared" si="967"/>
        <v>1526.1297925490373</v>
      </c>
      <c r="T276">
        <f t="shared" si="968"/>
        <v>1.5261297925490374</v>
      </c>
    </row>
    <row r="277" spans="1:20" x14ac:dyDescent="0.25">
      <c r="A277" s="5">
        <v>44316</v>
      </c>
      <c r="B277">
        <v>0.63929999999999998</v>
      </c>
      <c r="C277">
        <v>0.68910000000000005</v>
      </c>
      <c r="D277">
        <v>0.62919999999999998</v>
      </c>
      <c r="E277">
        <v>0.6835</v>
      </c>
      <c r="F277">
        <v>10317418.66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0.81302170283806197</v>
      </c>
      <c r="Q277">
        <f t="shared" si="965"/>
        <v>8388285.2878463957</v>
      </c>
      <c r="R277">
        <f t="shared" si="966"/>
        <v>161621512.78830093</v>
      </c>
      <c r="S277">
        <f t="shared" si="967"/>
        <v>1616.2151278830092</v>
      </c>
      <c r="T277">
        <f t="shared" si="968"/>
        <v>1.6162151278830093</v>
      </c>
    </row>
    <row r="278" spans="1:20" x14ac:dyDescent="0.25">
      <c r="A278" s="5">
        <v>44315</v>
      </c>
      <c r="B278">
        <v>0.62649999999999995</v>
      </c>
      <c r="C278">
        <v>0.69</v>
      </c>
      <c r="D278">
        <v>0.61</v>
      </c>
      <c r="E278">
        <v>0.63849999999999996</v>
      </c>
      <c r="F278">
        <v>13247942.390000001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-0.28750000000000042</v>
      </c>
      <c r="Q278">
        <f t="shared" si="965"/>
        <v>-3808783.4371250058</v>
      </c>
      <c r="R278">
        <f t="shared" si="966"/>
        <v>153233227.50045455</v>
      </c>
      <c r="S278">
        <f t="shared" si="967"/>
        <v>1532.3322750045454</v>
      </c>
      <c r="T278">
        <f t="shared" si="968"/>
        <v>1.5323322750045454</v>
      </c>
    </row>
    <row r="279" spans="1:20" x14ac:dyDescent="0.25">
      <c r="A279" s="5">
        <v>44314</v>
      </c>
      <c r="B279">
        <v>0.66659999999999997</v>
      </c>
      <c r="C279">
        <v>0.67900000000000005</v>
      </c>
      <c r="D279">
        <v>0.59599999999999997</v>
      </c>
      <c r="E279">
        <v>0.62529999999999997</v>
      </c>
      <c r="F279">
        <v>8963718.5399999991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-0.29397590361445863</v>
      </c>
      <c r="Q279">
        <f t="shared" si="965"/>
        <v>-2635117.2575421757</v>
      </c>
      <c r="R279">
        <f t="shared" si="966"/>
        <v>157042010.93757954</v>
      </c>
      <c r="S279">
        <f t="shared" si="967"/>
        <v>1570.4201093757954</v>
      </c>
      <c r="T279">
        <f t="shared" si="968"/>
        <v>1.5704201093757955</v>
      </c>
    </row>
    <row r="280" spans="1:20" x14ac:dyDescent="0.25">
      <c r="A280" s="5">
        <v>44313</v>
      </c>
      <c r="B280">
        <v>0.65180000000000005</v>
      </c>
      <c r="C280">
        <v>0.69</v>
      </c>
      <c r="D280">
        <v>0.63239999999999996</v>
      </c>
      <c r="E280">
        <v>0.66639999999999999</v>
      </c>
      <c r="F280">
        <v>7640591.1100000003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0.18055555555555691</v>
      </c>
      <c r="Q280">
        <f t="shared" si="965"/>
        <v>1379551.1726388994</v>
      </c>
      <c r="R280">
        <f t="shared" si="966"/>
        <v>159677128.19512171</v>
      </c>
      <c r="S280">
        <f t="shared" si="967"/>
        <v>1596.7712819512171</v>
      </c>
      <c r="T280">
        <f t="shared" si="968"/>
        <v>1.5967712819512172</v>
      </c>
    </row>
    <row r="281" spans="1:20" x14ac:dyDescent="0.25">
      <c r="A281" s="5">
        <v>44312</v>
      </c>
      <c r="B281">
        <v>0.54879999999999995</v>
      </c>
      <c r="C281">
        <v>0.7</v>
      </c>
      <c r="D281">
        <v>0.53469999999999995</v>
      </c>
      <c r="E281">
        <v>0.65039999999999998</v>
      </c>
      <c r="F281">
        <v>19358555.43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0.3998790078644891</v>
      </c>
      <c r="Q281">
        <f t="shared" si="965"/>
        <v>7741079.9390381183</v>
      </c>
      <c r="R281">
        <f t="shared" si="966"/>
        <v>158297577.02248281</v>
      </c>
      <c r="S281">
        <f t="shared" si="967"/>
        <v>1582.975770224828</v>
      </c>
      <c r="T281">
        <f t="shared" si="968"/>
        <v>1.5829757702248279</v>
      </c>
    </row>
    <row r="282" spans="1:20" x14ac:dyDescent="0.25">
      <c r="A282" s="5">
        <v>44311</v>
      </c>
      <c r="B282">
        <v>0.54349999999999998</v>
      </c>
      <c r="C282">
        <v>0.5988</v>
      </c>
      <c r="D282">
        <v>0.51060000000000005</v>
      </c>
      <c r="E282">
        <v>0.54800000000000004</v>
      </c>
      <c r="F282">
        <v>7229050.6399999997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-0.15192743764172309</v>
      </c>
      <c r="Q282">
        <f t="shared" si="965"/>
        <v>-1098291.1403174584</v>
      </c>
      <c r="R282">
        <f t="shared" si="966"/>
        <v>150556497.08344468</v>
      </c>
      <c r="S282">
        <f t="shared" si="967"/>
        <v>1505.5649708344467</v>
      </c>
      <c r="T282">
        <f t="shared" si="968"/>
        <v>1.5055649708344467</v>
      </c>
    </row>
    <row r="283" spans="1:20" x14ac:dyDescent="0.25">
      <c r="A283" s="5">
        <v>44310</v>
      </c>
      <c r="B283">
        <v>0.58489999999999998</v>
      </c>
      <c r="C283">
        <v>0.59850000000000003</v>
      </c>
      <c r="D283">
        <v>0.52900000000000003</v>
      </c>
      <c r="E283">
        <v>0.54349999999999998</v>
      </c>
      <c r="F283">
        <v>7180744.5899999999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-0.58273381294964155</v>
      </c>
      <c r="Q283">
        <f t="shared" si="965"/>
        <v>-4184462.6747482102</v>
      </c>
      <c r="R283">
        <f t="shared" si="966"/>
        <v>151654788.22376215</v>
      </c>
      <c r="S283">
        <f t="shared" si="967"/>
        <v>1516.5478822376215</v>
      </c>
      <c r="T283">
        <f t="shared" si="968"/>
        <v>1.5165478822376215</v>
      </c>
    </row>
    <row r="284" spans="1:20" x14ac:dyDescent="0.25">
      <c r="A284" s="5">
        <v>44309</v>
      </c>
      <c r="B284">
        <v>0.61909999999999998</v>
      </c>
      <c r="C284">
        <v>0.63</v>
      </c>
      <c r="D284">
        <v>0.497</v>
      </c>
      <c r="E284">
        <v>0.58499999999999996</v>
      </c>
      <c r="F284">
        <v>16805623.219999999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0.32330827067669116</v>
      </c>
      <c r="Q284">
        <f t="shared" si="965"/>
        <v>5433396.9809022453</v>
      </c>
      <c r="R284">
        <f t="shared" si="966"/>
        <v>155839250.89851037</v>
      </c>
      <c r="S284">
        <f t="shared" si="967"/>
        <v>1558.3925089851036</v>
      </c>
      <c r="T284">
        <f t="shared" si="968"/>
        <v>1.5583925089851036</v>
      </c>
    </row>
    <row r="285" spans="1:20" x14ac:dyDescent="0.25">
      <c r="A285" s="5">
        <v>44308</v>
      </c>
      <c r="B285">
        <v>0.6583</v>
      </c>
      <c r="C285">
        <v>0.7077</v>
      </c>
      <c r="D285">
        <v>0.60019999999999996</v>
      </c>
      <c r="E285">
        <v>0.61950000000000005</v>
      </c>
      <c r="F285">
        <v>14515765.42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-0.64093023255813786</v>
      </c>
      <c r="Q285">
        <f t="shared" si="965"/>
        <v>-9303592.9063999765</v>
      </c>
      <c r="R285">
        <f t="shared" si="966"/>
        <v>150405853.91760811</v>
      </c>
      <c r="S285">
        <f t="shared" si="967"/>
        <v>1504.058539176081</v>
      </c>
      <c r="T285">
        <f t="shared" si="968"/>
        <v>1.504058539176081</v>
      </c>
    </row>
    <row r="286" spans="1:20" x14ac:dyDescent="0.25">
      <c r="A286" s="5">
        <v>44307</v>
      </c>
      <c r="B286">
        <v>0.71040000000000003</v>
      </c>
      <c r="C286">
        <v>0.76</v>
      </c>
      <c r="D286">
        <v>0.64880000000000004</v>
      </c>
      <c r="E286">
        <v>0.65949999999999998</v>
      </c>
      <c r="F286">
        <v>14451185.640000001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-0.80755395683453357</v>
      </c>
      <c r="Q286">
        <f t="shared" si="965"/>
        <v>-11670112.144532392</v>
      </c>
      <c r="R286">
        <f t="shared" si="966"/>
        <v>159709446.82400808</v>
      </c>
      <c r="S286">
        <f t="shared" si="967"/>
        <v>1597.0944682400807</v>
      </c>
      <c r="T286">
        <f t="shared" si="968"/>
        <v>1.5970944682400807</v>
      </c>
    </row>
    <row r="287" spans="1:20" x14ac:dyDescent="0.25">
      <c r="A287" s="5">
        <v>44306</v>
      </c>
      <c r="B287">
        <v>0.65810000000000002</v>
      </c>
      <c r="C287">
        <v>0.72130000000000005</v>
      </c>
      <c r="D287">
        <v>0.6</v>
      </c>
      <c r="E287">
        <v>0.7097</v>
      </c>
      <c r="F287">
        <v>15761871.76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0.8087386644682597</v>
      </c>
      <c r="Q287">
        <f t="shared" si="965"/>
        <v>12747235.116702378</v>
      </c>
      <c r="R287">
        <f t="shared" si="966"/>
        <v>171379558.96854046</v>
      </c>
      <c r="S287">
        <f t="shared" si="967"/>
        <v>1713.7955896854046</v>
      </c>
      <c r="T287">
        <f t="shared" si="968"/>
        <v>1.7137955896854047</v>
      </c>
    </row>
    <row r="288" spans="1:20" x14ac:dyDescent="0.25">
      <c r="A288" s="5">
        <v>44305</v>
      </c>
      <c r="B288">
        <v>0.69550000000000001</v>
      </c>
      <c r="C288">
        <v>0.76539999999999997</v>
      </c>
      <c r="D288">
        <v>0.64370000000000005</v>
      </c>
      <c r="E288">
        <v>0.65800000000000003</v>
      </c>
      <c r="F288">
        <v>15010405.98</v>
      </c>
      <c r="G288">
        <v>0</v>
      </c>
      <c r="L288" t="s">
        <v>7</v>
      </c>
      <c r="M288" t="s">
        <v>7</v>
      </c>
      <c r="N288" t="s">
        <v>8</v>
      </c>
      <c r="P288">
        <f t="shared" si="964"/>
        <v>-0.76499589153656555</v>
      </c>
      <c r="Q288">
        <f t="shared" si="965"/>
        <v>-11482898.904995896</v>
      </c>
      <c r="R288">
        <f t="shared" si="966"/>
        <v>158632323.85183808</v>
      </c>
      <c r="S288">
        <f t="shared" si="967"/>
        <v>1586.3232385183808</v>
      </c>
      <c r="T288">
        <f t="shared" si="968"/>
        <v>1.5863232385183808</v>
      </c>
    </row>
    <row r="289" spans="1:20" x14ac:dyDescent="0.25">
      <c r="A289" s="5">
        <v>44304</v>
      </c>
      <c r="B289">
        <v>0.79020000000000001</v>
      </c>
      <c r="C289">
        <v>0.79249999999999998</v>
      </c>
      <c r="D289">
        <v>0.6502</v>
      </c>
      <c r="E289">
        <v>0.69640000000000002</v>
      </c>
      <c r="F289">
        <v>20329508.140000001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-0.35066760365425126</v>
      </c>
      <c r="Q289">
        <f t="shared" si="965"/>
        <v>-7128899.9029233949</v>
      </c>
      <c r="R289">
        <f t="shared" si="966"/>
        <v>170115222.75683397</v>
      </c>
      <c r="S289">
        <f t="shared" si="967"/>
        <v>1701.1522275683396</v>
      </c>
      <c r="T289">
        <f t="shared" si="968"/>
        <v>1.7011522275683397</v>
      </c>
    </row>
    <row r="290" spans="1:20" x14ac:dyDescent="0.25">
      <c r="A290" s="5">
        <v>44303</v>
      </c>
      <c r="B290">
        <v>0.76600000000000001</v>
      </c>
      <c r="C290">
        <v>0.8175</v>
      </c>
      <c r="D290">
        <v>0.76</v>
      </c>
      <c r="E290">
        <v>0.79</v>
      </c>
      <c r="F290">
        <v>11949283.02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4.3478260869566222E-2</v>
      </c>
      <c r="Q290">
        <f t="shared" si="965"/>
        <v>519534.04434783809</v>
      </c>
      <c r="R290">
        <f t="shared" si="966"/>
        <v>177244122.65975738</v>
      </c>
      <c r="S290">
        <f t="shared" si="967"/>
        <v>1772.4412265975739</v>
      </c>
      <c r="T290">
        <f t="shared" si="968"/>
        <v>1.7724412265975737</v>
      </c>
    </row>
    <row r="291" spans="1:20" x14ac:dyDescent="0.25">
      <c r="A291" s="5">
        <v>44302</v>
      </c>
      <c r="B291">
        <v>0.79949999999999999</v>
      </c>
      <c r="C291">
        <v>0.81499999999999995</v>
      </c>
      <c r="D291">
        <v>0.72709999999999997</v>
      </c>
      <c r="E291">
        <v>0.76600000000000001</v>
      </c>
      <c r="F291">
        <v>13966889.119999999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-0.11490329920363924</v>
      </c>
      <c r="Q291">
        <f t="shared" si="965"/>
        <v>-1604841.6394994135</v>
      </c>
      <c r="R291">
        <f t="shared" si="966"/>
        <v>176724588.61540952</v>
      </c>
      <c r="S291">
        <f t="shared" si="967"/>
        <v>1767.2458861540952</v>
      </c>
      <c r="T291">
        <f t="shared" si="968"/>
        <v>1.7672458861540952</v>
      </c>
    </row>
    <row r="292" spans="1:20" x14ac:dyDescent="0.25">
      <c r="A292" s="5">
        <v>44301</v>
      </c>
      <c r="B292">
        <v>0.79510000000000003</v>
      </c>
      <c r="C292">
        <v>0.83650000000000002</v>
      </c>
      <c r="D292">
        <v>0.77990000000000004</v>
      </c>
      <c r="E292">
        <v>0.79949999999999999</v>
      </c>
      <c r="F292">
        <v>12061344.880000001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-0.30742049469964816</v>
      </c>
      <c r="Q292">
        <f t="shared" si="965"/>
        <v>-3707904.6097526685</v>
      </c>
      <c r="R292">
        <f t="shared" si="966"/>
        <v>178329430.25490895</v>
      </c>
      <c r="S292">
        <f t="shared" si="967"/>
        <v>1783.2943025490895</v>
      </c>
      <c r="T292">
        <f t="shared" si="968"/>
        <v>1.7832943025490895</v>
      </c>
    </row>
    <row r="293" spans="1:20" x14ac:dyDescent="0.25">
      <c r="A293" s="5">
        <v>44300</v>
      </c>
      <c r="B293">
        <v>0.82250000000000001</v>
      </c>
      <c r="C293">
        <v>0.85</v>
      </c>
      <c r="D293">
        <v>0.76849999999999996</v>
      </c>
      <c r="E293">
        <v>0.79630000000000001</v>
      </c>
      <c r="F293">
        <v>15163840.91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-0.31779141104294378</v>
      </c>
      <c r="Q293">
        <f t="shared" si="965"/>
        <v>-4818938.3996196166</v>
      </c>
      <c r="R293">
        <f t="shared" si="966"/>
        <v>182037334.8646616</v>
      </c>
      <c r="S293">
        <f t="shared" si="967"/>
        <v>1820.373348646616</v>
      </c>
      <c r="T293">
        <f t="shared" si="968"/>
        <v>1.820373348646616</v>
      </c>
    </row>
    <row r="294" spans="1:20" x14ac:dyDescent="0.25">
      <c r="A294" s="5">
        <v>44299</v>
      </c>
      <c r="B294">
        <v>0.84409999999999996</v>
      </c>
      <c r="C294">
        <v>0.86970000000000003</v>
      </c>
      <c r="D294">
        <v>0.77190000000000003</v>
      </c>
      <c r="E294">
        <v>0.82179999999999997</v>
      </c>
      <c r="F294">
        <v>20652855.379999999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2.0449897750510131E-2</v>
      </c>
      <c r="Q294">
        <f t="shared" si="965"/>
        <v>422348.78077707306</v>
      </c>
      <c r="R294">
        <f t="shared" si="966"/>
        <v>186856273.26428121</v>
      </c>
      <c r="S294">
        <f t="shared" si="967"/>
        <v>1868.5627326428121</v>
      </c>
      <c r="T294">
        <f t="shared" si="968"/>
        <v>1.868562732642812</v>
      </c>
    </row>
    <row r="295" spans="1:20" x14ac:dyDescent="0.25">
      <c r="A295" s="5">
        <v>44298</v>
      </c>
      <c r="B295">
        <v>0.8125</v>
      </c>
      <c r="C295">
        <v>0.87370000000000003</v>
      </c>
      <c r="D295">
        <v>0.77159999999999995</v>
      </c>
      <c r="E295">
        <v>0.84419999999999995</v>
      </c>
      <c r="F295">
        <v>35454692.82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0.42213516160626724</v>
      </c>
      <c r="Q295">
        <f t="shared" si="965"/>
        <v>14966672.483271264</v>
      </c>
      <c r="R295">
        <f t="shared" si="966"/>
        <v>186433924.48350415</v>
      </c>
      <c r="S295">
        <f t="shared" si="967"/>
        <v>1864.3392448350414</v>
      </c>
      <c r="T295">
        <f t="shared" si="968"/>
        <v>1.8643392448350413</v>
      </c>
    </row>
    <row r="296" spans="1:20" x14ac:dyDescent="0.25">
      <c r="A296" s="5">
        <v>44297</v>
      </c>
      <c r="B296">
        <v>0.71</v>
      </c>
      <c r="C296">
        <v>0.82</v>
      </c>
      <c r="D296">
        <v>0.69420000000000004</v>
      </c>
      <c r="E296">
        <v>0.81430000000000002</v>
      </c>
      <c r="F296">
        <v>22085759.129999999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0.90937996820349876</v>
      </c>
      <c r="Q296">
        <f t="shared" si="965"/>
        <v>20084346.93538953</v>
      </c>
      <c r="R296">
        <f t="shared" si="966"/>
        <v>171467252.00023288</v>
      </c>
      <c r="S296">
        <f t="shared" si="967"/>
        <v>1714.6725200023288</v>
      </c>
      <c r="T296">
        <f t="shared" si="968"/>
        <v>1.7146725200023289</v>
      </c>
    </row>
    <row r="297" spans="1:20" x14ac:dyDescent="0.25">
      <c r="A297" s="5">
        <v>44296</v>
      </c>
      <c r="B297">
        <v>0.72909999999999997</v>
      </c>
      <c r="C297">
        <v>0.76249999999999996</v>
      </c>
      <c r="D297">
        <v>0.67930000000000001</v>
      </c>
      <c r="E297">
        <v>0.70920000000000005</v>
      </c>
      <c r="F297">
        <v>13190775.949999999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-0.28124999999999856</v>
      </c>
      <c r="Q297">
        <f t="shared" si="965"/>
        <v>-3709905.7359374808</v>
      </c>
      <c r="R297">
        <f t="shared" si="966"/>
        <v>151382905.06484336</v>
      </c>
      <c r="S297">
        <f t="shared" si="967"/>
        <v>1513.8290506484336</v>
      </c>
      <c r="T297">
        <f t="shared" si="968"/>
        <v>1.5138290506484335</v>
      </c>
    </row>
    <row r="298" spans="1:20" x14ac:dyDescent="0.25">
      <c r="A298" s="5">
        <v>44295</v>
      </c>
      <c r="B298">
        <v>0.71560000000000001</v>
      </c>
      <c r="C298">
        <v>0.74399999999999999</v>
      </c>
      <c r="D298">
        <v>0.69210000000000005</v>
      </c>
      <c r="E298">
        <v>0.72919999999999996</v>
      </c>
      <c r="F298">
        <v>9885602.6999999993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0.4296724470134855</v>
      </c>
      <c r="Q298">
        <f t="shared" si="965"/>
        <v>4247571.1023121187</v>
      </c>
      <c r="R298">
        <f t="shared" si="966"/>
        <v>155092810.80078083</v>
      </c>
      <c r="S298">
        <f t="shared" si="967"/>
        <v>1550.9281080078083</v>
      </c>
      <c r="T298">
        <f t="shared" si="968"/>
        <v>1.5509281080078083</v>
      </c>
    </row>
    <row r="299" spans="1:20" x14ac:dyDescent="0.25">
      <c r="A299" s="5">
        <v>44294</v>
      </c>
      <c r="B299">
        <v>0.66220000000000001</v>
      </c>
      <c r="C299">
        <v>0.73850000000000005</v>
      </c>
      <c r="D299">
        <v>0.65100000000000002</v>
      </c>
      <c r="E299">
        <v>0.7167</v>
      </c>
      <c r="F299">
        <v>14508095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0.50171428571428489</v>
      </c>
      <c r="Q299">
        <f t="shared" si="965"/>
        <v>7278918.5199999884</v>
      </c>
      <c r="R299">
        <f t="shared" si="966"/>
        <v>150845239.69846871</v>
      </c>
      <c r="S299">
        <f t="shared" si="967"/>
        <v>1508.4523969846871</v>
      </c>
      <c r="T299">
        <f t="shared" si="968"/>
        <v>1.508452396984687</v>
      </c>
    </row>
    <row r="300" spans="1:20" x14ac:dyDescent="0.25">
      <c r="A300" s="5">
        <v>44293</v>
      </c>
      <c r="B300">
        <v>0.7369</v>
      </c>
      <c r="C300">
        <v>0.75070000000000003</v>
      </c>
      <c r="D300">
        <v>0.6321</v>
      </c>
      <c r="E300">
        <v>0.66220000000000001</v>
      </c>
      <c r="F300">
        <v>17111780.210000001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-0.49241146711635742</v>
      </c>
      <c r="Q300">
        <f t="shared" si="965"/>
        <v>-8426036.798178751</v>
      </c>
      <c r="R300">
        <f t="shared" si="966"/>
        <v>143566321.17846873</v>
      </c>
      <c r="S300">
        <f t="shared" si="967"/>
        <v>1435.6632117846873</v>
      </c>
      <c r="T300">
        <f t="shared" si="968"/>
        <v>1.4356632117846873</v>
      </c>
    </row>
    <row r="301" spans="1:20" x14ac:dyDescent="0.25">
      <c r="A301" s="5">
        <v>44292</v>
      </c>
      <c r="B301">
        <v>0.73129999999999995</v>
      </c>
      <c r="C301">
        <v>0.78249999999999997</v>
      </c>
      <c r="D301">
        <v>0.68500000000000005</v>
      </c>
      <c r="E301">
        <v>0.73740000000000006</v>
      </c>
      <c r="F301">
        <v>18436066.129999999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7.4871794871795794E-2</v>
      </c>
      <c r="Q301">
        <f t="shared" si="965"/>
        <v>1380341.361528222</v>
      </c>
      <c r="R301">
        <f t="shared" si="966"/>
        <v>151992357.9766475</v>
      </c>
      <c r="S301">
        <f t="shared" si="967"/>
        <v>1519.9235797664749</v>
      </c>
      <c r="T301">
        <f t="shared" si="968"/>
        <v>1.519923579766475</v>
      </c>
    </row>
    <row r="302" spans="1:20" x14ac:dyDescent="0.25">
      <c r="A302" s="5">
        <v>44291</v>
      </c>
      <c r="B302">
        <v>0.74790000000000001</v>
      </c>
      <c r="C302">
        <v>0.79790000000000005</v>
      </c>
      <c r="D302">
        <v>0.67610000000000003</v>
      </c>
      <c r="E302">
        <v>0.73040000000000005</v>
      </c>
      <c r="F302">
        <v>30073399.949999999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-0.1083743842364531</v>
      </c>
      <c r="Q302">
        <f t="shared" si="965"/>
        <v>-3259186.2014778294</v>
      </c>
      <c r="R302">
        <f t="shared" si="966"/>
        <v>150612016.61511928</v>
      </c>
      <c r="S302">
        <f t="shared" si="967"/>
        <v>1506.1201661511927</v>
      </c>
      <c r="T302">
        <f t="shared" si="968"/>
        <v>1.5061201661511927</v>
      </c>
    </row>
    <row r="303" spans="1:20" x14ac:dyDescent="0.25">
      <c r="A303" s="5">
        <v>44290</v>
      </c>
      <c r="B303">
        <v>0.59319999999999995</v>
      </c>
      <c r="C303">
        <v>0.79300000000000004</v>
      </c>
      <c r="D303">
        <v>0.57999999999999996</v>
      </c>
      <c r="E303">
        <v>0.74960000000000004</v>
      </c>
      <c r="F303">
        <v>52813845.640000001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0.59248826291079837</v>
      </c>
      <c r="Q303">
        <f t="shared" si="965"/>
        <v>31291583.660882644</v>
      </c>
      <c r="R303">
        <f t="shared" si="966"/>
        <v>153871202.8165971</v>
      </c>
      <c r="S303">
        <f t="shared" si="967"/>
        <v>1538.7120281659711</v>
      </c>
      <c r="T303">
        <f t="shared" si="968"/>
        <v>1.5387120281659712</v>
      </c>
    </row>
    <row r="304" spans="1:20" x14ac:dyDescent="0.25">
      <c r="A304" s="5">
        <v>44289</v>
      </c>
      <c r="B304">
        <v>0.60929999999999995</v>
      </c>
      <c r="C304">
        <v>0.66910000000000003</v>
      </c>
      <c r="D304">
        <v>0.57269999999999999</v>
      </c>
      <c r="E304">
        <v>0.59319999999999995</v>
      </c>
      <c r="F304">
        <v>21342238.620000001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-0.57468879668049888</v>
      </c>
      <c r="Q304">
        <f t="shared" si="965"/>
        <v>-12265145.430995872</v>
      </c>
      <c r="R304">
        <f t="shared" si="966"/>
        <v>122579619.15571447</v>
      </c>
      <c r="S304">
        <f t="shared" si="967"/>
        <v>1225.7961915571448</v>
      </c>
      <c r="T304">
        <f t="shared" si="968"/>
        <v>1.2257961915571447</v>
      </c>
    </row>
    <row r="305" spans="1:20" x14ac:dyDescent="0.25">
      <c r="A305" s="5">
        <v>44288</v>
      </c>
      <c r="B305">
        <v>0.61939999999999995</v>
      </c>
      <c r="C305">
        <v>0.64900000000000002</v>
      </c>
      <c r="D305">
        <v>0.6</v>
      </c>
      <c r="E305">
        <v>0.60929999999999995</v>
      </c>
      <c r="F305">
        <v>10533052.07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-0.62040816326530746</v>
      </c>
      <c r="Q305">
        <f t="shared" si="965"/>
        <v>-6534791.4883265449</v>
      </c>
      <c r="R305">
        <f t="shared" si="966"/>
        <v>134844764.58671033</v>
      </c>
      <c r="S305">
        <f t="shared" si="967"/>
        <v>1348.4476458671033</v>
      </c>
      <c r="T305">
        <f t="shared" si="968"/>
        <v>1.3484476458671033</v>
      </c>
    </row>
    <row r="306" spans="1:20" x14ac:dyDescent="0.25">
      <c r="A306" s="5">
        <v>44287</v>
      </c>
      <c r="B306">
        <v>0.61699999999999999</v>
      </c>
      <c r="C306">
        <v>0.66449999999999998</v>
      </c>
      <c r="D306">
        <v>0.61019999999999996</v>
      </c>
      <c r="E306">
        <v>0.61860000000000004</v>
      </c>
      <c r="F306">
        <v>12365237.720000001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-0.69060773480662718</v>
      </c>
      <c r="Q306">
        <f t="shared" si="965"/>
        <v>-8539528.8121546637</v>
      </c>
      <c r="R306">
        <f t="shared" si="966"/>
        <v>141379556.07503688</v>
      </c>
      <c r="S306">
        <f t="shared" si="967"/>
        <v>1413.7955607503688</v>
      </c>
      <c r="T306">
        <f t="shared" si="968"/>
        <v>1.4137955607503689</v>
      </c>
    </row>
    <row r="307" spans="1:20" x14ac:dyDescent="0.25">
      <c r="A307" s="5">
        <v>44286</v>
      </c>
      <c r="B307">
        <v>0.65600000000000003</v>
      </c>
      <c r="C307">
        <v>0.65990000000000004</v>
      </c>
      <c r="D307">
        <v>0.56869999999999998</v>
      </c>
      <c r="E307">
        <v>0.61699999999999999</v>
      </c>
      <c r="F307">
        <v>12828072.550000001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5.9210526315788999E-2</v>
      </c>
      <c r="Q307">
        <f t="shared" si="965"/>
        <v>759556.9273026255</v>
      </c>
      <c r="R307">
        <f t="shared" si="966"/>
        <v>149919084.88719153</v>
      </c>
      <c r="S307">
        <f t="shared" si="967"/>
        <v>1499.1908488719153</v>
      </c>
      <c r="T307">
        <f t="shared" si="968"/>
        <v>1.4991908488719152</v>
      </c>
    </row>
    <row r="308" spans="1:20" x14ac:dyDescent="0.25">
      <c r="A308" s="5">
        <v>44285</v>
      </c>
      <c r="B308">
        <v>0.64549999999999996</v>
      </c>
      <c r="C308">
        <v>0.67659999999999998</v>
      </c>
      <c r="D308">
        <v>0.60740000000000005</v>
      </c>
      <c r="E308">
        <v>0.65600000000000003</v>
      </c>
      <c r="F308">
        <v>14888195.130000001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0.4046242774566482</v>
      </c>
      <c r="Q308">
        <f t="shared" si="965"/>
        <v>6024125.1971098389</v>
      </c>
      <c r="R308">
        <f t="shared" si="966"/>
        <v>149159527.95988891</v>
      </c>
      <c r="S308">
        <f t="shared" si="967"/>
        <v>1491.595279598889</v>
      </c>
      <c r="T308">
        <f t="shared" si="968"/>
        <v>1.4915952795988889</v>
      </c>
    </row>
    <row r="309" spans="1:20" x14ac:dyDescent="0.25">
      <c r="A309" s="5">
        <v>44284</v>
      </c>
      <c r="B309">
        <v>0.56899999999999995</v>
      </c>
      <c r="C309">
        <v>0.6492</v>
      </c>
      <c r="D309">
        <v>0.55589999999999995</v>
      </c>
      <c r="E309">
        <v>0.64549999999999996</v>
      </c>
      <c r="F309">
        <v>14906663.390000001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0.92068595927116759</v>
      </c>
      <c r="Q309">
        <f t="shared" si="965"/>
        <v>13724355.682754546</v>
      </c>
      <c r="R309">
        <f t="shared" si="966"/>
        <v>143135402.76277906</v>
      </c>
      <c r="S309">
        <f t="shared" si="967"/>
        <v>1431.3540276277906</v>
      </c>
      <c r="T309">
        <f t="shared" si="968"/>
        <v>1.4313540276277907</v>
      </c>
    </row>
    <row r="310" spans="1:20" x14ac:dyDescent="0.25">
      <c r="A310" s="5">
        <v>44283</v>
      </c>
      <c r="B310">
        <v>0.56989999999999996</v>
      </c>
      <c r="C310">
        <v>0.59040000000000004</v>
      </c>
      <c r="D310">
        <v>0.55000000000000004</v>
      </c>
      <c r="E310">
        <v>0.56830000000000003</v>
      </c>
      <c r="F310">
        <v>8226308.0599999996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-9.4059405940594712E-2</v>
      </c>
      <c r="Q310">
        <f t="shared" si="965"/>
        <v>-773761.64920792612</v>
      </c>
      <c r="R310">
        <f t="shared" si="966"/>
        <v>129411047.08002453</v>
      </c>
      <c r="S310">
        <f t="shared" si="967"/>
        <v>1294.1104708002454</v>
      </c>
      <c r="T310">
        <f t="shared" si="968"/>
        <v>1.2941104708002453</v>
      </c>
    </row>
    <row r="311" spans="1:20" x14ac:dyDescent="0.25">
      <c r="A311" s="5">
        <v>44282</v>
      </c>
      <c r="B311">
        <v>0.56310000000000004</v>
      </c>
      <c r="C311">
        <v>0.5847</v>
      </c>
      <c r="D311">
        <v>0.54590000000000005</v>
      </c>
      <c r="E311">
        <v>0.56969999999999998</v>
      </c>
      <c r="F311">
        <v>8231584.96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0.22680412371133843</v>
      </c>
      <c r="Q311">
        <f t="shared" si="965"/>
        <v>1866957.4136082327</v>
      </c>
      <c r="R311">
        <f t="shared" si="966"/>
        <v>130184808.72923245</v>
      </c>
      <c r="S311">
        <f t="shared" si="967"/>
        <v>1301.8480872923244</v>
      </c>
      <c r="T311">
        <f t="shared" si="968"/>
        <v>1.3018480872923244</v>
      </c>
    </row>
    <row r="312" spans="1:20" x14ac:dyDescent="0.25">
      <c r="A312" s="5">
        <v>44281</v>
      </c>
      <c r="B312">
        <v>0.50590000000000002</v>
      </c>
      <c r="C312">
        <v>0.57979999999999998</v>
      </c>
      <c r="D312">
        <v>0.50570000000000004</v>
      </c>
      <c r="E312">
        <v>0.56310000000000004</v>
      </c>
      <c r="F312">
        <v>10325146.17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0.54925775978407698</v>
      </c>
      <c r="Q312">
        <f t="shared" si="965"/>
        <v>5671166.6547773425</v>
      </c>
      <c r="R312">
        <f t="shared" si="966"/>
        <v>128317851.31562421</v>
      </c>
      <c r="S312">
        <f t="shared" si="967"/>
        <v>1283.1785131562422</v>
      </c>
      <c r="T312">
        <f t="shared" si="968"/>
        <v>1.2831785131562421</v>
      </c>
    </row>
    <row r="313" spans="1:20" x14ac:dyDescent="0.25">
      <c r="A313" s="5">
        <v>44280</v>
      </c>
      <c r="B313">
        <v>0.54379999999999995</v>
      </c>
      <c r="C313">
        <v>0.55120000000000002</v>
      </c>
      <c r="D313">
        <v>0.48499999999999999</v>
      </c>
      <c r="E313">
        <v>0.50760000000000005</v>
      </c>
      <c r="F313">
        <v>9826611.9000000004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-0.31722054380664494</v>
      </c>
      <c r="Q313">
        <f t="shared" si="965"/>
        <v>-3117203.1706948485</v>
      </c>
      <c r="R313">
        <f t="shared" si="966"/>
        <v>122646684.66084686</v>
      </c>
      <c r="S313">
        <f t="shared" si="967"/>
        <v>1226.4668466084686</v>
      </c>
      <c r="T313">
        <f t="shared" si="968"/>
        <v>1.2264668466084685</v>
      </c>
    </row>
    <row r="314" spans="1:20" x14ac:dyDescent="0.25">
      <c r="A314" s="5">
        <v>44279</v>
      </c>
      <c r="B314">
        <v>0.57469999999999999</v>
      </c>
      <c r="C314">
        <v>0.61499999999999999</v>
      </c>
      <c r="D314">
        <v>0.51500000000000001</v>
      </c>
      <c r="E314">
        <v>0.54149999999999998</v>
      </c>
      <c r="F314">
        <v>13235329.73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-0.47000000000000053</v>
      </c>
      <c r="Q314">
        <f t="shared" si="965"/>
        <v>-6220604.9731000075</v>
      </c>
      <c r="R314">
        <f t="shared" si="966"/>
        <v>125763887.8315417</v>
      </c>
      <c r="S314">
        <f t="shared" si="967"/>
        <v>1257.6388783154171</v>
      </c>
      <c r="T314">
        <f t="shared" si="968"/>
        <v>1.2576388783154171</v>
      </c>
    </row>
    <row r="315" spans="1:20" x14ac:dyDescent="0.25">
      <c r="A315" s="5">
        <v>44278</v>
      </c>
      <c r="B315">
        <v>0.59540000000000004</v>
      </c>
      <c r="C315">
        <v>0.6119</v>
      </c>
      <c r="D315">
        <v>0.55159999999999998</v>
      </c>
      <c r="E315">
        <v>0.57469999999999999</v>
      </c>
      <c r="F315">
        <v>10644436.73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-0.23383084577114421</v>
      </c>
      <c r="Q315">
        <f t="shared" si="965"/>
        <v>-2488997.6433333326</v>
      </c>
      <c r="R315">
        <f t="shared" si="966"/>
        <v>131984492.80464171</v>
      </c>
      <c r="S315">
        <f t="shared" si="967"/>
        <v>1319.8449280464172</v>
      </c>
      <c r="T315">
        <f t="shared" si="968"/>
        <v>1.3198449280464173</v>
      </c>
    </row>
    <row r="316" spans="1:20" x14ac:dyDescent="0.25">
      <c r="A316" s="5">
        <v>44277</v>
      </c>
      <c r="B316">
        <v>0.61480000000000001</v>
      </c>
      <c r="C316">
        <v>0.65480000000000005</v>
      </c>
      <c r="D316">
        <v>0.58230000000000004</v>
      </c>
      <c r="E316">
        <v>0.59530000000000005</v>
      </c>
      <c r="F316">
        <v>10468169.93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-0.64137931034482731</v>
      </c>
      <c r="Q316">
        <f t="shared" si="965"/>
        <v>-6714067.610275859</v>
      </c>
      <c r="R316">
        <f t="shared" si="966"/>
        <v>134473490.44797504</v>
      </c>
      <c r="S316">
        <f t="shared" si="967"/>
        <v>1344.7349044797504</v>
      </c>
      <c r="T316">
        <f t="shared" si="968"/>
        <v>1.3447349044797503</v>
      </c>
    </row>
    <row r="317" spans="1:20" x14ac:dyDescent="0.25">
      <c r="A317" s="5">
        <v>44276</v>
      </c>
      <c r="B317">
        <v>0.62460000000000004</v>
      </c>
      <c r="C317">
        <v>0.64449999999999996</v>
      </c>
      <c r="D317">
        <v>0.59230000000000005</v>
      </c>
      <c r="E317">
        <v>0.61670000000000003</v>
      </c>
      <c r="F317">
        <v>8265685.0099999998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-6.5134099616857552E-2</v>
      </c>
      <c r="Q317">
        <f t="shared" si="965"/>
        <v>-538377.95084290614</v>
      </c>
      <c r="R317">
        <f t="shared" si="966"/>
        <v>141187558.0582509</v>
      </c>
      <c r="S317">
        <f t="shared" si="967"/>
        <v>1411.875580582509</v>
      </c>
      <c r="T317">
        <f t="shared" si="968"/>
        <v>1.4118755805825089</v>
      </c>
    </row>
    <row r="318" spans="1:20" x14ac:dyDescent="0.25">
      <c r="A318" s="5">
        <v>44275</v>
      </c>
      <c r="B318">
        <v>0.64790000000000003</v>
      </c>
      <c r="C318">
        <v>0.69499999999999995</v>
      </c>
      <c r="D318">
        <v>0.62</v>
      </c>
      <c r="E318">
        <v>0.624</v>
      </c>
      <c r="F318">
        <v>15249871.25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-0.8933333333333332</v>
      </c>
      <c r="Q318">
        <f t="shared" si="965"/>
        <v>-13623218.316666665</v>
      </c>
      <c r="R318">
        <f t="shared" si="966"/>
        <v>141725936.00909382</v>
      </c>
      <c r="S318">
        <f t="shared" si="967"/>
        <v>1417.2593600909381</v>
      </c>
      <c r="T318">
        <f t="shared" si="968"/>
        <v>1.4172593600909382</v>
      </c>
    </row>
    <row r="319" spans="1:20" x14ac:dyDescent="0.25">
      <c r="A319" s="5">
        <v>44274</v>
      </c>
      <c r="B319">
        <v>0.59760000000000002</v>
      </c>
      <c r="C319">
        <v>0.67</v>
      </c>
      <c r="D319">
        <v>0.57469999999999999</v>
      </c>
      <c r="E319">
        <v>0.64770000000000005</v>
      </c>
      <c r="F319">
        <v>14141673.619999999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0.53200419727177384</v>
      </c>
      <c r="Q319">
        <f t="shared" si="965"/>
        <v>7523429.7222875198</v>
      </c>
      <c r="R319">
        <f t="shared" si="966"/>
        <v>155349154.32576048</v>
      </c>
      <c r="S319">
        <f t="shared" si="967"/>
        <v>1553.4915432576049</v>
      </c>
      <c r="T319">
        <f t="shared" si="968"/>
        <v>1.5534915432576049</v>
      </c>
    </row>
    <row r="320" spans="1:20" x14ac:dyDescent="0.25">
      <c r="A320" s="5">
        <v>44273</v>
      </c>
      <c r="B320">
        <v>0.62629999999999997</v>
      </c>
      <c r="C320">
        <v>0.62629999999999997</v>
      </c>
      <c r="D320">
        <v>0.58609999999999995</v>
      </c>
      <c r="E320">
        <v>0.5978</v>
      </c>
      <c r="F320">
        <v>9000487.9000000004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-0.41791044776119207</v>
      </c>
      <c r="Q320">
        <f t="shared" si="965"/>
        <v>-3761397.9283581916</v>
      </c>
      <c r="R320">
        <f t="shared" si="966"/>
        <v>147825724.60347298</v>
      </c>
      <c r="S320">
        <f t="shared" si="967"/>
        <v>1478.2572460347299</v>
      </c>
      <c r="T320">
        <f t="shared" si="968"/>
        <v>1.4782572460347299</v>
      </c>
    </row>
    <row r="321" spans="1:20" x14ac:dyDescent="0.25">
      <c r="A321" s="5">
        <v>44272</v>
      </c>
      <c r="B321">
        <v>0.63649999999999995</v>
      </c>
      <c r="C321">
        <v>0.64</v>
      </c>
      <c r="D321">
        <v>0.58709999999999996</v>
      </c>
      <c r="E321">
        <v>0.62409999999999999</v>
      </c>
      <c r="F321">
        <v>10864028.68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0.39886578449905452</v>
      </c>
      <c r="Q321">
        <f t="shared" si="965"/>
        <v>4333289.3222684273</v>
      </c>
      <c r="R321">
        <f t="shared" si="966"/>
        <v>151587122.53183118</v>
      </c>
      <c r="S321">
        <f t="shared" si="967"/>
        <v>1515.8712253183116</v>
      </c>
      <c r="T321">
        <f t="shared" si="968"/>
        <v>1.5158712253183118</v>
      </c>
    </row>
    <row r="322" spans="1:20" x14ac:dyDescent="0.25">
      <c r="A322" s="5">
        <v>44271</v>
      </c>
      <c r="B322">
        <v>0.56020000000000003</v>
      </c>
      <c r="C322">
        <v>0.68600000000000005</v>
      </c>
      <c r="D322">
        <v>0.52300000000000002</v>
      </c>
      <c r="E322">
        <v>0.63660000000000005</v>
      </c>
      <c r="F322">
        <v>28193037.530000001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0.39386503067484674</v>
      </c>
      <c r="Q322">
        <f t="shared" si="965"/>
        <v>11104251.591570556</v>
      </c>
      <c r="R322">
        <f t="shared" si="966"/>
        <v>147253833.20956275</v>
      </c>
      <c r="S322">
        <f t="shared" si="967"/>
        <v>1472.5383320956275</v>
      </c>
      <c r="T322">
        <f t="shared" si="968"/>
        <v>1.4725383320956276</v>
      </c>
    </row>
    <row r="323" spans="1:20" x14ac:dyDescent="0.25">
      <c r="A323" s="5">
        <v>44270</v>
      </c>
      <c r="B323">
        <v>0.53800000000000003</v>
      </c>
      <c r="C323">
        <v>0.58930000000000005</v>
      </c>
      <c r="D323">
        <v>0.51090000000000002</v>
      </c>
      <c r="E323">
        <v>0.56059999999999999</v>
      </c>
      <c r="F323">
        <v>19661283.460000001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0.26785714285714157</v>
      </c>
      <c r="Q323">
        <f t="shared" si="965"/>
        <v>5266415.2124999752</v>
      </c>
      <c r="R323">
        <f t="shared" si="966"/>
        <v>136149581.61799219</v>
      </c>
      <c r="S323">
        <f t="shared" si="967"/>
        <v>1361.495816179922</v>
      </c>
      <c r="T323">
        <f t="shared" si="968"/>
        <v>1.361495816179922</v>
      </c>
    </row>
    <row r="324" spans="1:20" x14ac:dyDescent="0.25">
      <c r="A324" s="5">
        <v>44269</v>
      </c>
      <c r="B324">
        <v>0.53339999999999999</v>
      </c>
      <c r="C324">
        <v>0.59199999999999997</v>
      </c>
      <c r="D324">
        <v>0.50860000000000005</v>
      </c>
      <c r="E324">
        <v>0.53800000000000003</v>
      </c>
      <c r="F324">
        <v>18982199.120000001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-0.29496402877697819</v>
      </c>
      <c r="Q324">
        <f t="shared" si="965"/>
        <v>-5599065.9274820108</v>
      </c>
      <c r="R324">
        <f t="shared" si="966"/>
        <v>130883166.40549222</v>
      </c>
      <c r="S324">
        <f t="shared" si="967"/>
        <v>1308.8316640549222</v>
      </c>
      <c r="T324">
        <f t="shared" si="968"/>
        <v>1.3088316640549222</v>
      </c>
    </row>
    <row r="325" spans="1:20" x14ac:dyDescent="0.25">
      <c r="A325" s="5">
        <v>44268</v>
      </c>
      <c r="B325">
        <v>0.49769999999999998</v>
      </c>
      <c r="C325">
        <v>0.55010000000000003</v>
      </c>
      <c r="D325">
        <v>0.48</v>
      </c>
      <c r="E325">
        <v>0.53349999999999997</v>
      </c>
      <c r="F325">
        <v>10212815.15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0.52639087018544806</v>
      </c>
      <c r="Q325">
        <f t="shared" si="965"/>
        <v>5375932.6538516274</v>
      </c>
      <c r="R325">
        <f t="shared" si="966"/>
        <v>136482232.33297423</v>
      </c>
      <c r="S325">
        <f t="shared" si="967"/>
        <v>1364.8223233297422</v>
      </c>
      <c r="T325">
        <f t="shared" si="968"/>
        <v>1.3648223233297421</v>
      </c>
    </row>
    <row r="326" spans="1:20" x14ac:dyDescent="0.25">
      <c r="A326" s="5">
        <v>44267</v>
      </c>
      <c r="B326">
        <v>0.53090000000000004</v>
      </c>
      <c r="C326">
        <v>0.53720000000000001</v>
      </c>
      <c r="D326">
        <v>0.48499999999999999</v>
      </c>
      <c r="E326">
        <v>0.49809999999999999</v>
      </c>
      <c r="F326">
        <v>10308499.34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-0.49808429118773967</v>
      </c>
      <c r="Q326">
        <f t="shared" ref="Q326:Q389" si="970">F326*P326</f>
        <v>-5134501.5869731819</v>
      </c>
      <c r="R326">
        <f t="shared" ref="R326:R389" si="971">R327+Q326</f>
        <v>131106299.67912261</v>
      </c>
      <c r="S326">
        <f t="shared" ref="S326:S389" si="972">R326/100000</f>
        <v>1311.0629967912262</v>
      </c>
      <c r="T326">
        <f t="shared" ref="T326:T389" si="973">S326/1000</f>
        <v>1.3110629967912262</v>
      </c>
    </row>
    <row r="327" spans="1:20" x14ac:dyDescent="0.25">
      <c r="A327" s="5">
        <v>44266</v>
      </c>
      <c r="B327">
        <v>0.55310000000000004</v>
      </c>
      <c r="C327">
        <v>0.57550000000000001</v>
      </c>
      <c r="D327">
        <v>0.51770000000000005</v>
      </c>
      <c r="E327">
        <v>0.53159999999999996</v>
      </c>
      <c r="F327">
        <v>10723230.08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-0.51903114186851484</v>
      </c>
      <c r="Q327">
        <f t="shared" si="970"/>
        <v>-5565690.3529412057</v>
      </c>
      <c r="R327">
        <f t="shared" si="971"/>
        <v>136240801.26609579</v>
      </c>
      <c r="S327">
        <f t="shared" si="972"/>
        <v>1362.4080126609579</v>
      </c>
      <c r="T327">
        <f t="shared" si="973"/>
        <v>1.3624080126609579</v>
      </c>
    </row>
    <row r="328" spans="1:20" x14ac:dyDescent="0.25">
      <c r="A328" s="5">
        <v>44265</v>
      </c>
      <c r="B328">
        <v>0.58940000000000003</v>
      </c>
      <c r="C328">
        <v>0.59340000000000004</v>
      </c>
      <c r="D328">
        <v>0.53359999999999996</v>
      </c>
      <c r="E328">
        <v>0.55130000000000001</v>
      </c>
      <c r="F328">
        <v>13561794.84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-0.40802675585284193</v>
      </c>
      <c r="Q328">
        <f t="shared" si="970"/>
        <v>-5533575.1521070115</v>
      </c>
      <c r="R328">
        <f t="shared" si="971"/>
        <v>141806491.619037</v>
      </c>
      <c r="S328">
        <f t="shared" si="972"/>
        <v>1418.06491619037</v>
      </c>
      <c r="T328">
        <f t="shared" si="973"/>
        <v>1.41806491619037</v>
      </c>
    </row>
    <row r="329" spans="1:20" x14ac:dyDescent="0.25">
      <c r="A329" s="5">
        <v>44264</v>
      </c>
      <c r="B329">
        <v>0.54249999999999998</v>
      </c>
      <c r="C329">
        <v>0.62</v>
      </c>
      <c r="D329">
        <v>0.53510000000000002</v>
      </c>
      <c r="E329">
        <v>0.58940000000000003</v>
      </c>
      <c r="F329">
        <v>18142291.27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0.27915194346289823</v>
      </c>
      <c r="Q329">
        <f t="shared" si="970"/>
        <v>5064455.8668904724</v>
      </c>
      <c r="R329">
        <f t="shared" si="971"/>
        <v>147340066.771144</v>
      </c>
      <c r="S329">
        <f t="shared" si="972"/>
        <v>1473.4006677114401</v>
      </c>
      <c r="T329">
        <f t="shared" si="973"/>
        <v>1.47340066771144</v>
      </c>
    </row>
    <row r="330" spans="1:20" x14ac:dyDescent="0.25">
      <c r="A330" s="5">
        <v>44263</v>
      </c>
      <c r="B330">
        <v>0.55279999999999996</v>
      </c>
      <c r="C330">
        <v>0.55900000000000005</v>
      </c>
      <c r="D330">
        <v>0.52300000000000002</v>
      </c>
      <c r="E330">
        <v>0.54259999999999997</v>
      </c>
      <c r="F330">
        <v>7238089.0199999996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8.8888888888885187E-2</v>
      </c>
      <c r="Q330">
        <f t="shared" si="970"/>
        <v>643385.69066663983</v>
      </c>
      <c r="R330">
        <f t="shared" si="971"/>
        <v>142275610.90425354</v>
      </c>
      <c r="S330">
        <f t="shared" si="972"/>
        <v>1422.7561090425354</v>
      </c>
      <c r="T330">
        <f t="shared" si="973"/>
        <v>1.4227561090425354</v>
      </c>
    </row>
    <row r="331" spans="1:20" x14ac:dyDescent="0.25">
      <c r="A331" s="5">
        <v>44262</v>
      </c>
      <c r="B331">
        <v>0.50760000000000005</v>
      </c>
      <c r="C331">
        <v>0.55500000000000005</v>
      </c>
      <c r="D331">
        <v>0.50700000000000001</v>
      </c>
      <c r="E331">
        <v>0.55279999999999996</v>
      </c>
      <c r="F331">
        <v>7738334.4199999999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0.90833333333332966</v>
      </c>
      <c r="Q331">
        <f t="shared" si="970"/>
        <v>7028987.0981666381</v>
      </c>
      <c r="R331">
        <f t="shared" si="971"/>
        <v>141632225.2135869</v>
      </c>
      <c r="S331">
        <f t="shared" si="972"/>
        <v>1416.3222521358689</v>
      </c>
      <c r="T331">
        <f t="shared" si="973"/>
        <v>1.4163222521358689</v>
      </c>
    </row>
    <row r="332" spans="1:20" x14ac:dyDescent="0.25">
      <c r="A332" s="5">
        <v>44261</v>
      </c>
      <c r="B332">
        <v>0.49859999999999999</v>
      </c>
      <c r="C332">
        <v>0.52490000000000003</v>
      </c>
      <c r="D332">
        <v>0.48599999999999999</v>
      </c>
      <c r="E332">
        <v>0.50700000000000001</v>
      </c>
      <c r="F332">
        <v>7931611.3099999996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7.9691516709511259E-2</v>
      </c>
      <c r="Q332">
        <f t="shared" si="970"/>
        <v>632082.13524421351</v>
      </c>
      <c r="R332">
        <f t="shared" si="971"/>
        <v>134603238.11542025</v>
      </c>
      <c r="S332">
        <f t="shared" si="972"/>
        <v>1346.0323811542025</v>
      </c>
      <c r="T332">
        <f t="shared" si="973"/>
        <v>1.3460323811542025</v>
      </c>
    </row>
    <row r="333" spans="1:20" x14ac:dyDescent="0.25">
      <c r="A333" s="5">
        <v>44260</v>
      </c>
      <c r="B333">
        <v>0.50880000000000003</v>
      </c>
      <c r="C333">
        <v>0.5181</v>
      </c>
      <c r="D333">
        <v>0.48</v>
      </c>
      <c r="E333">
        <v>0.5</v>
      </c>
      <c r="F333">
        <v>7045578.2800000003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4.986876640419978E-2</v>
      </c>
      <c r="Q333">
        <f t="shared" si="970"/>
        <v>351354.29742782371</v>
      </c>
      <c r="R333">
        <f t="shared" si="971"/>
        <v>133971155.98017603</v>
      </c>
      <c r="S333">
        <f t="shared" si="972"/>
        <v>1339.7115598017604</v>
      </c>
      <c r="T333">
        <f t="shared" si="973"/>
        <v>1.3397115598017604</v>
      </c>
    </row>
    <row r="334" spans="1:20" x14ac:dyDescent="0.25">
      <c r="A334" s="5">
        <v>44259</v>
      </c>
      <c r="B334">
        <v>0.54</v>
      </c>
      <c r="C334">
        <v>0.56000000000000005</v>
      </c>
      <c r="D334">
        <v>0.49</v>
      </c>
      <c r="E334">
        <v>0.50880000000000003</v>
      </c>
      <c r="F334">
        <v>10142193.35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-0.46285714285714225</v>
      </c>
      <c r="Q334">
        <f t="shared" si="970"/>
        <v>-4694386.6362857083</v>
      </c>
      <c r="R334">
        <f t="shared" si="971"/>
        <v>133619801.68274821</v>
      </c>
      <c r="S334">
        <f t="shared" si="972"/>
        <v>1336.1980168274822</v>
      </c>
      <c r="T334">
        <f t="shared" si="973"/>
        <v>1.3361980168274823</v>
      </c>
    </row>
    <row r="335" spans="1:20" x14ac:dyDescent="0.25">
      <c r="A335" s="5">
        <v>44258</v>
      </c>
      <c r="B335">
        <v>0.52280000000000004</v>
      </c>
      <c r="C335">
        <v>0.58299999999999996</v>
      </c>
      <c r="D335">
        <v>0.51339999999999997</v>
      </c>
      <c r="E335">
        <v>0.54049999999999998</v>
      </c>
      <c r="F335">
        <v>12742587.41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-0.22126436781609152</v>
      </c>
      <c r="Q335">
        <f t="shared" si="970"/>
        <v>-2819480.5476149372</v>
      </c>
      <c r="R335">
        <f t="shared" si="971"/>
        <v>138314188.31903392</v>
      </c>
      <c r="S335">
        <f t="shared" si="972"/>
        <v>1383.1418831903393</v>
      </c>
      <c r="T335">
        <f t="shared" si="973"/>
        <v>1.3831418831903393</v>
      </c>
    </row>
    <row r="336" spans="1:20" x14ac:dyDescent="0.25">
      <c r="A336" s="5">
        <v>44257</v>
      </c>
      <c r="B336">
        <v>0.53339999999999999</v>
      </c>
      <c r="C336">
        <v>0.56999999999999995</v>
      </c>
      <c r="D336">
        <v>0.49</v>
      </c>
      <c r="E336">
        <v>0.52280000000000004</v>
      </c>
      <c r="F336">
        <v>13236167.35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-0.1799999999999983</v>
      </c>
      <c r="Q336">
        <f t="shared" si="970"/>
        <v>-2382510.1229999773</v>
      </c>
      <c r="R336">
        <f t="shared" si="971"/>
        <v>141133668.86664885</v>
      </c>
      <c r="S336">
        <f t="shared" si="972"/>
        <v>1411.3366886664885</v>
      </c>
      <c r="T336">
        <f t="shared" si="973"/>
        <v>1.4113366886664884</v>
      </c>
    </row>
    <row r="337" spans="1:20" x14ac:dyDescent="0.25">
      <c r="A337" s="5">
        <v>44256</v>
      </c>
      <c r="B337">
        <v>0.46200000000000002</v>
      </c>
      <c r="C337">
        <v>0.55000000000000004</v>
      </c>
      <c r="D337">
        <v>0.45710000000000001</v>
      </c>
      <c r="E337">
        <v>0.53339999999999999</v>
      </c>
      <c r="F337">
        <v>13644332.49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0.64262648008611301</v>
      </c>
      <c r="Q337">
        <f t="shared" si="970"/>
        <v>8768209.3611732889</v>
      </c>
      <c r="R337">
        <f t="shared" si="971"/>
        <v>143516178.98964882</v>
      </c>
      <c r="S337">
        <f t="shared" si="972"/>
        <v>1435.1617898964882</v>
      </c>
      <c r="T337">
        <f t="shared" si="973"/>
        <v>1.4351617898964883</v>
      </c>
    </row>
    <row r="338" spans="1:20" x14ac:dyDescent="0.25">
      <c r="A338" s="5">
        <v>44255</v>
      </c>
      <c r="B338">
        <v>0.53620000000000001</v>
      </c>
      <c r="C338">
        <v>0.54159999999999997</v>
      </c>
      <c r="D338">
        <v>0.41670000000000001</v>
      </c>
      <c r="E338">
        <v>0.46050000000000002</v>
      </c>
      <c r="F338">
        <v>16074688.43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-0.29863891112890278</v>
      </c>
      <c r="Q338">
        <f t="shared" si="970"/>
        <v>-4800527.4494715715</v>
      </c>
      <c r="R338">
        <f t="shared" si="971"/>
        <v>134747969.62847552</v>
      </c>
      <c r="S338">
        <f t="shared" si="972"/>
        <v>1347.4796962847552</v>
      </c>
      <c r="T338">
        <f t="shared" si="973"/>
        <v>1.3474796962847551</v>
      </c>
    </row>
    <row r="339" spans="1:20" x14ac:dyDescent="0.25">
      <c r="A339" s="5">
        <v>44254</v>
      </c>
      <c r="B339">
        <v>0.54</v>
      </c>
      <c r="C339">
        <v>0.56789999999999996</v>
      </c>
      <c r="D339">
        <v>0.5151</v>
      </c>
      <c r="E339">
        <v>0.53620000000000001</v>
      </c>
      <c r="F339">
        <v>8831063.0600000005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-0.20075757575757483</v>
      </c>
      <c r="Q339">
        <f t="shared" si="970"/>
        <v>-1772902.8112878706</v>
      </c>
      <c r="R339">
        <f t="shared" si="971"/>
        <v>139548497.07794708</v>
      </c>
      <c r="S339">
        <f t="shared" si="972"/>
        <v>1395.4849707794708</v>
      </c>
      <c r="T339">
        <f t="shared" si="973"/>
        <v>1.3954849707794708</v>
      </c>
    </row>
    <row r="340" spans="1:20" x14ac:dyDescent="0.25">
      <c r="A340" s="5">
        <v>44253</v>
      </c>
      <c r="B340">
        <v>0.5776</v>
      </c>
      <c r="C340">
        <v>0.57999999999999996</v>
      </c>
      <c r="D340">
        <v>0.502</v>
      </c>
      <c r="E340">
        <v>0.5413</v>
      </c>
      <c r="F340">
        <v>13451638.380000001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7.692307692308273E-3</v>
      </c>
      <c r="Q340">
        <f t="shared" si="970"/>
        <v>103474.1413846232</v>
      </c>
      <c r="R340">
        <f t="shared" si="971"/>
        <v>141321399.88923496</v>
      </c>
      <c r="S340">
        <f t="shared" si="972"/>
        <v>1413.2139988923495</v>
      </c>
      <c r="T340">
        <f t="shared" si="973"/>
        <v>1.4132139988923496</v>
      </c>
    </row>
    <row r="341" spans="1:20" x14ac:dyDescent="0.25">
      <c r="A341" s="5">
        <v>44252</v>
      </c>
      <c r="B341">
        <v>0.62890000000000001</v>
      </c>
      <c r="C341">
        <v>0.63949999999999996</v>
      </c>
      <c r="D341">
        <v>0.57589999999999997</v>
      </c>
      <c r="E341">
        <v>0.57799999999999996</v>
      </c>
      <c r="F341">
        <v>12072318.09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-0.93396226415094363</v>
      </c>
      <c r="Q341">
        <f t="shared" si="970"/>
        <v>-11275089.536886794</v>
      </c>
      <c r="R341">
        <f t="shared" si="971"/>
        <v>141217925.74785033</v>
      </c>
      <c r="S341">
        <f t="shared" si="972"/>
        <v>1412.1792574785034</v>
      </c>
      <c r="T341">
        <f t="shared" si="973"/>
        <v>1.4121792574785033</v>
      </c>
    </row>
    <row r="342" spans="1:20" x14ac:dyDescent="0.25">
      <c r="A342" s="5">
        <v>44251</v>
      </c>
      <c r="B342">
        <v>0.60499999999999998</v>
      </c>
      <c r="C342">
        <v>0.67859999999999998</v>
      </c>
      <c r="D342">
        <v>0.56910000000000005</v>
      </c>
      <c r="E342">
        <v>0.62890000000000001</v>
      </c>
      <c r="F342">
        <v>14850028.74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9.2237442922374471E-2</v>
      </c>
      <c r="Q342">
        <f t="shared" si="970"/>
        <v>1369728.6783013705</v>
      </c>
      <c r="R342">
        <f t="shared" si="971"/>
        <v>152493015.28473711</v>
      </c>
      <c r="S342">
        <f t="shared" si="972"/>
        <v>1524.9301528473711</v>
      </c>
      <c r="T342">
        <f t="shared" si="973"/>
        <v>1.5249301528473711</v>
      </c>
    </row>
    <row r="343" spans="1:20" x14ac:dyDescent="0.25">
      <c r="A343" s="5">
        <v>44250</v>
      </c>
      <c r="B343">
        <v>0.70469999999999999</v>
      </c>
      <c r="C343">
        <v>0.70789999999999997</v>
      </c>
      <c r="D343">
        <v>0.53100000000000003</v>
      </c>
      <c r="E343">
        <v>0.60470000000000002</v>
      </c>
      <c r="F343">
        <v>21725218.530000001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-0.16676088185415477</v>
      </c>
      <c r="Q343">
        <f t="shared" si="970"/>
        <v>-3622916.6005370244</v>
      </c>
      <c r="R343">
        <f t="shared" si="971"/>
        <v>151123286.60643575</v>
      </c>
      <c r="S343">
        <f t="shared" si="972"/>
        <v>1511.2328660643575</v>
      </c>
      <c r="T343">
        <f t="shared" si="973"/>
        <v>1.5112328660643575</v>
      </c>
    </row>
    <row r="344" spans="1:20" x14ac:dyDescent="0.25">
      <c r="A344" s="5">
        <v>44249</v>
      </c>
      <c r="B344">
        <v>0.75890000000000002</v>
      </c>
      <c r="C344">
        <v>0.76139999999999997</v>
      </c>
      <c r="D344">
        <v>0.57099999999999995</v>
      </c>
      <c r="E344">
        <v>0.70479999999999998</v>
      </c>
      <c r="F344">
        <v>25070707.68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0.4054621848739498</v>
      </c>
      <c r="Q344">
        <f t="shared" si="970"/>
        <v>10165223.912268912</v>
      </c>
      <c r="R344">
        <f t="shared" si="971"/>
        <v>154746203.20697278</v>
      </c>
      <c r="S344">
        <f t="shared" si="972"/>
        <v>1547.4620320697277</v>
      </c>
      <c r="T344">
        <f t="shared" si="973"/>
        <v>1.5474620320697277</v>
      </c>
    </row>
    <row r="345" spans="1:20" x14ac:dyDescent="0.25">
      <c r="A345" s="5">
        <v>44248</v>
      </c>
      <c r="B345">
        <v>0.74509999999999998</v>
      </c>
      <c r="C345">
        <v>0.82499999999999996</v>
      </c>
      <c r="D345">
        <v>0.71619999999999995</v>
      </c>
      <c r="E345">
        <v>0.7611</v>
      </c>
      <c r="F345">
        <v>16687857.5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-0.1746323529411756</v>
      </c>
      <c r="Q345">
        <f t="shared" si="970"/>
        <v>-2914239.8207720444</v>
      </c>
      <c r="R345">
        <f t="shared" si="971"/>
        <v>144580979.29470387</v>
      </c>
      <c r="S345">
        <f t="shared" si="972"/>
        <v>1445.8097929470387</v>
      </c>
      <c r="T345">
        <f t="shared" si="973"/>
        <v>1.4458097929470386</v>
      </c>
    </row>
    <row r="346" spans="1:20" x14ac:dyDescent="0.25">
      <c r="A346" s="5">
        <v>44247</v>
      </c>
      <c r="B346">
        <v>0.86990000000000001</v>
      </c>
      <c r="C346">
        <v>0.871</v>
      </c>
      <c r="D346">
        <v>0.67100000000000004</v>
      </c>
      <c r="E346">
        <v>0.74139999999999995</v>
      </c>
      <c r="F346">
        <v>27299964.850000001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-0.29600000000000076</v>
      </c>
      <c r="Q346">
        <f t="shared" si="970"/>
        <v>-8080789.5956000211</v>
      </c>
      <c r="R346">
        <f t="shared" si="971"/>
        <v>147495219.11547592</v>
      </c>
      <c r="S346">
        <f t="shared" si="972"/>
        <v>1474.9521911547592</v>
      </c>
      <c r="T346">
        <f t="shared" si="973"/>
        <v>1.4749521911547592</v>
      </c>
    </row>
    <row r="347" spans="1:20" x14ac:dyDescent="0.25">
      <c r="A347" s="5">
        <v>44246</v>
      </c>
      <c r="B347">
        <v>0.77929999999999999</v>
      </c>
      <c r="C347">
        <v>0.8871</v>
      </c>
      <c r="D347">
        <v>0.7</v>
      </c>
      <c r="E347">
        <v>0.87</v>
      </c>
      <c r="F347">
        <v>39260986.920000002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0.81721004810261888</v>
      </c>
      <c r="Q347">
        <f t="shared" si="970"/>
        <v>32084473.009449493</v>
      </c>
      <c r="R347">
        <f t="shared" si="971"/>
        <v>155576008.71107593</v>
      </c>
      <c r="S347">
        <f t="shared" si="972"/>
        <v>1555.7600871107593</v>
      </c>
      <c r="T347">
        <f t="shared" si="973"/>
        <v>1.5557600871107593</v>
      </c>
    </row>
    <row r="348" spans="1:20" x14ac:dyDescent="0.25">
      <c r="A348" s="5">
        <v>44245</v>
      </c>
      <c r="B348">
        <v>0.66249999999999998</v>
      </c>
      <c r="C348">
        <v>0.79879999999999995</v>
      </c>
      <c r="D348">
        <v>0.6512</v>
      </c>
      <c r="E348">
        <v>0.77929999999999999</v>
      </c>
      <c r="F348">
        <v>29202050.390000001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0.73577235772357763</v>
      </c>
      <c r="Q348">
        <f t="shared" si="970"/>
        <v>21486061.465813018</v>
      </c>
      <c r="R348">
        <f t="shared" si="971"/>
        <v>123491535.70162645</v>
      </c>
      <c r="S348">
        <f t="shared" si="972"/>
        <v>1234.9153570162646</v>
      </c>
      <c r="T348">
        <f t="shared" si="973"/>
        <v>1.2349153570162645</v>
      </c>
    </row>
    <row r="349" spans="1:20" x14ac:dyDescent="0.25">
      <c r="A349" s="5">
        <v>44244</v>
      </c>
      <c r="B349">
        <v>0.64539999999999997</v>
      </c>
      <c r="C349">
        <v>0.68</v>
      </c>
      <c r="D349">
        <v>0.57830000000000004</v>
      </c>
      <c r="E349">
        <v>0.66169999999999995</v>
      </c>
      <c r="F349">
        <v>18253582.82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0.64011799410029313</v>
      </c>
      <c r="Q349">
        <f t="shared" si="970"/>
        <v>11684446.819881972</v>
      </c>
      <c r="R349">
        <f t="shared" si="971"/>
        <v>102005474.23581342</v>
      </c>
      <c r="S349">
        <f t="shared" si="972"/>
        <v>1020.0547423581343</v>
      </c>
      <c r="T349">
        <f t="shared" si="973"/>
        <v>1.0200547423581343</v>
      </c>
    </row>
    <row r="350" spans="1:20" x14ac:dyDescent="0.25">
      <c r="A350" s="5">
        <v>44243</v>
      </c>
      <c r="B350">
        <v>0.56920000000000004</v>
      </c>
      <c r="C350">
        <v>0.66759999999999997</v>
      </c>
      <c r="D350">
        <v>0.54279999999999995</v>
      </c>
      <c r="E350">
        <v>0.64529999999999998</v>
      </c>
      <c r="F350">
        <v>20652421.77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0.6426282051282054</v>
      </c>
      <c r="Q350">
        <f t="shared" si="970"/>
        <v>13271828.733605774</v>
      </c>
      <c r="R350">
        <f t="shared" si="971"/>
        <v>90321027.415931448</v>
      </c>
      <c r="S350">
        <f t="shared" si="972"/>
        <v>903.21027415931451</v>
      </c>
      <c r="T350">
        <f t="shared" si="973"/>
        <v>0.90321027415931454</v>
      </c>
    </row>
    <row r="351" spans="1:20" x14ac:dyDescent="0.25">
      <c r="A351" s="5">
        <v>44242</v>
      </c>
      <c r="B351">
        <v>0.63970000000000005</v>
      </c>
      <c r="C351">
        <v>0.64200000000000002</v>
      </c>
      <c r="D351">
        <v>0.51100000000000001</v>
      </c>
      <c r="E351">
        <v>0.56930000000000003</v>
      </c>
      <c r="F351">
        <v>26036556.100000001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-0.10992366412213715</v>
      </c>
      <c r="Q351">
        <f t="shared" si="970"/>
        <v>-2862033.6476335814</v>
      </c>
      <c r="R351">
        <f t="shared" si="971"/>
        <v>77049198.682325676</v>
      </c>
      <c r="S351">
        <f t="shared" si="972"/>
        <v>770.49198682325675</v>
      </c>
      <c r="T351">
        <f t="shared" si="973"/>
        <v>0.7704919868232567</v>
      </c>
    </row>
    <row r="352" spans="1:20" x14ac:dyDescent="0.25">
      <c r="A352" s="5">
        <v>44241</v>
      </c>
      <c r="B352">
        <v>0.65510000000000002</v>
      </c>
      <c r="C352">
        <v>0.66930000000000001</v>
      </c>
      <c r="D352">
        <v>0.61</v>
      </c>
      <c r="E352">
        <v>0.63970000000000005</v>
      </c>
      <c r="F352">
        <v>15360675.07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1.6863406408111294E-3</v>
      </c>
      <c r="Q352">
        <f t="shared" si="970"/>
        <v>25903.330640835338</v>
      </c>
      <c r="R352">
        <f t="shared" si="971"/>
        <v>79911232.329959258</v>
      </c>
      <c r="S352">
        <f t="shared" si="972"/>
        <v>799.11232329959262</v>
      </c>
      <c r="T352">
        <f t="shared" si="973"/>
        <v>0.79911232329959259</v>
      </c>
    </row>
    <row r="353" spans="1:20" x14ac:dyDescent="0.25">
      <c r="A353" s="5">
        <v>44240</v>
      </c>
      <c r="B353">
        <v>0.69379999999999997</v>
      </c>
      <c r="C353">
        <v>0.70709999999999995</v>
      </c>
      <c r="D353">
        <v>0.64</v>
      </c>
      <c r="E353">
        <v>0.6552</v>
      </c>
      <c r="F353">
        <v>15910244.92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-0.54694485842026808</v>
      </c>
      <c r="Q353">
        <f t="shared" si="970"/>
        <v>-8702026.6552011892</v>
      </c>
      <c r="R353">
        <f t="shared" si="971"/>
        <v>79885328.999318421</v>
      </c>
      <c r="S353">
        <f t="shared" si="972"/>
        <v>798.85328999318426</v>
      </c>
      <c r="T353">
        <f t="shared" si="973"/>
        <v>0.79885328999318428</v>
      </c>
    </row>
    <row r="354" spans="1:20" x14ac:dyDescent="0.25">
      <c r="A354" s="5">
        <v>44239</v>
      </c>
      <c r="B354">
        <v>0.72370000000000001</v>
      </c>
      <c r="C354">
        <v>0.73350000000000004</v>
      </c>
      <c r="D354">
        <v>0.67110000000000003</v>
      </c>
      <c r="E354">
        <v>0.69499999999999995</v>
      </c>
      <c r="F354">
        <v>17525783.620000001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-0.23397435897436164</v>
      </c>
      <c r="Q354">
        <f t="shared" si="970"/>
        <v>-4100583.9880128675</v>
      </c>
      <c r="R354">
        <f t="shared" si="971"/>
        <v>88587355.654519603</v>
      </c>
      <c r="S354">
        <f t="shared" si="972"/>
        <v>885.87355654519604</v>
      </c>
      <c r="T354">
        <f t="shared" si="973"/>
        <v>0.88587355654519606</v>
      </c>
    </row>
    <row r="355" spans="1:20" x14ac:dyDescent="0.25">
      <c r="A355" s="5">
        <v>44238</v>
      </c>
      <c r="B355">
        <v>0.63839999999999997</v>
      </c>
      <c r="C355">
        <v>0.74870000000000003</v>
      </c>
      <c r="D355">
        <v>0.62729999999999997</v>
      </c>
      <c r="E355">
        <v>0.72119999999999995</v>
      </c>
      <c r="F355">
        <v>22118423.420000002</v>
      </c>
      <c r="G355">
        <v>0</v>
      </c>
      <c r="L355" t="s">
        <v>8</v>
      </c>
      <c r="M355" t="s">
        <v>7</v>
      </c>
      <c r="N355" t="s">
        <v>8</v>
      </c>
      <c r="P355">
        <f t="shared" si="969"/>
        <v>0.54695222405271726</v>
      </c>
      <c r="Q355">
        <f t="shared" si="970"/>
        <v>12097720.882108711</v>
      </c>
      <c r="R355">
        <f t="shared" si="971"/>
        <v>92687939.642532468</v>
      </c>
      <c r="S355">
        <f t="shared" si="972"/>
        <v>926.87939642532467</v>
      </c>
      <c r="T355">
        <f t="shared" si="973"/>
        <v>0.92687939642532469</v>
      </c>
    </row>
    <row r="356" spans="1:20" x14ac:dyDescent="0.25">
      <c r="A356" s="5">
        <v>44237</v>
      </c>
      <c r="B356">
        <v>0.64629999999999999</v>
      </c>
      <c r="C356">
        <v>0.75829999999999997</v>
      </c>
      <c r="D356">
        <v>0.60489999999999999</v>
      </c>
      <c r="E356">
        <v>0.63839999999999997</v>
      </c>
      <c r="F356">
        <v>40395717.229999997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-0.56323337679269914</v>
      </c>
      <c r="Q356">
        <f t="shared" si="970"/>
        <v>-22752216.223415919</v>
      </c>
      <c r="R356">
        <f t="shared" si="971"/>
        <v>80590218.76042375</v>
      </c>
      <c r="S356">
        <f t="shared" si="972"/>
        <v>805.9021876042375</v>
      </c>
      <c r="T356">
        <f t="shared" si="973"/>
        <v>0.80590218760423749</v>
      </c>
    </row>
    <row r="357" spans="1:20" x14ac:dyDescent="0.25">
      <c r="A357" s="5">
        <v>44236</v>
      </c>
      <c r="B357">
        <v>0.70669999999999999</v>
      </c>
      <c r="C357">
        <v>0.70799999999999996</v>
      </c>
      <c r="D357">
        <v>0.61519999999999997</v>
      </c>
      <c r="E357">
        <v>0.6462</v>
      </c>
      <c r="F357">
        <v>32626756.579999998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-0.33189655172413729</v>
      </c>
      <c r="Q357">
        <f t="shared" si="970"/>
        <v>-10828708.002844807</v>
      </c>
      <c r="R357">
        <f t="shared" si="971"/>
        <v>103342434.98383968</v>
      </c>
      <c r="S357">
        <f t="shared" si="972"/>
        <v>1033.4243498383967</v>
      </c>
      <c r="T357">
        <f t="shared" si="973"/>
        <v>1.0334243498383966</v>
      </c>
    </row>
    <row r="358" spans="1:20" x14ac:dyDescent="0.25">
      <c r="A358" s="5">
        <v>44235</v>
      </c>
      <c r="B358">
        <v>0.60960000000000003</v>
      </c>
      <c r="C358">
        <v>0.72440000000000004</v>
      </c>
      <c r="D358">
        <v>0.59650000000000003</v>
      </c>
      <c r="E358">
        <v>0.70420000000000005</v>
      </c>
      <c r="F358">
        <v>48960143.509999998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0.68412822517591876</v>
      </c>
      <c r="Q358">
        <f t="shared" si="970"/>
        <v>33495016.083854575</v>
      </c>
      <c r="R358">
        <f t="shared" si="971"/>
        <v>114171142.98668449</v>
      </c>
      <c r="S358">
        <f t="shared" si="972"/>
        <v>1141.7114298668448</v>
      </c>
      <c r="T358">
        <f t="shared" si="973"/>
        <v>1.1417114298668447</v>
      </c>
    </row>
    <row r="359" spans="1:20" x14ac:dyDescent="0.25">
      <c r="A359" s="5">
        <v>44234</v>
      </c>
      <c r="B359">
        <v>0.5504</v>
      </c>
      <c r="C359">
        <v>0.66600000000000004</v>
      </c>
      <c r="D359">
        <v>0.52890000000000004</v>
      </c>
      <c r="E359">
        <v>0.60960000000000003</v>
      </c>
      <c r="F359">
        <v>70201994.700000003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0.17724288840262573</v>
      </c>
      <c r="Q359">
        <f t="shared" si="970"/>
        <v>12442804.312253824</v>
      </c>
      <c r="R359">
        <f t="shared" si="971"/>
        <v>80676126.902829915</v>
      </c>
      <c r="S359">
        <f t="shared" si="972"/>
        <v>806.76126902829913</v>
      </c>
      <c r="T359">
        <f t="shared" si="973"/>
        <v>0.80676126902829914</v>
      </c>
    </row>
    <row r="360" spans="1:20" x14ac:dyDescent="0.25">
      <c r="A360" s="5">
        <v>44233</v>
      </c>
      <c r="B360">
        <v>0.46610000000000001</v>
      </c>
      <c r="C360">
        <v>0.57840000000000003</v>
      </c>
      <c r="D360">
        <v>0.42020000000000002</v>
      </c>
      <c r="E360">
        <v>0.5504</v>
      </c>
      <c r="F360">
        <v>49875902.240000002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0.64601769911504392</v>
      </c>
      <c r="Q360">
        <f t="shared" si="970"/>
        <v>32220715.606371667</v>
      </c>
      <c r="R360">
        <f t="shared" si="971"/>
        <v>68233322.590576097</v>
      </c>
      <c r="S360">
        <f t="shared" si="972"/>
        <v>682.33322590576097</v>
      </c>
      <c r="T360">
        <f t="shared" si="973"/>
        <v>0.68233322590576095</v>
      </c>
    </row>
    <row r="361" spans="1:20" x14ac:dyDescent="0.25">
      <c r="A361" s="5">
        <v>44232</v>
      </c>
      <c r="B361">
        <v>0.41270000000000001</v>
      </c>
      <c r="C361">
        <v>0.55000000000000004</v>
      </c>
      <c r="D361">
        <v>0.41270000000000001</v>
      </c>
      <c r="E361">
        <v>0.46339999999999998</v>
      </c>
      <c r="F361">
        <v>63899257.990000002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-0.26147123088128255</v>
      </c>
      <c r="Q361">
        <f t="shared" si="970"/>
        <v>-16707817.63904593</v>
      </c>
      <c r="R361">
        <f t="shared" si="971"/>
        <v>36012606.984204434</v>
      </c>
      <c r="S361">
        <f t="shared" si="972"/>
        <v>360.12606984204433</v>
      </c>
      <c r="T361">
        <f t="shared" si="973"/>
        <v>0.36012606984204432</v>
      </c>
    </row>
    <row r="362" spans="1:20" x14ac:dyDescent="0.25">
      <c r="A362" s="5">
        <v>44231</v>
      </c>
      <c r="B362">
        <v>0.36959999999999998</v>
      </c>
      <c r="C362">
        <v>0.4405</v>
      </c>
      <c r="D362">
        <v>0.34</v>
      </c>
      <c r="E362">
        <v>0.41299999999999998</v>
      </c>
      <c r="F362">
        <v>42808973.210000001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0.45273631840795958</v>
      </c>
      <c r="Q362">
        <f t="shared" si="970"/>
        <v>19381176.925920371</v>
      </c>
      <c r="R362">
        <f t="shared" si="971"/>
        <v>52720424.623250365</v>
      </c>
      <c r="S362">
        <f t="shared" si="972"/>
        <v>527.20424623250369</v>
      </c>
      <c r="T362">
        <f t="shared" si="973"/>
        <v>0.52720424623250373</v>
      </c>
    </row>
    <row r="363" spans="1:20" x14ac:dyDescent="0.25">
      <c r="A363" s="5">
        <v>44230</v>
      </c>
      <c r="B363">
        <v>0.3266</v>
      </c>
      <c r="C363">
        <v>0.378</v>
      </c>
      <c r="D363">
        <v>0.32650000000000001</v>
      </c>
      <c r="E363">
        <v>0.36959999999999998</v>
      </c>
      <c r="F363">
        <v>30858737.149999999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0.6737864077669895</v>
      </c>
      <c r="Q363">
        <f t="shared" si="970"/>
        <v>20792197.652524248</v>
      </c>
      <c r="R363">
        <f t="shared" si="971"/>
        <v>33339247.697329998</v>
      </c>
      <c r="S363">
        <f t="shared" si="972"/>
        <v>333.39247697330001</v>
      </c>
      <c r="T363">
        <f t="shared" si="973"/>
        <v>0.33339247697329999</v>
      </c>
    </row>
    <row r="364" spans="1:20" x14ac:dyDescent="0.25">
      <c r="A364" s="5">
        <v>44229</v>
      </c>
      <c r="B364">
        <v>0.30180000000000001</v>
      </c>
      <c r="C364">
        <v>0.33989999999999998</v>
      </c>
      <c r="D364">
        <v>0.29630000000000001</v>
      </c>
      <c r="E364">
        <v>0.3266</v>
      </c>
      <c r="F364">
        <v>25317276.329999998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0.38990825688073455</v>
      </c>
      <c r="Q364">
        <f t="shared" si="970"/>
        <v>9871415.0827981792</v>
      </c>
      <c r="R364">
        <f t="shared" si="971"/>
        <v>12547050.044805752</v>
      </c>
      <c r="S364">
        <f t="shared" si="972"/>
        <v>125.47050044805752</v>
      </c>
      <c r="T364">
        <f t="shared" si="973"/>
        <v>0.12547050044805752</v>
      </c>
    </row>
    <row r="365" spans="1:20" x14ac:dyDescent="0.25">
      <c r="A365" s="5">
        <v>44228</v>
      </c>
      <c r="B365">
        <v>0.29070000000000001</v>
      </c>
      <c r="C365">
        <v>0.31969999999999998</v>
      </c>
      <c r="D365">
        <v>0.28670000000000001</v>
      </c>
      <c r="E365">
        <v>0.30180000000000001</v>
      </c>
      <c r="F365">
        <v>21475119.719999999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-8.4848484848483979E-2</v>
      </c>
      <c r="Q365">
        <f t="shared" si="970"/>
        <v>-1822131.3701817994</v>
      </c>
      <c r="R365">
        <f t="shared" si="971"/>
        <v>2675634.9620075724</v>
      </c>
      <c r="S365">
        <f t="shared" si="972"/>
        <v>26.756349620075724</v>
      </c>
      <c r="T365">
        <f t="shared" si="973"/>
        <v>2.6756349620075726E-2</v>
      </c>
    </row>
    <row r="366" spans="1:20" x14ac:dyDescent="0.25">
      <c r="A366" s="5">
        <v>44227</v>
      </c>
      <c r="B366">
        <v>0.29799999999999999</v>
      </c>
      <c r="C366">
        <v>0.32129999999999997</v>
      </c>
      <c r="D366">
        <v>0.2833</v>
      </c>
      <c r="E366">
        <v>0.29070000000000001</v>
      </c>
      <c r="F366">
        <v>26593050.219999999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-0.61052631578947258</v>
      </c>
      <c r="Q366">
        <f t="shared" si="970"/>
        <v>-16235756.976421023</v>
      </c>
      <c r="R366">
        <f t="shared" si="971"/>
        <v>4497766.3321893718</v>
      </c>
      <c r="S366">
        <f t="shared" si="972"/>
        <v>44.977663321893715</v>
      </c>
      <c r="T366">
        <f t="shared" si="973"/>
        <v>4.4977663321893714E-2</v>
      </c>
    </row>
    <row r="367" spans="1:20" x14ac:dyDescent="0.25">
      <c r="A367" s="5">
        <v>44226</v>
      </c>
      <c r="B367">
        <v>0.2878</v>
      </c>
      <c r="C367">
        <v>0.34799999999999998</v>
      </c>
      <c r="D367">
        <v>0.28299999999999997</v>
      </c>
      <c r="E367">
        <v>0.29799999999999999</v>
      </c>
      <c r="F367">
        <v>47977142.590000004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-0.5384615384615381</v>
      </c>
      <c r="Q367">
        <f t="shared" si="970"/>
        <v>-25833846.009999983</v>
      </c>
      <c r="R367">
        <f t="shared" si="971"/>
        <v>20733523.308610395</v>
      </c>
      <c r="S367">
        <f t="shared" si="972"/>
        <v>207.33523308610395</v>
      </c>
      <c r="T367">
        <f t="shared" si="973"/>
        <v>0.20733523308610396</v>
      </c>
    </row>
    <row r="368" spans="1:20" x14ac:dyDescent="0.25">
      <c r="A368" s="5">
        <v>44225</v>
      </c>
      <c r="B368">
        <v>0.3009</v>
      </c>
      <c r="C368">
        <v>0.32100000000000001</v>
      </c>
      <c r="D368">
        <v>0.252</v>
      </c>
      <c r="E368">
        <v>0.28799999999999998</v>
      </c>
      <c r="F368">
        <v>74611336.579999998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4.3478260869564446E-2</v>
      </c>
      <c r="Q368">
        <f t="shared" si="970"/>
        <v>3243971.1556521161</v>
      </c>
      <c r="R368">
        <f t="shared" si="971"/>
        <v>46567369.318610378</v>
      </c>
      <c r="S368">
        <f t="shared" si="972"/>
        <v>465.67369318610378</v>
      </c>
      <c r="T368">
        <f t="shared" si="973"/>
        <v>0.4656736931861038</v>
      </c>
    </row>
    <row r="369" spans="1:20" x14ac:dyDescent="0.25">
      <c r="A369" s="5">
        <v>44224</v>
      </c>
      <c r="B369">
        <v>0.43120000000000003</v>
      </c>
      <c r="C369">
        <v>0.43140000000000001</v>
      </c>
      <c r="D369">
        <v>0.29189999999999999</v>
      </c>
      <c r="E369">
        <v>0.30120000000000002</v>
      </c>
      <c r="F369">
        <v>156658865.88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-0.86666666666666625</v>
      </c>
      <c r="Q369">
        <f t="shared" si="970"/>
        <v>-135771017.09599993</v>
      </c>
      <c r="R369">
        <f t="shared" si="971"/>
        <v>43323398.162958264</v>
      </c>
      <c r="S369">
        <f t="shared" si="972"/>
        <v>433.23398162958262</v>
      </c>
      <c r="T369">
        <f t="shared" si="973"/>
        <v>0.4332339816295826</v>
      </c>
    </row>
    <row r="370" spans="1:20" x14ac:dyDescent="0.25">
      <c r="A370" s="5">
        <v>44223</v>
      </c>
      <c r="B370">
        <v>0.16980000000000001</v>
      </c>
      <c r="C370">
        <v>0.5</v>
      </c>
      <c r="D370">
        <v>0.16980000000000001</v>
      </c>
      <c r="E370">
        <v>0.43099999999999999</v>
      </c>
      <c r="F370">
        <v>307684578.13999999</v>
      </c>
      <c r="G370">
        <v>0</v>
      </c>
      <c r="P370">
        <f t="shared" si="969"/>
        <v>0.58207147183525132</v>
      </c>
      <c r="Q370">
        <f t="shared" si="970"/>
        <v>179094415.25895819</v>
      </c>
      <c r="R370">
        <f t="shared" si="971"/>
        <v>179094415.25895819</v>
      </c>
      <c r="S370">
        <f t="shared" si="972"/>
        <v>1790.944152589582</v>
      </c>
      <c r="T370">
        <f t="shared" si="973"/>
        <v>1.790944152589582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J622" sqref="GJ62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$A$621</v>
      </c>
      <c r="D111" s="1" t="str">
        <f>ADDRESS(C121-1,D121,1,1)</f>
        <v>$GJ$621</v>
      </c>
      <c r="E111"/>
    </row>
    <row r="112" spans="1:5" x14ac:dyDescent="0.25">
      <c r="A112" s="7">
        <v>12164.144957890772</v>
      </c>
      <c r="C112" s="1" t="str">
        <f>ADDRESS(C121,1,1,1)</f>
        <v>$A$622</v>
      </c>
      <c r="D112" s="1" t="str">
        <f>ADDRESS(C121,D121-1,1,1)</f>
        <v>$GI$622</v>
      </c>
      <c r="E112"/>
    </row>
    <row r="113" spans="1:5" x14ac:dyDescent="0.25">
      <c r="A113" s="7">
        <v>11925.63231165762</v>
      </c>
      <c r="C113" s="1" t="str">
        <f>ADDRESS(C121+1,1,1,1)</f>
        <v>$A$623</v>
      </c>
      <c r="D113" s="1" t="str">
        <f>ADDRESS(C121-1,D121+1,1,1)</f>
        <v>$GK$621</v>
      </c>
    </row>
    <row r="114" spans="1:5" x14ac:dyDescent="0.25">
      <c r="A114" s="7">
        <v>11691.796383978059</v>
      </c>
      <c r="C114" s="1" t="str">
        <f>ADDRESS(C121,D121,1,1)</f>
        <v>$GJ$622</v>
      </c>
      <c r="D114" s="1" t="str">
        <f>ADDRESS(C121+1,D121+1,1,1)</f>
        <v>$GK$623</v>
      </c>
    </row>
    <row r="115" spans="1:5" x14ac:dyDescent="0.25">
      <c r="A115" s="7">
        <v>11462.545474488292</v>
      </c>
      <c r="C115" s="1" t="str">
        <f>ADDRESS(C121+1,D121,1,1)</f>
        <v>$GJ$623</v>
      </c>
    </row>
    <row r="116" spans="1:5" x14ac:dyDescent="0.25">
      <c r="A116" s="7">
        <v>11237.789680870874</v>
      </c>
      <c r="C116" s="1">
        <f>C117-1</f>
        <v>621</v>
      </c>
    </row>
    <row r="117" spans="1:5" x14ac:dyDescent="0.25">
      <c r="A117" s="7">
        <v>11017.440863598895</v>
      </c>
      <c r="C117" s="1">
        <f>C121</f>
        <v>622</v>
      </c>
      <c r="D117" s="1">
        <f>D121</f>
        <v>192</v>
      </c>
    </row>
    <row r="118" spans="1:5" x14ac:dyDescent="0.25">
      <c r="A118" s="7">
        <v>10801.412611371465</v>
      </c>
      <c r="C118" s="1">
        <f>C117+1</f>
        <v>623</v>
      </c>
      <c r="D118" s="1">
        <f>D117+1</f>
        <v>193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622</v>
      </c>
      <c r="D121" s="19">
        <v>192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R622</v>
      </c>
      <c r="D123" s="1" t="str">
        <f>"C"&amp;D121</f>
        <v>C192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0.50002761335929735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166" x14ac:dyDescent="0.25">
      <c r="A561" s="7">
        <v>1.6734181143540252</v>
      </c>
      <c r="B561"/>
      <c r="C561"/>
      <c r="D561"/>
      <c r="E561"/>
    </row>
    <row r="562" spans="1:166" x14ac:dyDescent="0.25">
      <c r="A562" s="7">
        <v>1.6406059944647307</v>
      </c>
      <c r="B562"/>
      <c r="C562"/>
      <c r="D562"/>
      <c r="E562"/>
      <c r="DG562" s="27" t="s">
        <v>8</v>
      </c>
    </row>
    <row r="563" spans="1:166" x14ac:dyDescent="0.25">
      <c r="A563" s="7">
        <v>1.6084372494752261</v>
      </c>
      <c r="B563"/>
      <c r="C563"/>
      <c r="D563"/>
      <c r="E563"/>
      <c r="DG563" s="27" t="s">
        <v>8</v>
      </c>
      <c r="DH563" s="27" t="s">
        <v>7</v>
      </c>
    </row>
    <row r="564" spans="1:166" x14ac:dyDescent="0.25">
      <c r="A564" s="7">
        <v>1.5768992641913981</v>
      </c>
      <c r="B564"/>
      <c r="C564"/>
      <c r="D564"/>
      <c r="E564"/>
      <c r="DG564" s="27" t="s">
        <v>8</v>
      </c>
      <c r="DH564" s="27" t="s">
        <v>7</v>
      </c>
    </row>
    <row r="565" spans="1:166" x14ac:dyDescent="0.25">
      <c r="A565" s="7">
        <v>1.5459796707758806</v>
      </c>
      <c r="B565"/>
      <c r="C565"/>
      <c r="D565"/>
      <c r="E565"/>
      <c r="DG565" s="27" t="s">
        <v>8</v>
      </c>
      <c r="DH565" s="27" t="s">
        <v>7</v>
      </c>
    </row>
    <row r="566" spans="1:166" x14ac:dyDescent="0.25">
      <c r="A566" s="7">
        <v>1.5156663438979221</v>
      </c>
      <c r="B566"/>
      <c r="C566"/>
      <c r="D566"/>
      <c r="E566"/>
      <c r="DG566" s="27" t="s">
        <v>8</v>
      </c>
      <c r="DH566" s="27" t="s">
        <v>7</v>
      </c>
      <c r="DI566" s="27" t="s">
        <v>8</v>
      </c>
    </row>
    <row r="567" spans="1:166" x14ac:dyDescent="0.25">
      <c r="A567" s="7">
        <v>1.4859473959783549</v>
      </c>
      <c r="B567"/>
      <c r="C567"/>
      <c r="D567"/>
      <c r="E567"/>
      <c r="DG567" s="27" t="s">
        <v>8</v>
      </c>
      <c r="DH567" s="27" t="s">
        <v>7</v>
      </c>
      <c r="DI567" s="27" t="s">
        <v>8</v>
      </c>
      <c r="DJ567" s="27" t="s">
        <v>7</v>
      </c>
    </row>
    <row r="568" spans="1:166" x14ac:dyDescent="0.25">
      <c r="A568" s="7">
        <v>1.4568111725277988</v>
      </c>
      <c r="B568"/>
      <c r="C568"/>
      <c r="D568"/>
      <c r="E568"/>
      <c r="DG568" s="27" t="s">
        <v>8</v>
      </c>
      <c r="DH568" s="27" t="s">
        <v>7</v>
      </c>
      <c r="DI568" s="27" t="s">
        <v>8</v>
      </c>
      <c r="DJ568" s="27" t="s">
        <v>7</v>
      </c>
    </row>
    <row r="569" spans="1:166" x14ac:dyDescent="0.25">
      <c r="A569" s="7">
        <v>1.4282462475762734</v>
      </c>
      <c r="B569"/>
      <c r="C569"/>
      <c r="D569"/>
      <c r="E569"/>
      <c r="DG569" s="27" t="s">
        <v>8</v>
      </c>
      <c r="DH569" s="27" t="s">
        <v>7</v>
      </c>
      <c r="DI569" s="27" t="s">
        <v>8</v>
      </c>
      <c r="DJ569" s="27" t="s">
        <v>7</v>
      </c>
      <c r="EE569" s="27" t="s">
        <v>8</v>
      </c>
    </row>
    <row r="570" spans="1:166" x14ac:dyDescent="0.25">
      <c r="A570" s="7">
        <v>1.4002414191924248</v>
      </c>
      <c r="B570"/>
      <c r="C570"/>
      <c r="D570"/>
      <c r="E570"/>
      <c r="DG570" s="27" t="s">
        <v>8</v>
      </c>
      <c r="DH570" s="27" t="s">
        <v>7</v>
      </c>
      <c r="DI570" s="27" t="s">
        <v>8</v>
      </c>
      <c r="DJ570" s="27" t="s">
        <v>7</v>
      </c>
      <c r="EE570" s="27" t="s">
        <v>8</v>
      </c>
      <c r="EF570" s="27" t="s">
        <v>7</v>
      </c>
    </row>
    <row r="571" spans="1:166" x14ac:dyDescent="0.25">
      <c r="A571" s="7">
        <v>1.3727857050906125</v>
      </c>
      <c r="B571"/>
      <c r="C571"/>
      <c r="D571"/>
      <c r="E571"/>
      <c r="DG571" s="27" t="s">
        <v>8</v>
      </c>
      <c r="DH571" s="27" t="s">
        <v>7</v>
      </c>
      <c r="DI571" s="27" t="s">
        <v>8</v>
      </c>
      <c r="DJ571" s="27" t="s">
        <v>7</v>
      </c>
      <c r="DM571" s="27" t="s">
        <v>8</v>
      </c>
      <c r="EE571" s="27" t="s">
        <v>8</v>
      </c>
      <c r="EF571" s="27" t="s">
        <v>7</v>
      </c>
      <c r="EU571" s="27" t="s">
        <v>8</v>
      </c>
    </row>
    <row r="572" spans="1:166" x14ac:dyDescent="0.25">
      <c r="A572" s="7">
        <v>1.3458683383241299</v>
      </c>
      <c r="B572"/>
      <c r="C572"/>
      <c r="D572"/>
      <c r="E572"/>
      <c r="DG572" s="27" t="s">
        <v>8</v>
      </c>
      <c r="DH572" s="27" t="s">
        <v>7</v>
      </c>
      <c r="DI572" s="27" t="s">
        <v>8</v>
      </c>
      <c r="DJ572" s="27" t="s">
        <v>7</v>
      </c>
      <c r="DM572" s="27" t="s">
        <v>8</v>
      </c>
      <c r="DN572" s="27" t="s">
        <v>7</v>
      </c>
      <c r="EE572" s="27" t="s">
        <v>8</v>
      </c>
      <c r="EF572" s="27" t="s">
        <v>7</v>
      </c>
      <c r="EU572" s="27" t="s">
        <v>8</v>
      </c>
      <c r="EV572" s="27" t="s">
        <v>7</v>
      </c>
      <c r="EW572" s="27" t="s">
        <v>8</v>
      </c>
    </row>
    <row r="573" spans="1:166" x14ac:dyDescent="0.25">
      <c r="A573" s="7">
        <v>1.3194787630628724</v>
      </c>
      <c r="B573"/>
      <c r="C573"/>
      <c r="D573"/>
      <c r="E573"/>
      <c r="DG573" s="27" t="s">
        <v>8</v>
      </c>
      <c r="DH573" s="27" t="s">
        <v>7</v>
      </c>
      <c r="DI573" s="27" t="s">
        <v>8</v>
      </c>
      <c r="DJ573" s="27" t="s">
        <v>7</v>
      </c>
      <c r="DM573" s="27" t="s">
        <v>8</v>
      </c>
      <c r="DN573" s="27" t="s">
        <v>7</v>
      </c>
      <c r="EE573" s="27" t="s">
        <v>8</v>
      </c>
      <c r="EF573" s="27" t="s">
        <v>7</v>
      </c>
      <c r="EU573" s="27" t="s">
        <v>8</v>
      </c>
      <c r="EV573" s="27" t="s">
        <v>7</v>
      </c>
      <c r="EW573" s="27" t="s">
        <v>8</v>
      </c>
      <c r="EX573" s="27" t="s">
        <v>7</v>
      </c>
    </row>
    <row r="574" spans="1:166" x14ac:dyDescent="0.25">
      <c r="A574" s="7">
        <v>1.2936066304537963</v>
      </c>
      <c r="B574"/>
      <c r="C574"/>
      <c r="D574"/>
      <c r="E574"/>
      <c r="BA574" s="27" t="s">
        <v>8</v>
      </c>
      <c r="DG574" s="27" t="s">
        <v>8</v>
      </c>
      <c r="DH574" s="27" t="s">
        <v>7</v>
      </c>
      <c r="DI574" s="27" t="s">
        <v>8</v>
      </c>
      <c r="DJ574" s="27" t="s">
        <v>7</v>
      </c>
      <c r="DM574" s="27" t="s">
        <v>8</v>
      </c>
      <c r="DN574" s="27" t="s">
        <v>7</v>
      </c>
      <c r="EE574" s="27" t="s">
        <v>8</v>
      </c>
      <c r="EF574" s="27" t="s">
        <v>7</v>
      </c>
      <c r="EO574" s="27" t="s">
        <v>8</v>
      </c>
      <c r="EU574" s="27" t="s">
        <v>8</v>
      </c>
      <c r="EV574" s="27" t="s">
        <v>7</v>
      </c>
      <c r="EW574" s="27" t="s">
        <v>8</v>
      </c>
      <c r="EX574" s="27" t="s">
        <v>7</v>
      </c>
    </row>
    <row r="575" spans="1:166" x14ac:dyDescent="0.25">
      <c r="A575" s="7">
        <v>1.2682417945625455</v>
      </c>
      <c r="B575"/>
      <c r="C575"/>
      <c r="D575"/>
      <c r="E575"/>
      <c r="BA575" s="27" t="s">
        <v>8</v>
      </c>
      <c r="BB575" s="27" t="s">
        <v>7</v>
      </c>
      <c r="DG575" s="27" t="s">
        <v>8</v>
      </c>
      <c r="DH575" s="27" t="s">
        <v>7</v>
      </c>
      <c r="DI575" s="27" t="s">
        <v>8</v>
      </c>
      <c r="DJ575" s="27" t="s">
        <v>7</v>
      </c>
      <c r="DK575" s="27" t="s">
        <v>8</v>
      </c>
      <c r="DM575" s="27" t="s">
        <v>8</v>
      </c>
      <c r="DN575" s="27" t="s">
        <v>7</v>
      </c>
      <c r="EE575" s="27" t="s">
        <v>8</v>
      </c>
      <c r="EF575" s="27" t="s">
        <v>7</v>
      </c>
      <c r="EO575" s="27" t="s">
        <v>8</v>
      </c>
      <c r="EP575" s="27" t="s">
        <v>7</v>
      </c>
      <c r="EU575" s="27" t="s">
        <v>8</v>
      </c>
      <c r="EV575" s="27" t="s">
        <v>7</v>
      </c>
      <c r="EW575" s="27" t="s">
        <v>8</v>
      </c>
      <c r="EX575" s="27" t="s">
        <v>7</v>
      </c>
      <c r="FI575" s="27" t="s">
        <v>8</v>
      </c>
    </row>
    <row r="576" spans="1:166" x14ac:dyDescent="0.25">
      <c r="A576" s="7">
        <v>1.2433743083946525</v>
      </c>
      <c r="B576"/>
      <c r="C576"/>
      <c r="D576"/>
      <c r="E576"/>
      <c r="BA576" s="27" t="s">
        <v>8</v>
      </c>
      <c r="BB576" s="27" t="s">
        <v>7</v>
      </c>
      <c r="DG576" s="27" t="s">
        <v>8</v>
      </c>
      <c r="DH576" s="27" t="s">
        <v>7</v>
      </c>
      <c r="DI576" s="27" t="s">
        <v>8</v>
      </c>
      <c r="DJ576" s="27" t="s">
        <v>7</v>
      </c>
      <c r="DK576" s="27" t="s">
        <v>8</v>
      </c>
      <c r="DL576" s="27" t="s">
        <v>7</v>
      </c>
      <c r="DM576" s="27" t="s">
        <v>8</v>
      </c>
      <c r="DN576" s="27" t="s">
        <v>7</v>
      </c>
      <c r="DO576" s="27" t="s">
        <v>8</v>
      </c>
      <c r="EE576" s="27" t="s">
        <v>8</v>
      </c>
      <c r="EF576" s="27" t="s">
        <v>7</v>
      </c>
      <c r="EO576" s="27" t="s">
        <v>8</v>
      </c>
      <c r="EP576" s="27" t="s">
        <v>7</v>
      </c>
      <c r="EU576" s="27" t="s">
        <v>8</v>
      </c>
      <c r="EV576" s="27" t="s">
        <v>7</v>
      </c>
      <c r="EX576" s="27" t="s">
        <v>7</v>
      </c>
      <c r="FI576" s="27" t="s">
        <v>8</v>
      </c>
      <c r="FJ576" s="27" t="s">
        <v>7</v>
      </c>
    </row>
    <row r="577" spans="1:166" x14ac:dyDescent="0.25">
      <c r="A577" s="7">
        <v>1.2189944199947573</v>
      </c>
      <c r="B577"/>
      <c r="C577"/>
      <c r="D577"/>
      <c r="E577"/>
      <c r="BA577" s="27" t="s">
        <v>8</v>
      </c>
      <c r="BB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L577" s="27" t="s">
        <v>7</v>
      </c>
      <c r="DM577" s="27" t="s">
        <v>8</v>
      </c>
      <c r="DN577" s="27" t="s">
        <v>7</v>
      </c>
      <c r="DO577" s="27" t="s">
        <v>8</v>
      </c>
      <c r="DP577" s="27" t="s">
        <v>7</v>
      </c>
      <c r="EE577" s="27" t="s">
        <v>8</v>
      </c>
      <c r="EF577" s="27" t="s">
        <v>7</v>
      </c>
      <c r="EO577" s="27" t="s">
        <v>8</v>
      </c>
      <c r="EP577" s="27" t="s">
        <v>7</v>
      </c>
      <c r="ES577" s="27" t="s">
        <v>8</v>
      </c>
      <c r="EU577" s="27" t="s">
        <v>8</v>
      </c>
      <c r="EX577" s="27" t="s">
        <v>7</v>
      </c>
      <c r="EY577" s="27" t="s">
        <v>8</v>
      </c>
      <c r="FA577" s="27" t="s">
        <v>8</v>
      </c>
      <c r="FI577" s="27" t="s">
        <v>8</v>
      </c>
      <c r="FJ577" s="27" t="s">
        <v>7</v>
      </c>
    </row>
    <row r="578" spans="1:166" x14ac:dyDescent="0.25">
      <c r="A578" s="7">
        <v>1.1950925686223111</v>
      </c>
      <c r="B578"/>
      <c r="C578"/>
      <c r="D578"/>
      <c r="E578"/>
      <c r="BA578" s="27" t="s">
        <v>8</v>
      </c>
      <c r="BB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K578" s="27" t="s">
        <v>8</v>
      </c>
      <c r="DL578" s="27" t="s">
        <v>7</v>
      </c>
      <c r="DM578" s="27" t="s">
        <v>8</v>
      </c>
      <c r="DN578" s="27" t="s">
        <v>7</v>
      </c>
      <c r="DO578" s="27" t="s">
        <v>8</v>
      </c>
      <c r="DP578" s="27" t="s">
        <v>7</v>
      </c>
      <c r="EE578" s="27" t="s">
        <v>8</v>
      </c>
      <c r="EF578" s="27" t="s">
        <v>7</v>
      </c>
      <c r="EO578" s="27" t="s">
        <v>8</v>
      </c>
      <c r="EP578" s="27" t="s">
        <v>7</v>
      </c>
      <c r="EQ578" s="27" t="s">
        <v>8</v>
      </c>
      <c r="ES578" s="27" t="s">
        <v>8</v>
      </c>
      <c r="ET578" s="27" t="s">
        <v>7</v>
      </c>
      <c r="EU578" s="27" t="s">
        <v>8</v>
      </c>
      <c r="EX578" s="27" t="s">
        <v>7</v>
      </c>
      <c r="EY578" s="27" t="s">
        <v>8</v>
      </c>
      <c r="EZ578" s="27" t="s">
        <v>7</v>
      </c>
      <c r="FA578" s="27" t="s">
        <v>8</v>
      </c>
      <c r="FB578" s="27" t="s">
        <v>7</v>
      </c>
      <c r="FC578" s="27" t="s">
        <v>8</v>
      </c>
      <c r="FI578" s="27" t="s">
        <v>8</v>
      </c>
      <c r="FJ578" s="27" t="s">
        <v>7</v>
      </c>
    </row>
    <row r="579" spans="1:166" x14ac:dyDescent="0.25">
      <c r="A579" s="7">
        <v>1.1716593810022657</v>
      </c>
      <c r="B579"/>
      <c r="C579"/>
      <c r="D579"/>
      <c r="E579"/>
      <c r="BA579" s="27" t="s">
        <v>8</v>
      </c>
      <c r="BB579" s="27" t="s">
        <v>7</v>
      </c>
      <c r="DG579" s="27" t="s">
        <v>8</v>
      </c>
      <c r="DH579" s="27" t="s">
        <v>7</v>
      </c>
      <c r="DI579" s="27" t="s">
        <v>8</v>
      </c>
      <c r="DJ579" s="27" t="s">
        <v>7</v>
      </c>
      <c r="DK579" s="27" t="s">
        <v>8</v>
      </c>
      <c r="DL579" s="27" t="s">
        <v>7</v>
      </c>
      <c r="DM579" s="27" t="s">
        <v>8</v>
      </c>
      <c r="DN579" s="27" t="s">
        <v>7</v>
      </c>
      <c r="DP579" s="27" t="s">
        <v>7</v>
      </c>
      <c r="EE579" s="27" t="s">
        <v>8</v>
      </c>
      <c r="EF579" s="27" t="s">
        <v>7</v>
      </c>
      <c r="EO579" s="27" t="s">
        <v>8</v>
      </c>
      <c r="EP579" s="27" t="s">
        <v>7</v>
      </c>
      <c r="EQ579" s="27" t="s">
        <v>8</v>
      </c>
      <c r="ER579" s="27" t="s">
        <v>7</v>
      </c>
      <c r="ES579" s="27" t="s">
        <v>8</v>
      </c>
      <c r="ET579" s="27" t="s">
        <v>7</v>
      </c>
      <c r="EU579" s="27" t="s">
        <v>8</v>
      </c>
      <c r="EX579" s="27" t="s">
        <v>7</v>
      </c>
      <c r="EY579" s="27" t="s">
        <v>8</v>
      </c>
      <c r="EZ579" s="27" t="s">
        <v>7</v>
      </c>
      <c r="FA579" s="27" t="s">
        <v>8</v>
      </c>
      <c r="FB579" s="27" t="s">
        <v>7</v>
      </c>
      <c r="FC579" s="27" t="s">
        <v>8</v>
      </c>
      <c r="FD579" s="27" t="s">
        <v>7</v>
      </c>
      <c r="FI579" s="27" t="s">
        <v>8</v>
      </c>
      <c r="FJ579" s="27" t="s">
        <v>7</v>
      </c>
    </row>
    <row r="580" spans="1:166" x14ac:dyDescent="0.25">
      <c r="A580" s="7">
        <v>1.14868566764928</v>
      </c>
      <c r="B580"/>
      <c r="C580"/>
      <c r="D580"/>
      <c r="E580"/>
      <c r="BA580" s="27" t="s">
        <v>8</v>
      </c>
      <c r="BB580" s="27" t="s">
        <v>7</v>
      </c>
      <c r="BG580" s="27" t="s">
        <v>8</v>
      </c>
      <c r="DG580" s="27" t="s">
        <v>8</v>
      </c>
      <c r="DH580" s="27" t="s">
        <v>7</v>
      </c>
      <c r="DI580" s="27" t="s">
        <v>8</v>
      </c>
      <c r="DJ580" s="27" t="s">
        <v>7</v>
      </c>
      <c r="DK580" s="27" t="s">
        <v>8</v>
      </c>
      <c r="DL580" s="27" t="s">
        <v>7</v>
      </c>
      <c r="DM580" s="27" t="s">
        <v>8</v>
      </c>
      <c r="DP580" s="27" t="s">
        <v>7</v>
      </c>
      <c r="DQ580" s="27" t="s">
        <v>8</v>
      </c>
      <c r="DY580" s="27" t="s">
        <v>8</v>
      </c>
      <c r="EE580" s="27" t="s">
        <v>8</v>
      </c>
      <c r="EF580" s="27" t="s">
        <v>7</v>
      </c>
      <c r="EG580" s="27" t="s">
        <v>8</v>
      </c>
      <c r="EI580" s="27" t="s">
        <v>8</v>
      </c>
      <c r="EO580" s="27" t="s">
        <v>8</v>
      </c>
      <c r="EP580" s="27" t="s">
        <v>7</v>
      </c>
      <c r="EQ580" s="27" t="s">
        <v>8</v>
      </c>
      <c r="ER580" s="27" t="s">
        <v>7</v>
      </c>
      <c r="ES580" s="27" t="s">
        <v>8</v>
      </c>
      <c r="ET580" s="27" t="s">
        <v>7</v>
      </c>
      <c r="EU580" s="27" t="s">
        <v>8</v>
      </c>
      <c r="EX580" s="27" t="s">
        <v>7</v>
      </c>
      <c r="EY580" s="27" t="s">
        <v>8</v>
      </c>
      <c r="EZ580" s="27" t="s">
        <v>7</v>
      </c>
      <c r="FA580" s="27" t="s">
        <v>8</v>
      </c>
      <c r="FB580" s="27" t="s">
        <v>7</v>
      </c>
      <c r="FC580" s="27" t="s">
        <v>8</v>
      </c>
      <c r="FD580" s="27" t="s">
        <v>7</v>
      </c>
      <c r="FI580" s="27" t="s">
        <v>8</v>
      </c>
      <c r="FJ580" s="27" t="s">
        <v>7</v>
      </c>
    </row>
    <row r="581" spans="1:166" x14ac:dyDescent="0.25">
      <c r="A581" s="7">
        <v>1.1261624192640001</v>
      </c>
      <c r="B581"/>
      <c r="C581"/>
      <c r="D581"/>
      <c r="E581"/>
      <c r="BA581" s="27" t="s">
        <v>8</v>
      </c>
      <c r="BB581" s="27" t="s">
        <v>7</v>
      </c>
      <c r="BG581" s="27" t="s">
        <v>8</v>
      </c>
      <c r="BH581" s="27" t="s">
        <v>7</v>
      </c>
      <c r="DG581" s="27" t="s">
        <v>8</v>
      </c>
      <c r="DH581" s="27" t="s">
        <v>7</v>
      </c>
      <c r="DI581" s="27" t="s">
        <v>8</v>
      </c>
      <c r="DJ581" s="27" t="s">
        <v>7</v>
      </c>
      <c r="DL581" s="27" t="s">
        <v>7</v>
      </c>
      <c r="DP581" s="27" t="s">
        <v>7</v>
      </c>
      <c r="DQ581" s="27" t="s">
        <v>8</v>
      </c>
      <c r="DR581" s="27" t="s">
        <v>7</v>
      </c>
      <c r="DY581" s="27" t="s">
        <v>8</v>
      </c>
      <c r="DZ581" s="27" t="s">
        <v>7</v>
      </c>
      <c r="EE581" s="27" t="s">
        <v>8</v>
      </c>
      <c r="EF581" s="27" t="s">
        <v>7</v>
      </c>
      <c r="EG581" s="27" t="s">
        <v>8</v>
      </c>
      <c r="EH581" s="27" t="s">
        <v>7</v>
      </c>
      <c r="EI581" s="27" t="s">
        <v>8</v>
      </c>
      <c r="EJ581" s="27" t="s">
        <v>7</v>
      </c>
      <c r="EK581" s="27" t="s">
        <v>8</v>
      </c>
      <c r="EM581" s="27" t="s">
        <v>8</v>
      </c>
      <c r="EO581" s="27" t="s">
        <v>8</v>
      </c>
      <c r="EP581" s="27" t="s">
        <v>7</v>
      </c>
      <c r="ER581" s="27" t="s">
        <v>7</v>
      </c>
      <c r="ES581" s="27" t="s">
        <v>8</v>
      </c>
      <c r="ET581" s="27" t="s">
        <v>7</v>
      </c>
      <c r="EU581" s="27" t="s">
        <v>8</v>
      </c>
      <c r="EX581" s="27" t="s">
        <v>7</v>
      </c>
      <c r="EY581" s="27" t="s">
        <v>8</v>
      </c>
      <c r="EZ581" s="27" t="s">
        <v>7</v>
      </c>
      <c r="FA581" s="27" t="s">
        <v>8</v>
      </c>
      <c r="FB581" s="27" t="s">
        <v>7</v>
      </c>
      <c r="FC581" s="27" t="s">
        <v>8</v>
      </c>
      <c r="FD581" s="27" t="s">
        <v>7</v>
      </c>
      <c r="FI581" s="27" t="s">
        <v>8</v>
      </c>
      <c r="FJ581" s="27" t="s">
        <v>7</v>
      </c>
    </row>
    <row r="582" spans="1:166" x14ac:dyDescent="0.25">
      <c r="A582" s="7">
        <v>1.1040808032</v>
      </c>
      <c r="B582"/>
      <c r="C582"/>
      <c r="D582"/>
      <c r="E582"/>
      <c r="BA582" s="27" t="s">
        <v>8</v>
      </c>
      <c r="BB582" s="27" t="s">
        <v>7</v>
      </c>
      <c r="BG582" s="27" t="s">
        <v>8</v>
      </c>
      <c r="BH582" s="27" t="s">
        <v>7</v>
      </c>
      <c r="DG582" s="27" t="s">
        <v>8</v>
      </c>
      <c r="DH582" s="27" t="s">
        <v>7</v>
      </c>
      <c r="DI582" s="27" t="s">
        <v>8</v>
      </c>
      <c r="DP582" s="27" t="s">
        <v>7</v>
      </c>
      <c r="DQ582" s="27" t="s">
        <v>8</v>
      </c>
      <c r="DR582" s="27" t="s">
        <v>7</v>
      </c>
      <c r="DY582" s="27" t="s">
        <v>8</v>
      </c>
      <c r="DZ582" s="27" t="s">
        <v>7</v>
      </c>
      <c r="EA582" s="27" t="s">
        <v>8</v>
      </c>
      <c r="EC582" s="27" t="s">
        <v>8</v>
      </c>
      <c r="EE582" s="27" t="s">
        <v>8</v>
      </c>
      <c r="EF582" s="27" t="s">
        <v>7</v>
      </c>
      <c r="EG582" s="27" t="s">
        <v>8</v>
      </c>
      <c r="EH582" s="27" t="s">
        <v>7</v>
      </c>
      <c r="EI582" s="27" t="s">
        <v>8</v>
      </c>
      <c r="EJ582" s="27" t="s">
        <v>7</v>
      </c>
      <c r="EK582" s="27" t="s">
        <v>8</v>
      </c>
      <c r="EL582" s="27" t="s">
        <v>7</v>
      </c>
      <c r="EM582" s="27" t="s">
        <v>8</v>
      </c>
      <c r="EN582" s="27" t="s">
        <v>7</v>
      </c>
      <c r="EO582" s="27" t="s">
        <v>8</v>
      </c>
      <c r="ER582" s="27" t="s">
        <v>7</v>
      </c>
      <c r="ET582" s="27" t="s">
        <v>7</v>
      </c>
      <c r="EU582" s="27" t="s">
        <v>8</v>
      </c>
      <c r="EX582" s="27" t="s">
        <v>7</v>
      </c>
      <c r="EY582" s="27" t="s">
        <v>8</v>
      </c>
      <c r="EZ582" s="27" t="s">
        <v>7</v>
      </c>
      <c r="FA582" s="27" t="s">
        <v>8</v>
      </c>
      <c r="FB582" s="27" t="s">
        <v>7</v>
      </c>
      <c r="FD582" s="27" t="s">
        <v>7</v>
      </c>
      <c r="FI582" s="27" t="s">
        <v>8</v>
      </c>
      <c r="FJ582" s="27" t="s">
        <v>7</v>
      </c>
    </row>
    <row r="583" spans="1:166" x14ac:dyDescent="0.25">
      <c r="A583" s="7">
        <v>1.08243216</v>
      </c>
      <c r="B583"/>
      <c r="C583"/>
      <c r="D583"/>
      <c r="E583"/>
      <c r="BA583" s="27" t="s">
        <v>8</v>
      </c>
      <c r="BB583" s="27" t="s">
        <v>7</v>
      </c>
      <c r="BC583" s="27" t="s">
        <v>8</v>
      </c>
      <c r="BG583" s="27" t="s">
        <v>8</v>
      </c>
      <c r="BH583" s="27" t="s">
        <v>7</v>
      </c>
      <c r="DG583" s="27" t="s">
        <v>8</v>
      </c>
      <c r="DH583" s="27" t="s">
        <v>7</v>
      </c>
      <c r="DI583" s="27" t="s">
        <v>8</v>
      </c>
      <c r="DP583" s="27" t="s">
        <v>7</v>
      </c>
      <c r="DQ583" s="27" t="s">
        <v>8</v>
      </c>
      <c r="DR583" s="27" t="s">
        <v>7</v>
      </c>
      <c r="DY583" s="27" t="s">
        <v>8</v>
      </c>
      <c r="DZ583" s="27" t="s">
        <v>7</v>
      </c>
      <c r="EA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EI583" s="27" t="s">
        <v>8</v>
      </c>
      <c r="EJ583" s="27" t="s">
        <v>7</v>
      </c>
      <c r="EK583" s="27" t="s">
        <v>8</v>
      </c>
      <c r="EL583" s="27" t="s">
        <v>7</v>
      </c>
      <c r="EM583" s="27" t="s">
        <v>8</v>
      </c>
      <c r="EN583" s="27" t="s">
        <v>7</v>
      </c>
      <c r="EO583" s="27" t="s">
        <v>8</v>
      </c>
      <c r="ET583" s="27" t="s">
        <v>7</v>
      </c>
      <c r="EU583" s="27" t="s">
        <v>8</v>
      </c>
      <c r="EX583" s="27" t="s">
        <v>7</v>
      </c>
      <c r="EZ583" s="27" t="s">
        <v>7</v>
      </c>
      <c r="FA583" s="27" t="s">
        <v>8</v>
      </c>
      <c r="FD583" s="27" t="s">
        <v>7</v>
      </c>
      <c r="FE583" s="27" t="s">
        <v>8</v>
      </c>
      <c r="FG583" s="27" t="s">
        <v>8</v>
      </c>
      <c r="FI583" s="27" t="s">
        <v>8</v>
      </c>
      <c r="FJ583" s="27" t="s">
        <v>7</v>
      </c>
    </row>
    <row r="584" spans="1:166" x14ac:dyDescent="0.25">
      <c r="A584" s="7">
        <v>1.0612079999999999</v>
      </c>
      <c r="B584"/>
      <c r="C584"/>
      <c r="D584"/>
      <c r="E584"/>
      <c r="BA584" s="27" t="s">
        <v>8</v>
      </c>
      <c r="BB584" s="27" t="s">
        <v>7</v>
      </c>
      <c r="BC584" s="27" t="s">
        <v>8</v>
      </c>
      <c r="BD584" s="27" t="s">
        <v>7</v>
      </c>
      <c r="BG584" s="27" t="s">
        <v>8</v>
      </c>
      <c r="BH584" s="27" t="s">
        <v>7</v>
      </c>
      <c r="DG584" s="27" t="s">
        <v>8</v>
      </c>
      <c r="DH584" s="27" t="s">
        <v>7</v>
      </c>
      <c r="DI584" s="27" t="s">
        <v>8</v>
      </c>
      <c r="DP584" s="27" t="s">
        <v>7</v>
      </c>
      <c r="DQ584" s="27" t="s">
        <v>8</v>
      </c>
      <c r="DR584" s="27" t="s">
        <v>7</v>
      </c>
      <c r="DS584" s="27" t="s">
        <v>8</v>
      </c>
      <c r="DY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H584" s="27" t="s">
        <v>7</v>
      </c>
      <c r="EJ584" s="27" t="s">
        <v>7</v>
      </c>
      <c r="EK584" s="27" t="s">
        <v>8</v>
      </c>
      <c r="EL584" s="27" t="s">
        <v>7</v>
      </c>
      <c r="EM584" s="27" t="s">
        <v>8</v>
      </c>
      <c r="EN584" s="27" t="s">
        <v>7</v>
      </c>
      <c r="EO584" s="27" t="s">
        <v>8</v>
      </c>
      <c r="ET584" s="27" t="s">
        <v>7</v>
      </c>
      <c r="EZ584" s="27" t="s">
        <v>7</v>
      </c>
      <c r="FD584" s="27" t="s">
        <v>7</v>
      </c>
      <c r="FE584" s="27" t="s">
        <v>8</v>
      </c>
      <c r="FF584" s="27" t="s">
        <v>7</v>
      </c>
      <c r="FG584" s="27" t="s">
        <v>8</v>
      </c>
      <c r="FH584" s="27" t="s">
        <v>7</v>
      </c>
      <c r="FI584" s="27" t="s">
        <v>8</v>
      </c>
      <c r="FJ584" s="27" t="s">
        <v>7</v>
      </c>
    </row>
    <row r="585" spans="1:166" x14ac:dyDescent="0.25">
      <c r="A585" s="7">
        <v>1.0404</v>
      </c>
      <c r="B585"/>
      <c r="C585"/>
      <c r="D585"/>
      <c r="E585"/>
      <c r="BA585" s="27" t="s">
        <v>8</v>
      </c>
      <c r="BB585" s="27" t="s">
        <v>7</v>
      </c>
      <c r="BC585" s="27" t="s">
        <v>8</v>
      </c>
      <c r="BD585" s="27" t="s">
        <v>7</v>
      </c>
      <c r="BG585" s="27" t="s">
        <v>8</v>
      </c>
      <c r="BH585" s="27" t="s">
        <v>7</v>
      </c>
      <c r="DG585" s="27" t="s">
        <v>8</v>
      </c>
      <c r="DH585" s="27" t="s">
        <v>7</v>
      </c>
      <c r="DI585" s="27" t="s">
        <v>8</v>
      </c>
      <c r="DP585" s="27" t="s">
        <v>7</v>
      </c>
      <c r="DQ585" s="27" t="s">
        <v>8</v>
      </c>
      <c r="DR585" s="27" t="s">
        <v>7</v>
      </c>
      <c r="DS585" s="27" t="s">
        <v>8</v>
      </c>
      <c r="DT585" s="27" t="s">
        <v>7</v>
      </c>
      <c r="DU585" s="27" t="s">
        <v>8</v>
      </c>
      <c r="DY585" s="27" t="s">
        <v>8</v>
      </c>
      <c r="DZ585" s="27" t="s">
        <v>7</v>
      </c>
      <c r="EA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EJ585" s="27" t="s">
        <v>7</v>
      </c>
      <c r="EL585" s="27" t="s">
        <v>7</v>
      </c>
      <c r="EM585" s="27" t="s">
        <v>8</v>
      </c>
      <c r="EN585" s="27" t="s">
        <v>7</v>
      </c>
      <c r="FD585" s="27" t="s">
        <v>7</v>
      </c>
      <c r="FE585" s="27" t="s">
        <v>8</v>
      </c>
      <c r="FF585" s="27" t="s">
        <v>7</v>
      </c>
      <c r="FG585" s="27" t="s">
        <v>8</v>
      </c>
      <c r="FH585" s="27" t="s">
        <v>7</v>
      </c>
      <c r="FI585" s="27" t="s">
        <v>8</v>
      </c>
      <c r="FJ585" s="27" t="s">
        <v>7</v>
      </c>
    </row>
    <row r="586" spans="1:166" x14ac:dyDescent="0.25">
      <c r="A586" s="7">
        <v>1.02</v>
      </c>
      <c r="B586"/>
      <c r="C586"/>
      <c r="D586"/>
      <c r="E586"/>
      <c r="BA586" s="27" t="s">
        <v>8</v>
      </c>
      <c r="BB586" s="27" t="s">
        <v>7</v>
      </c>
      <c r="BC586" s="27" t="s">
        <v>8</v>
      </c>
      <c r="BD586" s="27" t="s">
        <v>7</v>
      </c>
      <c r="BE586" s="27" t="s">
        <v>8</v>
      </c>
      <c r="BG586" s="27" t="s">
        <v>8</v>
      </c>
      <c r="BH586" s="27" t="s">
        <v>7</v>
      </c>
      <c r="DG586" s="27" t="s">
        <v>8</v>
      </c>
      <c r="DH586" s="27" t="s">
        <v>7</v>
      </c>
      <c r="DI586" s="27" t="s">
        <v>8</v>
      </c>
      <c r="DP586" s="27" t="s">
        <v>7</v>
      </c>
      <c r="DQ586" s="27" t="s">
        <v>8</v>
      </c>
      <c r="DR586" s="27" t="s">
        <v>7</v>
      </c>
      <c r="DS586" s="27" t="s">
        <v>8</v>
      </c>
      <c r="DT586" s="27" t="s">
        <v>7</v>
      </c>
      <c r="DU586" s="27" t="s">
        <v>8</v>
      </c>
      <c r="DV586" s="27" t="s">
        <v>7</v>
      </c>
      <c r="DW586" s="27" t="s">
        <v>8</v>
      </c>
      <c r="DY586" s="27" t="s">
        <v>8</v>
      </c>
      <c r="DZ586" s="27" t="s">
        <v>7</v>
      </c>
      <c r="EB586" s="27" t="s">
        <v>7</v>
      </c>
      <c r="EC586" s="27" t="s">
        <v>8</v>
      </c>
      <c r="ED586" s="27" t="s">
        <v>7</v>
      </c>
      <c r="EE586" s="27" t="s">
        <v>8</v>
      </c>
      <c r="EL586" s="27" t="s">
        <v>7</v>
      </c>
      <c r="EM586" s="27" t="s">
        <v>8</v>
      </c>
      <c r="FD586" s="27" t="s">
        <v>7</v>
      </c>
      <c r="FF586" s="27" t="s">
        <v>7</v>
      </c>
      <c r="FG586" s="27" t="s">
        <v>8</v>
      </c>
      <c r="FH586" s="27" t="s">
        <v>7</v>
      </c>
      <c r="FI586" s="27" t="s">
        <v>8</v>
      </c>
      <c r="FJ586" s="27" t="s">
        <v>7</v>
      </c>
    </row>
    <row r="587" spans="1:166" x14ac:dyDescent="0.25">
      <c r="A587" s="7">
        <v>1</v>
      </c>
      <c r="B587"/>
      <c r="C587"/>
      <c r="D587"/>
      <c r="E587" s="29" t="s">
        <v>8</v>
      </c>
      <c r="BA587" s="27" t="s">
        <v>8</v>
      </c>
      <c r="BB587" s="27" t="s">
        <v>7</v>
      </c>
      <c r="BC587" s="27" t="s">
        <v>8</v>
      </c>
      <c r="BD587" s="27" t="s">
        <v>7</v>
      </c>
      <c r="BE587" s="27" t="s">
        <v>8</v>
      </c>
      <c r="BF587" s="27" t="s">
        <v>7</v>
      </c>
      <c r="BG587" s="27" t="s">
        <v>8</v>
      </c>
      <c r="BH587" s="27" t="s">
        <v>7</v>
      </c>
      <c r="DG587" s="27" t="s">
        <v>8</v>
      </c>
      <c r="DH587" s="27" t="s">
        <v>7</v>
      </c>
      <c r="DI587" s="27" t="s">
        <v>8</v>
      </c>
      <c r="DP587" s="27" t="s">
        <v>7</v>
      </c>
      <c r="DQ587" s="27" t="s">
        <v>8</v>
      </c>
      <c r="DR587" s="27" t="s">
        <v>7</v>
      </c>
      <c r="DT587" s="27" t="s">
        <v>7</v>
      </c>
      <c r="DU587" s="27" t="s">
        <v>8</v>
      </c>
      <c r="DV587" s="27" t="s">
        <v>7</v>
      </c>
      <c r="DW587" s="27" t="s">
        <v>8</v>
      </c>
      <c r="DX587" s="27" t="s">
        <v>7</v>
      </c>
      <c r="DY587" s="27" t="s">
        <v>8</v>
      </c>
      <c r="EB587" s="27" t="s">
        <v>7</v>
      </c>
      <c r="EC587" s="27" t="s">
        <v>8</v>
      </c>
      <c r="ED587" s="27" t="s">
        <v>7</v>
      </c>
      <c r="EE587" s="27" t="s">
        <v>8</v>
      </c>
      <c r="EL587" s="27" t="s">
        <v>7</v>
      </c>
      <c r="EM587" s="27" t="s">
        <v>8</v>
      </c>
      <c r="FF587" s="27" t="s">
        <v>7</v>
      </c>
      <c r="FG587" s="27" t="s">
        <v>8</v>
      </c>
      <c r="FH587" s="27" t="s">
        <v>7</v>
      </c>
      <c r="FJ587" s="27" t="s">
        <v>7</v>
      </c>
    </row>
    <row r="588" spans="1:166" x14ac:dyDescent="0.25">
      <c r="A588" s="7">
        <v>0.98039215686274506</v>
      </c>
      <c r="B588"/>
      <c r="C588"/>
      <c r="D588"/>
      <c r="E588"/>
      <c r="F588" s="27" t="s">
        <v>7</v>
      </c>
      <c r="BA588" s="27" t="s">
        <v>8</v>
      </c>
      <c r="BB588" s="27" t="s">
        <v>7</v>
      </c>
      <c r="BC588" s="27" t="s">
        <v>8</v>
      </c>
      <c r="BD588" s="27" t="s">
        <v>7</v>
      </c>
      <c r="BE588" s="27" t="s">
        <v>8</v>
      </c>
      <c r="BF588" s="27" t="s">
        <v>7</v>
      </c>
      <c r="BG588" s="27" t="s">
        <v>8</v>
      </c>
      <c r="BH588" s="27" t="s">
        <v>7</v>
      </c>
      <c r="DA588" s="27" t="s">
        <v>8</v>
      </c>
      <c r="DG588" s="27" t="s">
        <v>8</v>
      </c>
      <c r="DH588" s="27" t="s">
        <v>7</v>
      </c>
      <c r="DI588" s="27" t="s">
        <v>8</v>
      </c>
      <c r="DP588" s="27" t="s">
        <v>7</v>
      </c>
      <c r="DQ588" s="27" t="s">
        <v>8</v>
      </c>
      <c r="DT588" s="27" t="s">
        <v>7</v>
      </c>
      <c r="DU588" s="27" t="s">
        <v>8</v>
      </c>
      <c r="DV588" s="27" t="s">
        <v>7</v>
      </c>
      <c r="DW588" s="27" t="s">
        <v>8</v>
      </c>
      <c r="DX588" s="27" t="s">
        <v>7</v>
      </c>
      <c r="DY588" s="27" t="s">
        <v>8</v>
      </c>
      <c r="EB588" s="27" t="s">
        <v>7</v>
      </c>
      <c r="ED588" s="27" t="s">
        <v>7</v>
      </c>
      <c r="EE588" s="27" t="s">
        <v>8</v>
      </c>
      <c r="EL588" s="27" t="s">
        <v>7</v>
      </c>
      <c r="FF588" s="27" t="s">
        <v>7</v>
      </c>
      <c r="FJ588" s="27" t="s">
        <v>7</v>
      </c>
    </row>
    <row r="589" spans="1:166" x14ac:dyDescent="0.25">
      <c r="A589" s="7">
        <v>0.96116878123798544</v>
      </c>
      <c r="B589"/>
      <c r="C589"/>
      <c r="D589"/>
      <c r="E589"/>
      <c r="F589" s="27" t="s">
        <v>7</v>
      </c>
      <c r="BA589" s="27" t="s">
        <v>8</v>
      </c>
      <c r="BB589" s="27" t="s">
        <v>7</v>
      </c>
      <c r="BC589" s="27" t="s">
        <v>8</v>
      </c>
      <c r="BD589" s="27" t="s">
        <v>7</v>
      </c>
      <c r="BE589" s="27" t="s">
        <v>8</v>
      </c>
      <c r="BF589" s="27" t="s">
        <v>7</v>
      </c>
      <c r="BG589" s="27" t="s">
        <v>8</v>
      </c>
      <c r="BH589" s="27" t="s">
        <v>7</v>
      </c>
      <c r="DA589" s="27" t="s">
        <v>8</v>
      </c>
      <c r="DB589" s="27" t="s">
        <v>7</v>
      </c>
      <c r="DC589" s="27" t="s">
        <v>8</v>
      </c>
      <c r="DG589" s="27" t="s">
        <v>8</v>
      </c>
      <c r="DH589" s="27" t="s">
        <v>7</v>
      </c>
      <c r="DP589" s="27" t="s">
        <v>7</v>
      </c>
      <c r="DQ589" s="27" t="s">
        <v>8</v>
      </c>
      <c r="DT589" s="27" t="s">
        <v>7</v>
      </c>
      <c r="DU589" s="27" t="s">
        <v>8</v>
      </c>
      <c r="DV589" s="27" t="s">
        <v>7</v>
      </c>
      <c r="DW589" s="27" t="s">
        <v>8</v>
      </c>
      <c r="DX589" s="27" t="s">
        <v>7</v>
      </c>
      <c r="DY589" s="27" t="s">
        <v>8</v>
      </c>
      <c r="ED589" s="27" t="s">
        <v>7</v>
      </c>
      <c r="EE589" s="27" t="s">
        <v>8</v>
      </c>
      <c r="FJ589" s="27" t="s">
        <v>7</v>
      </c>
    </row>
    <row r="590" spans="1:166" x14ac:dyDescent="0.25">
      <c r="A590" s="7">
        <v>0.94232233454704462</v>
      </c>
      <c r="B590"/>
      <c r="C590"/>
      <c r="D590"/>
      <c r="E590"/>
      <c r="F590" s="27" t="s">
        <v>7</v>
      </c>
      <c r="BA590" s="27" t="s">
        <v>8</v>
      </c>
      <c r="BB590" s="27" t="s">
        <v>7</v>
      </c>
      <c r="BD590" s="27" t="s">
        <v>7</v>
      </c>
      <c r="BE590" s="27" t="s">
        <v>8</v>
      </c>
      <c r="BF590" s="27" t="s">
        <v>7</v>
      </c>
      <c r="BG590" s="27" t="s">
        <v>8</v>
      </c>
      <c r="BH590" s="27" t="s">
        <v>7</v>
      </c>
      <c r="BI590" s="27" t="s">
        <v>8</v>
      </c>
      <c r="DA590" s="27" t="s">
        <v>8</v>
      </c>
      <c r="DB590" s="27" t="s">
        <v>7</v>
      </c>
      <c r="DC590" s="27" t="s">
        <v>8</v>
      </c>
      <c r="DD590" s="27" t="s">
        <v>7</v>
      </c>
      <c r="DE590" s="27" t="s">
        <v>8</v>
      </c>
      <c r="DG590" s="27" t="s">
        <v>8</v>
      </c>
      <c r="DP590" s="27" t="s">
        <v>7</v>
      </c>
      <c r="DQ590" s="27" t="s">
        <v>8</v>
      </c>
      <c r="DT590" s="27" t="s">
        <v>7</v>
      </c>
      <c r="DU590" s="27" t="s">
        <v>8</v>
      </c>
      <c r="DV590" s="27" t="s">
        <v>7</v>
      </c>
      <c r="DW590" s="27" t="s">
        <v>8</v>
      </c>
      <c r="DX590" s="27" t="s">
        <v>7</v>
      </c>
      <c r="ED590" s="27" t="s">
        <v>7</v>
      </c>
      <c r="FJ590" s="27" t="s">
        <v>7</v>
      </c>
    </row>
    <row r="591" spans="1:166" x14ac:dyDescent="0.25">
      <c r="A591" s="7">
        <v>0.92384542602651432</v>
      </c>
      <c r="B591"/>
      <c r="C591"/>
      <c r="D591"/>
      <c r="E591"/>
      <c r="F591" s="27" t="s">
        <v>7</v>
      </c>
      <c r="BA591" s="27" t="s">
        <v>8</v>
      </c>
      <c r="BD591" s="27" t="s">
        <v>7</v>
      </c>
      <c r="BE591" s="27" t="s">
        <v>8</v>
      </c>
      <c r="BF591" s="27" t="s">
        <v>7</v>
      </c>
      <c r="BG591" s="27" t="s">
        <v>8</v>
      </c>
      <c r="BH591" s="27" t="s">
        <v>7</v>
      </c>
      <c r="BI591" s="27" t="s">
        <v>8</v>
      </c>
      <c r="BJ591" s="27" t="s">
        <v>7</v>
      </c>
      <c r="DA591" s="27" t="s">
        <v>8</v>
      </c>
      <c r="DB591" s="27" t="s">
        <v>7</v>
      </c>
      <c r="DC591" s="27" t="s">
        <v>8</v>
      </c>
      <c r="DD591" s="27" t="s">
        <v>7</v>
      </c>
      <c r="DE591" s="27" t="s">
        <v>8</v>
      </c>
      <c r="DF591" s="27" t="s">
        <v>7</v>
      </c>
      <c r="DG591" s="27" t="s">
        <v>8</v>
      </c>
      <c r="DP591" s="27" t="s">
        <v>7</v>
      </c>
      <c r="DQ591" s="27" t="s">
        <v>8</v>
      </c>
      <c r="DT591" s="27" t="s">
        <v>7</v>
      </c>
      <c r="DV591" s="27" t="s">
        <v>7</v>
      </c>
      <c r="DW591" s="27" t="s">
        <v>8</v>
      </c>
      <c r="FJ591" s="27" t="s">
        <v>7</v>
      </c>
    </row>
    <row r="592" spans="1:166" x14ac:dyDescent="0.25">
      <c r="A592" s="7">
        <v>0.90573080982991594</v>
      </c>
      <c r="B592"/>
      <c r="C592"/>
      <c r="D592"/>
      <c r="E592"/>
      <c r="F592" s="27" t="s">
        <v>7</v>
      </c>
      <c r="BA592" s="27" t="s">
        <v>8</v>
      </c>
      <c r="BD592" s="27" t="s">
        <v>7</v>
      </c>
      <c r="BF592" s="27" t="s">
        <v>7</v>
      </c>
      <c r="BG592" s="27" t="s">
        <v>8</v>
      </c>
      <c r="BH592" s="27" t="s">
        <v>7</v>
      </c>
      <c r="BI592" s="27" t="s">
        <v>8</v>
      </c>
      <c r="BJ592" s="27" t="s">
        <v>7</v>
      </c>
      <c r="DA592" s="27" t="s">
        <v>8</v>
      </c>
      <c r="DB592" s="27" t="s">
        <v>7</v>
      </c>
      <c r="DC592" s="27" t="s">
        <v>8</v>
      </c>
      <c r="DD592" s="27" t="s">
        <v>7</v>
      </c>
      <c r="DE592" s="27" t="s">
        <v>8</v>
      </c>
      <c r="DF592" s="27" t="s">
        <v>7</v>
      </c>
      <c r="DG592" s="27" t="s">
        <v>8</v>
      </c>
      <c r="DP592" s="27" t="s">
        <v>7</v>
      </c>
      <c r="DQ592" s="27" t="s">
        <v>8</v>
      </c>
      <c r="DV592" s="27" t="s">
        <v>7</v>
      </c>
      <c r="FJ592" s="27" t="s">
        <v>7</v>
      </c>
    </row>
    <row r="593" spans="1:188" x14ac:dyDescent="0.25">
      <c r="A593" s="7">
        <v>0.8879713821861922</v>
      </c>
      <c r="B593"/>
      <c r="C593"/>
      <c r="D593"/>
      <c r="E593"/>
      <c r="F593" s="27" t="s">
        <v>7</v>
      </c>
      <c r="BA593" s="27" t="s">
        <v>8</v>
      </c>
      <c r="BF593" s="27" t="s">
        <v>7</v>
      </c>
      <c r="BG593" s="27" t="s">
        <v>8</v>
      </c>
      <c r="BH593" s="27" t="s">
        <v>7</v>
      </c>
      <c r="BI593" s="27" t="s">
        <v>8</v>
      </c>
      <c r="BJ593" s="27" t="s">
        <v>7</v>
      </c>
      <c r="DA593" s="27" t="s">
        <v>8</v>
      </c>
      <c r="DB593" s="27" t="s">
        <v>7</v>
      </c>
      <c r="DC593" s="27" t="s">
        <v>8</v>
      </c>
      <c r="DD593" s="27" t="s">
        <v>7</v>
      </c>
      <c r="DE593" s="27" t="s">
        <v>8</v>
      </c>
      <c r="DF593" s="27" t="s">
        <v>7</v>
      </c>
      <c r="DG593" s="27" t="s">
        <v>8</v>
      </c>
      <c r="DP593" s="27" t="s">
        <v>7</v>
      </c>
      <c r="FJ593" s="27" t="s">
        <v>7</v>
      </c>
    </row>
    <row r="594" spans="1:188" x14ac:dyDescent="0.25">
      <c r="A594" s="7">
        <v>0.87056017861391399</v>
      </c>
      <c r="B594"/>
      <c r="C594"/>
      <c r="D594"/>
      <c r="E594"/>
      <c r="F594" s="27" t="s">
        <v>7</v>
      </c>
      <c r="M594" s="27" t="s">
        <v>8</v>
      </c>
      <c r="AM594" s="27" t="s">
        <v>8</v>
      </c>
      <c r="BA594" s="27" t="s">
        <v>8</v>
      </c>
      <c r="BF594" s="27" t="s">
        <v>7</v>
      </c>
      <c r="BG594" s="27" t="s">
        <v>8</v>
      </c>
      <c r="BH594" s="27" t="s">
        <v>7</v>
      </c>
      <c r="BI594" s="27" t="s">
        <v>8</v>
      </c>
      <c r="BJ594" s="27" t="s">
        <v>7</v>
      </c>
      <c r="DA594" s="27" t="s">
        <v>8</v>
      </c>
      <c r="DB594" s="27" t="s">
        <v>7</v>
      </c>
      <c r="DC594" s="27" t="s">
        <v>8</v>
      </c>
      <c r="DD594" s="27" t="s">
        <v>7</v>
      </c>
      <c r="DE594" s="27" t="s">
        <v>8</v>
      </c>
      <c r="DF594" s="27" t="s">
        <v>7</v>
      </c>
      <c r="DG594" s="27" t="s">
        <v>8</v>
      </c>
      <c r="FJ594" s="27" t="s">
        <v>7</v>
      </c>
      <c r="FS594" s="27" t="s">
        <v>8</v>
      </c>
    </row>
    <row r="595" spans="1:188" x14ac:dyDescent="0.25">
      <c r="A595" s="7">
        <v>0.85349037119011173</v>
      </c>
      <c r="B595"/>
      <c r="C595"/>
      <c r="D595"/>
      <c r="E595"/>
      <c r="F595" s="27" t="s">
        <v>7</v>
      </c>
      <c r="M595" s="27" t="s">
        <v>8</v>
      </c>
      <c r="N595" s="27" t="s">
        <v>7</v>
      </c>
      <c r="AM595" s="27" t="s">
        <v>8</v>
      </c>
      <c r="AN595" s="27" t="s">
        <v>7</v>
      </c>
      <c r="BA595" s="27" t="s">
        <v>8</v>
      </c>
      <c r="BF595" s="27" t="s">
        <v>7</v>
      </c>
      <c r="BG595" s="27" t="s">
        <v>8</v>
      </c>
      <c r="BH595" s="27" t="s">
        <v>7</v>
      </c>
      <c r="BI595" s="27" t="s">
        <v>8</v>
      </c>
      <c r="BJ595" s="27" t="s">
        <v>7</v>
      </c>
      <c r="DA595" s="27" t="s">
        <v>8</v>
      </c>
      <c r="DB595" s="27" t="s">
        <v>7</v>
      </c>
      <c r="DD595" s="27" t="s">
        <v>7</v>
      </c>
      <c r="DE595" s="27" t="s">
        <v>8</v>
      </c>
      <c r="DF595" s="27" t="s">
        <v>7</v>
      </c>
      <c r="FJ595" s="27" t="s">
        <v>7</v>
      </c>
      <c r="FK595" s="27" t="s">
        <v>8</v>
      </c>
      <c r="FM595" s="27" t="s">
        <v>8</v>
      </c>
      <c r="FS595" s="27" t="s">
        <v>8</v>
      </c>
      <c r="FT595" s="27" t="s">
        <v>7</v>
      </c>
    </row>
    <row r="596" spans="1:188" x14ac:dyDescent="0.25">
      <c r="A596" s="7">
        <v>0.83675526587265858</v>
      </c>
      <c r="B596"/>
      <c r="C596"/>
      <c r="D596"/>
      <c r="E596"/>
      <c r="F596" s="27" t="s">
        <v>7</v>
      </c>
      <c r="M596" s="27" t="s">
        <v>8</v>
      </c>
      <c r="N596" s="27" t="s">
        <v>7</v>
      </c>
      <c r="AM596" s="27" t="s">
        <v>8</v>
      </c>
      <c r="AN596" s="27" t="s">
        <v>7</v>
      </c>
      <c r="AO596" s="27" t="s">
        <v>8</v>
      </c>
      <c r="BA596" s="27" t="s">
        <v>8</v>
      </c>
      <c r="BF596" s="27" t="s">
        <v>7</v>
      </c>
      <c r="BH596" s="27" t="s">
        <v>7</v>
      </c>
      <c r="BI596" s="27" t="s">
        <v>8</v>
      </c>
      <c r="BJ596" s="27" t="s">
        <v>7</v>
      </c>
      <c r="CY596" s="27" t="s">
        <v>8</v>
      </c>
      <c r="DA596" s="27" t="s">
        <v>8</v>
      </c>
      <c r="DD596" s="27" t="s">
        <v>7</v>
      </c>
      <c r="DE596" s="27" t="s">
        <v>8</v>
      </c>
      <c r="FJ596" s="27" t="s">
        <v>7</v>
      </c>
      <c r="FK596" s="27" t="s">
        <v>8</v>
      </c>
      <c r="FL596" s="27" t="s">
        <v>7</v>
      </c>
      <c r="FM596" s="27" t="s">
        <v>8</v>
      </c>
      <c r="FN596" s="27" t="s">
        <v>7</v>
      </c>
      <c r="FS596" s="27" t="s">
        <v>8</v>
      </c>
      <c r="FT596" s="27" t="s">
        <v>7</v>
      </c>
    </row>
    <row r="597" spans="1:188" x14ac:dyDescent="0.25">
      <c r="A597" s="7">
        <v>0.82034829987515545</v>
      </c>
      <c r="B597"/>
      <c r="C597"/>
      <c r="D597"/>
      <c r="E597"/>
      <c r="F597" s="27" t="s">
        <v>7</v>
      </c>
      <c r="M597" s="27" t="s">
        <v>8</v>
      </c>
      <c r="N597" s="27" t="s">
        <v>7</v>
      </c>
      <c r="O597" s="27" t="s">
        <v>8</v>
      </c>
      <c r="AM597" s="27" t="s">
        <v>8</v>
      </c>
      <c r="AN597" s="27" t="s">
        <v>7</v>
      </c>
      <c r="AO597" s="27" t="s">
        <v>8</v>
      </c>
      <c r="AP597" s="27" t="s">
        <v>7</v>
      </c>
      <c r="BA597" s="27" t="s">
        <v>8</v>
      </c>
      <c r="BH597" s="27" t="s">
        <v>7</v>
      </c>
      <c r="BI597" s="27" t="s">
        <v>8</v>
      </c>
      <c r="BJ597" s="27" t="s">
        <v>7</v>
      </c>
      <c r="BK597" s="27" t="s">
        <v>8</v>
      </c>
      <c r="CY597" s="27" t="s">
        <v>8</v>
      </c>
      <c r="CZ597" s="27" t="s">
        <v>7</v>
      </c>
      <c r="DA597" s="27" t="s">
        <v>8</v>
      </c>
      <c r="DD597" s="27" t="s">
        <v>7</v>
      </c>
      <c r="DE597" s="27" t="s">
        <v>8</v>
      </c>
      <c r="FJ597" s="27" t="s">
        <v>7</v>
      </c>
      <c r="FK597" s="27" t="s">
        <v>8</v>
      </c>
      <c r="FL597" s="27" t="s">
        <v>7</v>
      </c>
      <c r="FM597" s="27" t="s">
        <v>8</v>
      </c>
      <c r="FN597" s="27" t="s">
        <v>7</v>
      </c>
      <c r="FS597" s="27" t="s">
        <v>8</v>
      </c>
      <c r="FT597" s="27" t="s">
        <v>7</v>
      </c>
      <c r="FU597" s="27" t="s">
        <v>8</v>
      </c>
    </row>
    <row r="598" spans="1:188" x14ac:dyDescent="0.25">
      <c r="A598" s="7">
        <v>0.80426303909328967</v>
      </c>
      <c r="B598"/>
      <c r="C598"/>
      <c r="D598"/>
      <c r="E598"/>
      <c r="F598" s="27" t="s">
        <v>7</v>
      </c>
      <c r="M598" s="27" t="s">
        <v>8</v>
      </c>
      <c r="N598" s="27" t="s">
        <v>7</v>
      </c>
      <c r="O598" s="27" t="s">
        <v>8</v>
      </c>
      <c r="P598" s="27" t="s">
        <v>7</v>
      </c>
      <c r="AM598" s="27" t="s">
        <v>8</v>
      </c>
      <c r="AN598" s="27" t="s">
        <v>7</v>
      </c>
      <c r="AO598" s="27" t="s">
        <v>8</v>
      </c>
      <c r="AP598" s="27" t="s">
        <v>7</v>
      </c>
      <c r="AQ598" s="27" t="s">
        <v>8</v>
      </c>
      <c r="BA598" s="27" t="s">
        <v>8</v>
      </c>
      <c r="BH598" s="27" t="s">
        <v>7</v>
      </c>
      <c r="BI598" s="27" t="s">
        <v>8</v>
      </c>
      <c r="BJ598" s="27" t="s">
        <v>7</v>
      </c>
      <c r="BK598" s="27" t="s">
        <v>8</v>
      </c>
      <c r="BL598" s="27" t="s">
        <v>7</v>
      </c>
      <c r="CY598" s="27" t="s">
        <v>8</v>
      </c>
      <c r="CZ598" s="27" t="s">
        <v>7</v>
      </c>
      <c r="DA598" s="27" t="s">
        <v>8</v>
      </c>
      <c r="DD598" s="27" t="s">
        <v>7</v>
      </c>
      <c r="FJ598" s="27" t="s">
        <v>7</v>
      </c>
      <c r="FK598" s="27" t="s">
        <v>8</v>
      </c>
      <c r="FL598" s="27" t="s">
        <v>7</v>
      </c>
      <c r="FM598" s="27" t="s">
        <v>8</v>
      </c>
      <c r="FN598" s="27" t="s">
        <v>7</v>
      </c>
      <c r="FS598" s="27" t="s">
        <v>8</v>
      </c>
      <c r="FT598" s="27" t="s">
        <v>7</v>
      </c>
      <c r="FU598" s="27" t="s">
        <v>8</v>
      </c>
      <c r="FV598" s="27" t="s">
        <v>7</v>
      </c>
    </row>
    <row r="599" spans="1:188" x14ac:dyDescent="0.25">
      <c r="A599" s="7">
        <v>0.78849317558165644</v>
      </c>
      <c r="B599"/>
      <c r="C599"/>
      <c r="D599"/>
      <c r="E599"/>
      <c r="F599" s="27" t="s">
        <v>7</v>
      </c>
      <c r="M599" s="27" t="s">
        <v>8</v>
      </c>
      <c r="N599" s="27" t="s">
        <v>7</v>
      </c>
      <c r="O599" s="27" t="s">
        <v>8</v>
      </c>
      <c r="P599" s="27" t="s">
        <v>7</v>
      </c>
      <c r="AI599" s="27" t="s">
        <v>8</v>
      </c>
      <c r="AM599" s="27" t="s">
        <v>8</v>
      </c>
      <c r="AN599" s="27" t="s">
        <v>7</v>
      </c>
      <c r="AO599" s="27" t="s">
        <v>8</v>
      </c>
      <c r="AP599" s="27" t="s">
        <v>7</v>
      </c>
      <c r="AQ599" s="27" t="s">
        <v>8</v>
      </c>
      <c r="AR599" s="27" t="s">
        <v>7</v>
      </c>
      <c r="BA599" s="27" t="s">
        <v>8</v>
      </c>
      <c r="BH599" s="27" t="s">
        <v>7</v>
      </c>
      <c r="BI599" s="27" t="s">
        <v>8</v>
      </c>
      <c r="BJ599" s="27" t="s">
        <v>7</v>
      </c>
      <c r="BK599" s="27" t="s">
        <v>8</v>
      </c>
      <c r="BL599" s="27" t="s">
        <v>7</v>
      </c>
      <c r="CY599" s="27" t="s">
        <v>8</v>
      </c>
      <c r="CZ599" s="27" t="s">
        <v>7</v>
      </c>
      <c r="DA599" s="27" t="s">
        <v>8</v>
      </c>
      <c r="FJ599" s="27" t="s">
        <v>7</v>
      </c>
      <c r="FK599" s="27" t="s">
        <v>8</v>
      </c>
      <c r="FL599" s="27" t="s">
        <v>7</v>
      </c>
      <c r="FM599" s="27" t="s">
        <v>8</v>
      </c>
      <c r="FN599" s="27" t="s">
        <v>7</v>
      </c>
      <c r="FO599" s="27" t="s">
        <v>8</v>
      </c>
      <c r="FQ599" s="27" t="s">
        <v>8</v>
      </c>
      <c r="FS599" s="27" t="s">
        <v>8</v>
      </c>
      <c r="FT599" s="27" t="s">
        <v>7</v>
      </c>
      <c r="FU599" s="27" t="s">
        <v>8</v>
      </c>
      <c r="FV599" s="27" t="s">
        <v>7</v>
      </c>
    </row>
    <row r="600" spans="1:188" x14ac:dyDescent="0.25">
      <c r="A600" s="7">
        <v>0.77303252508005538</v>
      </c>
      <c r="B600"/>
      <c r="C600"/>
      <c r="D600"/>
      <c r="E600"/>
      <c r="F600" s="27" t="s">
        <v>7</v>
      </c>
      <c r="M600" s="27" t="s">
        <v>8</v>
      </c>
      <c r="N600" s="27" t="s">
        <v>7</v>
      </c>
      <c r="O600" s="27" t="s">
        <v>8</v>
      </c>
      <c r="P600" s="27" t="s">
        <v>7</v>
      </c>
      <c r="AI600" s="27" t="s">
        <v>8</v>
      </c>
      <c r="AJ600" s="27" t="s">
        <v>7</v>
      </c>
      <c r="AK600" s="27" t="s">
        <v>8</v>
      </c>
      <c r="AM600" s="27" t="s">
        <v>8</v>
      </c>
      <c r="AN600" s="27" t="s">
        <v>7</v>
      </c>
      <c r="AP600" s="27" t="s">
        <v>7</v>
      </c>
      <c r="AQ600" s="27" t="s">
        <v>8</v>
      </c>
      <c r="AR600" s="27" t="s">
        <v>7</v>
      </c>
      <c r="BA600" s="27" t="s">
        <v>8</v>
      </c>
      <c r="BH600" s="27" t="s">
        <v>7</v>
      </c>
      <c r="BI600" s="27" t="s">
        <v>8</v>
      </c>
      <c r="BJ600" s="27" t="s">
        <v>7</v>
      </c>
      <c r="BK600" s="27" t="s">
        <v>8</v>
      </c>
      <c r="BL600" s="27" t="s">
        <v>7</v>
      </c>
      <c r="CY600" s="27" t="s">
        <v>8</v>
      </c>
      <c r="CZ600" s="27" t="s">
        <v>7</v>
      </c>
      <c r="DA600" s="27" t="s">
        <v>8</v>
      </c>
      <c r="FJ600" s="27" t="s">
        <v>7</v>
      </c>
      <c r="FK600" s="27" t="s">
        <v>8</v>
      </c>
      <c r="FL600" s="27" t="s">
        <v>7</v>
      </c>
      <c r="FM600" s="27" t="s">
        <v>8</v>
      </c>
      <c r="FN600" s="27" t="s">
        <v>7</v>
      </c>
      <c r="FO600" s="27" t="s">
        <v>8</v>
      </c>
      <c r="FP600" s="27" t="s">
        <v>7</v>
      </c>
      <c r="FQ600" s="27" t="s">
        <v>8</v>
      </c>
      <c r="FR600" s="27" t="s">
        <v>7</v>
      </c>
      <c r="FS600" s="27" t="s">
        <v>8</v>
      </c>
      <c r="FT600" s="27" t="s">
        <v>7</v>
      </c>
      <c r="FV600" s="27" t="s">
        <v>7</v>
      </c>
      <c r="GC600" s="27" t="s">
        <v>8</v>
      </c>
    </row>
    <row r="601" spans="1:188" x14ac:dyDescent="0.25">
      <c r="A601" s="7">
        <v>0.75787502458828959</v>
      </c>
      <c r="B601"/>
      <c r="C601"/>
      <c r="D601"/>
      <c r="E601"/>
      <c r="F601" s="27" t="s">
        <v>7</v>
      </c>
      <c r="M601" s="27" t="s">
        <v>8</v>
      </c>
      <c r="N601" s="27" t="s">
        <v>7</v>
      </c>
      <c r="O601" s="27" t="s">
        <v>8</v>
      </c>
      <c r="P601" s="27" t="s">
        <v>7</v>
      </c>
      <c r="AI601" s="27" t="s">
        <v>8</v>
      </c>
      <c r="AJ601" s="27" t="s">
        <v>7</v>
      </c>
      <c r="AK601" s="27" t="s">
        <v>8</v>
      </c>
      <c r="AL601" s="27" t="s">
        <v>7</v>
      </c>
      <c r="AM601" s="27" t="s">
        <v>8</v>
      </c>
      <c r="AP601" s="27" t="s">
        <v>7</v>
      </c>
      <c r="AQ601" s="27" t="s">
        <v>8</v>
      </c>
      <c r="AR601" s="27" t="s">
        <v>7</v>
      </c>
      <c r="AS601" s="27" t="s">
        <v>8</v>
      </c>
      <c r="BA601" s="27" t="s">
        <v>8</v>
      </c>
      <c r="BH601" s="27" t="s">
        <v>7</v>
      </c>
      <c r="BI601" s="27" t="s">
        <v>8</v>
      </c>
      <c r="BJ601" s="27" t="s">
        <v>7</v>
      </c>
      <c r="BK601" s="27" t="s">
        <v>8</v>
      </c>
      <c r="BL601" s="27" t="s">
        <v>7</v>
      </c>
      <c r="CW601" s="27" t="s">
        <v>8</v>
      </c>
      <c r="CY601" s="27" t="s">
        <v>8</v>
      </c>
      <c r="CZ601" s="27" t="s">
        <v>7</v>
      </c>
      <c r="DA601" s="27" t="s">
        <v>8</v>
      </c>
      <c r="FJ601" s="27" t="s">
        <v>7</v>
      </c>
      <c r="FK601" s="27" t="s">
        <v>8</v>
      </c>
      <c r="FL601" s="27" t="s">
        <v>7</v>
      </c>
      <c r="FM601" s="27" t="s">
        <v>8</v>
      </c>
      <c r="FN601" s="27" t="s">
        <v>7</v>
      </c>
      <c r="FO601" s="27" t="s">
        <v>8</v>
      </c>
      <c r="FP601" s="27" t="s">
        <v>7</v>
      </c>
      <c r="FQ601" s="27" t="s">
        <v>8</v>
      </c>
      <c r="FR601" s="27" t="s">
        <v>7</v>
      </c>
      <c r="FS601" s="27" t="s">
        <v>8</v>
      </c>
      <c r="FV601" s="27" t="s">
        <v>7</v>
      </c>
      <c r="GC601" s="27" t="s">
        <v>8</v>
      </c>
      <c r="GD601" s="27" t="s">
        <v>7</v>
      </c>
    </row>
    <row r="602" spans="1:188" x14ac:dyDescent="0.25">
      <c r="A602" s="7">
        <v>0.74301472998851925</v>
      </c>
      <c r="B602"/>
      <c r="C602"/>
      <c r="D602"/>
      <c r="E602"/>
      <c r="F602" s="27" t="s">
        <v>7</v>
      </c>
      <c r="K602" s="27" t="s">
        <v>8</v>
      </c>
      <c r="M602" s="27" t="s">
        <v>8</v>
      </c>
      <c r="N602" s="27" t="s">
        <v>7</v>
      </c>
      <c r="O602" s="27" t="s">
        <v>8</v>
      </c>
      <c r="P602" s="27" t="s">
        <v>7</v>
      </c>
      <c r="AI602" s="27" t="s">
        <v>8</v>
      </c>
      <c r="AJ602" s="27" t="s">
        <v>7</v>
      </c>
      <c r="AK602" s="27" t="s">
        <v>8</v>
      </c>
      <c r="AL602" s="27" t="s">
        <v>7</v>
      </c>
      <c r="AM602" s="27" t="s">
        <v>8</v>
      </c>
      <c r="AP602" s="27" t="s">
        <v>7</v>
      </c>
      <c r="AQ602" s="27" t="s">
        <v>8</v>
      </c>
      <c r="AR602" s="27" t="s">
        <v>7</v>
      </c>
      <c r="AS602" s="27" t="s">
        <v>8</v>
      </c>
      <c r="AT602" s="27" t="s">
        <v>7</v>
      </c>
      <c r="BA602" s="27" t="s">
        <v>8</v>
      </c>
      <c r="BH602" s="27" t="s">
        <v>7</v>
      </c>
      <c r="BJ602" s="27" t="s">
        <v>7</v>
      </c>
      <c r="BK602" s="27" t="s">
        <v>8</v>
      </c>
      <c r="BL602" s="27" t="s">
        <v>7</v>
      </c>
      <c r="CW602" s="27" t="s">
        <v>8</v>
      </c>
      <c r="CX602" s="27" t="s">
        <v>7</v>
      </c>
      <c r="CY602" s="27" t="s">
        <v>8</v>
      </c>
      <c r="CZ602" s="27" t="s">
        <v>7</v>
      </c>
      <c r="DA602" s="27" t="s">
        <v>8</v>
      </c>
      <c r="FJ602" s="27" t="s">
        <v>7</v>
      </c>
      <c r="FK602" s="27" t="s">
        <v>8</v>
      </c>
      <c r="FL602" s="27" t="s">
        <v>7</v>
      </c>
      <c r="FM602" s="27" t="s">
        <v>8</v>
      </c>
      <c r="FN602" s="27" t="s">
        <v>7</v>
      </c>
      <c r="FP602" s="27" t="s">
        <v>7</v>
      </c>
      <c r="FQ602" s="27" t="s">
        <v>8</v>
      </c>
      <c r="FR602" s="27" t="s">
        <v>7</v>
      </c>
      <c r="FS602" s="27" t="s">
        <v>8</v>
      </c>
      <c r="FV602" s="27" t="s">
        <v>7</v>
      </c>
      <c r="FW602" s="27" t="s">
        <v>8</v>
      </c>
      <c r="GC602" s="27" t="s">
        <v>8</v>
      </c>
      <c r="GD602" s="27" t="s">
        <v>7</v>
      </c>
    </row>
    <row r="603" spans="1:188" x14ac:dyDescent="0.25">
      <c r="A603" s="7">
        <v>0.72844581371423456</v>
      </c>
      <c r="B603"/>
      <c r="C603"/>
      <c r="D603"/>
      <c r="E603"/>
      <c r="F603" s="27" t="s">
        <v>7</v>
      </c>
      <c r="K603" s="27" t="s">
        <v>8</v>
      </c>
      <c r="L603" s="27" t="s">
        <v>7</v>
      </c>
      <c r="M603" s="27" t="s">
        <v>8</v>
      </c>
      <c r="N603" s="27" t="s">
        <v>7</v>
      </c>
      <c r="O603" s="27" t="s">
        <v>8</v>
      </c>
      <c r="P603" s="27" t="s">
        <v>7</v>
      </c>
      <c r="AI603" s="27" t="s">
        <v>8</v>
      </c>
      <c r="AJ603" s="27" t="s">
        <v>7</v>
      </c>
      <c r="AK603" s="27" t="s">
        <v>8</v>
      </c>
      <c r="AL603" s="27" t="s">
        <v>7</v>
      </c>
      <c r="AM603" s="27" t="s">
        <v>8</v>
      </c>
      <c r="AP603" s="27" t="s">
        <v>7</v>
      </c>
      <c r="AR603" s="27" t="s">
        <v>7</v>
      </c>
      <c r="AS603" s="27" t="s">
        <v>8</v>
      </c>
      <c r="AT603" s="27" t="s">
        <v>7</v>
      </c>
      <c r="BA603" s="27" t="s">
        <v>8</v>
      </c>
      <c r="BJ603" s="27" t="s">
        <v>7</v>
      </c>
      <c r="BK603" s="27" t="s">
        <v>8</v>
      </c>
      <c r="BL603" s="27" t="s">
        <v>7</v>
      </c>
      <c r="CW603" s="27" t="s">
        <v>8</v>
      </c>
      <c r="CX603" s="27" t="s">
        <v>7</v>
      </c>
      <c r="CY603" s="27" t="s">
        <v>8</v>
      </c>
      <c r="CZ603" s="27" t="s">
        <v>7</v>
      </c>
      <c r="DA603" s="27" t="s">
        <v>8</v>
      </c>
      <c r="FJ603" s="27" t="s">
        <v>7</v>
      </c>
      <c r="FK603" s="27" t="s">
        <v>8</v>
      </c>
      <c r="FL603" s="27" t="s">
        <v>7</v>
      </c>
      <c r="FM603" s="27" t="s">
        <v>8</v>
      </c>
      <c r="FP603" s="27" t="s">
        <v>7</v>
      </c>
      <c r="FQ603" s="27" t="s">
        <v>8</v>
      </c>
      <c r="FR603" s="27" t="s">
        <v>7</v>
      </c>
      <c r="FS603" s="27" t="s">
        <v>8</v>
      </c>
      <c r="FV603" s="27" t="s">
        <v>7</v>
      </c>
      <c r="FW603" s="27" t="s">
        <v>8</v>
      </c>
      <c r="FX603" s="27" t="s">
        <v>7</v>
      </c>
      <c r="GC603" s="27" t="s">
        <v>8</v>
      </c>
      <c r="GD603" s="27" t="s">
        <v>7</v>
      </c>
    </row>
    <row r="604" spans="1:188" x14ac:dyDescent="0.25">
      <c r="A604" s="7">
        <v>0.71416256246493581</v>
      </c>
      <c r="B604"/>
      <c r="C604"/>
      <c r="D604"/>
      <c r="E604"/>
      <c r="F604" s="27" t="s">
        <v>7</v>
      </c>
      <c r="I604" s="27" t="s">
        <v>8</v>
      </c>
      <c r="K604" s="27" t="s">
        <v>8</v>
      </c>
      <c r="L604" s="27" t="s">
        <v>7</v>
      </c>
      <c r="M604" s="27" t="s">
        <v>8</v>
      </c>
      <c r="N604" s="27" t="s">
        <v>7</v>
      </c>
      <c r="O604" s="27" t="s">
        <v>8</v>
      </c>
      <c r="P604" s="27" t="s">
        <v>7</v>
      </c>
      <c r="AI604" s="27" t="s">
        <v>8</v>
      </c>
      <c r="AJ604" s="27" t="s">
        <v>7</v>
      </c>
      <c r="AK604" s="27" t="s">
        <v>8</v>
      </c>
      <c r="AL604" s="27" t="s">
        <v>7</v>
      </c>
      <c r="AM604" s="27" t="s">
        <v>8</v>
      </c>
      <c r="AR604" s="27" t="s">
        <v>7</v>
      </c>
      <c r="AS604" s="27" t="s">
        <v>8</v>
      </c>
      <c r="AT604" s="27" t="s">
        <v>7</v>
      </c>
      <c r="BA604" s="27" t="s">
        <v>8</v>
      </c>
      <c r="BJ604" s="27" t="s">
        <v>7</v>
      </c>
      <c r="BK604" s="27" t="s">
        <v>8</v>
      </c>
      <c r="BL604" s="27" t="s">
        <v>7</v>
      </c>
      <c r="CW604" s="27" t="s">
        <v>8</v>
      </c>
      <c r="CX604" s="27" t="s">
        <v>7</v>
      </c>
      <c r="CY604" s="27" t="s">
        <v>8</v>
      </c>
      <c r="CZ604" s="27" t="s">
        <v>7</v>
      </c>
      <c r="FJ604" s="27" t="s">
        <v>7</v>
      </c>
      <c r="FK604" s="27" t="s">
        <v>8</v>
      </c>
      <c r="FL604" s="27" t="s">
        <v>7</v>
      </c>
      <c r="FM604" s="27" t="s">
        <v>8</v>
      </c>
      <c r="FP604" s="27" t="s">
        <v>7</v>
      </c>
      <c r="FQ604" s="27" t="s">
        <v>8</v>
      </c>
      <c r="FR604" s="27" t="s">
        <v>7</v>
      </c>
      <c r="FS604" s="27" t="s">
        <v>8</v>
      </c>
      <c r="FV604" s="27" t="s">
        <v>7</v>
      </c>
      <c r="FW604" s="27" t="s">
        <v>8</v>
      </c>
      <c r="FX604" s="27" t="s">
        <v>7</v>
      </c>
      <c r="GA604" s="27" t="s">
        <v>8</v>
      </c>
      <c r="GC604" s="27" t="s">
        <v>8</v>
      </c>
      <c r="GD604" s="27" t="s">
        <v>7</v>
      </c>
    </row>
    <row r="605" spans="1:188" x14ac:dyDescent="0.25">
      <c r="A605" s="7">
        <v>0.7001593749656233</v>
      </c>
      <c r="B605"/>
      <c r="C605"/>
      <c r="D605"/>
      <c r="E605"/>
      <c r="F605" s="27" t="s">
        <v>7</v>
      </c>
      <c r="I605" s="27" t="s">
        <v>8</v>
      </c>
      <c r="J605" s="27" t="s">
        <v>7</v>
      </c>
      <c r="K605" s="27" t="s">
        <v>8</v>
      </c>
      <c r="L605" s="27" t="s">
        <v>7</v>
      </c>
      <c r="M605" s="27" t="s">
        <v>8</v>
      </c>
      <c r="N605" s="27" t="s">
        <v>7</v>
      </c>
      <c r="O605" s="27" t="s">
        <v>8</v>
      </c>
      <c r="P605" s="27" t="s">
        <v>7</v>
      </c>
      <c r="AI605" s="27" t="s">
        <v>8</v>
      </c>
      <c r="AJ605" s="27" t="s">
        <v>7</v>
      </c>
      <c r="AK605" s="27" t="s">
        <v>8</v>
      </c>
      <c r="AL605" s="27" t="s">
        <v>7</v>
      </c>
      <c r="AM605" s="27" t="s">
        <v>8</v>
      </c>
      <c r="AR605" s="27" t="s">
        <v>7</v>
      </c>
      <c r="AS605" s="27" t="s">
        <v>8</v>
      </c>
      <c r="AT605" s="27" t="s">
        <v>7</v>
      </c>
      <c r="BA605" s="27" t="s">
        <v>8</v>
      </c>
      <c r="BJ605" s="27" t="s">
        <v>7</v>
      </c>
      <c r="BL605" s="27" t="s">
        <v>7</v>
      </c>
      <c r="CW605" s="27" t="s">
        <v>8</v>
      </c>
      <c r="CX605" s="27" t="s">
        <v>7</v>
      </c>
      <c r="CY605" s="27" t="s">
        <v>8</v>
      </c>
      <c r="FJ605" s="27" t="s">
        <v>7</v>
      </c>
      <c r="FK605" s="27" t="s">
        <v>8</v>
      </c>
      <c r="FL605" s="27" t="s">
        <v>7</v>
      </c>
      <c r="FM605" s="27" t="s">
        <v>8</v>
      </c>
      <c r="FP605" s="27" t="s">
        <v>7</v>
      </c>
      <c r="FQ605" s="27" t="s">
        <v>8</v>
      </c>
      <c r="FR605" s="27" t="s">
        <v>7</v>
      </c>
      <c r="FS605" s="27" t="s">
        <v>8</v>
      </c>
      <c r="FV605" s="27" t="s">
        <v>7</v>
      </c>
      <c r="FW605" s="27" t="s">
        <v>8</v>
      </c>
      <c r="FX605" s="27" t="s">
        <v>7</v>
      </c>
      <c r="FY605" s="27" t="s">
        <v>8</v>
      </c>
      <c r="GA605" s="27" t="s">
        <v>8</v>
      </c>
      <c r="GB605" s="27" t="s">
        <v>7</v>
      </c>
      <c r="GC605" s="27" t="s">
        <v>8</v>
      </c>
      <c r="GD605" s="27" t="s">
        <v>7</v>
      </c>
      <c r="GE605" s="27" t="s">
        <v>8</v>
      </c>
    </row>
    <row r="606" spans="1:188" x14ac:dyDescent="0.25">
      <c r="A606" s="7">
        <v>0.68643075977021883</v>
      </c>
      <c r="B606"/>
      <c r="C606"/>
      <c r="D606"/>
      <c r="E606"/>
      <c r="F606" s="27" t="s">
        <v>7</v>
      </c>
      <c r="I606" s="27" t="s">
        <v>8</v>
      </c>
      <c r="J606" s="27" t="s">
        <v>7</v>
      </c>
      <c r="K606" s="27" t="s">
        <v>8</v>
      </c>
      <c r="L606" s="27" t="s">
        <v>7</v>
      </c>
      <c r="M606" s="27" t="s">
        <v>8</v>
      </c>
      <c r="N606" s="27" t="s">
        <v>7</v>
      </c>
      <c r="O606" s="27" t="s">
        <v>8</v>
      </c>
      <c r="P606" s="27" t="s">
        <v>7</v>
      </c>
      <c r="AC606" s="27" t="s">
        <v>8</v>
      </c>
      <c r="AI606" s="27" t="s">
        <v>8</v>
      </c>
      <c r="AJ606" s="27" t="s">
        <v>7</v>
      </c>
      <c r="AL606" s="27" t="s">
        <v>7</v>
      </c>
      <c r="AM606" s="27" t="s">
        <v>8</v>
      </c>
      <c r="AR606" s="27" t="s">
        <v>7</v>
      </c>
      <c r="AS606" s="27" t="s">
        <v>8</v>
      </c>
      <c r="AT606" s="27" t="s">
        <v>7</v>
      </c>
      <c r="AW606" s="27" t="s">
        <v>8</v>
      </c>
      <c r="AY606" s="27" t="s">
        <v>8</v>
      </c>
      <c r="BA606" s="27" t="s">
        <v>8</v>
      </c>
      <c r="BL606" s="27" t="s">
        <v>7</v>
      </c>
      <c r="BS606" s="27" t="s">
        <v>8</v>
      </c>
      <c r="CW606" s="27" t="s">
        <v>8</v>
      </c>
      <c r="CX606" s="27" t="s">
        <v>7</v>
      </c>
      <c r="CY606" s="27" t="s">
        <v>8</v>
      </c>
      <c r="FJ606" s="27" t="s">
        <v>7</v>
      </c>
      <c r="FK606" s="27" t="s">
        <v>8</v>
      </c>
      <c r="FL606" s="27" t="s">
        <v>7</v>
      </c>
      <c r="FP606" s="27" t="s">
        <v>7</v>
      </c>
      <c r="FQ606" s="27" t="s">
        <v>8</v>
      </c>
      <c r="FR606" s="27" t="s">
        <v>7</v>
      </c>
      <c r="FS606" s="27" t="s">
        <v>8</v>
      </c>
      <c r="FV606" s="27" t="s">
        <v>7</v>
      </c>
      <c r="FX606" s="27" t="s">
        <v>7</v>
      </c>
      <c r="FY606" s="27" t="s">
        <v>8</v>
      </c>
      <c r="FZ606" s="27" t="s">
        <v>7</v>
      </c>
      <c r="GA606" s="27" t="s">
        <v>8</v>
      </c>
      <c r="GB606" s="27" t="s">
        <v>7</v>
      </c>
      <c r="GC606" s="27" t="s">
        <v>8</v>
      </c>
      <c r="GD606" s="27" t="s">
        <v>7</v>
      </c>
      <c r="GE606" s="27" t="s">
        <v>8</v>
      </c>
      <c r="GF606" s="27" t="s">
        <v>7</v>
      </c>
    </row>
    <row r="607" spans="1:188" x14ac:dyDescent="0.25">
      <c r="A607" s="7">
        <v>0.67297133310805768</v>
      </c>
      <c r="B607"/>
      <c r="C607"/>
      <c r="D607"/>
      <c r="E607"/>
      <c r="F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  <c r="M607" s="27" t="s">
        <v>8</v>
      </c>
      <c r="N607" s="27" t="s">
        <v>7</v>
      </c>
      <c r="P607" s="27" t="s">
        <v>7</v>
      </c>
      <c r="Q607" s="27" t="s">
        <v>8</v>
      </c>
      <c r="AA607" s="27" t="s">
        <v>8</v>
      </c>
      <c r="AC607" s="27" t="s">
        <v>8</v>
      </c>
      <c r="AD607" s="27" t="s">
        <v>7</v>
      </c>
      <c r="AE607" s="27" t="s">
        <v>8</v>
      </c>
      <c r="AI607" s="27" t="s">
        <v>8</v>
      </c>
      <c r="AL607" s="27" t="s">
        <v>7</v>
      </c>
      <c r="AM607" s="27" t="s">
        <v>8</v>
      </c>
      <c r="AR607" s="27" t="s">
        <v>7</v>
      </c>
      <c r="AS607" s="27" t="s">
        <v>8</v>
      </c>
      <c r="AT607" s="27" t="s">
        <v>7</v>
      </c>
      <c r="AW607" s="27" t="s">
        <v>8</v>
      </c>
      <c r="AX607" s="27" t="s">
        <v>7</v>
      </c>
      <c r="AY607" s="27" t="s">
        <v>8</v>
      </c>
      <c r="AZ607" s="27" t="s">
        <v>7</v>
      </c>
      <c r="BA607" s="27" t="s">
        <v>8</v>
      </c>
      <c r="BL607" s="27" t="s">
        <v>7</v>
      </c>
      <c r="BS607" s="27" t="s">
        <v>8</v>
      </c>
      <c r="BT607" s="27" t="s">
        <v>7</v>
      </c>
      <c r="CW607" s="27" t="s">
        <v>8</v>
      </c>
      <c r="CX607" s="27" t="s">
        <v>7</v>
      </c>
      <c r="CY607" s="27" t="s">
        <v>8</v>
      </c>
      <c r="FJ607" s="27" t="s">
        <v>7</v>
      </c>
      <c r="FK607" s="27" t="s">
        <v>8</v>
      </c>
      <c r="FP607" s="27" t="s">
        <v>7</v>
      </c>
      <c r="FQ607" s="27" t="s">
        <v>8</v>
      </c>
      <c r="FR607" s="27" t="s">
        <v>7</v>
      </c>
      <c r="FS607" s="27" t="s">
        <v>8</v>
      </c>
      <c r="FX607" s="27" t="s">
        <v>7</v>
      </c>
      <c r="FY607" s="27" t="s">
        <v>8</v>
      </c>
      <c r="FZ607" s="27" t="s">
        <v>7</v>
      </c>
      <c r="GA607" s="27" t="s">
        <v>8</v>
      </c>
      <c r="GB607" s="27" t="s">
        <v>7</v>
      </c>
      <c r="GC607" s="27" t="s">
        <v>8</v>
      </c>
      <c r="GD607" s="27" t="s">
        <v>7</v>
      </c>
      <c r="GE607" s="27" t="s">
        <v>8</v>
      </c>
      <c r="GF607" s="27" t="s">
        <v>7</v>
      </c>
    </row>
    <row r="608" spans="1:188" x14ac:dyDescent="0.25">
      <c r="A608" s="7">
        <v>0.65977581677260566</v>
      </c>
      <c r="B608"/>
      <c r="C608"/>
      <c r="D608"/>
      <c r="E608"/>
      <c r="F608" s="27" t="s">
        <v>7</v>
      </c>
      <c r="I608" s="27" t="s">
        <v>8</v>
      </c>
      <c r="J608" s="27" t="s">
        <v>7</v>
      </c>
      <c r="K608" s="27" t="s">
        <v>8</v>
      </c>
      <c r="L608" s="27" t="s">
        <v>7</v>
      </c>
      <c r="M608" s="27" t="s">
        <v>8</v>
      </c>
      <c r="P608" s="27" t="s">
        <v>7</v>
      </c>
      <c r="Q608" s="27" t="s">
        <v>8</v>
      </c>
      <c r="R608" s="27" t="s">
        <v>7</v>
      </c>
      <c r="AA608" s="27" t="s">
        <v>8</v>
      </c>
      <c r="AB608" s="27" t="s">
        <v>7</v>
      </c>
      <c r="AC608" s="27" t="s">
        <v>8</v>
      </c>
      <c r="AD608" s="27" t="s">
        <v>7</v>
      </c>
      <c r="AE608" s="27" t="s">
        <v>8</v>
      </c>
      <c r="AF608" s="27" t="s">
        <v>7</v>
      </c>
      <c r="AG608" s="27" t="s">
        <v>8</v>
      </c>
      <c r="AI608" s="27" t="s">
        <v>8</v>
      </c>
      <c r="AL608" s="27" t="s">
        <v>7</v>
      </c>
      <c r="AM608" s="27" t="s">
        <v>8</v>
      </c>
      <c r="AR608" s="27" t="s">
        <v>7</v>
      </c>
      <c r="AS608" s="27" t="s">
        <v>8</v>
      </c>
      <c r="AT608" s="27" t="s">
        <v>7</v>
      </c>
      <c r="AW608" s="27" t="s">
        <v>8</v>
      </c>
      <c r="AX608" s="27" t="s">
        <v>7</v>
      </c>
      <c r="AY608" s="27" t="s">
        <v>8</v>
      </c>
      <c r="AZ608" s="27" t="s">
        <v>7</v>
      </c>
      <c r="BA608" s="27" t="s">
        <v>8</v>
      </c>
      <c r="BL608" s="27" t="s">
        <v>7</v>
      </c>
      <c r="BM608" s="27" t="s">
        <v>8</v>
      </c>
      <c r="BS608" s="27" t="s">
        <v>8</v>
      </c>
      <c r="BT608" s="27" t="s">
        <v>7</v>
      </c>
      <c r="CW608" s="27" t="s">
        <v>8</v>
      </c>
      <c r="CX608" s="27" t="s">
        <v>7</v>
      </c>
      <c r="FJ608" s="27" t="s">
        <v>7</v>
      </c>
      <c r="FK608" s="27" t="s">
        <v>8</v>
      </c>
      <c r="FP608" s="27" t="s">
        <v>7</v>
      </c>
      <c r="FQ608" s="27" t="s">
        <v>8</v>
      </c>
      <c r="FR608" s="27" t="s">
        <v>7</v>
      </c>
      <c r="FS608" s="27" t="s">
        <v>8</v>
      </c>
      <c r="FX608" s="27" t="s">
        <v>7</v>
      </c>
      <c r="FY608" s="27" t="s">
        <v>8</v>
      </c>
      <c r="FZ608" s="27" t="s">
        <v>7</v>
      </c>
      <c r="GA608" s="27" t="s">
        <v>8</v>
      </c>
      <c r="GB608" s="27" t="s">
        <v>7</v>
      </c>
      <c r="GD608" s="27" t="s">
        <v>7</v>
      </c>
      <c r="GF608" s="27" t="s">
        <v>7</v>
      </c>
    </row>
    <row r="609" spans="1:192" x14ac:dyDescent="0.25">
      <c r="A609" s="7">
        <v>0.64683903605157422</v>
      </c>
      <c r="B609"/>
      <c r="C609"/>
      <c r="D609"/>
      <c r="E609"/>
      <c r="F609" s="27" t="s">
        <v>7</v>
      </c>
      <c r="I609" s="27" t="s">
        <v>8</v>
      </c>
      <c r="J609" s="27" t="s">
        <v>7</v>
      </c>
      <c r="K609" s="27" t="s">
        <v>8</v>
      </c>
      <c r="L609" s="27" t="s">
        <v>7</v>
      </c>
      <c r="M609" s="27" t="s">
        <v>8</v>
      </c>
      <c r="P609" s="27" t="s">
        <v>7</v>
      </c>
      <c r="Q609" s="27" t="s">
        <v>8</v>
      </c>
      <c r="R609" s="27" t="s">
        <v>7</v>
      </c>
      <c r="AA609" s="27" t="s">
        <v>8</v>
      </c>
      <c r="AB609" s="27" t="s">
        <v>7</v>
      </c>
      <c r="AC609" s="27" t="s">
        <v>8</v>
      </c>
      <c r="AD609" s="27" t="s">
        <v>7</v>
      </c>
      <c r="AE609" s="27" t="s">
        <v>8</v>
      </c>
      <c r="AF609" s="27" t="s">
        <v>7</v>
      </c>
      <c r="AG609" s="27" t="s">
        <v>8</v>
      </c>
      <c r="AH609" s="27" t="s">
        <v>7</v>
      </c>
      <c r="AI609" s="27" t="s">
        <v>8</v>
      </c>
      <c r="AL609" s="27" t="s">
        <v>7</v>
      </c>
      <c r="AM609" s="27" t="s">
        <v>8</v>
      </c>
      <c r="AR609" s="27" t="s">
        <v>7</v>
      </c>
      <c r="AS609" s="27" t="s">
        <v>8</v>
      </c>
      <c r="AT609" s="27" t="s">
        <v>7</v>
      </c>
      <c r="AW609" s="27" t="s">
        <v>8</v>
      </c>
      <c r="AX609" s="27" t="s">
        <v>7</v>
      </c>
      <c r="AY609" s="27" t="s">
        <v>8</v>
      </c>
      <c r="AZ609" s="27" t="s">
        <v>7</v>
      </c>
      <c r="BA609" s="27" t="s">
        <v>8</v>
      </c>
      <c r="BL609" s="27" t="s">
        <v>7</v>
      </c>
      <c r="BM609" s="27" t="s">
        <v>8</v>
      </c>
      <c r="BN609" s="27" t="s">
        <v>7</v>
      </c>
      <c r="BS609" s="27" t="s">
        <v>8</v>
      </c>
      <c r="BT609" s="27" t="s">
        <v>7</v>
      </c>
      <c r="CW609" s="27" t="s">
        <v>8</v>
      </c>
      <c r="FJ609" s="27" t="s">
        <v>7</v>
      </c>
      <c r="FP609" s="27" t="s">
        <v>7</v>
      </c>
      <c r="FR609" s="27" t="s">
        <v>7</v>
      </c>
      <c r="FS609" s="27" t="s">
        <v>8</v>
      </c>
      <c r="FX609" s="27" t="s">
        <v>7</v>
      </c>
      <c r="FY609" s="27" t="s">
        <v>8</v>
      </c>
      <c r="FZ609" s="27" t="s">
        <v>7</v>
      </c>
      <c r="GA609" s="27" t="s">
        <v>8</v>
      </c>
      <c r="GF609" s="27" t="s">
        <v>7</v>
      </c>
    </row>
    <row r="610" spans="1:192" x14ac:dyDescent="0.25">
      <c r="A610" s="7">
        <v>0.63415591769762181</v>
      </c>
      <c r="B610"/>
      <c r="C610"/>
      <c r="D610"/>
      <c r="E610"/>
      <c r="F610" s="27" t="s">
        <v>7</v>
      </c>
      <c r="I610" s="27" t="s">
        <v>8</v>
      </c>
      <c r="J610" s="27" t="s">
        <v>7</v>
      </c>
      <c r="K610" s="27" t="s">
        <v>8</v>
      </c>
      <c r="L610" s="27" t="s">
        <v>7</v>
      </c>
      <c r="M610" s="27" t="s">
        <v>8</v>
      </c>
      <c r="P610" s="27" t="s">
        <v>7</v>
      </c>
      <c r="Q610" s="27" t="s">
        <v>8</v>
      </c>
      <c r="R610" s="27" t="s">
        <v>7</v>
      </c>
      <c r="AA610" s="27" t="s">
        <v>8</v>
      </c>
      <c r="AB610" s="27" t="s">
        <v>7</v>
      </c>
      <c r="AC610" s="27" t="s">
        <v>8</v>
      </c>
      <c r="AD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  <c r="AI610" s="27" t="s">
        <v>8</v>
      </c>
      <c r="AL610" s="27" t="s">
        <v>7</v>
      </c>
      <c r="AR610" s="27" t="s">
        <v>7</v>
      </c>
      <c r="AS610" s="27" t="s">
        <v>8</v>
      </c>
      <c r="AT610" s="27" t="s">
        <v>7</v>
      </c>
      <c r="AW610" s="27" t="s">
        <v>8</v>
      </c>
      <c r="AX610" s="27" t="s">
        <v>7</v>
      </c>
      <c r="AY610" s="27" t="s">
        <v>8</v>
      </c>
      <c r="AZ610" s="27" t="s">
        <v>7</v>
      </c>
      <c r="BL610" s="27" t="s">
        <v>7</v>
      </c>
      <c r="BM610" s="27" t="s">
        <v>8</v>
      </c>
      <c r="BN610" s="27" t="s">
        <v>7</v>
      </c>
      <c r="BQ610" s="27" t="s">
        <v>8</v>
      </c>
      <c r="BS610" s="27" t="s">
        <v>8</v>
      </c>
      <c r="BT610" s="27" t="s">
        <v>7</v>
      </c>
      <c r="CW610" s="27" t="s">
        <v>8</v>
      </c>
      <c r="FR610" s="27" t="s">
        <v>7</v>
      </c>
      <c r="FX610" s="27" t="s">
        <v>7</v>
      </c>
      <c r="FY610" s="27" t="s">
        <v>8</v>
      </c>
      <c r="FZ610" s="27" t="s">
        <v>7</v>
      </c>
      <c r="GA610" s="27" t="s">
        <v>8</v>
      </c>
      <c r="GF610" s="27" t="s">
        <v>7</v>
      </c>
    </row>
    <row r="611" spans="1:192" x14ac:dyDescent="0.25">
      <c r="A611" s="7">
        <v>0.62172148793884496</v>
      </c>
      <c r="B611"/>
      <c r="C611"/>
      <c r="D611"/>
      <c r="E611"/>
      <c r="F611" s="27" t="s">
        <v>7</v>
      </c>
      <c r="I611" s="27" t="s">
        <v>8</v>
      </c>
      <c r="J611" s="27" t="s">
        <v>7</v>
      </c>
      <c r="K611" s="27" t="s">
        <v>8</v>
      </c>
      <c r="L611" s="27" t="s">
        <v>7</v>
      </c>
      <c r="M611" s="27" t="s">
        <v>8</v>
      </c>
      <c r="P611" s="27" t="s">
        <v>7</v>
      </c>
      <c r="Q611" s="27" t="s">
        <v>8</v>
      </c>
      <c r="R611" s="27" t="s">
        <v>7</v>
      </c>
      <c r="AA611" s="27" t="s">
        <v>8</v>
      </c>
      <c r="AB611" s="27" t="s">
        <v>7</v>
      </c>
      <c r="AC611" s="27" t="s">
        <v>8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  <c r="AI611" s="27" t="s">
        <v>8</v>
      </c>
      <c r="AR611" s="27" t="s">
        <v>7</v>
      </c>
      <c r="AS611" s="27" t="s">
        <v>8</v>
      </c>
      <c r="AT611" s="27" t="s">
        <v>7</v>
      </c>
      <c r="AW611" s="27" t="s">
        <v>8</v>
      </c>
      <c r="AX611" s="27" t="s">
        <v>7</v>
      </c>
      <c r="AY611" s="27" t="s">
        <v>8</v>
      </c>
      <c r="BL611" s="27" t="s">
        <v>7</v>
      </c>
      <c r="BM611" s="27" t="s">
        <v>8</v>
      </c>
      <c r="BN611" s="27" t="s">
        <v>7</v>
      </c>
      <c r="BQ611" s="27" t="s">
        <v>8</v>
      </c>
      <c r="BR611" s="27" t="s">
        <v>7</v>
      </c>
      <c r="BS611" s="27" t="s">
        <v>8</v>
      </c>
      <c r="BT611" s="27" t="s">
        <v>7</v>
      </c>
      <c r="CW611" s="27" t="s">
        <v>8</v>
      </c>
      <c r="FX611" s="27" t="s">
        <v>7</v>
      </c>
      <c r="FY611" s="27" t="s">
        <v>8</v>
      </c>
      <c r="FZ611" s="27" t="s">
        <v>7</v>
      </c>
      <c r="GA611" s="27" t="s">
        <v>8</v>
      </c>
      <c r="GF611" s="27" t="s">
        <v>7</v>
      </c>
    </row>
    <row r="612" spans="1:192" x14ac:dyDescent="0.25">
      <c r="A612" s="7">
        <v>0.60953087052827937</v>
      </c>
      <c r="B612"/>
      <c r="C612"/>
      <c r="D612"/>
      <c r="E612"/>
      <c r="F612" s="27" t="s">
        <v>7</v>
      </c>
      <c r="I612" s="27" t="s">
        <v>8</v>
      </c>
      <c r="J612" s="27" t="s">
        <v>7</v>
      </c>
      <c r="L612" s="27" t="s">
        <v>7</v>
      </c>
      <c r="M612" s="27" t="s">
        <v>8</v>
      </c>
      <c r="P612" s="27" t="s">
        <v>7</v>
      </c>
      <c r="Q612" s="27" t="s">
        <v>8</v>
      </c>
      <c r="R612" s="27" t="s">
        <v>7</v>
      </c>
      <c r="W612" s="27" t="s">
        <v>8</v>
      </c>
      <c r="AA612" s="27" t="s">
        <v>8</v>
      </c>
      <c r="AB612" s="27" t="s">
        <v>7</v>
      </c>
      <c r="AC612" s="27" t="s">
        <v>8</v>
      </c>
      <c r="AD612" s="27" t="s">
        <v>7</v>
      </c>
      <c r="AE612" s="27" t="s">
        <v>8</v>
      </c>
      <c r="AF612" s="27" t="s">
        <v>7</v>
      </c>
      <c r="AG612" s="27" t="s">
        <v>8</v>
      </c>
      <c r="AH612" s="27" t="s">
        <v>7</v>
      </c>
      <c r="AI612" s="27" t="s">
        <v>8</v>
      </c>
      <c r="AR612" s="27" t="s">
        <v>7</v>
      </c>
      <c r="AT612" s="27" t="s">
        <v>7</v>
      </c>
      <c r="AW612" s="27" t="s">
        <v>8</v>
      </c>
      <c r="AX612" s="27" t="s">
        <v>7</v>
      </c>
      <c r="AY612" s="27" t="s">
        <v>8</v>
      </c>
      <c r="BL612" s="27" t="s">
        <v>7</v>
      </c>
      <c r="BM612" s="27" t="s">
        <v>8</v>
      </c>
      <c r="BN612" s="27" t="s">
        <v>7</v>
      </c>
      <c r="BQ612" s="27" t="s">
        <v>8</v>
      </c>
      <c r="BR612" s="27" t="s">
        <v>7</v>
      </c>
      <c r="BS612" s="27" t="s">
        <v>8</v>
      </c>
      <c r="BT612" s="27" t="s">
        <v>7</v>
      </c>
      <c r="CW612" s="27" t="s">
        <v>8</v>
      </c>
      <c r="FX612" s="27" t="s">
        <v>7</v>
      </c>
      <c r="FZ612" s="27" t="s">
        <v>7</v>
      </c>
      <c r="GF612" s="27" t="s">
        <v>7</v>
      </c>
    </row>
    <row r="613" spans="1:192" x14ac:dyDescent="0.25">
      <c r="A613" s="7">
        <v>0.59757928483164646</v>
      </c>
      <c r="B613"/>
      <c r="C613"/>
      <c r="D613"/>
      <c r="E613"/>
      <c r="F613" s="27" t="s">
        <v>7</v>
      </c>
      <c r="I613" s="27" t="s">
        <v>8</v>
      </c>
      <c r="L613" s="27" t="s">
        <v>7</v>
      </c>
      <c r="M613" s="27" t="s">
        <v>8</v>
      </c>
      <c r="P613" s="27" t="s">
        <v>7</v>
      </c>
      <c r="Q613" s="27" t="s">
        <v>8</v>
      </c>
      <c r="R613" s="27" t="s">
        <v>7</v>
      </c>
      <c r="W613" s="27" t="s">
        <v>8</v>
      </c>
      <c r="X613" s="27" t="s">
        <v>7</v>
      </c>
      <c r="AA613" s="27" t="s">
        <v>8</v>
      </c>
      <c r="AB613" s="27" t="s">
        <v>7</v>
      </c>
      <c r="AC613" s="27" t="s">
        <v>8</v>
      </c>
      <c r="AD613" s="27" t="s">
        <v>7</v>
      </c>
      <c r="AE613" s="27" t="s">
        <v>8</v>
      </c>
      <c r="AF613" s="27" t="s">
        <v>7</v>
      </c>
      <c r="AG613" s="27" t="s">
        <v>8</v>
      </c>
      <c r="AH613" s="27" t="s">
        <v>7</v>
      </c>
      <c r="AI613" s="27" t="s">
        <v>8</v>
      </c>
      <c r="AT613" s="27" t="s">
        <v>7</v>
      </c>
      <c r="AU613" s="27" t="s">
        <v>8</v>
      </c>
      <c r="AW613" s="27" t="s">
        <v>8</v>
      </c>
      <c r="AX613" s="27" t="s">
        <v>7</v>
      </c>
      <c r="BL613" s="27" t="s">
        <v>7</v>
      </c>
      <c r="BM613" s="27" t="s">
        <v>8</v>
      </c>
      <c r="BN613" s="27" t="s">
        <v>7</v>
      </c>
      <c r="BQ613" s="27" t="s">
        <v>8</v>
      </c>
      <c r="BR613" s="27" t="s">
        <v>7</v>
      </c>
      <c r="BS613" s="27" t="s">
        <v>8</v>
      </c>
      <c r="BT613" s="27" t="s">
        <v>7</v>
      </c>
      <c r="CW613" s="27" t="s">
        <v>8</v>
      </c>
      <c r="GF613" s="27" t="s">
        <v>7</v>
      </c>
    </row>
    <row r="614" spans="1:192" x14ac:dyDescent="0.25">
      <c r="A614" s="7">
        <v>0.58586204395259456</v>
      </c>
      <c r="B614"/>
      <c r="C614"/>
      <c r="D614"/>
      <c r="E614"/>
      <c r="F614" s="27" t="s">
        <v>7</v>
      </c>
      <c r="I614" s="27" t="s">
        <v>8</v>
      </c>
      <c r="L614" s="27" t="s">
        <v>7</v>
      </c>
      <c r="M614" s="27" t="s">
        <v>8</v>
      </c>
      <c r="P614" s="27" t="s">
        <v>7</v>
      </c>
      <c r="Q614" s="27" t="s">
        <v>8</v>
      </c>
      <c r="R614" s="27" t="s">
        <v>7</v>
      </c>
      <c r="W614" s="27" t="s">
        <v>8</v>
      </c>
      <c r="X614" s="27" t="s">
        <v>7</v>
      </c>
      <c r="Y614" s="27" t="s">
        <v>8</v>
      </c>
      <c r="AA614" s="27" t="s">
        <v>8</v>
      </c>
      <c r="AB614" s="27" t="s">
        <v>7</v>
      </c>
      <c r="AD614" s="27" t="s">
        <v>7</v>
      </c>
      <c r="AE614" s="27" t="s">
        <v>8</v>
      </c>
      <c r="AF614" s="27" t="s">
        <v>7</v>
      </c>
      <c r="AG614" s="27" t="s">
        <v>8</v>
      </c>
      <c r="AH614" s="27" t="s">
        <v>7</v>
      </c>
      <c r="AI614" s="27" t="s">
        <v>8</v>
      </c>
      <c r="AT614" s="27" t="s">
        <v>7</v>
      </c>
      <c r="AU614" s="27" t="s">
        <v>8</v>
      </c>
      <c r="AV614" s="27" t="s">
        <v>7</v>
      </c>
      <c r="AW614" s="27" t="s">
        <v>8</v>
      </c>
      <c r="BL614" s="27" t="s">
        <v>7</v>
      </c>
      <c r="BM614" s="27" t="s">
        <v>8</v>
      </c>
      <c r="BN614" s="27" t="s">
        <v>7</v>
      </c>
      <c r="BO614" s="27" t="s">
        <v>8</v>
      </c>
      <c r="BQ614" s="27" t="s">
        <v>8</v>
      </c>
      <c r="BR614" s="27" t="s">
        <v>7</v>
      </c>
      <c r="BS614" s="27" t="s">
        <v>8</v>
      </c>
      <c r="BT614" s="27" t="s">
        <v>7</v>
      </c>
      <c r="CW614" s="27" t="s">
        <v>8</v>
      </c>
      <c r="GF614" s="27" t="s">
        <v>7</v>
      </c>
    </row>
    <row r="615" spans="1:192" x14ac:dyDescent="0.25">
      <c r="A615" s="7">
        <v>0.57437455289470052</v>
      </c>
      <c r="B615"/>
      <c r="C615"/>
      <c r="D615"/>
      <c r="E615"/>
      <c r="F615" s="27" t="s">
        <v>7</v>
      </c>
      <c r="I615" s="27" t="s">
        <v>8</v>
      </c>
      <c r="L615" s="27" t="s">
        <v>7</v>
      </c>
      <c r="M615" s="27" t="s">
        <v>8</v>
      </c>
      <c r="P615" s="27" t="s">
        <v>7</v>
      </c>
      <c r="Q615" s="27" t="s">
        <v>8</v>
      </c>
      <c r="R615" s="27" t="s">
        <v>7</v>
      </c>
      <c r="U615" s="27" t="s">
        <v>8</v>
      </c>
      <c r="W615" s="27" t="s">
        <v>8</v>
      </c>
      <c r="X615" s="27" t="s">
        <v>7</v>
      </c>
      <c r="Y615" s="27" t="s">
        <v>8</v>
      </c>
      <c r="Z615" s="27" t="s">
        <v>7</v>
      </c>
      <c r="AA615" s="27" t="s">
        <v>8</v>
      </c>
      <c r="AD615" s="27" t="s">
        <v>7</v>
      </c>
      <c r="AE615" s="27" t="s">
        <v>8</v>
      </c>
      <c r="AF615" s="27" t="s">
        <v>7</v>
      </c>
      <c r="AH615" s="27" t="s">
        <v>7</v>
      </c>
      <c r="AT615" s="27" t="s">
        <v>7</v>
      </c>
      <c r="AU615" s="27" t="s">
        <v>8</v>
      </c>
      <c r="AV615" s="27" t="s">
        <v>7</v>
      </c>
      <c r="AW615" s="27" t="s">
        <v>8</v>
      </c>
      <c r="BL615" s="27" t="s">
        <v>7</v>
      </c>
      <c r="BM615" s="27" t="s">
        <v>8</v>
      </c>
      <c r="BN615" s="27" t="s">
        <v>7</v>
      </c>
      <c r="BO615" s="27" t="s">
        <v>8</v>
      </c>
      <c r="BP615" s="27" t="s">
        <v>7</v>
      </c>
      <c r="BQ615" s="27" t="s">
        <v>8</v>
      </c>
      <c r="BR615" s="27" t="s">
        <v>7</v>
      </c>
      <c r="BS615" s="27" t="s">
        <v>8</v>
      </c>
      <c r="BT615" s="27" t="s">
        <v>7</v>
      </c>
      <c r="CW615" s="27" t="s">
        <v>8</v>
      </c>
      <c r="GF615" s="27" t="s">
        <v>7</v>
      </c>
    </row>
    <row r="616" spans="1:192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L616" s="27" t="s">
        <v>7</v>
      </c>
      <c r="M616" s="27" t="s">
        <v>8</v>
      </c>
      <c r="P616" s="27" t="s">
        <v>7</v>
      </c>
      <c r="Q616" s="27" t="s">
        <v>8</v>
      </c>
      <c r="R616" s="27" t="s">
        <v>7</v>
      </c>
      <c r="S616" s="27" t="s">
        <v>8</v>
      </c>
      <c r="U616" s="27" t="s">
        <v>8</v>
      </c>
      <c r="V616" s="27" t="s">
        <v>7</v>
      </c>
      <c r="W616" s="27" t="s">
        <v>8</v>
      </c>
      <c r="X616" s="27" t="s">
        <v>7</v>
      </c>
      <c r="Y616" s="27" t="s">
        <v>8</v>
      </c>
      <c r="Z616" s="27" t="s">
        <v>7</v>
      </c>
      <c r="AA616" s="27" t="s">
        <v>8</v>
      </c>
      <c r="AD616" s="27" t="s">
        <v>7</v>
      </c>
      <c r="AE616" s="27" t="s">
        <v>8</v>
      </c>
      <c r="AT616" s="27" t="s">
        <v>7</v>
      </c>
      <c r="AU616" s="27" t="s">
        <v>8</v>
      </c>
      <c r="AV616" s="27" t="s">
        <v>7</v>
      </c>
      <c r="AW616" s="27" t="s">
        <v>8</v>
      </c>
      <c r="BL616" s="27" t="s">
        <v>7</v>
      </c>
      <c r="BM616" s="27" t="s">
        <v>8</v>
      </c>
      <c r="BN616" s="27" t="s">
        <v>7</v>
      </c>
      <c r="BO616" s="27" t="s">
        <v>8</v>
      </c>
      <c r="BP616" s="27" t="s">
        <v>7</v>
      </c>
      <c r="BQ616" s="27" t="s">
        <v>8</v>
      </c>
      <c r="BR616" s="27" t="s">
        <v>7</v>
      </c>
      <c r="BS616" s="27" t="s">
        <v>8</v>
      </c>
      <c r="BT616" s="27" t="s">
        <v>7</v>
      </c>
      <c r="CW616" s="27" t="s">
        <v>8</v>
      </c>
      <c r="GF616" s="27" t="s">
        <v>7</v>
      </c>
    </row>
    <row r="617" spans="1:192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L617" s="27" t="s">
        <v>7</v>
      </c>
      <c r="M617" s="27" t="s">
        <v>8</v>
      </c>
      <c r="P617" s="27" t="s">
        <v>7</v>
      </c>
      <c r="Q617" s="27" t="s">
        <v>8</v>
      </c>
      <c r="R617" s="27" t="s">
        <v>7</v>
      </c>
      <c r="S617" s="27" t="s">
        <v>8</v>
      </c>
      <c r="T617" s="27" t="s">
        <v>7</v>
      </c>
      <c r="U617" s="27" t="s">
        <v>8</v>
      </c>
      <c r="V617" s="27" t="s">
        <v>7</v>
      </c>
      <c r="W617" s="27" t="s">
        <v>8</v>
      </c>
      <c r="X617" s="27" t="s">
        <v>7</v>
      </c>
      <c r="Y617" s="27" t="s">
        <v>8</v>
      </c>
      <c r="Z617" s="27" t="s">
        <v>7</v>
      </c>
      <c r="AA617" s="27" t="s">
        <v>8</v>
      </c>
      <c r="AD617" s="27" t="s">
        <v>7</v>
      </c>
      <c r="AE617" s="27" t="s">
        <v>8</v>
      </c>
      <c r="AT617" s="27" t="s">
        <v>7</v>
      </c>
      <c r="AU617" s="27" t="s">
        <v>8</v>
      </c>
      <c r="AV617" s="27" t="s">
        <v>7</v>
      </c>
      <c r="AW617" s="27" t="s">
        <v>8</v>
      </c>
      <c r="BL617" s="27" t="s">
        <v>7</v>
      </c>
      <c r="BM617" s="27" t="s">
        <v>8</v>
      </c>
      <c r="BN617" s="27" t="s">
        <v>7</v>
      </c>
      <c r="BO617" s="27" t="s">
        <v>8</v>
      </c>
      <c r="BP617" s="27" t="s">
        <v>7</v>
      </c>
      <c r="BQ617" s="27" t="s">
        <v>8</v>
      </c>
      <c r="BR617" s="27" t="s">
        <v>7</v>
      </c>
      <c r="BS617" s="27" t="s">
        <v>8</v>
      </c>
      <c r="BT617" s="27" t="s">
        <v>7</v>
      </c>
      <c r="CW617" s="27" t="s">
        <v>8</v>
      </c>
      <c r="GF617" s="27" t="s">
        <v>7</v>
      </c>
    </row>
    <row r="618" spans="1:192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L618" s="27" t="s">
        <v>7</v>
      </c>
      <c r="M618" s="27" t="s">
        <v>8</v>
      </c>
      <c r="P618" s="27" t="s">
        <v>7</v>
      </c>
      <c r="R618" s="27" t="s">
        <v>7</v>
      </c>
      <c r="S618" s="27" t="s">
        <v>8</v>
      </c>
      <c r="T618" s="27" t="s">
        <v>7</v>
      </c>
      <c r="U618" s="27" t="s">
        <v>8</v>
      </c>
      <c r="V618" s="27" t="s">
        <v>7</v>
      </c>
      <c r="W618" s="27" t="s">
        <v>8</v>
      </c>
      <c r="X618" s="27" t="s">
        <v>7</v>
      </c>
      <c r="Y618" s="27" t="s">
        <v>8</v>
      </c>
      <c r="Z618" s="27" t="s">
        <v>7</v>
      </c>
      <c r="AA618" s="27" t="s">
        <v>8</v>
      </c>
      <c r="AD618" s="27" t="s">
        <v>7</v>
      </c>
      <c r="AE618" s="27" t="s">
        <v>8</v>
      </c>
      <c r="AT618" s="27" t="s">
        <v>7</v>
      </c>
      <c r="AU618" s="27" t="s">
        <v>8</v>
      </c>
      <c r="AV618" s="27" t="s">
        <v>7</v>
      </c>
      <c r="AW618" s="27" t="s">
        <v>8</v>
      </c>
      <c r="BL618" s="27" t="s">
        <v>7</v>
      </c>
      <c r="BM618" s="27" t="s">
        <v>8</v>
      </c>
      <c r="BN618" s="27" t="s">
        <v>7</v>
      </c>
      <c r="BO618" s="27" t="s">
        <v>8</v>
      </c>
      <c r="BP618" s="27" t="s">
        <v>7</v>
      </c>
      <c r="BQ618" s="27" t="s">
        <v>8</v>
      </c>
      <c r="BR618" s="27" t="s">
        <v>7</v>
      </c>
      <c r="BS618" s="27" t="s">
        <v>8</v>
      </c>
      <c r="BT618" s="27" t="s">
        <v>7</v>
      </c>
      <c r="CS618" s="27" t="s">
        <v>8</v>
      </c>
      <c r="CU618" s="27" t="s">
        <v>8</v>
      </c>
      <c r="CW618" s="27" t="s">
        <v>8</v>
      </c>
      <c r="GF618" s="27" t="s">
        <v>7</v>
      </c>
      <c r="GG618" s="27" t="s">
        <v>8</v>
      </c>
      <c r="GI618" s="27" t="s">
        <v>8</v>
      </c>
    </row>
    <row r="619" spans="1:192" x14ac:dyDescent="0.25">
      <c r="A619" s="7">
        <v>0.53063330351779314</v>
      </c>
      <c r="B619"/>
      <c r="C619"/>
      <c r="D619"/>
      <c r="E619"/>
      <c r="F619" s="27" t="s">
        <v>7</v>
      </c>
      <c r="I619" s="27" t="s">
        <v>8</v>
      </c>
      <c r="L619" s="27" t="s">
        <v>7</v>
      </c>
      <c r="M619" s="27" t="s">
        <v>8</v>
      </c>
      <c r="R619" s="27" t="s">
        <v>7</v>
      </c>
      <c r="S619" s="27" t="s">
        <v>8</v>
      </c>
      <c r="T619" s="27" t="s">
        <v>7</v>
      </c>
      <c r="U619" s="27" t="s">
        <v>8</v>
      </c>
      <c r="V619" s="27" t="s">
        <v>7</v>
      </c>
      <c r="W619" s="27" t="s">
        <v>8</v>
      </c>
      <c r="X619" s="27" t="s">
        <v>7</v>
      </c>
      <c r="Y619" s="27" t="s">
        <v>8</v>
      </c>
      <c r="Z619" s="27" t="s">
        <v>7</v>
      </c>
      <c r="AA619" s="27" t="s">
        <v>8</v>
      </c>
      <c r="AD619" s="27" t="s">
        <v>7</v>
      </c>
      <c r="AE619" s="27" t="s">
        <v>8</v>
      </c>
      <c r="AT619" s="27" t="s">
        <v>7</v>
      </c>
      <c r="AU619" s="27" t="s">
        <v>8</v>
      </c>
      <c r="AV619" s="27" t="s">
        <v>7</v>
      </c>
      <c r="AW619" s="27" t="s">
        <v>8</v>
      </c>
      <c r="BL619" s="27" t="s">
        <v>7</v>
      </c>
      <c r="BM619" s="27" t="s">
        <v>8</v>
      </c>
      <c r="BN619" s="27" t="s">
        <v>7</v>
      </c>
      <c r="BO619" s="27" t="s">
        <v>8</v>
      </c>
      <c r="BP619" s="27" t="s">
        <v>7</v>
      </c>
      <c r="BQ619" s="27" t="s">
        <v>8</v>
      </c>
      <c r="BR619" s="27" t="s">
        <v>7</v>
      </c>
      <c r="BS619" s="27" t="s">
        <v>8</v>
      </c>
      <c r="BT619" s="27" t="s">
        <v>7</v>
      </c>
      <c r="CS619" s="27" t="s">
        <v>8</v>
      </c>
      <c r="CT619" s="27" t="s">
        <v>7</v>
      </c>
      <c r="CU619" s="27" t="s">
        <v>8</v>
      </c>
      <c r="CV619" s="27" t="s">
        <v>7</v>
      </c>
      <c r="CW619" s="27" t="s">
        <v>8</v>
      </c>
      <c r="GF619" s="27" t="s">
        <v>7</v>
      </c>
      <c r="GG619" s="27" t="s">
        <v>8</v>
      </c>
      <c r="GH619" s="27" t="s">
        <v>7</v>
      </c>
      <c r="GI619" s="27" t="s">
        <v>8</v>
      </c>
      <c r="GJ619" s="27" t="s">
        <v>7</v>
      </c>
    </row>
    <row r="620" spans="1:192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L620" s="27" t="s">
        <v>7</v>
      </c>
      <c r="R620" s="27" t="s">
        <v>7</v>
      </c>
      <c r="S620" s="27" t="s">
        <v>8</v>
      </c>
      <c r="T620" s="27" t="s">
        <v>7</v>
      </c>
      <c r="U620" s="27" t="s">
        <v>8</v>
      </c>
      <c r="V620" s="27" t="s">
        <v>7</v>
      </c>
      <c r="W620" s="27" t="s">
        <v>8</v>
      </c>
      <c r="X620" s="27" t="s">
        <v>7</v>
      </c>
      <c r="Y620" s="27" t="s">
        <v>8</v>
      </c>
      <c r="Z620" s="27" t="s">
        <v>7</v>
      </c>
      <c r="AD620" s="27" t="s">
        <v>7</v>
      </c>
      <c r="AE620" s="27" t="s">
        <v>8</v>
      </c>
      <c r="AT620" s="27" t="s">
        <v>7</v>
      </c>
      <c r="AU620" s="27" t="s">
        <v>8</v>
      </c>
      <c r="AV620" s="27" t="s">
        <v>7</v>
      </c>
      <c r="BL620" s="27" t="s">
        <v>7</v>
      </c>
      <c r="BM620" s="27" t="s">
        <v>8</v>
      </c>
      <c r="BN620" s="27" t="s">
        <v>7</v>
      </c>
      <c r="BO620" s="27" t="s">
        <v>8</v>
      </c>
      <c r="BP620" s="27" t="s">
        <v>7</v>
      </c>
      <c r="BQ620" s="27" t="s">
        <v>8</v>
      </c>
      <c r="BR620" s="27" t="s">
        <v>7</v>
      </c>
      <c r="BS620" s="27" t="s">
        <v>8</v>
      </c>
      <c r="BT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CW620" s="27" t="s">
        <v>8</v>
      </c>
      <c r="GF620" s="27" t="s">
        <v>7</v>
      </c>
      <c r="GG620" s="27" t="s">
        <v>8</v>
      </c>
      <c r="GH620" s="27" t="s">
        <v>7</v>
      </c>
      <c r="GI620" s="27" t="s">
        <v>8</v>
      </c>
      <c r="GJ620" s="27" t="s">
        <v>7</v>
      </c>
    </row>
    <row r="621" spans="1:192" x14ac:dyDescent="0.25">
      <c r="A621" s="7">
        <v>0.51002816562648323</v>
      </c>
      <c r="B621"/>
      <c r="C621"/>
      <c r="D621"/>
      <c r="E621"/>
      <c r="F621" s="27" t="s">
        <v>7</v>
      </c>
      <c r="I621" s="27" t="s">
        <v>8</v>
      </c>
      <c r="R621" s="27" t="s">
        <v>7</v>
      </c>
      <c r="T621" s="27" t="s">
        <v>7</v>
      </c>
      <c r="U621" s="27" t="s">
        <v>8</v>
      </c>
      <c r="V621" s="27" t="s">
        <v>7</v>
      </c>
      <c r="W621" s="27" t="s">
        <v>8</v>
      </c>
      <c r="X621" s="27" t="s">
        <v>7</v>
      </c>
      <c r="Y621" s="27" t="s">
        <v>8</v>
      </c>
      <c r="AD621" s="27" t="s">
        <v>7</v>
      </c>
      <c r="AE621" s="27" t="s">
        <v>8</v>
      </c>
      <c r="AT621" s="27" t="s">
        <v>7</v>
      </c>
      <c r="AU621" s="27" t="s">
        <v>8</v>
      </c>
      <c r="BL621" s="27" t="s">
        <v>7</v>
      </c>
      <c r="BM621" s="27" t="s">
        <v>8</v>
      </c>
      <c r="BN621" s="27" t="s">
        <v>7</v>
      </c>
      <c r="BO621" s="27" t="s">
        <v>8</v>
      </c>
      <c r="BP621" s="27" t="s">
        <v>7</v>
      </c>
      <c r="BQ621" s="27" t="s">
        <v>8</v>
      </c>
      <c r="BR621" s="27" t="s">
        <v>7</v>
      </c>
      <c r="BS621" s="27" t="s">
        <v>8</v>
      </c>
      <c r="BT621" s="27" t="s">
        <v>7</v>
      </c>
      <c r="CS621" s="27" t="s">
        <v>8</v>
      </c>
      <c r="CT621" s="27" t="s">
        <v>7</v>
      </c>
      <c r="CU621" s="27" t="s">
        <v>8</v>
      </c>
      <c r="CV621" s="27" t="s">
        <v>7</v>
      </c>
      <c r="CW621" s="27" t="s">
        <v>8</v>
      </c>
      <c r="GF621" s="27" t="s">
        <v>7</v>
      </c>
      <c r="GG621" s="27" t="s">
        <v>8</v>
      </c>
      <c r="GH621" s="27" t="s">
        <v>7</v>
      </c>
      <c r="GI621" s="27" t="s">
        <v>8</v>
      </c>
      <c r="GJ621" s="27" t="s">
        <v>7</v>
      </c>
    </row>
    <row r="622" spans="1:192" x14ac:dyDescent="0.25">
      <c r="A622" s="7">
        <v>0.50002761335929735</v>
      </c>
      <c r="B622"/>
      <c r="C622"/>
      <c r="D622"/>
      <c r="E622"/>
      <c r="F622" s="27" t="s">
        <v>7</v>
      </c>
      <c r="I622" s="27" t="s">
        <v>8</v>
      </c>
      <c r="T622" s="27" t="s">
        <v>7</v>
      </c>
      <c r="U622" s="27" t="s">
        <v>8</v>
      </c>
      <c r="V622" s="27" t="s">
        <v>7</v>
      </c>
      <c r="W622" s="27" t="s">
        <v>8</v>
      </c>
      <c r="X622" s="27" t="s">
        <v>7</v>
      </c>
      <c r="Y622" s="27" t="s">
        <v>8</v>
      </c>
      <c r="AD622" s="27" t="s">
        <v>7</v>
      </c>
      <c r="AE622" s="27" t="s">
        <v>8</v>
      </c>
      <c r="AT622" s="27" t="s">
        <v>7</v>
      </c>
      <c r="BL622" s="27" t="s">
        <v>7</v>
      </c>
      <c r="BM622" s="27" t="s">
        <v>8</v>
      </c>
      <c r="BN622" s="27" t="s">
        <v>7</v>
      </c>
      <c r="BO622" s="27" t="s">
        <v>8</v>
      </c>
      <c r="BP622" s="27" t="s">
        <v>7</v>
      </c>
      <c r="BQ622" s="27" t="s">
        <v>8</v>
      </c>
      <c r="BR622" s="27" t="s">
        <v>7</v>
      </c>
      <c r="BS622" s="27" t="s">
        <v>8</v>
      </c>
      <c r="BT622" s="27" t="s">
        <v>7</v>
      </c>
      <c r="CS622" s="27" t="s">
        <v>8</v>
      </c>
      <c r="CT622" s="27" t="s">
        <v>7</v>
      </c>
      <c r="CU622" s="27" t="s">
        <v>8</v>
      </c>
      <c r="CV622" s="27" t="s">
        <v>7</v>
      </c>
      <c r="CW622" s="27" t="s">
        <v>8</v>
      </c>
      <c r="GF622" s="27" t="s">
        <v>7</v>
      </c>
      <c r="GH622" s="27" t="s">
        <v>7</v>
      </c>
      <c r="GI622" s="27" t="s">
        <v>8</v>
      </c>
      <c r="GJ622" s="27" t="s">
        <v>7</v>
      </c>
    </row>
    <row r="623" spans="1:192" x14ac:dyDescent="0.25">
      <c r="A623" s="7">
        <v>0.49022315035225228</v>
      </c>
      <c r="B623"/>
      <c r="C623"/>
      <c r="D623"/>
      <c r="E623"/>
      <c r="F623" s="27" t="s">
        <v>7</v>
      </c>
      <c r="I623" s="27" t="s">
        <v>8</v>
      </c>
      <c r="T623" s="27" t="s">
        <v>7</v>
      </c>
      <c r="U623" s="27" t="s">
        <v>8</v>
      </c>
      <c r="V623" s="27" t="s">
        <v>7</v>
      </c>
      <c r="W623" s="27" t="s">
        <v>8</v>
      </c>
      <c r="X623" s="27" t="s">
        <v>7</v>
      </c>
      <c r="Y623" s="27" t="s">
        <v>8</v>
      </c>
      <c r="AD623" s="27" t="s">
        <v>7</v>
      </c>
      <c r="BL623" s="27" t="s">
        <v>7</v>
      </c>
      <c r="BM623" s="27" t="s">
        <v>8</v>
      </c>
      <c r="BN623" s="27" t="s">
        <v>7</v>
      </c>
      <c r="BO623" s="27" t="s">
        <v>8</v>
      </c>
      <c r="BP623" s="27" t="s">
        <v>7</v>
      </c>
      <c r="BQ623" s="27" t="s">
        <v>8</v>
      </c>
      <c r="BR623" s="27" t="s">
        <v>7</v>
      </c>
      <c r="BS623" s="27" t="s">
        <v>8</v>
      </c>
      <c r="BT623" s="27" t="s">
        <v>7</v>
      </c>
      <c r="CS623" s="27" t="s">
        <v>8</v>
      </c>
      <c r="CT623" s="27" t="s">
        <v>7</v>
      </c>
      <c r="CU623" s="27" t="s">
        <v>8</v>
      </c>
      <c r="CV623" s="27" t="s">
        <v>7</v>
      </c>
      <c r="CW623" s="27" t="s">
        <v>8</v>
      </c>
      <c r="GH623" s="27" t="s">
        <v>7</v>
      </c>
      <c r="GI623" s="27" t="s">
        <v>8</v>
      </c>
    </row>
    <row r="624" spans="1:192" x14ac:dyDescent="0.25">
      <c r="A624" s="7">
        <v>0.48061093171789437</v>
      </c>
      <c r="B624"/>
      <c r="C624"/>
      <c r="D624"/>
      <c r="E624"/>
      <c r="F624" s="27" t="s">
        <v>7</v>
      </c>
      <c r="I624" s="27" t="s">
        <v>8</v>
      </c>
      <c r="T624" s="27" t="s">
        <v>7</v>
      </c>
      <c r="U624" s="27" t="s">
        <v>8</v>
      </c>
      <c r="V624" s="27" t="s">
        <v>7</v>
      </c>
      <c r="X624" s="27" t="s">
        <v>7</v>
      </c>
      <c r="BL624" s="27" t="s">
        <v>7</v>
      </c>
      <c r="BM624" s="27" t="s">
        <v>8</v>
      </c>
      <c r="BN624" s="27" t="s">
        <v>7</v>
      </c>
      <c r="BO624" s="27" t="s">
        <v>8</v>
      </c>
      <c r="BP624" s="27" t="s">
        <v>7</v>
      </c>
      <c r="BQ624" s="27" t="s">
        <v>8</v>
      </c>
      <c r="BR624" s="27" t="s">
        <v>7</v>
      </c>
      <c r="BS624" s="27" t="s">
        <v>8</v>
      </c>
      <c r="BT624" s="27" t="s">
        <v>7</v>
      </c>
      <c r="CS624" s="27" t="s">
        <v>8</v>
      </c>
      <c r="CT624" s="27" t="s">
        <v>7</v>
      </c>
      <c r="CU624" s="27" t="s">
        <v>8</v>
      </c>
      <c r="CV624" s="27" t="s">
        <v>7</v>
      </c>
      <c r="CW624" s="27" t="s">
        <v>8</v>
      </c>
      <c r="GH624" s="27" t="s">
        <v>7</v>
      </c>
      <c r="GI624" s="27" t="s">
        <v>8</v>
      </c>
    </row>
    <row r="625" spans="1:191" x14ac:dyDescent="0.25">
      <c r="A625" s="7">
        <v>0.47118718795871994</v>
      </c>
      <c r="B625"/>
      <c r="C625"/>
      <c r="D625"/>
      <c r="E625"/>
      <c r="F625" s="27" t="s">
        <v>7</v>
      </c>
      <c r="I625" s="27" t="s">
        <v>8</v>
      </c>
      <c r="T625" s="27" t="s">
        <v>7</v>
      </c>
      <c r="U625" s="27" t="s">
        <v>8</v>
      </c>
      <c r="BL625" s="27" t="s">
        <v>7</v>
      </c>
      <c r="BM625" s="27" t="s">
        <v>8</v>
      </c>
      <c r="BN625" s="27" t="s">
        <v>7</v>
      </c>
      <c r="BO625" s="27" t="s">
        <v>8</v>
      </c>
      <c r="BP625" s="27" t="s">
        <v>7</v>
      </c>
      <c r="BQ625" s="27" t="s">
        <v>8</v>
      </c>
      <c r="BR625" s="27" t="s">
        <v>7</v>
      </c>
      <c r="BS625" s="27" t="s">
        <v>8</v>
      </c>
      <c r="BT625" s="27" t="s">
        <v>7</v>
      </c>
      <c r="CS625" s="27" t="s">
        <v>8</v>
      </c>
      <c r="CT625" s="27" t="s">
        <v>7</v>
      </c>
      <c r="CU625" s="27" t="s">
        <v>8</v>
      </c>
      <c r="CV625" s="27" t="s">
        <v>7</v>
      </c>
      <c r="GH625" s="27" t="s">
        <v>7</v>
      </c>
      <c r="GI625" s="27" t="s">
        <v>8</v>
      </c>
    </row>
    <row r="626" spans="1:191" x14ac:dyDescent="0.25">
      <c r="A626" s="7">
        <v>0.46194822348894116</v>
      </c>
      <c r="B626"/>
      <c r="C626"/>
      <c r="D626"/>
      <c r="E626"/>
      <c r="F626" s="27" t="s">
        <v>7</v>
      </c>
      <c r="I626" s="27" t="s">
        <v>8</v>
      </c>
      <c r="T626" s="27" t="s">
        <v>7</v>
      </c>
      <c r="U626" s="27" t="s">
        <v>8</v>
      </c>
      <c r="BL626" s="27" t="s">
        <v>7</v>
      </c>
      <c r="BM626" s="27" t="s">
        <v>8</v>
      </c>
      <c r="BN626" s="27" t="s">
        <v>7</v>
      </c>
      <c r="BO626" s="27" t="s">
        <v>8</v>
      </c>
      <c r="BP626" s="27" t="s">
        <v>7</v>
      </c>
      <c r="BQ626" s="27" t="s">
        <v>8</v>
      </c>
      <c r="BR626" s="27" t="s">
        <v>7</v>
      </c>
      <c r="BT626" s="27" t="s">
        <v>7</v>
      </c>
      <c r="CS626" s="27" t="s">
        <v>8</v>
      </c>
      <c r="CT626" s="27" t="s">
        <v>7</v>
      </c>
      <c r="CU626" s="27" t="s">
        <v>8</v>
      </c>
      <c r="GH626" s="27" t="s">
        <v>7</v>
      </c>
      <c r="GI626" s="27" t="s">
        <v>8</v>
      </c>
    </row>
    <row r="627" spans="1:191" x14ac:dyDescent="0.25">
      <c r="A627" s="7">
        <v>0.45289041518523643</v>
      </c>
      <c r="B627"/>
      <c r="C627"/>
      <c r="D627"/>
      <c r="E627"/>
      <c r="F627" s="27" t="s">
        <v>7</v>
      </c>
      <c r="I627" s="27" t="s">
        <v>8</v>
      </c>
      <c r="T627" s="27" t="s">
        <v>7</v>
      </c>
      <c r="U627" s="27" t="s">
        <v>8</v>
      </c>
      <c r="BL627" s="27" t="s">
        <v>7</v>
      </c>
      <c r="BM627" s="27" t="s">
        <v>8</v>
      </c>
      <c r="BN627" s="27" t="s">
        <v>7</v>
      </c>
      <c r="BO627" s="27" t="s">
        <v>8</v>
      </c>
      <c r="BP627" s="27" t="s">
        <v>7</v>
      </c>
      <c r="BQ627" s="27" t="s">
        <v>8</v>
      </c>
      <c r="BT627" s="27" t="s">
        <v>7</v>
      </c>
      <c r="CS627" s="27" t="s">
        <v>8</v>
      </c>
      <c r="CT627" s="27" t="s">
        <v>7</v>
      </c>
      <c r="GH627" s="27" t="s">
        <v>7</v>
      </c>
    </row>
    <row r="628" spans="1:191" x14ac:dyDescent="0.25">
      <c r="A628" s="7">
        <v>0.44401021096591808</v>
      </c>
      <c r="B628"/>
      <c r="C628"/>
      <c r="D628"/>
      <c r="E628"/>
      <c r="F628" s="27" t="s">
        <v>7</v>
      </c>
      <c r="I628" s="27" t="s">
        <v>8</v>
      </c>
      <c r="T628" s="27" t="s">
        <v>7</v>
      </c>
      <c r="U628" s="27" t="s">
        <v>8</v>
      </c>
      <c r="BL628" s="27" t="s">
        <v>7</v>
      </c>
      <c r="BM628" s="27" t="s">
        <v>8</v>
      </c>
      <c r="BN628" s="27" t="s">
        <v>7</v>
      </c>
      <c r="BP628" s="27" t="s">
        <v>7</v>
      </c>
      <c r="BQ628" s="27" t="s">
        <v>8</v>
      </c>
      <c r="BT628" s="27" t="s">
        <v>7</v>
      </c>
      <c r="CS628" s="27" t="s">
        <v>8</v>
      </c>
    </row>
    <row r="629" spans="1:191" x14ac:dyDescent="0.25">
      <c r="A629" s="7">
        <v>0.4353041283979589</v>
      </c>
      <c r="B629"/>
      <c r="C629"/>
      <c r="D629"/>
      <c r="E629"/>
      <c r="F629" s="27" t="s">
        <v>7</v>
      </c>
      <c r="I629" s="27" t="s">
        <v>8</v>
      </c>
      <c r="T629" s="27" t="s">
        <v>7</v>
      </c>
      <c r="U629" s="27" t="s">
        <v>8</v>
      </c>
      <c r="BL629" s="27" t="s">
        <v>7</v>
      </c>
      <c r="BM629" s="27" t="s">
        <v>8</v>
      </c>
      <c r="BP629" s="27" t="s">
        <v>7</v>
      </c>
      <c r="BQ629" s="27" t="s">
        <v>8</v>
      </c>
      <c r="BT629" s="27" t="s">
        <v>7</v>
      </c>
      <c r="CS629" s="27" t="s">
        <v>8</v>
      </c>
    </row>
    <row r="630" spans="1:191" x14ac:dyDescent="0.25">
      <c r="A630" s="7">
        <v>0.4267687533313323</v>
      </c>
      <c r="B630"/>
      <c r="C630"/>
      <c r="D630"/>
      <c r="E630"/>
      <c r="F630" s="27" t="s">
        <v>7</v>
      </c>
      <c r="I630" s="27" t="s">
        <v>8</v>
      </c>
      <c r="T630" s="27" t="s">
        <v>7</v>
      </c>
      <c r="U630" s="27" t="s">
        <v>8</v>
      </c>
      <c r="BL630" s="27" t="s">
        <v>7</v>
      </c>
      <c r="BM630" s="27" t="s">
        <v>8</v>
      </c>
      <c r="BP630" s="27" t="s">
        <v>7</v>
      </c>
      <c r="BQ630" s="27" t="s">
        <v>8</v>
      </c>
      <c r="BT630" s="27" t="s">
        <v>7</v>
      </c>
      <c r="CS630" s="27" t="s">
        <v>8</v>
      </c>
    </row>
    <row r="631" spans="1:191" x14ac:dyDescent="0.25">
      <c r="A631" s="7">
        <v>0.41840073856012971</v>
      </c>
      <c r="B631"/>
      <c r="C631"/>
      <c r="D631"/>
      <c r="E631"/>
      <c r="F631" s="27" t="s">
        <v>7</v>
      </c>
      <c r="I631" s="27" t="s">
        <v>8</v>
      </c>
      <c r="T631" s="27" t="s">
        <v>7</v>
      </c>
      <c r="BL631" s="27" t="s">
        <v>7</v>
      </c>
      <c r="BM631" s="27" t="s">
        <v>8</v>
      </c>
      <c r="BP631" s="27" t="s">
        <v>7</v>
      </c>
      <c r="BQ631" s="27" t="s">
        <v>8</v>
      </c>
      <c r="BT631" s="27" t="s">
        <v>7</v>
      </c>
      <c r="CS631" s="27" t="s">
        <v>8</v>
      </c>
    </row>
    <row r="632" spans="1:191" x14ac:dyDescent="0.25">
      <c r="A632" s="7">
        <v>0.41019680250993112</v>
      </c>
      <c r="B632"/>
      <c r="C632"/>
      <c r="D632"/>
      <c r="E632"/>
      <c r="F632" s="27" t="s">
        <v>7</v>
      </c>
      <c r="I632" s="27" t="s">
        <v>8</v>
      </c>
      <c r="BL632" s="27" t="s">
        <v>7</v>
      </c>
      <c r="BP632" s="27" t="s">
        <v>7</v>
      </c>
      <c r="BQ632" s="27" t="s">
        <v>8</v>
      </c>
      <c r="BT632" s="27" t="s">
        <v>7</v>
      </c>
      <c r="CS632" s="27" t="s">
        <v>8</v>
      </c>
    </row>
    <row r="633" spans="1:191" x14ac:dyDescent="0.25">
      <c r="A633" s="7">
        <v>0.40215372795091286</v>
      </c>
      <c r="B633"/>
      <c r="C633"/>
      <c r="D633"/>
      <c r="E633"/>
      <c r="F633" s="27" t="s">
        <v>7</v>
      </c>
      <c r="I633" s="27" t="s">
        <v>8</v>
      </c>
      <c r="BP633" s="27" t="s">
        <v>7</v>
      </c>
      <c r="BQ633" s="27" t="s">
        <v>8</v>
      </c>
      <c r="BT633" s="27" t="s">
        <v>7</v>
      </c>
      <c r="CS633" s="27" t="s">
        <v>8</v>
      </c>
    </row>
    <row r="634" spans="1:191" x14ac:dyDescent="0.25">
      <c r="A634" s="7">
        <v>0.39426836073618904</v>
      </c>
      <c r="B634"/>
      <c r="C634"/>
      <c r="D634"/>
      <c r="E634"/>
      <c r="F634" s="27" t="s">
        <v>7</v>
      </c>
      <c r="I634" s="27" t="s">
        <v>8</v>
      </c>
      <c r="BP634" s="27" t="s">
        <v>7</v>
      </c>
      <c r="BQ634" s="27" t="s">
        <v>8</v>
      </c>
      <c r="BT634" s="27" t="s">
        <v>7</v>
      </c>
      <c r="BW634" s="27" t="s">
        <v>8</v>
      </c>
      <c r="CS634" s="27" t="s">
        <v>8</v>
      </c>
    </row>
    <row r="635" spans="1:191" x14ac:dyDescent="0.25">
      <c r="A635" s="7">
        <v>0.38653760856489122</v>
      </c>
      <c r="B635"/>
      <c r="C635"/>
      <c r="D635"/>
      <c r="E635"/>
      <c r="F635" s="27" t="s">
        <v>7</v>
      </c>
      <c r="I635" s="27" t="s">
        <v>8</v>
      </c>
      <c r="BP635" s="27" t="s">
        <v>7</v>
      </c>
      <c r="BQ635" s="27" t="s">
        <v>8</v>
      </c>
      <c r="BT635" s="27" t="s">
        <v>7</v>
      </c>
      <c r="BW635" s="27" t="s">
        <v>8</v>
      </c>
      <c r="BX635" s="27" t="s">
        <v>7</v>
      </c>
      <c r="CS635" s="27" t="s">
        <v>8</v>
      </c>
    </row>
    <row r="636" spans="1:191" x14ac:dyDescent="0.25">
      <c r="A636" s="7">
        <v>0.37895843976950117</v>
      </c>
      <c r="B636"/>
      <c r="C636"/>
      <c r="D636"/>
      <c r="E636"/>
      <c r="F636" s="27" t="s">
        <v>7</v>
      </c>
      <c r="I636" s="27" t="s">
        <v>8</v>
      </c>
      <c r="BP636" s="27" t="s">
        <v>7</v>
      </c>
      <c r="BQ636" s="27" t="s">
        <v>8</v>
      </c>
      <c r="BT636" s="27" t="s">
        <v>7</v>
      </c>
      <c r="BW636" s="27" t="s">
        <v>8</v>
      </c>
      <c r="BX636" s="27" t="s">
        <v>7</v>
      </c>
      <c r="CS636" s="27" t="s">
        <v>8</v>
      </c>
    </row>
    <row r="637" spans="1:191" x14ac:dyDescent="0.25">
      <c r="A637" s="7">
        <v>0.37152788212696197</v>
      </c>
      <c r="B637"/>
      <c r="C637"/>
      <c r="D637"/>
      <c r="E637"/>
      <c r="F637" s="27" t="s">
        <v>7</v>
      </c>
      <c r="I637" s="27" t="s">
        <v>8</v>
      </c>
      <c r="BP637" s="27" t="s">
        <v>7</v>
      </c>
      <c r="BQ637" s="27" t="s">
        <v>8</v>
      </c>
      <c r="BT637" s="27" t="s">
        <v>7</v>
      </c>
      <c r="BW637" s="27" t="s">
        <v>8</v>
      </c>
      <c r="BX637" s="27" t="s">
        <v>7</v>
      </c>
      <c r="CM637" s="27" t="s">
        <v>8</v>
      </c>
      <c r="CS637" s="27" t="s">
        <v>8</v>
      </c>
    </row>
    <row r="638" spans="1:191" x14ac:dyDescent="0.25">
      <c r="A638" s="7">
        <v>0.36424302169310002</v>
      </c>
      <c r="B638"/>
      <c r="C638"/>
      <c r="D638"/>
      <c r="E638"/>
      <c r="F638" s="27" t="s">
        <v>7</v>
      </c>
      <c r="I638" s="27" t="s">
        <v>8</v>
      </c>
      <c r="BP638" s="27" t="s">
        <v>7</v>
      </c>
      <c r="BQ638" s="27" t="s">
        <v>8</v>
      </c>
      <c r="BT638" s="27" t="s">
        <v>7</v>
      </c>
      <c r="BU638" s="27" t="s">
        <v>8</v>
      </c>
      <c r="BW638" s="27" t="s">
        <v>8</v>
      </c>
      <c r="BX638" s="27" t="s">
        <v>7</v>
      </c>
      <c r="CM638" s="27" t="s">
        <v>8</v>
      </c>
      <c r="CN638" s="27" t="s">
        <v>7</v>
      </c>
      <c r="CS638" s="27" t="s">
        <v>8</v>
      </c>
    </row>
    <row r="639" spans="1:191" x14ac:dyDescent="0.25">
      <c r="A639" s="7">
        <v>0.35710100165990194</v>
      </c>
      <c r="B639"/>
      <c r="C639"/>
      <c r="D639"/>
      <c r="E639"/>
      <c r="F639" s="27" t="s">
        <v>7</v>
      </c>
      <c r="I639" s="27" t="s">
        <v>8</v>
      </c>
      <c r="BP639" s="27" t="s">
        <v>7</v>
      </c>
      <c r="BQ639" s="27" t="s">
        <v>8</v>
      </c>
      <c r="BT639" s="27" t="s">
        <v>7</v>
      </c>
      <c r="BU639" s="27" t="s">
        <v>8</v>
      </c>
      <c r="BV639" s="27" t="s">
        <v>7</v>
      </c>
      <c r="BW639" s="27" t="s">
        <v>8</v>
      </c>
      <c r="BX639" s="27" t="s">
        <v>7</v>
      </c>
      <c r="CG639" s="27" t="s">
        <v>8</v>
      </c>
      <c r="CM639" s="27" t="s">
        <v>8</v>
      </c>
      <c r="CN639" s="27" t="s">
        <v>7</v>
      </c>
      <c r="CQ639" s="27" t="s">
        <v>8</v>
      </c>
      <c r="CS639" s="27" t="s">
        <v>8</v>
      </c>
    </row>
    <row r="640" spans="1:191" x14ac:dyDescent="0.25">
      <c r="A640" s="7">
        <v>0.35009902123519804</v>
      </c>
      <c r="B640"/>
      <c r="C640"/>
      <c r="D640"/>
      <c r="E640"/>
      <c r="F640" s="27" t="s">
        <v>7</v>
      </c>
      <c r="I640" s="27" t="s">
        <v>8</v>
      </c>
      <c r="BP640" s="27" t="s">
        <v>7</v>
      </c>
      <c r="BQ640" s="27" t="s">
        <v>8</v>
      </c>
      <c r="BT640" s="27" t="s">
        <v>7</v>
      </c>
      <c r="BU640" s="27" t="s">
        <v>8</v>
      </c>
      <c r="BV640" s="27" t="s">
        <v>7</v>
      </c>
      <c r="BW640" s="27" t="s">
        <v>8</v>
      </c>
      <c r="BX640" s="27" t="s">
        <v>7</v>
      </c>
      <c r="CA640" s="27" t="s">
        <v>8</v>
      </c>
      <c r="CE640" s="27" t="s">
        <v>8</v>
      </c>
      <c r="CG640" s="27" t="s">
        <v>8</v>
      </c>
      <c r="CH640" s="27" t="s">
        <v>7</v>
      </c>
      <c r="CM640" s="27" t="s">
        <v>8</v>
      </c>
      <c r="CN640" s="27" t="s">
        <v>7</v>
      </c>
      <c r="CQ640" s="27" t="s">
        <v>8</v>
      </c>
      <c r="CR640" s="27" t="s">
        <v>7</v>
      </c>
      <c r="CS640" s="27" t="s">
        <v>8</v>
      </c>
    </row>
    <row r="641" spans="1:97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I641" s="27" t="s">
        <v>8</v>
      </c>
      <c r="BP641" s="27" t="s">
        <v>7</v>
      </c>
      <c r="BQ641" s="27" t="s">
        <v>8</v>
      </c>
      <c r="BT641" s="27" t="s">
        <v>7</v>
      </c>
      <c r="BU641" s="27" t="s">
        <v>8</v>
      </c>
      <c r="BV641" s="27" t="s">
        <v>7</v>
      </c>
      <c r="BW641" s="27" t="s">
        <v>8</v>
      </c>
      <c r="BX641" s="27" t="s">
        <v>7</v>
      </c>
      <c r="CA641" s="27" t="s">
        <v>8</v>
      </c>
      <c r="CB641" s="27" t="s">
        <v>7</v>
      </c>
      <c r="CE641" s="27" t="s">
        <v>8</v>
      </c>
      <c r="CF641" s="27" t="s">
        <v>7</v>
      </c>
      <c r="CG641" s="27" t="s">
        <v>8</v>
      </c>
      <c r="CH641" s="27" t="s">
        <v>7</v>
      </c>
      <c r="CM641" s="27" t="s">
        <v>8</v>
      </c>
      <c r="CN641" s="27" t="s">
        <v>7</v>
      </c>
      <c r="CQ641" s="27" t="s">
        <v>8</v>
      </c>
      <c r="CR641" s="27" t="s">
        <v>7</v>
      </c>
      <c r="CS641" s="27" t="s">
        <v>8</v>
      </c>
    </row>
    <row r="642" spans="1:97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I642" s="27" t="s">
        <v>8</v>
      </c>
      <c r="BP642" s="27" t="s">
        <v>7</v>
      </c>
      <c r="BT642" s="27" t="s">
        <v>7</v>
      </c>
      <c r="BU642" s="27" t="s">
        <v>8</v>
      </c>
      <c r="BV642" s="27" t="s">
        <v>7</v>
      </c>
      <c r="BW642" s="27" t="s">
        <v>8</v>
      </c>
      <c r="BX642" s="27" t="s">
        <v>7</v>
      </c>
      <c r="CA642" s="27" t="s">
        <v>8</v>
      </c>
      <c r="CB642" s="27" t="s">
        <v>7</v>
      </c>
      <c r="CE642" s="27" t="s">
        <v>8</v>
      </c>
      <c r="CF642" s="27" t="s">
        <v>7</v>
      </c>
      <c r="CG642" s="27" t="s">
        <v>8</v>
      </c>
      <c r="CH642" s="27" t="s">
        <v>7</v>
      </c>
      <c r="CM642" s="27" t="s">
        <v>8</v>
      </c>
      <c r="CN642" s="27" t="s">
        <v>7</v>
      </c>
      <c r="CQ642" s="27" t="s">
        <v>8</v>
      </c>
      <c r="CR642" s="27" t="s">
        <v>7</v>
      </c>
      <c r="CS642" s="27" t="s">
        <v>8</v>
      </c>
    </row>
    <row r="643" spans="1:97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I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X643" s="27" t="s">
        <v>7</v>
      </c>
      <c r="CA643" s="27" t="s">
        <v>8</v>
      </c>
      <c r="CB643" s="27" t="s">
        <v>7</v>
      </c>
      <c r="CC643" s="27" t="s">
        <v>8</v>
      </c>
      <c r="CE643" s="27" t="s">
        <v>8</v>
      </c>
      <c r="CF643" s="27" t="s">
        <v>7</v>
      </c>
      <c r="CG643" s="27" t="s">
        <v>8</v>
      </c>
      <c r="CH643" s="27" t="s">
        <v>7</v>
      </c>
      <c r="CI643" s="27" t="s">
        <v>8</v>
      </c>
      <c r="CK643" s="27" t="s">
        <v>8</v>
      </c>
      <c r="CM643" s="27" t="s">
        <v>8</v>
      </c>
      <c r="CN643" s="27" t="s">
        <v>7</v>
      </c>
      <c r="CQ643" s="27" t="s">
        <v>8</v>
      </c>
      <c r="CR643" s="27" t="s">
        <v>7</v>
      </c>
      <c r="CS643" s="27" t="s">
        <v>8</v>
      </c>
    </row>
    <row r="644" spans="1:97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BT644" s="27" t="s">
        <v>7</v>
      </c>
      <c r="BU644" s="27" t="s">
        <v>8</v>
      </c>
      <c r="BV644" s="27" t="s">
        <v>7</v>
      </c>
      <c r="BX644" s="27" t="s">
        <v>7</v>
      </c>
      <c r="BY644" s="27" t="s">
        <v>8</v>
      </c>
      <c r="CA644" s="27" t="s">
        <v>8</v>
      </c>
      <c r="CB644" s="27" t="s">
        <v>7</v>
      </c>
      <c r="CC644" s="27" t="s">
        <v>8</v>
      </c>
      <c r="CD644" s="27" t="s">
        <v>7</v>
      </c>
      <c r="CE644" s="27" t="s">
        <v>8</v>
      </c>
      <c r="CF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K644" s="27" t="s">
        <v>8</v>
      </c>
      <c r="CL644" s="27" t="s">
        <v>7</v>
      </c>
      <c r="CM644" s="27" t="s">
        <v>8</v>
      </c>
      <c r="CN644" s="27" t="s">
        <v>7</v>
      </c>
      <c r="CQ644" s="27" t="s">
        <v>8</v>
      </c>
      <c r="CR644" s="27" t="s">
        <v>7</v>
      </c>
    </row>
    <row r="645" spans="1:97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BT645" s="27" t="s">
        <v>7</v>
      </c>
      <c r="BU645" s="27" t="s">
        <v>8</v>
      </c>
      <c r="BX645" s="27" t="s">
        <v>7</v>
      </c>
      <c r="BY645" s="27" t="s">
        <v>8</v>
      </c>
      <c r="BZ645" s="27" t="s">
        <v>7</v>
      </c>
      <c r="CA645" s="27" t="s">
        <v>8</v>
      </c>
      <c r="CB645" s="27" t="s">
        <v>7</v>
      </c>
      <c r="CC645" s="27" t="s">
        <v>8</v>
      </c>
      <c r="CD645" s="27" t="s">
        <v>7</v>
      </c>
      <c r="CE645" s="27" t="s">
        <v>8</v>
      </c>
      <c r="CF645" s="27" t="s">
        <v>7</v>
      </c>
      <c r="CH645" s="27" t="s">
        <v>7</v>
      </c>
      <c r="CI645" s="27" t="s">
        <v>8</v>
      </c>
      <c r="CJ645" s="27" t="s">
        <v>7</v>
      </c>
      <c r="CK645" s="27" t="s">
        <v>8</v>
      </c>
      <c r="CL645" s="27" t="s">
        <v>7</v>
      </c>
      <c r="CM645" s="27" t="s">
        <v>8</v>
      </c>
      <c r="CN645" s="27" t="s">
        <v>7</v>
      </c>
      <c r="CQ645" s="27" t="s">
        <v>8</v>
      </c>
    </row>
    <row r="646" spans="1:97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BT646" s="27" t="s">
        <v>7</v>
      </c>
      <c r="BU646" s="27" t="s">
        <v>8</v>
      </c>
      <c r="BX646" s="27" t="s">
        <v>7</v>
      </c>
      <c r="BY646" s="27" t="s">
        <v>8</v>
      </c>
      <c r="BZ646" s="27" t="s">
        <v>7</v>
      </c>
      <c r="CA646" s="27" t="s">
        <v>8</v>
      </c>
      <c r="CB646" s="27" t="s">
        <v>7</v>
      </c>
      <c r="CC646" s="27" t="s">
        <v>8</v>
      </c>
      <c r="CD646" s="27" t="s">
        <v>7</v>
      </c>
      <c r="CE646" s="27" t="s">
        <v>8</v>
      </c>
      <c r="CH646" s="27" t="s">
        <v>7</v>
      </c>
      <c r="CJ646" s="27" t="s">
        <v>7</v>
      </c>
      <c r="CL646" s="27" t="s">
        <v>7</v>
      </c>
      <c r="CM646" s="27" t="s">
        <v>8</v>
      </c>
      <c r="CN646" s="27" t="s">
        <v>7</v>
      </c>
      <c r="CO646" s="27" t="s">
        <v>8</v>
      </c>
      <c r="CQ646" s="27" t="s">
        <v>8</v>
      </c>
    </row>
    <row r="647" spans="1:97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I647" s="27" t="s">
        <v>8</v>
      </c>
      <c r="BT647" s="27" t="s">
        <v>7</v>
      </c>
      <c r="BU647" s="27" t="s">
        <v>8</v>
      </c>
      <c r="BX647" s="27" t="s">
        <v>7</v>
      </c>
      <c r="BY647" s="27" t="s">
        <v>8</v>
      </c>
      <c r="BZ647" s="27" t="s">
        <v>7</v>
      </c>
      <c r="CA647" s="27" t="s">
        <v>8</v>
      </c>
      <c r="CB647" s="27" t="s">
        <v>7</v>
      </c>
      <c r="CC647" s="27" t="s">
        <v>8</v>
      </c>
      <c r="CD647" s="27" t="s">
        <v>7</v>
      </c>
      <c r="CL647" s="27" t="s">
        <v>7</v>
      </c>
      <c r="CN647" s="27" t="s">
        <v>7</v>
      </c>
      <c r="CO647" s="27" t="s">
        <v>8</v>
      </c>
      <c r="CP647" s="27" t="s">
        <v>7</v>
      </c>
      <c r="CQ647" s="27" t="s">
        <v>8</v>
      </c>
    </row>
    <row r="648" spans="1:97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BT648" s="27" t="s">
        <v>7</v>
      </c>
      <c r="BU648" s="27" t="s">
        <v>8</v>
      </c>
      <c r="BX648" s="27" t="s">
        <v>7</v>
      </c>
      <c r="BY648" s="27" t="s">
        <v>8</v>
      </c>
      <c r="BZ648" s="27" t="s">
        <v>7</v>
      </c>
      <c r="CA648" s="27" t="s">
        <v>8</v>
      </c>
      <c r="CB648" s="27" t="s">
        <v>7</v>
      </c>
      <c r="CN648" s="27" t="s">
        <v>7</v>
      </c>
      <c r="CO648" s="27" t="s">
        <v>8</v>
      </c>
      <c r="CP648" s="27" t="s">
        <v>7</v>
      </c>
      <c r="CQ648" s="27" t="s">
        <v>8</v>
      </c>
    </row>
    <row r="649" spans="1:97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I649" s="27" t="s">
        <v>8</v>
      </c>
      <c r="BT649" s="27" t="s">
        <v>7</v>
      </c>
      <c r="BU649" s="27" t="s">
        <v>8</v>
      </c>
      <c r="BX649" s="27" t="s">
        <v>7</v>
      </c>
      <c r="BY649" s="27" t="s">
        <v>8</v>
      </c>
      <c r="BZ649" s="27" t="s">
        <v>7</v>
      </c>
      <c r="CA649" s="27" t="s">
        <v>8</v>
      </c>
      <c r="CN649" s="27" t="s">
        <v>7</v>
      </c>
      <c r="CO649" s="27" t="s">
        <v>8</v>
      </c>
      <c r="CP649" s="27" t="s">
        <v>7</v>
      </c>
    </row>
    <row r="650" spans="1:97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H650" s="27" t="s">
        <v>7</v>
      </c>
      <c r="BT650" s="27" t="s">
        <v>7</v>
      </c>
      <c r="BU650" s="27" t="s">
        <v>8</v>
      </c>
      <c r="BX650" s="27" t="s">
        <v>7</v>
      </c>
      <c r="BY650" s="27" t="s">
        <v>8</v>
      </c>
      <c r="BZ650" s="27" t="s">
        <v>7</v>
      </c>
      <c r="CA650" s="27" t="s">
        <v>8</v>
      </c>
      <c r="CN650" s="27" t="s">
        <v>7</v>
      </c>
      <c r="CO650" s="27" t="s">
        <v>8</v>
      </c>
    </row>
    <row r="651" spans="1:97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BT651" s="27" t="s">
        <v>7</v>
      </c>
      <c r="BU651" s="27" t="s">
        <v>8</v>
      </c>
      <c r="BX651" s="27" t="s">
        <v>7</v>
      </c>
      <c r="BY651" s="27" t="s">
        <v>8</v>
      </c>
      <c r="BZ651" s="27" t="s">
        <v>7</v>
      </c>
      <c r="CA651" s="27" t="s">
        <v>8</v>
      </c>
      <c r="CN651" s="18" t="s">
        <v>7</v>
      </c>
      <c r="CO651" s="27" t="s">
        <v>8</v>
      </c>
    </row>
    <row r="652" spans="1:97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BT652" s="27" t="s">
        <v>7</v>
      </c>
      <c r="BX652" s="27" t="s">
        <v>7</v>
      </c>
      <c r="BY652" s="27" t="s">
        <v>8</v>
      </c>
      <c r="BZ652" s="27" t="s">
        <v>7</v>
      </c>
      <c r="CA652" s="27" t="s">
        <v>8</v>
      </c>
      <c r="CN652" s="27" t="s">
        <v>7</v>
      </c>
      <c r="CO652" s="27" t="s">
        <v>8</v>
      </c>
    </row>
    <row r="653" spans="1:97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BX653" s="27" t="s">
        <v>7</v>
      </c>
      <c r="BY653" s="27" t="s">
        <v>8</v>
      </c>
      <c r="BZ653" s="27" t="s">
        <v>7</v>
      </c>
      <c r="CA653" s="27" t="s">
        <v>8</v>
      </c>
      <c r="CN653" s="27" t="s">
        <v>7</v>
      </c>
      <c r="CO653" s="27" t="s">
        <v>8</v>
      </c>
    </row>
    <row r="654" spans="1:97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BX654" s="27" t="s">
        <v>7</v>
      </c>
      <c r="BY654" s="27" t="s">
        <v>8</v>
      </c>
      <c r="BZ654" s="27" t="s">
        <v>7</v>
      </c>
      <c r="CA654" s="27" t="s">
        <v>8</v>
      </c>
      <c r="CN654" s="27" t="s">
        <v>7</v>
      </c>
      <c r="CO654" s="27" t="s">
        <v>8</v>
      </c>
    </row>
    <row r="655" spans="1:97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BX655" s="27" t="s">
        <v>7</v>
      </c>
      <c r="BY655" s="27" t="s">
        <v>8</v>
      </c>
      <c r="BZ655" s="27" t="s">
        <v>7</v>
      </c>
      <c r="CA655" s="27" t="s">
        <v>8</v>
      </c>
      <c r="CN655" s="27" t="s">
        <v>7</v>
      </c>
    </row>
    <row r="656" spans="1:97" x14ac:dyDescent="0.25">
      <c r="A656" s="7">
        <v>0.25502816640423093</v>
      </c>
      <c r="B656"/>
      <c r="C656"/>
      <c r="D656"/>
      <c r="E656"/>
      <c r="F656" s="27" t="s">
        <v>7</v>
      </c>
      <c r="BX656" s="27" t="s">
        <v>7</v>
      </c>
      <c r="BY656" s="27" t="s">
        <v>8</v>
      </c>
      <c r="BZ656" s="27" t="s">
        <v>7</v>
      </c>
    </row>
    <row r="657" spans="1:77" x14ac:dyDescent="0.25">
      <c r="A657" s="7">
        <v>0.25002761412179503</v>
      </c>
      <c r="B657"/>
      <c r="C657"/>
      <c r="D657"/>
      <c r="E657"/>
      <c r="BX657" s="27" t="s">
        <v>7</v>
      </c>
      <c r="BY657" s="27" t="s">
        <v>8</v>
      </c>
    </row>
    <row r="658" spans="1:77" x14ac:dyDescent="0.25">
      <c r="A658" s="7">
        <v>0.24512511188411276</v>
      </c>
      <c r="B658"/>
      <c r="C658"/>
      <c r="D658"/>
      <c r="E658"/>
      <c r="BX658" s="27" t="s">
        <v>7</v>
      </c>
      <c r="BY658" s="27" t="s">
        <v>8</v>
      </c>
    </row>
    <row r="659" spans="1:77" x14ac:dyDescent="0.25">
      <c r="A659" s="7">
        <v>0.24031873714128701</v>
      </c>
      <c r="B659"/>
      <c r="C659"/>
      <c r="D659"/>
      <c r="E659"/>
      <c r="BX659" s="27" t="s">
        <v>7</v>
      </c>
      <c r="BY659" s="27" t="s">
        <v>8</v>
      </c>
    </row>
    <row r="660" spans="1:77" x14ac:dyDescent="0.25">
      <c r="A660" s="7">
        <v>0.23560660504047748</v>
      </c>
      <c r="B660"/>
      <c r="C660"/>
      <c r="D660"/>
      <c r="E660"/>
      <c r="BX660" s="27" t="s">
        <v>7</v>
      </c>
      <c r="BY660" s="27" t="s">
        <v>8</v>
      </c>
    </row>
    <row r="661" spans="1:77" x14ac:dyDescent="0.25">
      <c r="A661" s="7">
        <v>0.23098686768674265</v>
      </c>
      <c r="B661"/>
      <c r="C661"/>
      <c r="D661"/>
      <c r="E661"/>
      <c r="BX661" s="27" t="s">
        <v>7</v>
      </c>
    </row>
    <row r="662" spans="1:77" x14ac:dyDescent="0.25">
      <c r="A662" s="7">
        <v>0.22645771341837515</v>
      </c>
      <c r="B662"/>
      <c r="C662"/>
      <c r="D662"/>
      <c r="E662"/>
    </row>
    <row r="663" spans="1:77" x14ac:dyDescent="0.25">
      <c r="A663" s="7">
        <v>0.22201736609644623</v>
      </c>
      <c r="B663"/>
      <c r="C663"/>
      <c r="D663"/>
      <c r="E663"/>
    </row>
    <row r="664" spans="1:77" x14ac:dyDescent="0.25">
      <c r="A664" s="7">
        <v>0.21766408440828061</v>
      </c>
      <c r="B664"/>
      <c r="C664"/>
      <c r="D664"/>
      <c r="E664"/>
    </row>
    <row r="665" spans="1:77" x14ac:dyDescent="0.25">
      <c r="A665" s="7">
        <v>0.21339616118458882</v>
      </c>
      <c r="B665"/>
      <c r="C665"/>
      <c r="D665"/>
      <c r="E665"/>
    </row>
    <row r="666" spans="1:77" x14ac:dyDescent="0.25">
      <c r="A666" s="7">
        <v>0.20921192272998904</v>
      </c>
      <c r="B666"/>
      <c r="C666"/>
      <c r="D666"/>
      <c r="E666"/>
    </row>
    <row r="667" spans="1:77" x14ac:dyDescent="0.25">
      <c r="A667" s="7">
        <v>0.20510972816665593</v>
      </c>
      <c r="B667"/>
      <c r="C667"/>
      <c r="D667"/>
      <c r="E667"/>
    </row>
    <row r="668" spans="1:77" x14ac:dyDescent="0.25">
      <c r="A668" s="7">
        <v>0.20108796879083912</v>
      </c>
      <c r="B668"/>
      <c r="C668"/>
      <c r="D668"/>
      <c r="E668"/>
    </row>
    <row r="669" spans="1:77" x14ac:dyDescent="0.25">
      <c r="A669" s="7">
        <v>0.19714506744199917</v>
      </c>
      <c r="B669"/>
      <c r="C669"/>
      <c r="D669"/>
      <c r="E669"/>
    </row>
    <row r="670" spans="1:77" x14ac:dyDescent="0.25">
      <c r="A670" s="7">
        <v>0.19327947788431293</v>
      </c>
      <c r="B670"/>
      <c r="C670"/>
      <c r="D670"/>
      <c r="E670"/>
    </row>
    <row r="671" spans="1:77" x14ac:dyDescent="0.25">
      <c r="A671" s="7">
        <v>0.18948968420030682</v>
      </c>
      <c r="B671"/>
      <c r="C671"/>
      <c r="D671"/>
      <c r="E671"/>
    </row>
    <row r="672" spans="1:77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71" operator="equal">
      <formula>$U$1</formula>
    </cfRule>
    <cfRule type="cellIs" dxfId="89" priority="772" operator="equal">
      <formula>$S$1</formula>
    </cfRule>
  </conditionalFormatting>
  <conditionalFormatting sqref="D27">
    <cfRule type="cellIs" dxfId="88" priority="769" operator="equal">
      <formula>$S$1</formula>
    </cfRule>
    <cfRule type="cellIs" dxfId="87" priority="770" operator="equal">
      <formula>$U$1</formula>
    </cfRule>
  </conditionalFormatting>
  <conditionalFormatting sqref="C164">
    <cfRule type="cellIs" dxfId="86" priority="767" operator="equal">
      <formula>$U$1</formula>
    </cfRule>
    <cfRule type="cellIs" dxfId="85" priority="768" operator="equal">
      <formula>$S$1</formula>
    </cfRule>
  </conditionalFormatting>
  <conditionalFormatting sqref="D164">
    <cfRule type="cellIs" dxfId="84" priority="765" operator="equal">
      <formula>$S$1</formula>
    </cfRule>
    <cfRule type="cellIs" dxfId="83" priority="766" operator="equal">
      <formula>$U$1</formula>
    </cfRule>
  </conditionalFormatting>
  <conditionalFormatting sqref="C55">
    <cfRule type="cellIs" dxfId="82" priority="763" operator="equal">
      <formula>$U$1</formula>
    </cfRule>
    <cfRule type="cellIs" dxfId="81" priority="764" operator="equal">
      <formula>$S$1</formula>
    </cfRule>
  </conditionalFormatting>
  <conditionalFormatting sqref="D55">
    <cfRule type="cellIs" dxfId="80" priority="761" operator="equal">
      <formula>$S$1</formula>
    </cfRule>
    <cfRule type="cellIs" dxfId="79" priority="762" operator="equal">
      <formula>$U$1</formula>
    </cfRule>
  </conditionalFormatting>
  <conditionalFormatting sqref="C89">
    <cfRule type="cellIs" dxfId="78" priority="759" operator="equal">
      <formula>$U$1</formula>
    </cfRule>
    <cfRule type="cellIs" dxfId="77" priority="760" operator="equal">
      <formula>$S$1</formula>
    </cfRule>
  </conditionalFormatting>
  <conditionalFormatting sqref="D89">
    <cfRule type="cellIs" dxfId="76" priority="757" operator="equal">
      <formula>$S$1</formula>
    </cfRule>
    <cfRule type="cellIs" dxfId="75" priority="758" operator="equal">
      <formula>$U$1</formula>
    </cfRule>
  </conditionalFormatting>
  <conditionalFormatting sqref="C136">
    <cfRule type="cellIs" dxfId="74" priority="755" operator="equal">
      <formula>$U$1</formula>
    </cfRule>
    <cfRule type="cellIs" dxfId="73" priority="756" operator="equal">
      <formula>$S$1</formula>
    </cfRule>
  </conditionalFormatting>
  <conditionalFormatting sqref="D136">
    <cfRule type="cellIs" dxfId="72" priority="753" operator="equal">
      <formula>$S$1</formula>
    </cfRule>
    <cfRule type="cellIs" dxfId="71" priority="754" operator="equal">
      <formula>$U$1</formula>
    </cfRule>
  </conditionalFormatting>
  <conditionalFormatting sqref="C1">
    <cfRule type="cellIs" dxfId="70" priority="75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M253" sqref="CM25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$A$252</v>
      </c>
      <c r="D111" s="1" t="str">
        <f>ADDRESS(C121-1,D121,1,1)</f>
        <v>$CM$252</v>
      </c>
      <c r="E111"/>
    </row>
    <row r="112" spans="1:5" x14ac:dyDescent="0.25">
      <c r="A112" s="30">
        <v>515.50191262726139</v>
      </c>
      <c r="C112" s="1" t="str">
        <f>ADDRESS(C121,1,1,1)</f>
        <v>$A$253</v>
      </c>
      <c r="D112" s="1" t="str">
        <f>ADDRESS(C121,D121-1,1,1)</f>
        <v>$CL$253</v>
      </c>
      <c r="E112"/>
    </row>
    <row r="113" spans="1:5" x14ac:dyDescent="0.25">
      <c r="A113" s="30">
        <v>490.95420250215363</v>
      </c>
      <c r="C113" s="1" t="str">
        <f>ADDRESS(C121+1,1,1,1)</f>
        <v>$A$254</v>
      </c>
      <c r="D113" s="1" t="str">
        <f>ADDRESS(C121-1,D121+1,1,1)</f>
        <v>$CN$252</v>
      </c>
    </row>
    <row r="114" spans="1:5" x14ac:dyDescent="0.25">
      <c r="A114" s="30">
        <v>467.57543095443202</v>
      </c>
      <c r="C114" s="1" t="str">
        <f>ADDRESS(C121,D121,1,1)</f>
        <v>$CM$253</v>
      </c>
      <c r="D114" s="1" t="str">
        <f>ADDRESS(C121+1,D121+1,1,1)</f>
        <v>$CN$254</v>
      </c>
    </row>
    <row r="115" spans="1:5" x14ac:dyDescent="0.25">
      <c r="A115" s="30">
        <v>445.30993424231622</v>
      </c>
      <c r="C115" s="1" t="str">
        <f>ADDRESS(C121+1,D121,1,1)</f>
        <v>$CM$254</v>
      </c>
    </row>
    <row r="116" spans="1:5" x14ac:dyDescent="0.25">
      <c r="A116" s="30">
        <v>424.10469927839637</v>
      </c>
      <c r="C116" s="1">
        <f>C117-1</f>
        <v>252</v>
      </c>
    </row>
    <row r="117" spans="1:5" x14ac:dyDescent="0.25">
      <c r="A117" s="30">
        <v>403.9092374079965</v>
      </c>
      <c r="C117" s="1">
        <f>C121</f>
        <v>253</v>
      </c>
      <c r="D117" s="1">
        <f>D121</f>
        <v>91</v>
      </c>
    </row>
    <row r="118" spans="1:5" x14ac:dyDescent="0.25">
      <c r="A118" s="30">
        <v>384.6754641980919</v>
      </c>
      <c r="C118" s="1">
        <f>C117+1</f>
        <v>254</v>
      </c>
      <c r="D118" s="1">
        <f>D117+1</f>
        <v>92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253</v>
      </c>
      <c r="D121" s="19">
        <v>91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R253</v>
      </c>
      <c r="D123" s="1" t="str">
        <f>"C"&amp;D121</f>
        <v>C91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0.53032135064529184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80" x14ac:dyDescent="0.25">
      <c r="A225" s="30">
        <v>2.0789281794113688</v>
      </c>
      <c r="E225"/>
    </row>
    <row r="226" spans="1:80" x14ac:dyDescent="0.25">
      <c r="A226" s="30">
        <v>1.9799315994393987</v>
      </c>
      <c r="E226"/>
    </row>
    <row r="227" spans="1:80" x14ac:dyDescent="0.25">
      <c r="A227" s="30">
        <v>1.8856491423232367</v>
      </c>
      <c r="E227"/>
    </row>
    <row r="228" spans="1:80" x14ac:dyDescent="0.25">
      <c r="A228" s="30">
        <v>1.7958563260221301</v>
      </c>
      <c r="C228" s="7"/>
      <c r="D228"/>
      <c r="E228"/>
    </row>
    <row r="229" spans="1:80" x14ac:dyDescent="0.25">
      <c r="A229" s="30">
        <v>1.7103393581163142</v>
      </c>
      <c r="E229"/>
    </row>
    <row r="230" spans="1:80" x14ac:dyDescent="0.25">
      <c r="A230" s="30">
        <v>1.628894626777442</v>
      </c>
      <c r="E230"/>
      <c r="BK230" s="27" t="s">
        <v>8</v>
      </c>
    </row>
    <row r="231" spans="1:80" x14ac:dyDescent="0.25">
      <c r="A231" s="30">
        <v>1.5513282159785162</v>
      </c>
      <c r="C231"/>
      <c r="D231"/>
      <c r="E231"/>
      <c r="BK231" s="27" t="s">
        <v>8</v>
      </c>
      <c r="BL231" s="27" t="s">
        <v>7</v>
      </c>
    </row>
    <row r="232" spans="1:80" x14ac:dyDescent="0.25">
      <c r="A232" s="30">
        <v>1.477455443789063</v>
      </c>
      <c r="E232"/>
      <c r="BK232" s="27" t="s">
        <v>8</v>
      </c>
      <c r="BL232" s="27" t="s">
        <v>7</v>
      </c>
      <c r="BM232" s="27" t="s">
        <v>8</v>
      </c>
    </row>
    <row r="233" spans="1:80" x14ac:dyDescent="0.25">
      <c r="A233" s="30">
        <v>1.4071004226562505</v>
      </c>
      <c r="E233"/>
      <c r="BK233" s="27" t="s">
        <v>8</v>
      </c>
      <c r="BL233" s="27" t="s">
        <v>7</v>
      </c>
      <c r="BM233" s="27" t="s">
        <v>8</v>
      </c>
      <c r="BN233" s="27" t="s">
        <v>7</v>
      </c>
      <c r="BU233" s="27" t="s">
        <v>8</v>
      </c>
    </row>
    <row r="234" spans="1:80" x14ac:dyDescent="0.25">
      <c r="A234" s="30">
        <v>1.3400956406250004</v>
      </c>
      <c r="E234"/>
      <c r="BK234" s="27" t="s">
        <v>8</v>
      </c>
      <c r="BL234" s="27" t="s">
        <v>7</v>
      </c>
      <c r="BM234" s="27" t="s">
        <v>8</v>
      </c>
      <c r="BN234" s="27" t="s">
        <v>7</v>
      </c>
      <c r="BO234" s="27" t="s">
        <v>8</v>
      </c>
      <c r="BU234" s="27" t="s">
        <v>8</v>
      </c>
      <c r="BV234" s="27" t="s">
        <v>7</v>
      </c>
      <c r="BY234" s="27" t="s">
        <v>8</v>
      </c>
    </row>
    <row r="235" spans="1:80" x14ac:dyDescent="0.25">
      <c r="A235" s="30">
        <v>1.2762815625000004</v>
      </c>
      <c r="C235"/>
      <c r="E235"/>
      <c r="AE235" s="27" t="s">
        <v>8</v>
      </c>
      <c r="BK235" s="27" t="s">
        <v>8</v>
      </c>
      <c r="BL235" s="27" t="s">
        <v>7</v>
      </c>
      <c r="BM235" s="27" t="s">
        <v>8</v>
      </c>
      <c r="BN235" s="27" t="s">
        <v>7</v>
      </c>
      <c r="BO235" s="27" t="s">
        <v>8</v>
      </c>
      <c r="BP235" s="27" t="s">
        <v>7</v>
      </c>
      <c r="BU235" s="27" t="s">
        <v>8</v>
      </c>
      <c r="BV235" s="27" t="s">
        <v>7</v>
      </c>
      <c r="BW235" s="27" t="s">
        <v>8</v>
      </c>
      <c r="BY235" s="27" t="s">
        <v>8</v>
      </c>
      <c r="BZ235" s="27" t="s">
        <v>7</v>
      </c>
    </row>
    <row r="236" spans="1:80" x14ac:dyDescent="0.25">
      <c r="A236" s="30">
        <v>1.2155062500000002</v>
      </c>
      <c r="E236"/>
      <c r="AE236" s="27" t="s">
        <v>8</v>
      </c>
      <c r="AF236" s="27" t="s">
        <v>7</v>
      </c>
      <c r="BK236" s="27" t="s">
        <v>8</v>
      </c>
      <c r="BL236" s="27" t="s">
        <v>7</v>
      </c>
      <c r="BM236" s="27" t="s">
        <v>8</v>
      </c>
      <c r="BN236" s="27" t="s">
        <v>7</v>
      </c>
      <c r="BO236" s="27" t="s">
        <v>8</v>
      </c>
      <c r="BP236" s="27" t="s">
        <v>7</v>
      </c>
      <c r="BU236" s="27" t="s">
        <v>8</v>
      </c>
      <c r="BV236" s="27" t="s">
        <v>7</v>
      </c>
      <c r="BW236" s="27" t="s">
        <v>8</v>
      </c>
      <c r="BX236" s="27" t="s">
        <v>7</v>
      </c>
      <c r="BY236" s="27" t="s">
        <v>8</v>
      </c>
      <c r="BZ236" s="27" t="s">
        <v>7</v>
      </c>
      <c r="CA236" s="27" t="s">
        <v>8</v>
      </c>
    </row>
    <row r="237" spans="1:8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E237" s="27" t="s">
        <v>8</v>
      </c>
      <c r="AF237" s="27" t="s">
        <v>7</v>
      </c>
      <c r="BK237" s="27" t="s">
        <v>8</v>
      </c>
      <c r="BL237" s="27" t="s">
        <v>7</v>
      </c>
      <c r="BM237" s="27" t="s">
        <v>8</v>
      </c>
      <c r="BN237" s="27" t="s">
        <v>7</v>
      </c>
      <c r="BP237" s="27" t="s">
        <v>7</v>
      </c>
      <c r="BQ237" s="27" t="s">
        <v>8</v>
      </c>
      <c r="BS237" s="27" t="s">
        <v>8</v>
      </c>
      <c r="BU237" s="27" t="s">
        <v>8</v>
      </c>
      <c r="BV237" s="27" t="s">
        <v>7</v>
      </c>
      <c r="BW237" s="27" t="s">
        <v>8</v>
      </c>
      <c r="BX237" s="27" t="s">
        <v>7</v>
      </c>
      <c r="BY237" s="27" t="s">
        <v>8</v>
      </c>
      <c r="BZ237" s="27" t="s">
        <v>7</v>
      </c>
      <c r="CA237" s="27" t="s">
        <v>8</v>
      </c>
      <c r="CB237" s="27" t="s">
        <v>7</v>
      </c>
    </row>
    <row r="238" spans="1:80" x14ac:dyDescent="0.25">
      <c r="A238" s="30">
        <v>1.1025</v>
      </c>
      <c r="E238"/>
      <c r="AE238" s="27" t="s">
        <v>8</v>
      </c>
      <c r="AF238" s="27" t="s">
        <v>7</v>
      </c>
      <c r="AG238" s="27" t="s">
        <v>8</v>
      </c>
      <c r="BK238" s="27" t="s">
        <v>8</v>
      </c>
      <c r="BL238" s="27" t="s">
        <v>7</v>
      </c>
      <c r="BM238" s="27" t="s">
        <v>8</v>
      </c>
      <c r="BP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BY238" s="27" t="s">
        <v>8</v>
      </c>
      <c r="BZ238" s="27" t="s">
        <v>7</v>
      </c>
      <c r="CA238" s="27" t="s">
        <v>8</v>
      </c>
      <c r="CB238" s="27" t="s">
        <v>7</v>
      </c>
    </row>
    <row r="239" spans="1:80" x14ac:dyDescent="0.25">
      <c r="A239" s="30">
        <v>1.05</v>
      </c>
      <c r="E239"/>
      <c r="AE239" s="27" t="s">
        <v>8</v>
      </c>
      <c r="AF239" s="27" t="s">
        <v>7</v>
      </c>
      <c r="AG239" s="27" t="s">
        <v>8</v>
      </c>
      <c r="AH239" s="27" t="s">
        <v>7</v>
      </c>
      <c r="BK239" s="27" t="s">
        <v>8</v>
      </c>
      <c r="BL239" s="27" t="s">
        <v>7</v>
      </c>
      <c r="BM239" s="27" t="s">
        <v>8</v>
      </c>
      <c r="BP239" s="27" t="s">
        <v>7</v>
      </c>
      <c r="BQ239" s="27" t="s">
        <v>8</v>
      </c>
      <c r="BR239" s="27" t="s">
        <v>7</v>
      </c>
      <c r="BS239" s="27" t="s">
        <v>8</v>
      </c>
      <c r="BT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BZ239" s="27" t="s">
        <v>7</v>
      </c>
      <c r="CA239" s="27" t="s">
        <v>8</v>
      </c>
      <c r="CB239" s="27" t="s">
        <v>7</v>
      </c>
    </row>
    <row r="240" spans="1:80" x14ac:dyDescent="0.25">
      <c r="A240" s="30">
        <v>1</v>
      </c>
      <c r="E240" s="29" t="s">
        <v>8</v>
      </c>
      <c r="AE240" s="27" t="s">
        <v>8</v>
      </c>
      <c r="AF240" s="27" t="s">
        <v>7</v>
      </c>
      <c r="AG240" s="27" t="s">
        <v>8</v>
      </c>
      <c r="AH240" s="27" t="s">
        <v>7</v>
      </c>
      <c r="BK240" s="27" t="s">
        <v>8</v>
      </c>
      <c r="BL240" s="27" t="s">
        <v>7</v>
      </c>
      <c r="BM240" s="27" t="s">
        <v>8</v>
      </c>
      <c r="BP240" s="27" t="s">
        <v>7</v>
      </c>
      <c r="BQ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BV240" s="27" t="s">
        <v>7</v>
      </c>
      <c r="BZ240" s="27" t="s">
        <v>7</v>
      </c>
      <c r="CB240" s="27" t="s">
        <v>7</v>
      </c>
    </row>
    <row r="241" spans="1:91" x14ac:dyDescent="0.25">
      <c r="A241" s="30">
        <v>0.952380952380952</v>
      </c>
      <c r="B241"/>
      <c r="C241"/>
      <c r="D241"/>
      <c r="E241"/>
      <c r="F241" s="27" t="s">
        <v>7</v>
      </c>
      <c r="AE241" s="27" t="s">
        <v>8</v>
      </c>
      <c r="AF241" s="27" t="s">
        <v>7</v>
      </c>
      <c r="AG241" s="27" t="s">
        <v>8</v>
      </c>
      <c r="AH241" s="27" t="s">
        <v>7</v>
      </c>
      <c r="AI241" s="27" t="s">
        <v>8</v>
      </c>
      <c r="BI241" s="27" t="s">
        <v>8</v>
      </c>
      <c r="BK241" s="27" t="s">
        <v>8</v>
      </c>
      <c r="BL241" s="27" t="s">
        <v>7</v>
      </c>
      <c r="BP241" s="27" t="s">
        <v>7</v>
      </c>
      <c r="BQ241" s="27" t="s">
        <v>8</v>
      </c>
      <c r="BR241" s="27" t="s">
        <v>7</v>
      </c>
      <c r="BS241" s="27" t="s">
        <v>8</v>
      </c>
      <c r="BT241" s="27" t="s">
        <v>7</v>
      </c>
      <c r="CB241" s="27" t="s">
        <v>7</v>
      </c>
    </row>
    <row r="242" spans="1:91" x14ac:dyDescent="0.25">
      <c r="A242" s="30">
        <v>0.90702947845804915</v>
      </c>
      <c r="B242"/>
      <c r="C242"/>
      <c r="D242"/>
      <c r="E242"/>
      <c r="F242" s="27" t="s">
        <v>7</v>
      </c>
      <c r="AE242" s="27" t="s">
        <v>8</v>
      </c>
      <c r="AF242" s="27" t="s">
        <v>7</v>
      </c>
      <c r="AG242" s="27" t="s">
        <v>8</v>
      </c>
      <c r="AH242" s="27" t="s">
        <v>7</v>
      </c>
      <c r="AI242" s="27" t="s">
        <v>8</v>
      </c>
      <c r="AJ242" s="27" t="s">
        <v>7</v>
      </c>
      <c r="BI242" s="27" t="s">
        <v>8</v>
      </c>
      <c r="BJ242" s="27" t="s">
        <v>7</v>
      </c>
      <c r="BK242" s="27" t="s">
        <v>8</v>
      </c>
      <c r="BP242" s="27" t="s">
        <v>7</v>
      </c>
      <c r="BR242" s="27" t="s">
        <v>7</v>
      </c>
      <c r="CB242" s="27" t="s">
        <v>7</v>
      </c>
    </row>
    <row r="243" spans="1:91" x14ac:dyDescent="0.25">
      <c r="A243" s="30">
        <v>0.86383759853147501</v>
      </c>
      <c r="B243"/>
      <c r="C243"/>
      <c r="D243"/>
      <c r="E243"/>
      <c r="F243" s="27" t="s">
        <v>7</v>
      </c>
      <c r="K243" s="27" t="s">
        <v>8</v>
      </c>
      <c r="AA243" s="27" t="s">
        <v>8</v>
      </c>
      <c r="AE243" s="27" t="s">
        <v>8</v>
      </c>
      <c r="AF243" s="27" t="s">
        <v>7</v>
      </c>
      <c r="AH243" s="27" t="s">
        <v>7</v>
      </c>
      <c r="AI243" s="27" t="s">
        <v>8</v>
      </c>
      <c r="AJ243" s="27" t="s">
        <v>7</v>
      </c>
      <c r="BI243" s="27" t="s">
        <v>8</v>
      </c>
      <c r="BJ243" s="27" t="s">
        <v>7</v>
      </c>
      <c r="BK243" s="27" t="s">
        <v>8</v>
      </c>
      <c r="CB243" s="27" t="s">
        <v>7</v>
      </c>
      <c r="CC243" s="27" t="s">
        <v>8</v>
      </c>
      <c r="CI243" s="27" t="s">
        <v>8</v>
      </c>
    </row>
    <row r="244" spans="1:91" x14ac:dyDescent="0.25">
      <c r="A244" s="30">
        <v>0.82270247479188063</v>
      </c>
      <c r="B244"/>
      <c r="C244"/>
      <c r="D244"/>
      <c r="E244"/>
      <c r="F244" s="27" t="s">
        <v>7</v>
      </c>
      <c r="K244" s="27" t="s">
        <v>8</v>
      </c>
      <c r="L244" s="27" t="s">
        <v>7</v>
      </c>
      <c r="M244" s="27" t="s">
        <v>8</v>
      </c>
      <c r="AA244" s="27" t="s">
        <v>8</v>
      </c>
      <c r="AB244" s="27" t="s">
        <v>7</v>
      </c>
      <c r="AE244" s="27" t="s">
        <v>8</v>
      </c>
      <c r="AH244" s="27" t="s">
        <v>7</v>
      </c>
      <c r="AI244" s="27" t="s">
        <v>8</v>
      </c>
      <c r="AJ244" s="27" t="s">
        <v>7</v>
      </c>
      <c r="AK244" s="27" t="s">
        <v>8</v>
      </c>
      <c r="BG244" s="27" t="s">
        <v>8</v>
      </c>
      <c r="BI244" s="27" t="s">
        <v>8</v>
      </c>
      <c r="BJ244" s="27" t="s">
        <v>7</v>
      </c>
      <c r="CB244" s="27" t="s">
        <v>7</v>
      </c>
      <c r="CC244" s="27" t="s">
        <v>8</v>
      </c>
      <c r="CD244" s="27" t="s">
        <v>7</v>
      </c>
      <c r="CE244" s="27" t="s">
        <v>8</v>
      </c>
      <c r="CI244" s="27" t="s">
        <v>8</v>
      </c>
      <c r="CJ244" s="27" t="s">
        <v>7</v>
      </c>
    </row>
    <row r="245" spans="1:91" x14ac:dyDescent="0.25">
      <c r="A245" s="30">
        <v>0.78352616646845741</v>
      </c>
      <c r="B245"/>
      <c r="C245"/>
      <c r="D245"/>
      <c r="E245"/>
      <c r="F245" s="27" t="s">
        <v>7</v>
      </c>
      <c r="K245" s="27" t="s">
        <v>8</v>
      </c>
      <c r="L245" s="27" t="s">
        <v>7</v>
      </c>
      <c r="M245" s="27" t="s">
        <v>8</v>
      </c>
      <c r="N245" s="27" t="s">
        <v>7</v>
      </c>
      <c r="Y245" s="27" t="s">
        <v>8</v>
      </c>
      <c r="AA245" s="27" t="s">
        <v>8</v>
      </c>
      <c r="AB245" s="27" t="s">
        <v>7</v>
      </c>
      <c r="AE245" s="27" t="s">
        <v>8</v>
      </c>
      <c r="AH245" s="27" t="s">
        <v>7</v>
      </c>
      <c r="AI245" s="27" t="s">
        <v>8</v>
      </c>
      <c r="AJ245" s="27" t="s">
        <v>7</v>
      </c>
      <c r="AK245" s="27" t="s">
        <v>8</v>
      </c>
      <c r="AL245" s="27" t="s">
        <v>7</v>
      </c>
      <c r="BG245" s="27" t="s">
        <v>8</v>
      </c>
      <c r="BH245" s="27" t="s">
        <v>7</v>
      </c>
      <c r="BI245" s="27" t="s">
        <v>8</v>
      </c>
      <c r="CB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CG245" s="27" t="s">
        <v>8</v>
      </c>
      <c r="CI245" s="27" t="s">
        <v>8</v>
      </c>
      <c r="CJ245" s="27" t="s">
        <v>7</v>
      </c>
    </row>
    <row r="246" spans="1:91" x14ac:dyDescent="0.25">
      <c r="A246" s="30">
        <v>0.74621539663662584</v>
      </c>
      <c r="B246"/>
      <c r="C246"/>
      <c r="D246"/>
      <c r="E246"/>
      <c r="F246" s="27" t="s">
        <v>7</v>
      </c>
      <c r="I246" s="27" t="s">
        <v>8</v>
      </c>
      <c r="K246" s="27" t="s">
        <v>8</v>
      </c>
      <c r="L246" s="27" t="s">
        <v>7</v>
      </c>
      <c r="M246" s="27" t="s">
        <v>8</v>
      </c>
      <c r="N246" s="27" t="s">
        <v>7</v>
      </c>
      <c r="Y246" s="27" t="s">
        <v>8</v>
      </c>
      <c r="Z246" s="27" t="s">
        <v>7</v>
      </c>
      <c r="AA246" s="27" t="s">
        <v>8</v>
      </c>
      <c r="AB246" s="27" t="s">
        <v>7</v>
      </c>
      <c r="AC246" s="27" t="s">
        <v>8</v>
      </c>
      <c r="AE246" s="27" t="s">
        <v>8</v>
      </c>
      <c r="AH246" s="27" t="s">
        <v>7</v>
      </c>
      <c r="AJ246" s="27" t="s">
        <v>7</v>
      </c>
      <c r="AK246" s="27" t="s">
        <v>8</v>
      </c>
      <c r="AL246" s="27" t="s">
        <v>7</v>
      </c>
      <c r="BG246" s="27" t="s">
        <v>8</v>
      </c>
      <c r="BH246" s="27" t="s">
        <v>7</v>
      </c>
      <c r="BI246" s="27" t="s">
        <v>8</v>
      </c>
      <c r="CB246" s="27" t="s">
        <v>7</v>
      </c>
      <c r="CC246" s="27" t="s">
        <v>8</v>
      </c>
      <c r="CD246" s="27" t="s">
        <v>7</v>
      </c>
      <c r="CE246" s="27" t="s">
        <v>8</v>
      </c>
      <c r="CF246" s="27" t="s">
        <v>7</v>
      </c>
      <c r="CG246" s="27" t="s">
        <v>8</v>
      </c>
      <c r="CH246" s="27" t="s">
        <v>7</v>
      </c>
      <c r="CI246" s="27" t="s">
        <v>8</v>
      </c>
      <c r="CJ246" s="27" t="s">
        <v>7</v>
      </c>
      <c r="CK246" s="27" t="s">
        <v>8</v>
      </c>
    </row>
    <row r="247" spans="1:91" x14ac:dyDescent="0.25">
      <c r="A247" s="30">
        <v>0.71068133013011958</v>
      </c>
      <c r="B247"/>
      <c r="C247"/>
      <c r="D247"/>
      <c r="E247"/>
      <c r="F247" s="27" t="s">
        <v>7</v>
      </c>
      <c r="I247" s="27" t="s">
        <v>8</v>
      </c>
      <c r="J247" s="27" t="s">
        <v>7</v>
      </c>
      <c r="K247" s="27" t="s">
        <v>8</v>
      </c>
      <c r="L247" s="27" t="s">
        <v>7</v>
      </c>
      <c r="M247" s="27" t="s">
        <v>8</v>
      </c>
      <c r="N247" s="27" t="s">
        <v>7</v>
      </c>
      <c r="Y247" s="27" t="s">
        <v>8</v>
      </c>
      <c r="Z247" s="27" t="s">
        <v>7</v>
      </c>
      <c r="AA247" s="27" t="s">
        <v>8</v>
      </c>
      <c r="AB247" s="27" t="s">
        <v>7</v>
      </c>
      <c r="AC247" s="27" t="s">
        <v>8</v>
      </c>
      <c r="AD247" s="27" t="s">
        <v>7</v>
      </c>
      <c r="AE247" s="27" t="s">
        <v>8</v>
      </c>
      <c r="AJ247" s="27" t="s">
        <v>7</v>
      </c>
      <c r="AL247" s="27" t="s">
        <v>7</v>
      </c>
      <c r="BG247" s="27" t="s">
        <v>8</v>
      </c>
      <c r="BH247" s="27" t="s">
        <v>7</v>
      </c>
      <c r="CB247" s="27" t="s">
        <v>7</v>
      </c>
      <c r="CC247" s="27" t="s">
        <v>8</v>
      </c>
      <c r="CD247" s="27" t="s">
        <v>7</v>
      </c>
      <c r="CF247" s="27" t="s">
        <v>7</v>
      </c>
      <c r="CG247" s="27" t="s">
        <v>8</v>
      </c>
      <c r="CH247" s="27" t="s">
        <v>7</v>
      </c>
      <c r="CI247" s="27" t="s">
        <v>8</v>
      </c>
      <c r="CJ247" s="27" t="s">
        <v>7</v>
      </c>
      <c r="CK247" s="27" t="s">
        <v>8</v>
      </c>
      <c r="CL247" s="27" t="s">
        <v>7</v>
      </c>
    </row>
    <row r="248" spans="1:91" x14ac:dyDescent="0.25">
      <c r="A248" s="30">
        <v>0.676839362028685</v>
      </c>
      <c r="B248"/>
      <c r="C248"/>
      <c r="D248"/>
      <c r="E248"/>
      <c r="F248" s="27" t="s">
        <v>7</v>
      </c>
      <c r="I248" s="27" t="s">
        <v>8</v>
      </c>
      <c r="J248" s="27" t="s">
        <v>7</v>
      </c>
      <c r="K248" s="27" t="s">
        <v>8</v>
      </c>
      <c r="L248" s="27" t="s">
        <v>7</v>
      </c>
      <c r="N248" s="27" t="s">
        <v>7</v>
      </c>
      <c r="O248" s="27" t="s">
        <v>8</v>
      </c>
      <c r="U248" s="27" t="s">
        <v>8</v>
      </c>
      <c r="W248" s="27" t="s">
        <v>8</v>
      </c>
      <c r="Y248" s="27" t="s">
        <v>8</v>
      </c>
      <c r="Z248" s="27" t="s">
        <v>7</v>
      </c>
      <c r="AA248" s="27" t="s">
        <v>8</v>
      </c>
      <c r="AB248" s="27" t="s">
        <v>7</v>
      </c>
      <c r="AC248" s="27" t="s">
        <v>8</v>
      </c>
      <c r="AD248" s="27" t="s">
        <v>7</v>
      </c>
      <c r="AE248" s="27" t="s">
        <v>8</v>
      </c>
      <c r="AL248" s="27" t="s">
        <v>7</v>
      </c>
      <c r="AU248" s="27" t="s">
        <v>8</v>
      </c>
      <c r="BG248" s="27" t="s">
        <v>8</v>
      </c>
      <c r="CB248" s="27" t="s">
        <v>7</v>
      </c>
      <c r="CF248" s="27" t="s">
        <v>7</v>
      </c>
      <c r="CH248" s="27" t="s">
        <v>7</v>
      </c>
      <c r="CI248" s="27" t="s">
        <v>8</v>
      </c>
      <c r="CJ248" s="27" t="s">
        <v>7</v>
      </c>
      <c r="CK248" s="27" t="s">
        <v>8</v>
      </c>
      <c r="CL248" s="27" t="s">
        <v>7</v>
      </c>
    </row>
    <row r="249" spans="1:91" x14ac:dyDescent="0.25">
      <c r="A249" s="30">
        <v>0.64460891621779492</v>
      </c>
      <c r="B249"/>
      <c r="C249"/>
      <c r="D249"/>
      <c r="E249"/>
      <c r="F249" s="27" t="s">
        <v>7</v>
      </c>
      <c r="I249" s="27" t="s">
        <v>8</v>
      </c>
      <c r="J249" s="27" t="s">
        <v>7</v>
      </c>
      <c r="K249" s="27" t="s">
        <v>8</v>
      </c>
      <c r="N249" s="27" t="s">
        <v>7</v>
      </c>
      <c r="O249" s="27" t="s">
        <v>8</v>
      </c>
      <c r="P249" s="27" t="s">
        <v>7</v>
      </c>
      <c r="U249" s="27" t="s">
        <v>8</v>
      </c>
      <c r="V249" s="27" t="s">
        <v>7</v>
      </c>
      <c r="W249" s="27" t="s">
        <v>8</v>
      </c>
      <c r="X249" s="27" t="s">
        <v>7</v>
      </c>
      <c r="Y249" s="27" t="s">
        <v>8</v>
      </c>
      <c r="Z249" s="27" t="s">
        <v>7</v>
      </c>
      <c r="AB249" s="27" t="s">
        <v>7</v>
      </c>
      <c r="AC249" s="27" t="s">
        <v>8</v>
      </c>
      <c r="AD249" s="27" t="s">
        <v>7</v>
      </c>
      <c r="AE249" s="27" t="s">
        <v>8</v>
      </c>
      <c r="AL249" s="27" t="s">
        <v>7</v>
      </c>
      <c r="AM249" s="27" t="s">
        <v>8</v>
      </c>
      <c r="AU249" s="27" t="s">
        <v>8</v>
      </c>
      <c r="AV249" s="27" t="s">
        <v>7</v>
      </c>
      <c r="BG249" s="27" t="s">
        <v>8</v>
      </c>
      <c r="CH249" s="27" t="s">
        <v>7</v>
      </c>
      <c r="CJ249" s="27" t="s">
        <v>7</v>
      </c>
      <c r="CK249" s="27" t="s">
        <v>8</v>
      </c>
      <c r="CL249" s="27" t="s">
        <v>7</v>
      </c>
    </row>
    <row r="250" spans="1:91" x14ac:dyDescent="0.25">
      <c r="A250" s="30">
        <v>0.61391325354075688</v>
      </c>
      <c r="B250"/>
      <c r="C250"/>
      <c r="D250"/>
      <c r="E250"/>
      <c r="F250" s="27" t="s">
        <v>7</v>
      </c>
      <c r="I250" s="27" t="s">
        <v>8</v>
      </c>
      <c r="J250" s="27" t="s">
        <v>7</v>
      </c>
      <c r="K250" s="27" t="s">
        <v>8</v>
      </c>
      <c r="N250" s="27" t="s">
        <v>7</v>
      </c>
      <c r="O250" s="27" t="s">
        <v>8</v>
      </c>
      <c r="P250" s="27" t="s">
        <v>7</v>
      </c>
      <c r="S250" s="27" t="s">
        <v>8</v>
      </c>
      <c r="U250" s="27" t="s">
        <v>8</v>
      </c>
      <c r="V250" s="27" t="s">
        <v>7</v>
      </c>
      <c r="W250" s="27" t="s">
        <v>8</v>
      </c>
      <c r="X250" s="27" t="s">
        <v>7</v>
      </c>
      <c r="Y250" s="27" t="s">
        <v>8</v>
      </c>
      <c r="AB250" s="27" t="s">
        <v>7</v>
      </c>
      <c r="AD250" s="27" t="s">
        <v>7</v>
      </c>
      <c r="AE250" s="27" t="s">
        <v>8</v>
      </c>
      <c r="AL250" s="27" t="s">
        <v>7</v>
      </c>
      <c r="AM250" s="27" t="s">
        <v>8</v>
      </c>
      <c r="AN250" s="27" t="s">
        <v>7</v>
      </c>
      <c r="AQ250" s="27" t="s">
        <v>8</v>
      </c>
      <c r="AU250" s="27" t="s">
        <v>8</v>
      </c>
      <c r="AV250" s="27" t="s">
        <v>7</v>
      </c>
      <c r="BG250" s="27" t="s">
        <v>8</v>
      </c>
      <c r="CJ250" s="27" t="s">
        <v>7</v>
      </c>
      <c r="CL250" s="27" t="s">
        <v>7</v>
      </c>
    </row>
    <row r="251" spans="1:91" x14ac:dyDescent="0.25">
      <c r="A251" s="30">
        <v>0.58467928908643485</v>
      </c>
      <c r="B251"/>
      <c r="C251"/>
      <c r="D251"/>
      <c r="E251"/>
      <c r="F251" s="27" t="s">
        <v>7</v>
      </c>
      <c r="I251" s="27" t="s">
        <v>8</v>
      </c>
      <c r="J251" s="27" t="s">
        <v>7</v>
      </c>
      <c r="K251" s="27" t="s">
        <v>8</v>
      </c>
      <c r="N251" s="27" t="s">
        <v>7</v>
      </c>
      <c r="O251" s="27" t="s">
        <v>8</v>
      </c>
      <c r="P251" s="27" t="s">
        <v>7</v>
      </c>
      <c r="S251" s="27" t="s">
        <v>8</v>
      </c>
      <c r="T251" s="27" t="s">
        <v>7</v>
      </c>
      <c r="U251" s="27" t="s">
        <v>8</v>
      </c>
      <c r="V251" s="27" t="s">
        <v>7</v>
      </c>
      <c r="X251" s="27" t="s">
        <v>7</v>
      </c>
      <c r="Y251" s="27" t="s">
        <v>8</v>
      </c>
      <c r="AD251" s="27" t="s">
        <v>7</v>
      </c>
      <c r="AE251" s="27" t="s">
        <v>8</v>
      </c>
      <c r="AL251" s="27" t="s">
        <v>7</v>
      </c>
      <c r="AM251" s="27" t="s">
        <v>8</v>
      </c>
      <c r="AN251" s="27" t="s">
        <v>7</v>
      </c>
      <c r="AO251" s="27" t="s">
        <v>8</v>
      </c>
      <c r="AQ251" s="27" t="s">
        <v>8</v>
      </c>
      <c r="AR251" s="27" t="s">
        <v>7</v>
      </c>
      <c r="AU251" s="27" t="s">
        <v>8</v>
      </c>
      <c r="AV251" s="27" t="s">
        <v>7</v>
      </c>
      <c r="BG251" s="27" t="s">
        <v>8</v>
      </c>
      <c r="CL251" s="27" t="s">
        <v>7</v>
      </c>
    </row>
    <row r="252" spans="1:91" x14ac:dyDescent="0.25">
      <c r="A252" s="30">
        <v>0.55683741817755672</v>
      </c>
      <c r="B252"/>
      <c r="C252"/>
      <c r="D252"/>
      <c r="E252"/>
      <c r="F252" s="27" t="s">
        <v>7</v>
      </c>
      <c r="I252" s="27" t="s">
        <v>8</v>
      </c>
      <c r="J252" s="27" t="s">
        <v>7</v>
      </c>
      <c r="K252" s="27" t="s">
        <v>8</v>
      </c>
      <c r="N252" s="27" t="s">
        <v>7</v>
      </c>
      <c r="P252" s="27" t="s">
        <v>7</v>
      </c>
      <c r="Q252" s="27" t="s">
        <v>8</v>
      </c>
      <c r="S252" s="27" t="s">
        <v>8</v>
      </c>
      <c r="T252" s="27" t="s">
        <v>7</v>
      </c>
      <c r="U252" s="27" t="s">
        <v>8</v>
      </c>
      <c r="X252" s="27" t="s">
        <v>7</v>
      </c>
      <c r="Y252" s="27" t="s">
        <v>8</v>
      </c>
      <c r="AD252" s="27" t="s">
        <v>7</v>
      </c>
      <c r="AE252" s="27" t="s">
        <v>8</v>
      </c>
      <c r="AL252" s="27" t="s">
        <v>7</v>
      </c>
      <c r="AM252" s="27" t="s">
        <v>8</v>
      </c>
      <c r="AN252" s="27" t="s">
        <v>7</v>
      </c>
      <c r="AO252" s="27" t="s">
        <v>8</v>
      </c>
      <c r="AP252" s="27" t="s">
        <v>7</v>
      </c>
      <c r="AQ252" s="27" t="s">
        <v>8</v>
      </c>
      <c r="AR252" s="27" t="s">
        <v>7</v>
      </c>
      <c r="AS252" s="27" t="s">
        <v>8</v>
      </c>
      <c r="AU252" s="27" t="s">
        <v>8</v>
      </c>
      <c r="AV252" s="27" t="s">
        <v>7</v>
      </c>
      <c r="BG252" s="27" t="s">
        <v>8</v>
      </c>
      <c r="CL252" s="27" t="s">
        <v>7</v>
      </c>
    </row>
    <row r="253" spans="1:91" x14ac:dyDescent="0.25">
      <c r="A253" s="30">
        <v>0.53032135064529184</v>
      </c>
      <c r="B253"/>
      <c r="C253"/>
      <c r="D253"/>
      <c r="E253"/>
      <c r="F253" s="27" t="s">
        <v>7</v>
      </c>
      <c r="I253" s="27" t="s">
        <v>8</v>
      </c>
      <c r="J253" s="27" t="s">
        <v>7</v>
      </c>
      <c r="P253" s="27" t="s">
        <v>7</v>
      </c>
      <c r="Q253" s="27" t="s">
        <v>8</v>
      </c>
      <c r="R253" s="27" t="s">
        <v>7</v>
      </c>
      <c r="S253" s="27" t="s">
        <v>8</v>
      </c>
      <c r="T253" s="27" t="s">
        <v>7</v>
      </c>
      <c r="U253" s="27" t="s">
        <v>8</v>
      </c>
      <c r="X253" s="27" t="s">
        <v>7</v>
      </c>
      <c r="Y253" s="27" t="s">
        <v>8</v>
      </c>
      <c r="AD253" s="27" t="s">
        <v>7</v>
      </c>
      <c r="AE253" s="27" t="s">
        <v>8</v>
      </c>
      <c r="AL253" s="27" t="s">
        <v>7</v>
      </c>
      <c r="AM253" s="27" t="s">
        <v>8</v>
      </c>
      <c r="AN253" s="27" t="s">
        <v>7</v>
      </c>
      <c r="AO253" s="27" t="s">
        <v>8</v>
      </c>
      <c r="AP253" s="27" t="s">
        <v>7</v>
      </c>
      <c r="AQ253" s="27" t="s">
        <v>8</v>
      </c>
      <c r="AR253" s="27" t="s">
        <v>7</v>
      </c>
      <c r="AS253" s="27" t="s">
        <v>8</v>
      </c>
      <c r="AT253" s="27" t="s">
        <v>7</v>
      </c>
      <c r="AU253" s="27" t="s">
        <v>8</v>
      </c>
      <c r="AV253" s="27" t="s">
        <v>7</v>
      </c>
      <c r="BE253" s="27" t="s">
        <v>8</v>
      </c>
      <c r="BG253" s="27" t="s">
        <v>8</v>
      </c>
      <c r="CL253" s="27" t="s">
        <v>7</v>
      </c>
      <c r="CM253" s="27" t="s">
        <v>8</v>
      </c>
    </row>
    <row r="254" spans="1:91" x14ac:dyDescent="0.25">
      <c r="A254" s="30">
        <v>0.50506795299551588</v>
      </c>
      <c r="B254"/>
      <c r="C254"/>
      <c r="D254"/>
      <c r="E254"/>
      <c r="F254" s="27" t="s">
        <v>7</v>
      </c>
      <c r="I254" s="27" t="s">
        <v>8</v>
      </c>
      <c r="P254" s="27" t="s">
        <v>7</v>
      </c>
      <c r="Q254" s="27" t="s">
        <v>8</v>
      </c>
      <c r="R254" s="27" t="s">
        <v>7</v>
      </c>
      <c r="S254" s="27" t="s">
        <v>8</v>
      </c>
      <c r="T254" s="27" t="s">
        <v>7</v>
      </c>
      <c r="U254" s="27" t="s">
        <v>8</v>
      </c>
      <c r="X254" s="27" t="s">
        <v>7</v>
      </c>
      <c r="AD254" s="27" t="s">
        <v>7</v>
      </c>
      <c r="AL254" s="27" t="s">
        <v>7</v>
      </c>
      <c r="AM254" s="27" t="s">
        <v>8</v>
      </c>
      <c r="AN254" s="27" t="s">
        <v>7</v>
      </c>
      <c r="AO254" s="27" t="s">
        <v>8</v>
      </c>
      <c r="AP254" s="27" t="s">
        <v>7</v>
      </c>
      <c r="AQ254" s="27" t="s">
        <v>8</v>
      </c>
      <c r="AR254" s="27" t="s">
        <v>7</v>
      </c>
      <c r="AS254" s="27" t="s">
        <v>8</v>
      </c>
      <c r="AT254" s="27" t="s">
        <v>7</v>
      </c>
      <c r="AU254" s="27" t="s">
        <v>8</v>
      </c>
      <c r="AV254" s="27" t="s">
        <v>7</v>
      </c>
      <c r="BE254" s="27" t="s">
        <v>8</v>
      </c>
      <c r="BF254" s="27" t="s">
        <v>7</v>
      </c>
      <c r="BG254" s="27" t="s">
        <v>8</v>
      </c>
      <c r="CL254" s="27" t="s">
        <v>7</v>
      </c>
      <c r="CM254" s="27" t="s">
        <v>8</v>
      </c>
    </row>
    <row r="255" spans="1:91" x14ac:dyDescent="0.25">
      <c r="A255" s="30">
        <v>0.48101709809096732</v>
      </c>
      <c r="E255"/>
      <c r="F255" s="27" t="s">
        <v>7</v>
      </c>
      <c r="I255" s="27" t="s">
        <v>8</v>
      </c>
      <c r="P255" s="27" t="s">
        <v>7</v>
      </c>
      <c r="Q255" s="27" t="s">
        <v>8</v>
      </c>
      <c r="R255" s="27" t="s">
        <v>7</v>
      </c>
      <c r="T255" s="27" t="s">
        <v>7</v>
      </c>
      <c r="AL255" s="27" t="s">
        <v>7</v>
      </c>
      <c r="AM255" s="27" t="s">
        <v>8</v>
      </c>
      <c r="AN255" s="27" t="s">
        <v>7</v>
      </c>
      <c r="AO255" s="27" t="s">
        <v>8</v>
      </c>
      <c r="AP255" s="27" t="s">
        <v>7</v>
      </c>
      <c r="AQ255" s="27" t="s">
        <v>8</v>
      </c>
      <c r="AR255" s="27" t="s">
        <v>7</v>
      </c>
      <c r="AT255" s="27" t="s">
        <v>7</v>
      </c>
      <c r="AV255" s="27" t="s">
        <v>7</v>
      </c>
      <c r="BE255" s="27" t="s">
        <v>8</v>
      </c>
      <c r="BF255" s="27" t="s">
        <v>7</v>
      </c>
      <c r="BG255" s="27" t="s">
        <v>8</v>
      </c>
      <c r="CL255" s="27" t="s">
        <v>7</v>
      </c>
      <c r="CM255" s="27" t="s">
        <v>8</v>
      </c>
    </row>
    <row r="256" spans="1:91" x14ac:dyDescent="0.25">
      <c r="A256" s="30">
        <v>0.45811152199139726</v>
      </c>
      <c r="E256"/>
      <c r="F256" s="27" t="s">
        <v>7</v>
      </c>
      <c r="I256" s="27" t="s">
        <v>8</v>
      </c>
      <c r="P256" s="27" t="s">
        <v>7</v>
      </c>
      <c r="Q256" s="27" t="s">
        <v>8</v>
      </c>
      <c r="AL256" s="27" t="s">
        <v>7</v>
      </c>
      <c r="AM256" s="27" t="s">
        <v>8</v>
      </c>
      <c r="AN256" s="27" t="s">
        <v>7</v>
      </c>
      <c r="AP256" s="27" t="s">
        <v>7</v>
      </c>
      <c r="AQ256" s="27" t="s">
        <v>8</v>
      </c>
      <c r="AV256" s="27" t="s">
        <v>7</v>
      </c>
      <c r="BE256" s="27" t="s">
        <v>8</v>
      </c>
      <c r="BF256" s="27" t="s">
        <v>7</v>
      </c>
      <c r="CL256" s="27" t="s">
        <v>7</v>
      </c>
    </row>
    <row r="257" spans="1:57" x14ac:dyDescent="0.25">
      <c r="A257" s="30">
        <v>0.43629668761085438</v>
      </c>
      <c r="B257"/>
      <c r="C257"/>
      <c r="D257"/>
      <c r="E257"/>
      <c r="F257" s="27" t="s">
        <v>7</v>
      </c>
      <c r="I257" s="27" t="s">
        <v>8</v>
      </c>
      <c r="P257" s="27" t="s">
        <v>7</v>
      </c>
      <c r="AL257" s="27" t="s">
        <v>7</v>
      </c>
      <c r="AM257" s="27" t="s">
        <v>8</v>
      </c>
      <c r="AP257" s="27" t="s">
        <v>7</v>
      </c>
      <c r="AQ257" s="27" t="s">
        <v>8</v>
      </c>
      <c r="AV257" s="27" t="s">
        <v>7</v>
      </c>
      <c r="BE257" s="27" t="s">
        <v>8</v>
      </c>
    </row>
    <row r="258" spans="1:57" x14ac:dyDescent="0.25">
      <c r="A258" s="30">
        <v>0.41552065486748019</v>
      </c>
      <c r="B258"/>
      <c r="C258"/>
      <c r="D258"/>
      <c r="E258"/>
      <c r="F258" s="27" t="s">
        <v>7</v>
      </c>
      <c r="I258" s="27" t="s">
        <v>8</v>
      </c>
      <c r="AL258" s="27" t="s">
        <v>7</v>
      </c>
      <c r="AP258" s="27" t="s">
        <v>7</v>
      </c>
      <c r="AQ258" s="27" t="s">
        <v>8</v>
      </c>
      <c r="AV258" s="27" t="s">
        <v>7</v>
      </c>
      <c r="BE258" s="27" t="s">
        <v>8</v>
      </c>
    </row>
    <row r="259" spans="1:57" x14ac:dyDescent="0.25">
      <c r="A259" s="30">
        <v>0.39573395701664765</v>
      </c>
      <c r="B259"/>
      <c r="C259"/>
      <c r="D259"/>
      <c r="E259"/>
      <c r="F259" s="27" t="s">
        <v>7</v>
      </c>
      <c r="I259" s="27" t="s">
        <v>8</v>
      </c>
      <c r="AP259" s="27" t="s">
        <v>7</v>
      </c>
      <c r="AQ259" s="27" t="s">
        <v>8</v>
      </c>
      <c r="AV259" s="27" t="s">
        <v>7</v>
      </c>
      <c r="AW259" s="27" t="s">
        <v>8</v>
      </c>
      <c r="AY259" s="27" t="s">
        <v>8</v>
      </c>
      <c r="BE259" s="27" t="s">
        <v>8</v>
      </c>
    </row>
    <row r="260" spans="1:57" x14ac:dyDescent="0.25">
      <c r="A260" s="30">
        <v>0.37688948287299762</v>
      </c>
      <c r="B260"/>
      <c r="C260"/>
      <c r="D260"/>
      <c r="E260"/>
      <c r="F260" s="27" t="s">
        <v>7</v>
      </c>
      <c r="I260" s="27" t="s">
        <v>8</v>
      </c>
      <c r="AP260" s="27" t="s">
        <v>7</v>
      </c>
      <c r="AQ260" s="27" t="s">
        <v>8</v>
      </c>
      <c r="AV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C260" s="27" t="s">
        <v>8</v>
      </c>
      <c r="BE260" s="27" t="s">
        <v>8</v>
      </c>
    </row>
    <row r="261" spans="1:57" x14ac:dyDescent="0.25">
      <c r="A261" s="30">
        <v>0.35894236464094997</v>
      </c>
      <c r="B261"/>
      <c r="C261"/>
      <c r="D261"/>
      <c r="E261"/>
      <c r="F261" s="27" t="s">
        <v>7</v>
      </c>
      <c r="I261" s="27" t="s">
        <v>8</v>
      </c>
      <c r="AP261" s="27" t="s">
        <v>7</v>
      </c>
      <c r="AQ261" s="27" t="s">
        <v>8</v>
      </c>
      <c r="AV261" s="27" t="s">
        <v>7</v>
      </c>
      <c r="AW261" s="27" t="s">
        <v>8</v>
      </c>
      <c r="AX261" s="27" t="s">
        <v>7</v>
      </c>
      <c r="AY261" s="27" t="s">
        <v>8</v>
      </c>
      <c r="AZ261" s="27" t="s">
        <v>7</v>
      </c>
      <c r="BC261" s="27" t="s">
        <v>8</v>
      </c>
      <c r="BD261" s="27" t="s">
        <v>7</v>
      </c>
      <c r="BE261" s="27" t="s">
        <v>8</v>
      </c>
    </row>
    <row r="262" spans="1:57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I262" s="27" t="s">
        <v>8</v>
      </c>
      <c r="AP262" s="27" t="s">
        <v>7</v>
      </c>
      <c r="AV262" s="27" t="s">
        <v>7</v>
      </c>
      <c r="AW262" s="27" t="s">
        <v>8</v>
      </c>
      <c r="AX262" s="27" t="s">
        <v>7</v>
      </c>
      <c r="AY262" s="27" t="s">
        <v>8</v>
      </c>
      <c r="AZ262" s="27" t="s">
        <v>7</v>
      </c>
      <c r="BC262" s="27" t="s">
        <v>8</v>
      </c>
      <c r="BD262" s="27" t="s">
        <v>7</v>
      </c>
      <c r="BE262" s="27" t="s">
        <v>8</v>
      </c>
    </row>
    <row r="263" spans="1:57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AV263" s="27" t="s">
        <v>7</v>
      </c>
      <c r="AW263" s="27" t="s">
        <v>8</v>
      </c>
      <c r="AX263" s="27" t="s">
        <v>7</v>
      </c>
      <c r="AZ263" s="27" t="s">
        <v>7</v>
      </c>
      <c r="BC263" s="27" t="s">
        <v>8</v>
      </c>
      <c r="BD263" s="27" t="s">
        <v>7</v>
      </c>
      <c r="BE263" s="27" t="s">
        <v>8</v>
      </c>
    </row>
    <row r="264" spans="1:57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I264" s="27" t="s">
        <v>8</v>
      </c>
      <c r="AV264" s="27" t="s">
        <v>7</v>
      </c>
      <c r="AW264" s="27" t="s">
        <v>8</v>
      </c>
      <c r="AZ264" s="27" t="s">
        <v>7</v>
      </c>
      <c r="BA264" s="27" t="s">
        <v>8</v>
      </c>
      <c r="BC264" s="27" t="s">
        <v>8</v>
      </c>
      <c r="BD264" s="27" t="s">
        <v>7</v>
      </c>
      <c r="BE264" s="27" t="s">
        <v>8</v>
      </c>
    </row>
    <row r="265" spans="1:57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AV265" s="27" t="s">
        <v>7</v>
      </c>
      <c r="AW265" s="27" t="s">
        <v>8</v>
      </c>
      <c r="AZ265" s="27" t="s">
        <v>7</v>
      </c>
      <c r="BA265" s="27" t="s">
        <v>8</v>
      </c>
      <c r="BB265" s="27" t="s">
        <v>7</v>
      </c>
      <c r="BC265" s="27" t="s">
        <v>8</v>
      </c>
      <c r="BD265" s="27" t="s">
        <v>7</v>
      </c>
      <c r="BE265" s="27" t="s">
        <v>8</v>
      </c>
    </row>
    <row r="266" spans="1:57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AV266" s="27" t="s">
        <v>7</v>
      </c>
      <c r="AZ266" s="27" t="s">
        <v>7</v>
      </c>
      <c r="BA266" s="27" t="s">
        <v>8</v>
      </c>
      <c r="BB266" s="27" t="s">
        <v>7</v>
      </c>
      <c r="BC266" s="27" t="s">
        <v>8</v>
      </c>
      <c r="BD266" s="18" t="s">
        <v>7</v>
      </c>
      <c r="BE266" s="27" t="s">
        <v>8</v>
      </c>
    </row>
    <row r="267" spans="1:57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AZ267" s="27" t="s">
        <v>7</v>
      </c>
      <c r="BA267" s="27" t="s">
        <v>8</v>
      </c>
      <c r="BB267" s="27" t="s">
        <v>7</v>
      </c>
      <c r="BC267" s="27" t="s">
        <v>8</v>
      </c>
      <c r="BD267" s="27" t="s">
        <v>7</v>
      </c>
    </row>
    <row r="268" spans="1:57" x14ac:dyDescent="0.25">
      <c r="A268" s="30">
        <v>0.25509363714308075</v>
      </c>
      <c r="B268"/>
      <c r="C268"/>
      <c r="D268"/>
      <c r="E268"/>
      <c r="F268" s="27" t="s">
        <v>7</v>
      </c>
      <c r="AZ268" s="27" t="s">
        <v>7</v>
      </c>
      <c r="BA268" s="27" t="s">
        <v>8</v>
      </c>
      <c r="BB268" s="27" t="s">
        <v>7</v>
      </c>
    </row>
    <row r="269" spans="1:57" x14ac:dyDescent="0.25">
      <c r="A269" s="30">
        <v>0.24294632108864825</v>
      </c>
      <c r="B269"/>
      <c r="C269"/>
      <c r="D269"/>
      <c r="E269"/>
      <c r="AZ269" s="27" t="s">
        <v>7</v>
      </c>
      <c r="BA269" s="27" t="s">
        <v>8</v>
      </c>
    </row>
    <row r="270" spans="1:57" x14ac:dyDescent="0.25">
      <c r="A270" s="30">
        <v>0.23137744865585538</v>
      </c>
      <c r="B270"/>
      <c r="C270"/>
      <c r="D270"/>
      <c r="E270"/>
      <c r="AZ270" s="27" t="s">
        <v>7</v>
      </c>
    </row>
    <row r="271" spans="1:57" x14ac:dyDescent="0.25">
      <c r="A271" s="30">
        <v>0.22035947491033836</v>
      </c>
      <c r="B271"/>
      <c r="C271"/>
      <c r="D271"/>
      <c r="E271"/>
    </row>
    <row r="272" spans="1:57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86" operator="equal">
      <formula>$U$1</formula>
    </cfRule>
    <cfRule type="cellIs" dxfId="67" priority="787" operator="equal">
      <formula>$S$1</formula>
    </cfRule>
  </conditionalFormatting>
  <conditionalFormatting sqref="D136">
    <cfRule type="cellIs" dxfId="66" priority="784" operator="equal">
      <formula>$S$1</formula>
    </cfRule>
    <cfRule type="cellIs" dxfId="65" priority="785" operator="equal">
      <formula>$U$1</formula>
    </cfRule>
  </conditionalFormatting>
  <conditionalFormatting sqref="C162">
    <cfRule type="cellIs" dxfId="64" priority="782" operator="equal">
      <formula>$U$1</formula>
    </cfRule>
    <cfRule type="cellIs" dxfId="63" priority="783" operator="equal">
      <formula>$S$1</formula>
    </cfRule>
  </conditionalFormatting>
  <conditionalFormatting sqref="D162">
    <cfRule type="cellIs" dxfId="62" priority="780" operator="equal">
      <formula>$S$1</formula>
    </cfRule>
    <cfRule type="cellIs" dxfId="61" priority="781" operator="equal">
      <formula>$U$1</formula>
    </cfRule>
  </conditionalFormatting>
  <conditionalFormatting sqref="C187">
    <cfRule type="cellIs" dxfId="60" priority="778" operator="equal">
      <formula>$U$1</formula>
    </cfRule>
    <cfRule type="cellIs" dxfId="59" priority="779" operator="equal">
      <formula>$S$1</formula>
    </cfRule>
  </conditionalFormatting>
  <conditionalFormatting sqref="D187">
    <cfRule type="cellIs" dxfId="58" priority="776" operator="equal">
      <formula>$S$1</formula>
    </cfRule>
    <cfRule type="cellIs" dxfId="57" priority="777" operator="equal">
      <formula>$U$1</formula>
    </cfRule>
  </conditionalFormatting>
  <conditionalFormatting sqref="C212">
    <cfRule type="cellIs" dxfId="56" priority="774" operator="equal">
      <formula>$U$1</formula>
    </cfRule>
    <cfRule type="cellIs" dxfId="55" priority="775" operator="equal">
      <formula>$S$1</formula>
    </cfRule>
  </conditionalFormatting>
  <conditionalFormatting sqref="D212">
    <cfRule type="cellIs" dxfId="54" priority="772" operator="equal">
      <formula>$S$1</formula>
    </cfRule>
    <cfRule type="cellIs" dxfId="53" priority="773" operator="equal">
      <formula>$U$1</formula>
    </cfRule>
  </conditionalFormatting>
  <conditionalFormatting sqref="C237">
    <cfRule type="cellIs" dxfId="52" priority="770" operator="equal">
      <formula>$U$1</formula>
    </cfRule>
    <cfRule type="cellIs" dxfId="51" priority="771" operator="equal">
      <formula>$S$1</formula>
    </cfRule>
  </conditionalFormatting>
  <conditionalFormatting sqref="D237">
    <cfRule type="cellIs" dxfId="50" priority="768" operator="equal">
      <formula>$S$1</formula>
    </cfRule>
    <cfRule type="cellIs" dxfId="49" priority="769" operator="equal">
      <formula>$U$1</formula>
    </cfRule>
  </conditionalFormatting>
  <conditionalFormatting sqref="C106">
    <cfRule type="cellIs" dxfId="48" priority="766" operator="equal">
      <formula>$U$1</formula>
    </cfRule>
    <cfRule type="cellIs" dxfId="47" priority="767" operator="equal">
      <formula>$S$1</formula>
    </cfRule>
  </conditionalFormatting>
  <conditionalFormatting sqref="D106">
    <cfRule type="cellIs" dxfId="46" priority="764" operator="equal">
      <formula>$S$1</formula>
    </cfRule>
    <cfRule type="cellIs" dxfId="45" priority="765" operator="equal">
      <formula>$U$1</formula>
    </cfRule>
  </conditionalFormatting>
  <conditionalFormatting sqref="C81">
    <cfRule type="cellIs" dxfId="44" priority="762" operator="equal">
      <formula>$U$1</formula>
    </cfRule>
    <cfRule type="cellIs" dxfId="43" priority="763" operator="equal">
      <formula>$S$1</formula>
    </cfRule>
  </conditionalFormatting>
  <conditionalFormatting sqref="D81">
    <cfRule type="cellIs" dxfId="42" priority="760" operator="equal">
      <formula>$S$1</formula>
    </cfRule>
    <cfRule type="cellIs" dxfId="41" priority="761" operator="equal">
      <formula>$U$1</formula>
    </cfRule>
  </conditionalFormatting>
  <conditionalFormatting sqref="C56">
    <cfRule type="cellIs" dxfId="40" priority="758" operator="equal">
      <formula>$U$1</formula>
    </cfRule>
    <cfRule type="cellIs" dxfId="39" priority="759" operator="equal">
      <formula>$S$1</formula>
    </cfRule>
  </conditionalFormatting>
  <conditionalFormatting sqref="D56">
    <cfRule type="cellIs" dxfId="38" priority="756" operator="equal">
      <formula>$S$1</formula>
    </cfRule>
    <cfRule type="cellIs" dxfId="37" priority="757" operator="equal">
      <formula>$U$1</formula>
    </cfRule>
  </conditionalFormatting>
  <conditionalFormatting sqref="C31">
    <cfRule type="cellIs" dxfId="36" priority="754" operator="equal">
      <formula>$U$1</formula>
    </cfRule>
    <cfRule type="cellIs" dxfId="35" priority="755" operator="equal">
      <formula>$S$1</formula>
    </cfRule>
  </conditionalFormatting>
  <conditionalFormatting sqref="D31">
    <cfRule type="cellIs" dxfId="34" priority="752" operator="equal">
      <formula>$S$1</formula>
    </cfRule>
    <cfRule type="cellIs" dxfId="33" priority="75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H129" sqref="AH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$AH$128</v>
      </c>
      <c r="E111"/>
    </row>
    <row r="112" spans="1:5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$AG$129</v>
      </c>
      <c r="E112"/>
    </row>
    <row r="113" spans="1:34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$AI$128</v>
      </c>
    </row>
    <row r="114" spans="1:34" x14ac:dyDescent="0.25">
      <c r="A114" s="30">
        <v>1.9487171000000014</v>
      </c>
      <c r="C114" s="1" t="str">
        <f>ADDRESS(C121,D121,1,1)</f>
        <v>$AH$129</v>
      </c>
      <c r="D114" s="1" t="str">
        <f>ADDRESS(C121+1,D121+1,1,1)</f>
        <v>$AI$130</v>
      </c>
    </row>
    <row r="115" spans="1:34" x14ac:dyDescent="0.25">
      <c r="A115" s="30">
        <v>1.7715610000000011</v>
      </c>
      <c r="C115" s="1" t="str">
        <f>ADDRESS(C121+1,D121,1,1)</f>
        <v>$AH$130</v>
      </c>
    </row>
    <row r="116" spans="1:34" x14ac:dyDescent="0.25">
      <c r="A116" s="30">
        <v>1.6105100000000008</v>
      </c>
      <c r="C116" s="1">
        <f>C117-1</f>
        <v>128</v>
      </c>
      <c r="AA116" s="27" t="s">
        <v>8</v>
      </c>
    </row>
    <row r="117" spans="1:34" x14ac:dyDescent="0.25">
      <c r="A117" s="30">
        <v>1.4641000000000006</v>
      </c>
      <c r="C117" s="1">
        <f>C121</f>
        <v>129</v>
      </c>
      <c r="D117" s="1">
        <f>D121</f>
        <v>34</v>
      </c>
      <c r="AA117" s="27" t="s">
        <v>8</v>
      </c>
      <c r="AB117" s="27" t="s">
        <v>7</v>
      </c>
      <c r="AC117" s="27" t="s">
        <v>8</v>
      </c>
    </row>
    <row r="118" spans="1:34" x14ac:dyDescent="0.25">
      <c r="A118" s="30">
        <v>1.3310000000000004</v>
      </c>
      <c r="C118" s="1">
        <f>C117+1</f>
        <v>130</v>
      </c>
      <c r="D118" s="1">
        <f>D117+1</f>
        <v>35</v>
      </c>
      <c r="AA118" s="27" t="s">
        <v>8</v>
      </c>
      <c r="AB118" s="27" t="s">
        <v>7</v>
      </c>
      <c r="AC118" s="27" t="s">
        <v>8</v>
      </c>
      <c r="AD118" s="27" t="s">
        <v>7</v>
      </c>
      <c r="AE118" s="27" t="s">
        <v>8</v>
      </c>
      <c r="AG118" s="27" t="s">
        <v>8</v>
      </c>
    </row>
    <row r="119" spans="1:34" x14ac:dyDescent="0.25">
      <c r="A119" s="30">
        <v>1.2100000000000002</v>
      </c>
      <c r="O119" s="27" t="s">
        <v>8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27" t="s">
        <v>8</v>
      </c>
      <c r="AH119" s="27" t="s">
        <v>7</v>
      </c>
    </row>
    <row r="120" spans="1:34" x14ac:dyDescent="0.25">
      <c r="A120" s="30">
        <v>1.1000000000000001</v>
      </c>
      <c r="C120" s="1" t="s">
        <v>9</v>
      </c>
      <c r="O120" s="27" t="s">
        <v>8</v>
      </c>
      <c r="P120" s="27" t="s">
        <v>7</v>
      </c>
      <c r="AA120" s="27" t="s">
        <v>8</v>
      </c>
      <c r="AB120" s="27" t="s">
        <v>7</v>
      </c>
      <c r="AC120" s="27" t="s">
        <v>8</v>
      </c>
      <c r="AD120" s="27" t="s">
        <v>7</v>
      </c>
      <c r="AE120" s="27" t="s">
        <v>8</v>
      </c>
      <c r="AF120" s="27" t="s">
        <v>7</v>
      </c>
      <c r="AG120" s="27" t="s">
        <v>8</v>
      </c>
      <c r="AH120" s="27" t="s">
        <v>7</v>
      </c>
    </row>
    <row r="121" spans="1:34" x14ac:dyDescent="0.25">
      <c r="A121" s="30">
        <v>1</v>
      </c>
      <c r="C121" s="18">
        <v>129</v>
      </c>
      <c r="D121" s="19">
        <v>34</v>
      </c>
      <c r="E121" s="18" t="s">
        <v>8</v>
      </c>
      <c r="O121" s="27" t="s">
        <v>8</v>
      </c>
      <c r="P121" s="27" t="s">
        <v>7</v>
      </c>
      <c r="AA121" s="27" t="s">
        <v>8</v>
      </c>
      <c r="AB121" s="27" t="s">
        <v>7</v>
      </c>
      <c r="AD121" s="27" t="s">
        <v>7</v>
      </c>
      <c r="AE121" s="27" t="s">
        <v>8</v>
      </c>
      <c r="AF121" s="27" t="s">
        <v>7</v>
      </c>
      <c r="AH121" s="27" t="s">
        <v>7</v>
      </c>
    </row>
    <row r="122" spans="1:34" x14ac:dyDescent="0.25">
      <c r="A122" s="30">
        <v>0.90909090909090895</v>
      </c>
      <c r="C122" s="1" t="str">
        <f>INDEX(1:1048576,C117,D117)</f>
        <v>O</v>
      </c>
      <c r="F122" s="27" t="s">
        <v>7</v>
      </c>
      <c r="O122" s="27" t="s">
        <v>8</v>
      </c>
      <c r="P122" s="27" t="s">
        <v>7</v>
      </c>
      <c r="AA122" s="27" t="s">
        <v>8</v>
      </c>
      <c r="AD122" s="27" t="s">
        <v>7</v>
      </c>
      <c r="AH122" s="27" t="s">
        <v>7</v>
      </c>
    </row>
    <row r="123" spans="1:34" x14ac:dyDescent="0.25">
      <c r="A123" s="30">
        <v>0.82644628099173523</v>
      </c>
      <c r="C123" s="1" t="str">
        <f>"R"&amp;C121</f>
        <v>R129</v>
      </c>
      <c r="D123" s="1" t="str">
        <f>"C"&amp;D121</f>
        <v>C34</v>
      </c>
      <c r="F123" s="27" t="s">
        <v>7</v>
      </c>
      <c r="I123" s="27" t="s">
        <v>8</v>
      </c>
      <c r="M123" s="27" t="s">
        <v>8</v>
      </c>
      <c r="O123" s="27" t="s">
        <v>8</v>
      </c>
      <c r="P123" s="27" t="s">
        <v>7</v>
      </c>
      <c r="AA123" s="27" t="s">
        <v>8</v>
      </c>
      <c r="AH123" s="27" t="s">
        <v>7</v>
      </c>
    </row>
    <row r="124" spans="1:3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I124" s="27" t="s">
        <v>8</v>
      </c>
      <c r="J124" s="27" t="s">
        <v>7</v>
      </c>
      <c r="M124" s="27" t="s">
        <v>8</v>
      </c>
      <c r="N124" s="27" t="s">
        <v>7</v>
      </c>
      <c r="O124" s="27" t="s">
        <v>8</v>
      </c>
      <c r="P124" s="27" t="s">
        <v>7</v>
      </c>
      <c r="AA124" s="27" t="s">
        <v>8</v>
      </c>
      <c r="AH124" s="27" t="s">
        <v>7</v>
      </c>
    </row>
    <row r="125" spans="1:34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K125" s="27" t="s">
        <v>8</v>
      </c>
      <c r="M125" s="27" t="s">
        <v>8</v>
      </c>
      <c r="N125" s="27" t="s">
        <v>7</v>
      </c>
      <c r="O125" s="27" t="s">
        <v>8</v>
      </c>
      <c r="P125" s="27" t="s">
        <v>7</v>
      </c>
      <c r="U125" s="27" t="s">
        <v>8</v>
      </c>
      <c r="AA125" s="27" t="s">
        <v>8</v>
      </c>
      <c r="AH125" s="27" t="s">
        <v>7</v>
      </c>
    </row>
    <row r="126" spans="1:34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  <c r="K126" s="27" t="s">
        <v>8</v>
      </c>
      <c r="L126" s="27" t="s">
        <v>7</v>
      </c>
      <c r="M126" s="27" t="s">
        <v>8</v>
      </c>
      <c r="N126" s="27" t="s">
        <v>7</v>
      </c>
      <c r="O126" s="27" t="s">
        <v>8</v>
      </c>
      <c r="P126" s="27" t="s">
        <v>7</v>
      </c>
      <c r="Q126" s="27" t="s">
        <v>8</v>
      </c>
      <c r="S126" s="27" t="s">
        <v>8</v>
      </c>
      <c r="U126" s="27" t="s">
        <v>8</v>
      </c>
      <c r="V126" s="27" t="s">
        <v>7</v>
      </c>
      <c r="AA126" s="27" t="s">
        <v>8</v>
      </c>
      <c r="AH126" s="27" t="s">
        <v>7</v>
      </c>
    </row>
    <row r="127" spans="1:34" x14ac:dyDescent="0.25">
      <c r="A127" s="30">
        <v>0.56447393005377677</v>
      </c>
      <c r="C127" s="30">
        <v>0.46650738020973276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27" t="s">
        <v>7</v>
      </c>
      <c r="K127" s="27" t="s">
        <v>8</v>
      </c>
      <c r="L127" s="27" t="s">
        <v>7</v>
      </c>
      <c r="M127" s="27" t="s">
        <v>8</v>
      </c>
      <c r="N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S127" s="27" t="s">
        <v>8</v>
      </c>
      <c r="T127" s="27" t="s">
        <v>7</v>
      </c>
      <c r="U127" s="27" t="s">
        <v>8</v>
      </c>
      <c r="V127" s="27" t="s">
        <v>7</v>
      </c>
      <c r="AA127" s="27" t="s">
        <v>8</v>
      </c>
      <c r="AH127" s="27" t="s">
        <v>7</v>
      </c>
    </row>
    <row r="128" spans="1:34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J128" s="27" t="s">
        <v>7</v>
      </c>
      <c r="K128" s="27" t="s">
        <v>8</v>
      </c>
      <c r="L128" s="27" t="s">
        <v>7</v>
      </c>
      <c r="N128" s="27" t="s">
        <v>7</v>
      </c>
      <c r="P128" s="27" t="s">
        <v>7</v>
      </c>
      <c r="Q128" s="27" t="s">
        <v>8</v>
      </c>
      <c r="R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AA128" s="27" t="s">
        <v>8</v>
      </c>
      <c r="AH128" s="27" t="s">
        <v>7</v>
      </c>
    </row>
    <row r="129" spans="1:3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J129" s="27" t="s">
        <v>7</v>
      </c>
      <c r="K129" s="27" t="s">
        <v>8</v>
      </c>
      <c r="P129" s="27" t="s">
        <v>7</v>
      </c>
      <c r="Q129" s="27" t="s">
        <v>8</v>
      </c>
      <c r="R129" s="27" t="s">
        <v>7</v>
      </c>
      <c r="S129" s="27" t="s">
        <v>8</v>
      </c>
      <c r="T129" s="27" t="s">
        <v>7</v>
      </c>
      <c r="V129" s="27" t="s">
        <v>7</v>
      </c>
      <c r="AA129" s="27" t="s">
        <v>8</v>
      </c>
      <c r="AH129" s="27" t="s">
        <v>7</v>
      </c>
    </row>
    <row r="130" spans="1:34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J130" s="27" t="s">
        <v>7</v>
      </c>
      <c r="P130" s="27" t="s">
        <v>7</v>
      </c>
      <c r="R130" s="27" t="s">
        <v>7</v>
      </c>
      <c r="S130" s="27" t="s">
        <v>8</v>
      </c>
      <c r="V130" s="27" t="s">
        <v>7</v>
      </c>
      <c r="AA130" s="27" t="s">
        <v>8</v>
      </c>
    </row>
    <row r="131" spans="1:34" x14ac:dyDescent="0.25">
      <c r="A131" s="30">
        <v>0.38554328942953109</v>
      </c>
      <c r="E131"/>
      <c r="F131" s="27" t="s">
        <v>7</v>
      </c>
      <c r="G131" s="27" t="s">
        <v>8</v>
      </c>
      <c r="R131" s="27" t="s">
        <v>7</v>
      </c>
      <c r="S131" s="27" t="s">
        <v>8</v>
      </c>
      <c r="V131" s="27" t="s">
        <v>7</v>
      </c>
      <c r="W131" s="27" t="s">
        <v>8</v>
      </c>
      <c r="AA131" s="27" t="s">
        <v>8</v>
      </c>
    </row>
    <row r="132" spans="1:3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R132" s="27" t="s">
        <v>7</v>
      </c>
      <c r="V132" s="27" t="s">
        <v>7</v>
      </c>
      <c r="W132" s="27" t="s">
        <v>8</v>
      </c>
      <c r="X132" s="27" t="s">
        <v>7</v>
      </c>
      <c r="Y132" s="18" t="s">
        <v>8</v>
      </c>
      <c r="AA132" s="27" t="s">
        <v>8</v>
      </c>
    </row>
    <row r="133" spans="1:3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V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</row>
    <row r="134" spans="1:34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V134" s="27" t="s">
        <v>7</v>
      </c>
      <c r="X134" s="27" t="s">
        <v>7</v>
      </c>
      <c r="Y134" s="27" t="s">
        <v>8</v>
      </c>
      <c r="Z134" s="27" t="s">
        <v>7</v>
      </c>
      <c r="AA134" s="27" t="s">
        <v>8</v>
      </c>
    </row>
    <row r="135" spans="1:34" x14ac:dyDescent="0.25">
      <c r="A135" s="30">
        <v>0.2633312543060794</v>
      </c>
      <c r="C135" s="1" t="s">
        <v>14</v>
      </c>
      <c r="E135"/>
      <c r="F135" s="27" t="s">
        <v>7</v>
      </c>
      <c r="X135" s="27" t="s">
        <v>7</v>
      </c>
      <c r="Y135" s="27" t="s">
        <v>8</v>
      </c>
      <c r="Z135" s="27" t="s">
        <v>7</v>
      </c>
    </row>
    <row r="136" spans="1:3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X136" s="27" t="s">
        <v>7</v>
      </c>
    </row>
    <row r="137" spans="1:34" x14ac:dyDescent="0.25">
      <c r="A137" s="30">
        <v>0.2176291357901482</v>
      </c>
      <c r="E137"/>
    </row>
    <row r="138" spans="1:3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34" x14ac:dyDescent="0.25">
      <c r="A139" s="30">
        <v>0.17985878990921333</v>
      </c>
      <c r="E139"/>
    </row>
    <row r="140" spans="1:34" x14ac:dyDescent="0.25">
      <c r="A140" s="30">
        <v>0.16350799082655756</v>
      </c>
      <c r="C140" s="1">
        <v>0</v>
      </c>
      <c r="E140"/>
    </row>
    <row r="141" spans="1:34" x14ac:dyDescent="0.25">
      <c r="A141" s="30">
        <v>0.14864362802414322</v>
      </c>
      <c r="C141" s="1">
        <v>1</v>
      </c>
      <c r="E141"/>
    </row>
    <row r="142" spans="1:34" x14ac:dyDescent="0.25">
      <c r="A142" s="30">
        <v>0.13513057093103928</v>
      </c>
      <c r="C142" s="1">
        <v>2</v>
      </c>
      <c r="E142"/>
    </row>
    <row r="143" spans="1:34" x14ac:dyDescent="0.25">
      <c r="A143" s="30">
        <v>0.12284597357367205</v>
      </c>
      <c r="C143" s="1">
        <v>3</v>
      </c>
      <c r="E143"/>
    </row>
    <row r="144" spans="1:3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70" operator="equal">
      <formula>$U$1</formula>
    </cfRule>
    <cfRule type="cellIs" dxfId="30" priority="771" operator="equal">
      <formula>$S$1</formula>
    </cfRule>
  </conditionalFormatting>
  <conditionalFormatting sqref="D136">
    <cfRule type="cellIs" dxfId="29" priority="768" operator="equal">
      <formula>$S$1</formula>
    </cfRule>
    <cfRule type="cellIs" dxfId="28" priority="769" operator="equal">
      <formula>$U$1</formula>
    </cfRule>
  </conditionalFormatting>
  <conditionalFormatting sqref="C102">
    <cfRule type="cellIs" dxfId="27" priority="766" operator="equal">
      <formula>$U$1</formula>
    </cfRule>
    <cfRule type="cellIs" dxfId="26" priority="767" operator="equal">
      <formula>$S$1</formula>
    </cfRule>
  </conditionalFormatting>
  <conditionalFormatting sqref="D102">
    <cfRule type="cellIs" dxfId="25" priority="764" operator="equal">
      <formula>$S$1</formula>
    </cfRule>
    <cfRule type="cellIs" dxfId="24" priority="765" operator="equal">
      <formula>$U$1</formula>
    </cfRule>
  </conditionalFormatting>
  <conditionalFormatting sqref="C77">
    <cfRule type="cellIs" dxfId="23" priority="762" operator="equal">
      <formula>$U$1</formula>
    </cfRule>
    <cfRule type="cellIs" dxfId="22" priority="763" operator="equal">
      <formula>$S$1</formula>
    </cfRule>
  </conditionalFormatting>
  <conditionalFormatting sqref="D77">
    <cfRule type="cellIs" dxfId="21" priority="760" operator="equal">
      <formula>$S$1</formula>
    </cfRule>
    <cfRule type="cellIs" dxfId="20" priority="761" operator="equal">
      <formula>$U$1</formula>
    </cfRule>
  </conditionalFormatting>
  <conditionalFormatting sqref="C52">
    <cfRule type="cellIs" dxfId="19" priority="758" operator="equal">
      <formula>$U$1</formula>
    </cfRule>
    <cfRule type="cellIs" dxfId="18" priority="759" operator="equal">
      <formula>$S$1</formula>
    </cfRule>
  </conditionalFormatting>
  <conditionalFormatting sqref="D52">
    <cfRule type="cellIs" dxfId="17" priority="756" operator="equal">
      <formula>$S$1</formula>
    </cfRule>
    <cfRule type="cellIs" dxfId="16" priority="757" operator="equal">
      <formula>$U$1</formula>
    </cfRule>
  </conditionalFormatting>
  <conditionalFormatting sqref="C26">
    <cfRule type="cellIs" dxfId="15" priority="754" operator="equal">
      <formula>$U$1</formula>
    </cfRule>
    <cfRule type="cellIs" dxfId="14" priority="755" operator="equal">
      <formula>$S$1</formula>
    </cfRule>
  </conditionalFormatting>
  <conditionalFormatting sqref="D26">
    <cfRule type="cellIs" dxfId="13" priority="752" operator="equal">
      <formula>$S$1</formula>
    </cfRule>
    <cfRule type="cellIs" dxfId="12" priority="75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2022-01-28T01:22:31Z</dcterms:modified>
</cp:coreProperties>
</file>