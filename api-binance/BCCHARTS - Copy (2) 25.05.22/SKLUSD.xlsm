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A021CD6-F154-4383-BF94-6511EC8C458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16" i="5"/>
  <c r="C122" i="5"/>
  <c r="C133" i="5" s="1"/>
  <c r="D136" i="5" s="1"/>
  <c r="C118" i="4"/>
  <c r="C116" i="4"/>
  <c r="C118" i="3"/>
  <c r="R765" i="1"/>
  <c r="C122" i="3"/>
  <c r="C133" i="3" s="1"/>
  <c r="C136" i="3" s="1"/>
  <c r="D136" i="4" l="1"/>
  <c r="C138" i="4" s="1"/>
  <c r="C136" i="5"/>
  <c r="C138" i="5" s="1"/>
  <c r="R764" i="1"/>
  <c r="S765" i="1"/>
  <c r="T765" i="1" s="1"/>
  <c r="D136" i="3"/>
  <c r="C138" i="3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S760" i="1" l="1"/>
  <c r="T760" i="1" s="1"/>
  <c r="R759" i="1"/>
  <c r="R758" i="1" l="1"/>
  <c r="S759" i="1"/>
  <c r="T759" i="1" s="1"/>
  <c r="R757" i="1" l="1"/>
  <c r="S758" i="1"/>
  <c r="T758" i="1" s="1"/>
  <c r="R756" i="1" l="1"/>
  <c r="S757" i="1"/>
  <c r="T757" i="1" s="1"/>
  <c r="S756" i="1" l="1"/>
  <c r="T756" i="1" s="1"/>
  <c r="R755" i="1"/>
  <c r="S755" i="1" l="1"/>
  <c r="T755" i="1" s="1"/>
  <c r="R754" i="1"/>
  <c r="R753" i="1" l="1"/>
  <c r="S754" i="1"/>
  <c r="T754" i="1" s="1"/>
  <c r="S753" i="1" l="1"/>
  <c r="T753" i="1" s="1"/>
  <c r="R752" i="1"/>
  <c r="S752" i="1" l="1"/>
  <c r="T752" i="1" s="1"/>
  <c r="R751" i="1"/>
  <c r="S751" i="1" l="1"/>
  <c r="T751" i="1" s="1"/>
  <c r="R750" i="1"/>
  <c r="S750" i="1" l="1"/>
  <c r="T750" i="1" s="1"/>
  <c r="R749" i="1"/>
  <c r="R748" i="1" l="1"/>
  <c r="S749" i="1"/>
  <c r="T749" i="1" s="1"/>
  <c r="S748" i="1" l="1"/>
  <c r="T748" i="1" s="1"/>
  <c r="R747" i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S743" i="1" l="1"/>
  <c r="T743" i="1" s="1"/>
  <c r="R742" i="1"/>
  <c r="R741" i="1" l="1"/>
  <c r="S742" i="1"/>
  <c r="T742" i="1" s="1"/>
  <c r="S741" i="1" l="1"/>
  <c r="T741" i="1" s="1"/>
  <c r="R740" i="1"/>
  <c r="S740" i="1" l="1"/>
  <c r="T740" i="1" s="1"/>
  <c r="R739" i="1"/>
  <c r="S739" i="1" l="1"/>
  <c r="T739" i="1" s="1"/>
  <c r="R738" i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R729" i="1" l="1"/>
  <c r="S730" i="1"/>
  <c r="T730" i="1" s="1"/>
  <c r="S729" i="1" l="1"/>
  <c r="T729" i="1" s="1"/>
  <c r="R728" i="1"/>
  <c r="S728" i="1" l="1"/>
  <c r="T728" i="1" s="1"/>
  <c r="R727" i="1"/>
  <c r="S727" i="1" l="1"/>
  <c r="T727" i="1" s="1"/>
  <c r="R726" i="1"/>
  <c r="R725" i="1" l="1"/>
  <c r="S726" i="1"/>
  <c r="T726" i="1" s="1"/>
  <c r="R724" i="1" l="1"/>
  <c r="S725" i="1"/>
  <c r="T725" i="1" s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S718" i="1" l="1"/>
  <c r="T718" i="1" s="1"/>
  <c r="R717" i="1"/>
  <c r="R716" i="1" l="1"/>
  <c r="S717" i="1"/>
  <c r="T717" i="1" s="1"/>
  <c r="S716" i="1" l="1"/>
  <c r="T716" i="1" s="1"/>
  <c r="R715" i="1"/>
  <c r="S715" i="1" l="1"/>
  <c r="T715" i="1" s="1"/>
  <c r="R714" i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R700" i="1" l="1"/>
  <c r="S701" i="1"/>
  <c r="T701" i="1" s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S696" i="1" l="1"/>
  <c r="T696" i="1" s="1"/>
  <c r="R695" i="1"/>
  <c r="R694" i="1" l="1"/>
  <c r="S695" i="1"/>
  <c r="T695" i="1" s="1"/>
  <c r="S694" i="1" l="1"/>
  <c r="T694" i="1" s="1"/>
  <c r="R693" i="1"/>
  <c r="R692" i="1" l="1"/>
  <c r="S693" i="1"/>
  <c r="T693" i="1" s="1"/>
  <c r="R691" i="1" l="1"/>
  <c r="S692" i="1"/>
  <c r="T692" i="1" s="1"/>
  <c r="S691" i="1" l="1"/>
  <c r="T691" i="1" s="1"/>
  <c r="R690" i="1"/>
  <c r="R689" i="1" l="1"/>
  <c r="S690" i="1"/>
  <c r="T690" i="1" s="1"/>
  <c r="S689" i="1" l="1"/>
  <c r="T689" i="1" s="1"/>
  <c r="R688" i="1"/>
  <c r="R687" i="1" l="1"/>
  <c r="S688" i="1"/>
  <c r="T688" i="1" s="1"/>
  <c r="S687" i="1" l="1"/>
  <c r="T687" i="1" s="1"/>
  <c r="R686" i="1"/>
  <c r="S686" i="1" l="1"/>
  <c r="T686" i="1" s="1"/>
  <c r="R685" i="1"/>
  <c r="R684" i="1" l="1"/>
  <c r="S685" i="1"/>
  <c r="T685" i="1" s="1"/>
  <c r="S684" i="1" l="1"/>
  <c r="T684" i="1" s="1"/>
  <c r="R683" i="1"/>
  <c r="R682" i="1" l="1"/>
  <c r="S683" i="1"/>
  <c r="T683" i="1" s="1"/>
  <c r="S682" i="1" l="1"/>
  <c r="T682" i="1" s="1"/>
  <c r="R681" i="1"/>
  <c r="S681" i="1" l="1"/>
  <c r="T681" i="1" s="1"/>
  <c r="R680" i="1"/>
  <c r="R679" i="1" l="1"/>
  <c r="S680" i="1"/>
  <c r="T680" i="1" s="1"/>
  <c r="R678" i="1" l="1"/>
  <c r="S679" i="1"/>
  <c r="T679" i="1" s="1"/>
  <c r="R677" i="1" l="1"/>
  <c r="S678" i="1"/>
  <c r="T678" i="1" s="1"/>
  <c r="S677" i="1" l="1"/>
  <c r="T677" i="1" s="1"/>
  <c r="R676" i="1"/>
  <c r="R675" i="1" l="1"/>
  <c r="S676" i="1"/>
  <c r="T676" i="1" s="1"/>
  <c r="S675" i="1" l="1"/>
  <c r="T675" i="1" s="1"/>
  <c r="R674" i="1"/>
  <c r="S674" i="1" l="1"/>
  <c r="T674" i="1" s="1"/>
  <c r="R673" i="1"/>
  <c r="S673" i="1" l="1"/>
  <c r="T673" i="1" s="1"/>
  <c r="R672" i="1"/>
  <c r="S672" i="1" l="1"/>
  <c r="T672" i="1" s="1"/>
  <c r="R671" i="1"/>
  <c r="R670" i="1" l="1"/>
  <c r="S671" i="1"/>
  <c r="T671" i="1" s="1"/>
  <c r="S670" i="1" l="1"/>
  <c r="T670" i="1" s="1"/>
  <c r="R669" i="1"/>
  <c r="S669" i="1" l="1"/>
  <c r="T669" i="1" s="1"/>
  <c r="R668" i="1"/>
  <c r="S668" i="1" l="1"/>
  <c r="T668" i="1" s="1"/>
  <c r="R667" i="1"/>
  <c r="R666" i="1" l="1"/>
  <c r="S667" i="1"/>
  <c r="T667" i="1" s="1"/>
  <c r="R665" i="1" l="1"/>
  <c r="S666" i="1"/>
  <c r="T666" i="1" s="1"/>
  <c r="S665" i="1" l="1"/>
  <c r="T665" i="1" s="1"/>
  <c r="R664" i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S659" i="1" l="1"/>
  <c r="T659" i="1" s="1"/>
  <c r="R658" i="1"/>
  <c r="S658" i="1" l="1"/>
  <c r="T658" i="1" s="1"/>
  <c r="R657" i="1"/>
  <c r="S657" i="1" l="1"/>
  <c r="T657" i="1" s="1"/>
  <c r="R656" i="1"/>
  <c r="S656" i="1" l="1"/>
  <c r="T656" i="1" s="1"/>
  <c r="R655" i="1"/>
  <c r="S655" i="1" l="1"/>
  <c r="T655" i="1" s="1"/>
  <c r="R654" i="1"/>
  <c r="R653" i="1" l="1"/>
  <c r="S654" i="1"/>
  <c r="T654" i="1" s="1"/>
  <c r="S653" i="1" l="1"/>
  <c r="T653" i="1" s="1"/>
  <c r="R652" i="1"/>
  <c r="R651" i="1" l="1"/>
  <c r="S652" i="1"/>
  <c r="T652" i="1" s="1"/>
  <c r="S651" i="1" l="1"/>
  <c r="T651" i="1" s="1"/>
  <c r="R650" i="1"/>
  <c r="R649" i="1" l="1"/>
  <c r="S650" i="1"/>
  <c r="T650" i="1" s="1"/>
  <c r="R648" i="1" l="1"/>
  <c r="S649" i="1"/>
  <c r="T649" i="1" s="1"/>
  <c r="S648" i="1" l="1"/>
  <c r="T648" i="1" s="1"/>
  <c r="R647" i="1"/>
  <c r="R646" i="1" l="1"/>
  <c r="S647" i="1"/>
  <c r="T647" i="1" s="1"/>
  <c r="S646" i="1" l="1"/>
  <c r="T646" i="1" s="1"/>
  <c r="R645" i="1"/>
  <c r="R644" i="1" l="1"/>
  <c r="S645" i="1"/>
  <c r="T645" i="1" s="1"/>
  <c r="S644" i="1" l="1"/>
  <c r="T644" i="1" s="1"/>
  <c r="R643" i="1"/>
  <c r="S643" i="1" l="1"/>
  <c r="T643" i="1" s="1"/>
  <c r="R642" i="1"/>
  <c r="R641" i="1" l="1"/>
  <c r="S642" i="1"/>
  <c r="T642" i="1" s="1"/>
  <c r="S641" i="1" l="1"/>
  <c r="T641" i="1" s="1"/>
  <c r="R640" i="1"/>
  <c r="S640" i="1" l="1"/>
  <c r="T640" i="1" s="1"/>
  <c r="R639" i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S634" i="1" l="1"/>
  <c r="T634" i="1" s="1"/>
  <c r="R633" i="1"/>
  <c r="R632" i="1" l="1"/>
  <c r="S633" i="1"/>
  <c r="T633" i="1" s="1"/>
  <c r="S632" i="1" l="1"/>
  <c r="T632" i="1" s="1"/>
  <c r="R631" i="1"/>
  <c r="S631" i="1" l="1"/>
  <c r="T631" i="1" s="1"/>
  <c r="R630" i="1"/>
  <c r="S630" i="1" l="1"/>
  <c r="T630" i="1" s="1"/>
  <c r="R629" i="1"/>
  <c r="S629" i="1" l="1"/>
  <c r="T629" i="1" s="1"/>
  <c r="R628" i="1"/>
  <c r="S628" i="1" l="1"/>
  <c r="T628" i="1" s="1"/>
  <c r="R627" i="1"/>
  <c r="S627" i="1" l="1"/>
  <c r="T627" i="1" s="1"/>
  <c r="R626" i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S620" i="1" l="1"/>
  <c r="T620" i="1" s="1"/>
  <c r="R619" i="1"/>
  <c r="S619" i="1" l="1"/>
  <c r="T619" i="1" s="1"/>
  <c r="R618" i="1"/>
  <c r="S618" i="1" l="1"/>
  <c r="T618" i="1" s="1"/>
  <c r="R617" i="1"/>
  <c r="S617" i="1" l="1"/>
  <c r="T617" i="1" s="1"/>
  <c r="R616" i="1"/>
  <c r="S616" i="1" l="1"/>
  <c r="T616" i="1" s="1"/>
  <c r="R615" i="1"/>
  <c r="S615" i="1" l="1"/>
  <c r="T615" i="1" s="1"/>
  <c r="R614" i="1"/>
  <c r="S614" i="1" l="1"/>
  <c r="T614" i="1" s="1"/>
  <c r="R613" i="1"/>
  <c r="R612" i="1" l="1"/>
  <c r="S613" i="1"/>
  <c r="T613" i="1" s="1"/>
  <c r="R611" i="1" l="1"/>
  <c r="S612" i="1"/>
  <c r="T612" i="1" s="1"/>
  <c r="R610" i="1" l="1"/>
  <c r="S611" i="1"/>
  <c r="T611" i="1" s="1"/>
  <c r="S610" i="1" l="1"/>
  <c r="T610" i="1" s="1"/>
  <c r="R609" i="1"/>
  <c r="R608" i="1" l="1"/>
  <c r="S609" i="1"/>
  <c r="T609" i="1" s="1"/>
  <c r="S608" i="1" l="1"/>
  <c r="T608" i="1" s="1"/>
  <c r="R607" i="1"/>
  <c r="S607" i="1" l="1"/>
  <c r="T607" i="1" s="1"/>
  <c r="R606" i="1"/>
  <c r="S606" i="1" l="1"/>
  <c r="T606" i="1" s="1"/>
  <c r="R605" i="1"/>
  <c r="S605" i="1" l="1"/>
  <c r="T605" i="1" s="1"/>
  <c r="R604" i="1"/>
  <c r="R603" i="1" l="1"/>
  <c r="S604" i="1"/>
  <c r="T604" i="1" s="1"/>
  <c r="S603" i="1" l="1"/>
  <c r="T603" i="1" s="1"/>
  <c r="R602" i="1"/>
  <c r="S602" i="1" l="1"/>
  <c r="T602" i="1" s="1"/>
  <c r="R601" i="1"/>
  <c r="S601" i="1" l="1"/>
  <c r="T601" i="1" s="1"/>
  <c r="R600" i="1"/>
  <c r="S600" i="1" l="1"/>
  <c r="T600" i="1" s="1"/>
  <c r="R599" i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S593" i="1" l="1"/>
  <c r="T593" i="1" s="1"/>
  <c r="R592" i="1"/>
  <c r="S592" i="1" l="1"/>
  <c r="T592" i="1" s="1"/>
  <c r="R591" i="1"/>
  <c r="S591" i="1" l="1"/>
  <c r="T591" i="1" s="1"/>
  <c r="R590" i="1"/>
  <c r="S590" i="1" l="1"/>
  <c r="T590" i="1" s="1"/>
  <c r="R589" i="1"/>
  <c r="S589" i="1" l="1"/>
  <c r="T589" i="1" s="1"/>
  <c r="R588" i="1"/>
  <c r="S588" i="1" l="1"/>
  <c r="T588" i="1" s="1"/>
  <c r="R587" i="1"/>
  <c r="S587" i="1" l="1"/>
  <c r="T587" i="1" s="1"/>
  <c r="R586" i="1"/>
  <c r="R585" i="1" l="1"/>
  <c r="S586" i="1"/>
  <c r="T586" i="1" s="1"/>
  <c r="R584" i="1" l="1"/>
  <c r="S585" i="1"/>
  <c r="T585" i="1" s="1"/>
  <c r="R583" i="1" l="1"/>
  <c r="S584" i="1"/>
  <c r="T584" i="1" s="1"/>
  <c r="S583" i="1" l="1"/>
  <c r="T583" i="1" s="1"/>
  <c r="R582" i="1"/>
  <c r="R581" i="1" l="1"/>
  <c r="S582" i="1"/>
  <c r="T582" i="1" s="1"/>
  <c r="S581" i="1" l="1"/>
  <c r="T581" i="1" s="1"/>
  <c r="R580" i="1"/>
  <c r="S580" i="1" l="1"/>
  <c r="T580" i="1" s="1"/>
  <c r="R579" i="1"/>
  <c r="S579" i="1" l="1"/>
  <c r="T579" i="1" s="1"/>
  <c r="R578" i="1"/>
  <c r="S578" i="1" l="1"/>
  <c r="T578" i="1" s="1"/>
  <c r="R577" i="1"/>
  <c r="R576" i="1" l="1"/>
  <c r="S577" i="1"/>
  <c r="T577" i="1" s="1"/>
  <c r="S576" i="1" l="1"/>
  <c r="T576" i="1" s="1"/>
  <c r="R575" i="1"/>
  <c r="R574" i="1" l="1"/>
  <c r="S575" i="1"/>
  <c r="T575" i="1" s="1"/>
  <c r="R573" i="1" l="1"/>
  <c r="S574" i="1"/>
  <c r="T574" i="1" s="1"/>
  <c r="R572" i="1" l="1"/>
  <c r="S573" i="1"/>
  <c r="T573" i="1" s="1"/>
  <c r="S572" i="1" l="1"/>
  <c r="T572" i="1" s="1"/>
  <c r="R571" i="1"/>
  <c r="S571" i="1" l="1"/>
  <c r="T571" i="1" s="1"/>
  <c r="R570" i="1"/>
  <c r="R569" i="1" l="1"/>
  <c r="S570" i="1"/>
  <c r="T570" i="1" s="1"/>
  <c r="S569" i="1" l="1"/>
  <c r="T569" i="1" s="1"/>
  <c r="R568" i="1"/>
  <c r="S568" i="1" l="1"/>
  <c r="T568" i="1" s="1"/>
  <c r="R567" i="1"/>
  <c r="R566" i="1" l="1"/>
  <c r="S567" i="1"/>
  <c r="T567" i="1" s="1"/>
  <c r="S566" i="1" l="1"/>
  <c r="T566" i="1" s="1"/>
  <c r="R565" i="1"/>
  <c r="R564" i="1" l="1"/>
  <c r="S565" i="1"/>
  <c r="T565" i="1" s="1"/>
  <c r="S564" i="1" l="1"/>
  <c r="T564" i="1" s="1"/>
  <c r="R563" i="1"/>
  <c r="S563" i="1" l="1"/>
  <c r="T563" i="1" s="1"/>
  <c r="R562" i="1"/>
  <c r="S562" i="1" l="1"/>
  <c r="T562" i="1" s="1"/>
  <c r="R561" i="1"/>
  <c r="S561" i="1" l="1"/>
  <c r="T561" i="1" s="1"/>
  <c r="R560" i="1"/>
  <c r="R559" i="1" l="1"/>
  <c r="S560" i="1"/>
  <c r="T560" i="1" s="1"/>
  <c r="S559" i="1" l="1"/>
  <c r="T559" i="1" s="1"/>
  <c r="R558" i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S554" i="1" l="1"/>
  <c r="T554" i="1" s="1"/>
  <c r="R553" i="1"/>
  <c r="R552" i="1" l="1"/>
  <c r="S553" i="1"/>
  <c r="T553" i="1" s="1"/>
  <c r="S552" i="1" l="1"/>
  <c r="T552" i="1" s="1"/>
  <c r="R551" i="1"/>
  <c r="S551" i="1" l="1"/>
  <c r="T551" i="1" s="1"/>
  <c r="R550" i="1"/>
  <c r="S550" i="1" l="1"/>
  <c r="T550" i="1" s="1"/>
  <c r="R549" i="1"/>
  <c r="S549" i="1" l="1"/>
  <c r="T549" i="1" s="1"/>
  <c r="R548" i="1"/>
  <c r="S548" i="1" l="1"/>
  <c r="T548" i="1" s="1"/>
  <c r="R547" i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S541" i="1" l="1"/>
  <c r="T541" i="1" s="1"/>
  <c r="R540" i="1"/>
  <c r="R539" i="1" l="1"/>
  <c r="S540" i="1"/>
  <c r="T540" i="1" s="1"/>
  <c r="S539" i="1" l="1"/>
  <c r="T539" i="1" s="1"/>
  <c r="R538" i="1"/>
  <c r="S538" i="1" l="1"/>
  <c r="T538" i="1" s="1"/>
  <c r="R537" i="1"/>
  <c r="S537" i="1" l="1"/>
  <c r="T537" i="1" s="1"/>
  <c r="R536" i="1"/>
  <c r="S536" i="1" l="1"/>
  <c r="T536" i="1" s="1"/>
  <c r="R535" i="1"/>
  <c r="R534" i="1" l="1"/>
  <c r="S535" i="1"/>
  <c r="T535" i="1" s="1"/>
  <c r="S534" i="1" l="1"/>
  <c r="T534" i="1" s="1"/>
  <c r="R533" i="1"/>
  <c r="S533" i="1" l="1"/>
  <c r="T533" i="1" s="1"/>
  <c r="R532" i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S524" i="1" l="1"/>
  <c r="T524" i="1" s="1"/>
  <c r="R523" i="1"/>
  <c r="S523" i="1" l="1"/>
  <c r="T523" i="1" s="1"/>
  <c r="R522" i="1"/>
  <c r="S522" i="1" l="1"/>
  <c r="T522" i="1" s="1"/>
  <c r="R521" i="1"/>
  <c r="S521" i="1" l="1"/>
  <c r="T521" i="1" s="1"/>
  <c r="R520" i="1"/>
  <c r="S520" i="1" l="1"/>
  <c r="T520" i="1" s="1"/>
  <c r="R519" i="1"/>
  <c r="S519" i="1" l="1"/>
  <c r="T519" i="1" s="1"/>
  <c r="R518" i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S512" i="1" l="1"/>
  <c r="T512" i="1" s="1"/>
  <c r="R511" i="1"/>
  <c r="R510" i="1" l="1"/>
  <c r="S511" i="1"/>
  <c r="T511" i="1" s="1"/>
  <c r="R509" i="1" l="1"/>
  <c r="S510" i="1"/>
  <c r="T510" i="1" s="1"/>
  <c r="S509" i="1" l="1"/>
  <c r="T509" i="1" s="1"/>
  <c r="R508" i="1"/>
  <c r="S508" i="1" l="1"/>
  <c r="T508" i="1" s="1"/>
  <c r="R507" i="1"/>
  <c r="S507" i="1" l="1"/>
  <c r="T507" i="1" s="1"/>
  <c r="R506" i="1"/>
  <c r="S506" i="1" l="1"/>
  <c r="T506" i="1" s="1"/>
  <c r="R505" i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R498" i="1" l="1"/>
  <c r="S499" i="1"/>
  <c r="T499" i="1" s="1"/>
  <c r="R497" i="1" l="1"/>
  <c r="S498" i="1"/>
  <c r="T498" i="1" s="1"/>
  <c r="R496" i="1" l="1"/>
  <c r="S497" i="1"/>
  <c r="T497" i="1" s="1"/>
  <c r="S496" i="1" l="1"/>
  <c r="T496" i="1" s="1"/>
  <c r="R495" i="1"/>
  <c r="S495" i="1" l="1"/>
  <c r="T495" i="1" s="1"/>
  <c r="R494" i="1"/>
  <c r="R493" i="1" l="1"/>
  <c r="S494" i="1"/>
  <c r="T494" i="1" s="1"/>
  <c r="S493" i="1" l="1"/>
  <c r="T493" i="1" s="1"/>
  <c r="R492" i="1"/>
  <c r="S492" i="1" l="1"/>
  <c r="T492" i="1" s="1"/>
  <c r="R491" i="1"/>
  <c r="S491" i="1" l="1"/>
  <c r="T491" i="1" s="1"/>
  <c r="R490" i="1"/>
  <c r="S490" i="1" l="1"/>
  <c r="T490" i="1" s="1"/>
  <c r="R489" i="1"/>
  <c r="S489" i="1" l="1"/>
  <c r="T489" i="1" s="1"/>
  <c r="R488" i="1"/>
  <c r="S488" i="1" l="1"/>
  <c r="T488" i="1" s="1"/>
  <c r="R487" i="1"/>
  <c r="R486" i="1" l="1"/>
  <c r="S487" i="1"/>
  <c r="T487" i="1" s="1"/>
  <c r="S486" i="1" l="1"/>
  <c r="T486" i="1" s="1"/>
  <c r="R485" i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S479" i="1" l="1"/>
  <c r="T479" i="1" s="1"/>
  <c r="R478" i="1"/>
  <c r="S478" i="1" l="1"/>
  <c r="T478" i="1" s="1"/>
  <c r="R477" i="1"/>
  <c r="S477" i="1" l="1"/>
  <c r="T477" i="1" s="1"/>
  <c r="R476" i="1"/>
  <c r="S476" i="1" l="1"/>
  <c r="T476" i="1" s="1"/>
  <c r="R475" i="1"/>
  <c r="S475" i="1" l="1"/>
  <c r="T475" i="1" s="1"/>
  <c r="R474" i="1"/>
  <c r="S474" i="1" l="1"/>
  <c r="T474" i="1" s="1"/>
  <c r="R473" i="1"/>
  <c r="R472" i="1" l="1"/>
  <c r="S473" i="1"/>
  <c r="T473" i="1" s="1"/>
  <c r="R471" i="1" l="1"/>
  <c r="S472" i="1"/>
  <c r="T472" i="1" s="1"/>
  <c r="R470" i="1" l="1"/>
  <c r="S471" i="1"/>
  <c r="T471" i="1" s="1"/>
  <c r="S470" i="1" l="1"/>
  <c r="T470" i="1" s="1"/>
  <c r="R469" i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S465" i="1" l="1"/>
  <c r="T465" i="1" s="1"/>
  <c r="R464" i="1"/>
  <c r="R463" i="1" l="1"/>
  <c r="S464" i="1"/>
  <c r="T464" i="1" s="1"/>
  <c r="S463" i="1" l="1"/>
  <c r="T463" i="1" s="1"/>
  <c r="R462" i="1"/>
  <c r="R461" i="1" l="1"/>
  <c r="S462" i="1"/>
  <c r="T462" i="1" s="1"/>
  <c r="S461" i="1" l="1"/>
  <c r="T461" i="1" s="1"/>
  <c r="R460" i="1"/>
  <c r="R459" i="1" l="1"/>
  <c r="S460" i="1"/>
  <c r="T460" i="1" s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R454" i="1" l="1"/>
  <c r="S455" i="1"/>
  <c r="T455" i="1" s="1"/>
  <c r="S454" i="1" l="1"/>
  <c r="T454" i="1" s="1"/>
  <c r="R453" i="1"/>
  <c r="S453" i="1" l="1"/>
  <c r="T453" i="1" s="1"/>
  <c r="R452" i="1"/>
  <c r="S452" i="1" l="1"/>
  <c r="T452" i="1" s="1"/>
  <c r="R451" i="1"/>
  <c r="S451" i="1" l="1"/>
  <c r="T451" i="1" s="1"/>
  <c r="R450" i="1"/>
  <c r="R449" i="1" l="1"/>
  <c r="S450" i="1"/>
  <c r="T450" i="1" s="1"/>
  <c r="S449" i="1" l="1"/>
  <c r="T449" i="1" s="1"/>
  <c r="R448" i="1"/>
  <c r="S448" i="1" l="1"/>
  <c r="T448" i="1" s="1"/>
  <c r="R447" i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R442" i="1" l="1"/>
  <c r="S443" i="1"/>
  <c r="T443" i="1" s="1"/>
  <c r="R441" i="1" l="1"/>
  <c r="S442" i="1"/>
  <c r="T442" i="1" s="1"/>
  <c r="S441" i="1" l="1"/>
  <c r="T441" i="1" s="1"/>
  <c r="R440" i="1"/>
  <c r="S440" i="1" l="1"/>
  <c r="T440" i="1" s="1"/>
  <c r="R439" i="1"/>
  <c r="S439" i="1" l="1"/>
  <c r="T439" i="1" s="1"/>
  <c r="R438" i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S434" i="1" l="1"/>
  <c r="T434" i="1" s="1"/>
  <c r="R433" i="1"/>
  <c r="R432" i="1" l="1"/>
  <c r="S433" i="1"/>
  <c r="T433" i="1" s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R427" i="1" l="1"/>
  <c r="S428" i="1"/>
  <c r="T428" i="1" s="1"/>
  <c r="S427" i="1" l="1"/>
  <c r="T427" i="1" s="1"/>
  <c r="R426" i="1"/>
  <c r="S426" i="1" l="1"/>
  <c r="T426" i="1" s="1"/>
  <c r="R425" i="1"/>
  <c r="S425" i="1" l="1"/>
  <c r="T425" i="1" s="1"/>
  <c r="R424" i="1"/>
  <c r="R423" i="1" l="1"/>
  <c r="S424" i="1"/>
  <c r="T424" i="1" s="1"/>
  <c r="R422" i="1" l="1"/>
  <c r="S423" i="1"/>
  <c r="T423" i="1" s="1"/>
  <c r="S422" i="1" l="1"/>
  <c r="T422" i="1" s="1"/>
  <c r="R421" i="1"/>
  <c r="S421" i="1" l="1"/>
  <c r="T421" i="1" s="1"/>
  <c r="R420" i="1"/>
  <c r="S420" i="1" l="1"/>
  <c r="T420" i="1" s="1"/>
  <c r="R419" i="1"/>
  <c r="R418" i="1" l="1"/>
  <c r="S419" i="1"/>
  <c r="T419" i="1" s="1"/>
  <c r="S418" i="1" l="1"/>
  <c r="T418" i="1" s="1"/>
  <c r="R417" i="1"/>
  <c r="S417" i="1" l="1"/>
  <c r="T417" i="1" s="1"/>
  <c r="R416" i="1"/>
  <c r="R415" i="1" l="1"/>
  <c r="S416" i="1"/>
  <c r="T416" i="1" s="1"/>
  <c r="R414" i="1" l="1"/>
  <c r="S415" i="1"/>
  <c r="T415" i="1" s="1"/>
  <c r="R413" i="1" l="1"/>
  <c r="S414" i="1"/>
  <c r="T414" i="1" s="1"/>
  <c r="S413" i="1" l="1"/>
  <c r="T413" i="1" s="1"/>
  <c r="R412" i="1"/>
  <c r="S412" i="1" l="1"/>
  <c r="T412" i="1" s="1"/>
  <c r="R411" i="1"/>
  <c r="S411" i="1" l="1"/>
  <c r="T411" i="1" s="1"/>
  <c r="R410" i="1"/>
  <c r="S410" i="1" l="1"/>
  <c r="T410" i="1" s="1"/>
  <c r="R409" i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S401" i="1" l="1"/>
  <c r="T401" i="1" s="1"/>
  <c r="R400" i="1"/>
  <c r="S400" i="1" l="1"/>
  <c r="T400" i="1" s="1"/>
  <c r="R399" i="1"/>
  <c r="S399" i="1" l="1"/>
  <c r="T399" i="1" s="1"/>
  <c r="R398" i="1"/>
  <c r="S398" i="1" l="1"/>
  <c r="T398" i="1" s="1"/>
  <c r="R397" i="1"/>
  <c r="S397" i="1" l="1"/>
  <c r="T397" i="1" s="1"/>
  <c r="R396" i="1"/>
  <c r="S396" i="1" l="1"/>
  <c r="T396" i="1" s="1"/>
  <c r="R395" i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S389" i="1" l="1"/>
  <c r="T389" i="1" s="1"/>
  <c r="R388" i="1"/>
  <c r="S388" i="1" l="1"/>
  <c r="T388" i="1" s="1"/>
  <c r="R387" i="1"/>
  <c r="S387" i="1" l="1"/>
  <c r="T387" i="1" s="1"/>
  <c r="R386" i="1"/>
  <c r="S386" i="1" l="1"/>
  <c r="T386" i="1" s="1"/>
  <c r="R385" i="1"/>
  <c r="S385" i="1" l="1"/>
  <c r="T385" i="1" s="1"/>
  <c r="R384" i="1"/>
  <c r="S384" i="1" l="1"/>
  <c r="T384" i="1" s="1"/>
  <c r="R383" i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S377" i="1" l="1"/>
  <c r="T377" i="1" s="1"/>
  <c r="R376" i="1"/>
  <c r="S376" i="1" l="1"/>
  <c r="T376" i="1" s="1"/>
  <c r="R375" i="1"/>
  <c r="S375" i="1" l="1"/>
  <c r="T375" i="1" s="1"/>
  <c r="R374" i="1"/>
  <c r="S374" i="1" l="1"/>
  <c r="T374" i="1" s="1"/>
  <c r="R373" i="1"/>
  <c r="S373" i="1" l="1"/>
  <c r="T373" i="1" s="1"/>
  <c r="R372" i="1"/>
  <c r="S372" i="1" l="1"/>
  <c r="T372" i="1" s="1"/>
  <c r="R371" i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S367" i="1" l="1"/>
  <c r="T367" i="1" s="1"/>
  <c r="R366" i="1"/>
  <c r="R365" i="1" l="1"/>
  <c r="S366" i="1"/>
  <c r="T366" i="1" s="1"/>
  <c r="S365" i="1" l="1"/>
  <c r="T365" i="1" s="1"/>
  <c r="R364" i="1"/>
  <c r="R363" i="1" l="1"/>
  <c r="S364" i="1"/>
  <c r="T364" i="1" s="1"/>
  <c r="S363" i="1" l="1"/>
  <c r="T363" i="1" s="1"/>
  <c r="R362" i="1"/>
  <c r="S362" i="1" l="1"/>
  <c r="T362" i="1" s="1"/>
  <c r="R361" i="1"/>
  <c r="R360" i="1" l="1"/>
  <c r="S361" i="1"/>
  <c r="T361" i="1" s="1"/>
  <c r="S360" i="1" l="1"/>
  <c r="T360" i="1" s="1"/>
  <c r="R359" i="1"/>
  <c r="R358" i="1" l="1"/>
  <c r="S359" i="1"/>
  <c r="T359" i="1" s="1"/>
  <c r="S358" i="1" l="1"/>
  <c r="T358" i="1" s="1"/>
  <c r="R357" i="1"/>
  <c r="R356" i="1" l="1"/>
  <c r="S357" i="1"/>
  <c r="T357" i="1" s="1"/>
  <c r="R355" i="1" l="1"/>
  <c r="S356" i="1"/>
  <c r="T356" i="1" s="1"/>
  <c r="S355" i="1" l="1"/>
  <c r="T355" i="1" s="1"/>
  <c r="R354" i="1"/>
  <c r="R353" i="1" l="1"/>
  <c r="S354" i="1"/>
  <c r="T354" i="1" s="1"/>
  <c r="S353" i="1" l="1"/>
  <c r="T353" i="1" s="1"/>
  <c r="R352" i="1"/>
  <c r="R351" i="1" l="1"/>
  <c r="S352" i="1"/>
  <c r="T352" i="1" s="1"/>
  <c r="S351" i="1" l="1"/>
  <c r="T351" i="1" s="1"/>
  <c r="R350" i="1"/>
  <c r="R349" i="1" l="1"/>
  <c r="S350" i="1"/>
  <c r="T350" i="1" s="1"/>
  <c r="S349" i="1" l="1"/>
  <c r="T349" i="1" s="1"/>
  <c r="R348" i="1"/>
  <c r="S348" i="1" l="1"/>
  <c r="T348" i="1" s="1"/>
  <c r="R347" i="1"/>
  <c r="S347" i="1" l="1"/>
  <c r="T347" i="1" s="1"/>
  <c r="R346" i="1"/>
  <c r="S346" i="1" l="1"/>
  <c r="T346" i="1" s="1"/>
  <c r="R345" i="1"/>
  <c r="S345" i="1" l="1"/>
  <c r="T345" i="1" s="1"/>
  <c r="R344" i="1"/>
  <c r="S344" i="1" l="1"/>
  <c r="T344" i="1" s="1"/>
  <c r="R343" i="1"/>
  <c r="S343" i="1" l="1"/>
  <c r="T343" i="1" s="1"/>
  <c r="R342" i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R331" i="1" l="1"/>
  <c r="S332" i="1"/>
  <c r="T332" i="1" s="1"/>
  <c r="S331" i="1" l="1"/>
  <c r="T331" i="1" s="1"/>
  <c r="R330" i="1"/>
  <c r="S330" i="1" l="1"/>
  <c r="T330" i="1" s="1"/>
  <c r="R329" i="1"/>
  <c r="R328" i="1" l="1"/>
  <c r="S329" i="1"/>
  <c r="T329" i="1" s="1"/>
  <c r="S328" i="1" l="1"/>
  <c r="T328" i="1" s="1"/>
  <c r="R327" i="1"/>
  <c r="S327" i="1" l="1"/>
  <c r="T327" i="1" s="1"/>
  <c r="R326" i="1"/>
  <c r="S326" i="1" l="1"/>
  <c r="T326" i="1" s="1"/>
  <c r="R325" i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S319" i="1" l="1"/>
  <c r="T319" i="1" s="1"/>
  <c r="R318" i="1"/>
  <c r="S318" i="1" l="1"/>
  <c r="T318" i="1" s="1"/>
  <c r="R317" i="1"/>
  <c r="S317" i="1" l="1"/>
  <c r="T317" i="1" s="1"/>
  <c r="R316" i="1"/>
  <c r="R315" i="1" l="1"/>
  <c r="S316" i="1"/>
  <c r="T316" i="1" s="1"/>
  <c r="S315" i="1" l="1"/>
  <c r="T315" i="1" s="1"/>
  <c r="R314" i="1"/>
  <c r="S314" i="1" l="1"/>
  <c r="T314" i="1" s="1"/>
  <c r="R313" i="1"/>
  <c r="R312" i="1" l="1"/>
  <c r="S313" i="1"/>
  <c r="T313" i="1" s="1"/>
  <c r="R311" i="1" l="1"/>
  <c r="S312" i="1"/>
  <c r="T312" i="1" s="1"/>
  <c r="R310" i="1" l="1"/>
  <c r="S311" i="1"/>
  <c r="T311" i="1" s="1"/>
  <c r="S310" i="1" l="1"/>
  <c r="T310" i="1" s="1"/>
  <c r="R309" i="1"/>
  <c r="S309" i="1" l="1"/>
  <c r="T309" i="1" s="1"/>
  <c r="R308" i="1"/>
  <c r="R307" i="1" l="1"/>
  <c r="S308" i="1"/>
  <c r="T308" i="1" s="1"/>
  <c r="S307" i="1" l="1"/>
  <c r="T307" i="1" s="1"/>
  <c r="R306" i="1"/>
  <c r="R305" i="1" l="1"/>
  <c r="S306" i="1"/>
  <c r="T306" i="1" s="1"/>
  <c r="S305" i="1" l="1"/>
  <c r="T305" i="1" s="1"/>
  <c r="R304" i="1"/>
  <c r="R303" i="1" l="1"/>
  <c r="S304" i="1"/>
  <c r="T304" i="1" s="1"/>
  <c r="S303" i="1" l="1"/>
  <c r="T303" i="1" s="1"/>
  <c r="R302" i="1"/>
  <c r="S302" i="1" l="1"/>
  <c r="T302" i="1" s="1"/>
  <c r="R301" i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S297" i="1" l="1"/>
  <c r="T297" i="1" s="1"/>
  <c r="R296" i="1"/>
  <c r="R295" i="1" l="1"/>
  <c r="S296" i="1"/>
  <c r="T296" i="1" s="1"/>
  <c r="S295" i="1" l="1"/>
  <c r="T295" i="1" s="1"/>
  <c r="R294" i="1"/>
  <c r="R293" i="1" l="1"/>
  <c r="S294" i="1"/>
  <c r="T294" i="1" s="1"/>
  <c r="S293" i="1" l="1"/>
  <c r="T293" i="1" s="1"/>
  <c r="R292" i="1"/>
  <c r="S292" i="1" l="1"/>
  <c r="T292" i="1" s="1"/>
  <c r="R291" i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R284" i="1" l="1"/>
  <c r="S285" i="1"/>
  <c r="T285" i="1" s="1"/>
  <c r="R283" i="1" l="1"/>
  <c r="S284" i="1"/>
  <c r="T284" i="1" s="1"/>
  <c r="S283" i="1" l="1"/>
  <c r="T283" i="1" s="1"/>
  <c r="R282" i="1"/>
  <c r="S282" i="1" l="1"/>
  <c r="T282" i="1" s="1"/>
  <c r="R281" i="1"/>
  <c r="S281" i="1" l="1"/>
  <c r="T281" i="1" s="1"/>
  <c r="R280" i="1"/>
  <c r="R279" i="1" l="1"/>
  <c r="S280" i="1"/>
  <c r="T280" i="1" s="1"/>
  <c r="S279" i="1" l="1"/>
  <c r="T279" i="1" s="1"/>
  <c r="R278" i="1"/>
  <c r="S278" i="1" l="1"/>
  <c r="T278" i="1" s="1"/>
  <c r="R277" i="1"/>
  <c r="S277" i="1" l="1"/>
  <c r="T277" i="1" s="1"/>
  <c r="R276" i="1"/>
  <c r="S276" i="1" l="1"/>
  <c r="T276" i="1" s="1"/>
  <c r="R275" i="1"/>
  <c r="R274" i="1" l="1"/>
  <c r="S275" i="1"/>
  <c r="T275" i="1" s="1"/>
  <c r="S274" i="1" l="1"/>
  <c r="T274" i="1" s="1"/>
  <c r="R273" i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S269" i="1" l="1"/>
  <c r="T269" i="1" s="1"/>
  <c r="R268" i="1"/>
  <c r="R267" i="1" l="1"/>
  <c r="S268" i="1"/>
  <c r="T268" i="1" s="1"/>
  <c r="S267" i="1" l="1"/>
  <c r="T267" i="1" s="1"/>
  <c r="R266" i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S260" i="1" l="1"/>
  <c r="T260" i="1" s="1"/>
  <c r="R259" i="1"/>
  <c r="R258" i="1" l="1"/>
  <c r="S259" i="1"/>
  <c r="T259" i="1" s="1"/>
  <c r="S258" i="1" l="1"/>
  <c r="T258" i="1" s="1"/>
  <c r="R257" i="1"/>
  <c r="S257" i="1" l="1"/>
  <c r="T257" i="1" s="1"/>
  <c r="R256" i="1"/>
  <c r="R255" i="1" l="1"/>
  <c r="S256" i="1"/>
  <c r="T256" i="1" s="1"/>
  <c r="R254" i="1" l="1"/>
  <c r="S255" i="1"/>
  <c r="T255" i="1" s="1"/>
  <c r="S254" i="1" l="1"/>
  <c r="T254" i="1" s="1"/>
  <c r="R253" i="1"/>
  <c r="S253" i="1" l="1"/>
  <c r="T253" i="1" s="1"/>
  <c r="R252" i="1"/>
  <c r="R251" i="1" l="1"/>
  <c r="S252" i="1"/>
  <c r="T252" i="1" s="1"/>
  <c r="S251" i="1" l="1"/>
  <c r="T251" i="1" s="1"/>
  <c r="R250" i="1"/>
  <c r="S250" i="1" l="1"/>
  <c r="T250" i="1" s="1"/>
  <c r="R249" i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S245" i="1" l="1"/>
  <c r="T245" i="1" s="1"/>
  <c r="R244" i="1"/>
  <c r="R243" i="1" l="1"/>
  <c r="S244" i="1"/>
  <c r="T244" i="1" s="1"/>
  <c r="S243" i="1" l="1"/>
  <c r="T243" i="1" s="1"/>
  <c r="R242" i="1"/>
  <c r="S242" i="1" l="1"/>
  <c r="T242" i="1" s="1"/>
  <c r="R241" i="1"/>
  <c r="S241" i="1" l="1"/>
  <c r="T241" i="1" s="1"/>
  <c r="R240" i="1"/>
  <c r="S240" i="1" l="1"/>
  <c r="T240" i="1" s="1"/>
  <c r="R239" i="1"/>
  <c r="R238" i="1" l="1"/>
  <c r="S239" i="1"/>
  <c r="T239" i="1" s="1"/>
  <c r="S238" i="1" l="1"/>
  <c r="T238" i="1" s="1"/>
  <c r="R237" i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S233" i="1" l="1"/>
  <c r="T233" i="1" s="1"/>
  <c r="R232" i="1"/>
  <c r="S232" i="1" l="1"/>
  <c r="T232" i="1" s="1"/>
  <c r="R231" i="1"/>
  <c r="S231" i="1" l="1"/>
  <c r="T231" i="1" s="1"/>
  <c r="R230" i="1"/>
  <c r="S230" i="1" l="1"/>
  <c r="T230" i="1" s="1"/>
  <c r="R229" i="1"/>
  <c r="S229" i="1" l="1"/>
  <c r="T229" i="1" s="1"/>
  <c r="R228" i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S221" i="1" l="1"/>
  <c r="T221" i="1" s="1"/>
  <c r="R220" i="1"/>
  <c r="S220" i="1" l="1"/>
  <c r="T220" i="1" s="1"/>
  <c r="R219" i="1"/>
  <c r="S219" i="1" l="1"/>
  <c r="T219" i="1" s="1"/>
  <c r="R218" i="1"/>
  <c r="S218" i="1" l="1"/>
  <c r="T218" i="1" s="1"/>
  <c r="R217" i="1"/>
  <c r="S217" i="1" l="1"/>
  <c r="T217" i="1" s="1"/>
  <c r="R216" i="1"/>
  <c r="S216" i="1" l="1"/>
  <c r="T216" i="1" s="1"/>
  <c r="R215" i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S206" i="1" l="1"/>
  <c r="T206" i="1" s="1"/>
  <c r="R205" i="1"/>
  <c r="S205" i="1" l="1"/>
  <c r="T205" i="1" s="1"/>
  <c r="R204" i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S194" i="1" l="1"/>
  <c r="T194" i="1" s="1"/>
  <c r="R193" i="1"/>
  <c r="S193" i="1" l="1"/>
  <c r="T193" i="1" s="1"/>
  <c r="R192" i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S183" i="1" l="1"/>
  <c r="T183" i="1" s="1"/>
  <c r="R182" i="1"/>
  <c r="R181" i="1" l="1"/>
  <c r="S182" i="1"/>
  <c r="T182" i="1" s="1"/>
  <c r="S181" i="1" l="1"/>
  <c r="T181" i="1" s="1"/>
  <c r="R180" i="1"/>
  <c r="S180" i="1" l="1"/>
  <c r="T180" i="1" s="1"/>
  <c r="R179" i="1"/>
  <c r="S179" i="1" l="1"/>
  <c r="T179" i="1" s="1"/>
  <c r="R178" i="1"/>
  <c r="S178" i="1" l="1"/>
  <c r="T178" i="1" s="1"/>
  <c r="R177" i="1"/>
  <c r="S177" i="1" l="1"/>
  <c r="T177" i="1" s="1"/>
  <c r="R176" i="1"/>
  <c r="S176" i="1" l="1"/>
  <c r="T176" i="1" s="1"/>
  <c r="R175" i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S169" i="1" l="1"/>
  <c r="T169" i="1" s="1"/>
  <c r="R168" i="1"/>
  <c r="S168" i="1" l="1"/>
  <c r="T168" i="1" s="1"/>
  <c r="R167" i="1"/>
  <c r="S167" i="1" l="1"/>
  <c r="T167" i="1" s="1"/>
  <c r="R166" i="1"/>
  <c r="S166" i="1" l="1"/>
  <c r="T166" i="1" s="1"/>
  <c r="R165" i="1"/>
  <c r="S165" i="1" l="1"/>
  <c r="T165" i="1" s="1"/>
  <c r="R164" i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S155" i="1" l="1"/>
  <c r="T155" i="1" s="1"/>
  <c r="R154" i="1"/>
  <c r="R153" i="1" l="1"/>
  <c r="S154" i="1"/>
  <c r="T154" i="1" s="1"/>
  <c r="S153" i="1" l="1"/>
  <c r="T153" i="1" s="1"/>
  <c r="R152" i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S142" i="1" l="1"/>
  <c r="T142" i="1" s="1"/>
  <c r="R141" i="1"/>
  <c r="S141" i="1" l="1"/>
  <c r="T141" i="1" s="1"/>
  <c r="R140" i="1"/>
  <c r="S140" i="1" l="1"/>
  <c r="T140" i="1" s="1"/>
  <c r="R139" i="1"/>
  <c r="S139" i="1" l="1"/>
  <c r="T139" i="1" s="1"/>
  <c r="R138" i="1"/>
  <c r="S138" i="1" l="1"/>
  <c r="T138" i="1" s="1"/>
  <c r="R137" i="1"/>
  <c r="S137" i="1" l="1"/>
  <c r="T137" i="1" s="1"/>
  <c r="R136" i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S125" i="1" l="1"/>
  <c r="T125" i="1" s="1"/>
  <c r="R124" i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S120" i="1" l="1"/>
  <c r="T120" i="1" s="1"/>
  <c r="R119" i="1"/>
  <c r="R118" i="1" l="1"/>
  <c r="S119" i="1"/>
  <c r="T119" i="1" s="1"/>
  <c r="S118" i="1" l="1"/>
  <c r="T118" i="1" s="1"/>
  <c r="R117" i="1"/>
  <c r="S117" i="1" l="1"/>
  <c r="T117" i="1" s="1"/>
  <c r="R116" i="1"/>
  <c r="R115" i="1" l="1"/>
  <c r="S116" i="1"/>
  <c r="T116" i="1" s="1"/>
  <c r="R114" i="1" l="1"/>
  <c r="S115" i="1"/>
  <c r="T115" i="1" s="1"/>
  <c r="R113" i="1" l="1"/>
  <c r="S114" i="1"/>
  <c r="T114" i="1" s="1"/>
  <c r="S113" i="1" l="1"/>
  <c r="T113" i="1" s="1"/>
  <c r="R112" i="1"/>
  <c r="R111" i="1" l="1"/>
  <c r="S112" i="1"/>
  <c r="T112" i="1" s="1"/>
  <c r="S111" i="1" l="1"/>
  <c r="T111" i="1" s="1"/>
  <c r="R110" i="1"/>
  <c r="R109" i="1" l="1"/>
  <c r="S110" i="1"/>
  <c r="T110" i="1" s="1"/>
  <c r="S109" i="1" l="1"/>
  <c r="T109" i="1" s="1"/>
  <c r="R108" i="1"/>
  <c r="S108" i="1" l="1"/>
  <c r="T108" i="1" s="1"/>
  <c r="R107" i="1"/>
  <c r="R106" i="1" l="1"/>
  <c r="S107" i="1"/>
  <c r="T107" i="1" s="1"/>
  <c r="S106" i="1" l="1"/>
  <c r="T106" i="1" s="1"/>
  <c r="R105" i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S93" i="1" l="1"/>
  <c r="T93" i="1" s="1"/>
  <c r="R92" i="1"/>
  <c r="R91" i="1" l="1"/>
  <c r="S92" i="1"/>
  <c r="T92" i="1" s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R81" i="1" l="1"/>
  <c r="S82" i="1"/>
  <c r="T82" i="1" s="1"/>
  <c r="S81" i="1" l="1"/>
  <c r="T81" i="1" s="1"/>
  <c r="R80" i="1"/>
  <c r="R79" i="1" l="1"/>
  <c r="S80" i="1"/>
  <c r="T80" i="1" s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R71" i="1" l="1"/>
  <c r="S72" i="1"/>
  <c r="T72" i="1" s="1"/>
  <c r="S71" i="1" l="1"/>
  <c r="T71" i="1" s="1"/>
  <c r="R70" i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R65" i="1" l="1"/>
  <c r="S66" i="1"/>
  <c r="T66" i="1" s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S60" i="1" l="1"/>
  <c r="T60" i="1" s="1"/>
  <c r="R59" i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S55" i="1" l="1"/>
  <c r="T55" i="1" s="1"/>
  <c r="R54" i="1"/>
  <c r="R53" i="1" l="1"/>
  <c r="S54" i="1"/>
  <c r="T54" i="1" s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S46" i="1" l="1"/>
  <c r="T46" i="1" s="1"/>
  <c r="R45" i="1"/>
  <c r="S45" i="1" l="1"/>
  <c r="T45" i="1" s="1"/>
  <c r="R44" i="1"/>
  <c r="R43" i="1" l="1"/>
  <c r="S44" i="1"/>
  <c r="T44" i="1" s="1"/>
  <c r="S43" i="1" l="1"/>
  <c r="T43" i="1" s="1"/>
  <c r="R42" i="1"/>
  <c r="R41" i="1" l="1"/>
  <c r="S42" i="1"/>
  <c r="T42" i="1" s="1"/>
  <c r="R40" i="1" l="1"/>
  <c r="S41" i="1"/>
  <c r="T41" i="1" s="1"/>
  <c r="S40" i="1" l="1"/>
  <c r="T40" i="1" s="1"/>
  <c r="R39" i="1"/>
  <c r="R38" i="1" l="1"/>
  <c r="S39" i="1"/>
  <c r="T39" i="1" s="1"/>
  <c r="R37" i="1" l="1"/>
  <c r="S38" i="1"/>
  <c r="T38" i="1" s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R27" i="1" l="1"/>
  <c r="S28" i="1"/>
  <c r="T28" i="1" s="1"/>
  <c r="S27" i="1" l="1"/>
  <c r="T27" i="1" s="1"/>
  <c r="R26" i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<sst xmlns="http://schemas.openxmlformats.org/spreadsheetml/2006/main" count="5585" uniqueCount="34">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</sst>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0.1164</c:v>
                </c:pt>
                <c:pt idx="1">
                  <c:v>0.11840000000000001</c:v>
                </c:pt>
                <c:pt idx="2">
                  <c:v>0.1133</c:v>
                </c:pt>
                <c:pt idx="3">
                  <c:v>0.11119999999999999</c:v>
                </c:pt>
                <c:pt idx="4">
                  <c:v>0.1138</c:v>
                </c:pt>
                <c:pt idx="5">
                  <c:v>0.11360000000000001</c:v>
                </c:pt>
                <c:pt idx="6">
                  <c:v>0.12089999999999999</c:v>
                </c:pt>
                <c:pt idx="7">
                  <c:v>0.1484</c:v>
                </c:pt>
                <c:pt idx="8">
                  <c:v>0.151</c:v>
                </c:pt>
                <c:pt idx="9">
                  <c:v>0.15409999999999999</c:v>
                </c:pt>
                <c:pt idx="10">
                  <c:v>0.15959999999999999</c:v>
                </c:pt>
                <c:pt idx="11">
                  <c:v>0.16830000000000001</c:v>
                </c:pt>
                <c:pt idx="12">
                  <c:v>0.1719</c:v>
                </c:pt>
                <c:pt idx="13">
                  <c:v>0.17530000000000001</c:v>
                </c:pt>
                <c:pt idx="14">
                  <c:v>0.15679999999999999</c:v>
                </c:pt>
                <c:pt idx="15">
                  <c:v>0.1668</c:v>
                </c:pt>
                <c:pt idx="16">
                  <c:v>0.16059999999999999</c:v>
                </c:pt>
                <c:pt idx="17">
                  <c:v>0.15820000000000001</c:v>
                </c:pt>
                <c:pt idx="18">
                  <c:v>0.16969999999999999</c:v>
                </c:pt>
                <c:pt idx="19">
                  <c:v>0.16370000000000001</c:v>
                </c:pt>
                <c:pt idx="20">
                  <c:v>0.1731</c:v>
                </c:pt>
                <c:pt idx="21">
                  <c:v>0.18709999999999999</c:v>
                </c:pt>
                <c:pt idx="22">
                  <c:v>0.1908</c:v>
                </c:pt>
                <c:pt idx="23">
                  <c:v>0.19950000000000001</c:v>
                </c:pt>
                <c:pt idx="24">
                  <c:v>0.20519999999999999</c:v>
                </c:pt>
                <c:pt idx="25">
                  <c:v>0.21199999999999999</c:v>
                </c:pt>
                <c:pt idx="26">
                  <c:v>0.21279999999999999</c:v>
                </c:pt>
                <c:pt idx="27">
                  <c:v>0.20219999999999999</c:v>
                </c:pt>
                <c:pt idx="28">
                  <c:v>0.2077</c:v>
                </c:pt>
                <c:pt idx="29">
                  <c:v>0.20669999999999999</c:v>
                </c:pt>
                <c:pt idx="30">
                  <c:v>0.2198</c:v>
                </c:pt>
                <c:pt idx="31">
                  <c:v>0.23960000000000001</c:v>
                </c:pt>
                <c:pt idx="32">
                  <c:v>0.2399</c:v>
                </c:pt>
                <c:pt idx="33">
                  <c:v>0.23419999999999999</c:v>
                </c:pt>
                <c:pt idx="34">
                  <c:v>0.217</c:v>
                </c:pt>
                <c:pt idx="35">
                  <c:v>0.2298</c:v>
                </c:pt>
                <c:pt idx="36">
                  <c:v>0.20799999999999999</c:v>
                </c:pt>
                <c:pt idx="37">
                  <c:v>0.20399999999999999</c:v>
                </c:pt>
                <c:pt idx="38">
                  <c:v>0.19919999999999999</c:v>
                </c:pt>
                <c:pt idx="39">
                  <c:v>0.1923</c:v>
                </c:pt>
                <c:pt idx="40">
                  <c:v>0.19639999999999999</c:v>
                </c:pt>
                <c:pt idx="41">
                  <c:v>0.18970000000000001</c:v>
                </c:pt>
                <c:pt idx="42">
                  <c:v>0.20250000000000001</c:v>
                </c:pt>
                <c:pt idx="43">
                  <c:v>0.20760000000000001</c:v>
                </c:pt>
                <c:pt idx="44">
                  <c:v>0.2001</c:v>
                </c:pt>
                <c:pt idx="45">
                  <c:v>0.19400000000000001</c:v>
                </c:pt>
                <c:pt idx="46">
                  <c:v>0.2167</c:v>
                </c:pt>
                <c:pt idx="47">
                  <c:v>0.20780000000000001</c:v>
                </c:pt>
                <c:pt idx="48">
                  <c:v>0.20499999999999999</c:v>
                </c:pt>
                <c:pt idx="49">
                  <c:v>0.2162</c:v>
                </c:pt>
                <c:pt idx="50">
                  <c:v>0.23480000000000001</c:v>
                </c:pt>
                <c:pt idx="51">
                  <c:v>0.22750000000000001</c:v>
                </c:pt>
                <c:pt idx="52">
                  <c:v>0.2346</c:v>
                </c:pt>
                <c:pt idx="53">
                  <c:v>0.2293</c:v>
                </c:pt>
                <c:pt idx="54">
                  <c:v>0.25340000000000001</c:v>
                </c:pt>
                <c:pt idx="55">
                  <c:v>0.30070000000000002</c:v>
                </c:pt>
                <c:pt idx="56">
                  <c:v>0.32529999999999998</c:v>
                </c:pt>
                <c:pt idx="57">
                  <c:v>0.312</c:v>
                </c:pt>
                <c:pt idx="58">
                  <c:v>0.31669999999999998</c:v>
                </c:pt>
                <c:pt idx="59">
                  <c:v>0.33289999999999997</c:v>
                </c:pt>
                <c:pt idx="60">
                  <c:v>0.33679999999999999</c:v>
                </c:pt>
                <c:pt idx="61">
                  <c:v>0.34339999999999998</c:v>
                </c:pt>
                <c:pt idx="62">
                  <c:v>0.32679999999999998</c:v>
                </c:pt>
                <c:pt idx="63">
                  <c:v>0.37909999999999999</c:v>
                </c:pt>
                <c:pt idx="64">
                  <c:v>0.36820000000000003</c:v>
                </c:pt>
                <c:pt idx="65">
                  <c:v>0.37240000000000001</c:v>
                </c:pt>
                <c:pt idx="66">
                  <c:v>0.33489999999999998</c:v>
                </c:pt>
                <c:pt idx="67">
                  <c:v>0.36449999999999999</c:v>
                </c:pt>
                <c:pt idx="68">
                  <c:v>0.3281</c:v>
                </c:pt>
                <c:pt idx="69">
                  <c:v>0.32100000000000001</c:v>
                </c:pt>
                <c:pt idx="70">
                  <c:v>0.30930000000000002</c:v>
                </c:pt>
                <c:pt idx="71">
                  <c:v>0.3342</c:v>
                </c:pt>
                <c:pt idx="72">
                  <c:v>0.32990000000000003</c:v>
                </c:pt>
                <c:pt idx="73">
                  <c:v>0.37180000000000002</c:v>
                </c:pt>
                <c:pt idx="74">
                  <c:v>0.36609999999999998</c:v>
                </c:pt>
                <c:pt idx="75">
                  <c:v>0.3604</c:v>
                </c:pt>
                <c:pt idx="76">
                  <c:v>0.3589</c:v>
                </c:pt>
                <c:pt idx="77">
                  <c:v>0.36980000000000002</c:v>
                </c:pt>
                <c:pt idx="78">
                  <c:v>0.34160000000000001</c:v>
                </c:pt>
                <c:pt idx="79">
                  <c:v>0.36570000000000003</c:v>
                </c:pt>
                <c:pt idx="80">
                  <c:v>0.38200000000000001</c:v>
                </c:pt>
                <c:pt idx="81">
                  <c:v>0.40410000000000001</c:v>
                </c:pt>
                <c:pt idx="82">
                  <c:v>0.38009999999999999</c:v>
                </c:pt>
                <c:pt idx="83">
                  <c:v>0.36680000000000001</c:v>
                </c:pt>
                <c:pt idx="84">
                  <c:v>0.3639</c:v>
                </c:pt>
                <c:pt idx="85">
                  <c:v>0.37130000000000002</c:v>
                </c:pt>
                <c:pt idx="86">
                  <c:v>0.36020000000000002</c:v>
                </c:pt>
                <c:pt idx="87">
                  <c:v>0.36009999999999998</c:v>
                </c:pt>
                <c:pt idx="88">
                  <c:v>0.34089999999999998</c:v>
                </c:pt>
                <c:pt idx="89">
                  <c:v>0.35020000000000001</c:v>
                </c:pt>
                <c:pt idx="90">
                  <c:v>0.32790000000000002</c:v>
                </c:pt>
                <c:pt idx="91">
                  <c:v>0.311</c:v>
                </c:pt>
                <c:pt idx="92">
                  <c:v>0.28999999999999998</c:v>
                </c:pt>
                <c:pt idx="93">
                  <c:v>0.3327</c:v>
                </c:pt>
                <c:pt idx="94">
                  <c:v>0.3322</c:v>
                </c:pt>
                <c:pt idx="95">
                  <c:v>0.32340000000000002</c:v>
                </c:pt>
                <c:pt idx="96">
                  <c:v>0.33510000000000001</c:v>
                </c:pt>
                <c:pt idx="97">
                  <c:v>0.33650000000000002</c:v>
                </c:pt>
                <c:pt idx="98">
                  <c:v>0.34</c:v>
                </c:pt>
                <c:pt idx="99">
                  <c:v>0.34889999999999999</c:v>
                </c:pt>
                <c:pt idx="100">
                  <c:v>0.34110000000000001</c:v>
                </c:pt>
                <c:pt idx="101">
                  <c:v>0.36680000000000001</c:v>
                </c:pt>
                <c:pt idx="102">
                  <c:v>0.35199999999999998</c:v>
                </c:pt>
                <c:pt idx="103">
                  <c:v>0.36670000000000003</c:v>
                </c:pt>
                <c:pt idx="104">
                  <c:v>0.35759999999999997</c:v>
                </c:pt>
                <c:pt idx="105">
                  <c:v>0.31030000000000002</c:v>
                </c:pt>
                <c:pt idx="106">
                  <c:v>0.29949999999999999</c:v>
                </c:pt>
                <c:pt idx="107">
                  <c:v>0.29649999999999999</c:v>
                </c:pt>
                <c:pt idx="108">
                  <c:v>0.29430000000000001</c:v>
                </c:pt>
                <c:pt idx="109">
                  <c:v>0.29809999999999998</c:v>
                </c:pt>
                <c:pt idx="110">
                  <c:v>0.32029999999999997</c:v>
                </c:pt>
                <c:pt idx="111">
                  <c:v>0.3105</c:v>
                </c:pt>
                <c:pt idx="112">
                  <c:v>0.32190000000000002</c:v>
                </c:pt>
                <c:pt idx="113">
                  <c:v>0.33579999999999999</c:v>
                </c:pt>
                <c:pt idx="114">
                  <c:v>0.3377</c:v>
                </c:pt>
                <c:pt idx="115">
                  <c:v>0.33679999999999999</c:v>
                </c:pt>
                <c:pt idx="116">
                  <c:v>0.34429999999999999</c:v>
                </c:pt>
                <c:pt idx="117">
                  <c:v>0.33560000000000001</c:v>
                </c:pt>
                <c:pt idx="118">
                  <c:v>0.3256</c:v>
                </c:pt>
                <c:pt idx="119">
                  <c:v>0.29620000000000002</c:v>
                </c:pt>
                <c:pt idx="120">
                  <c:v>0.2797</c:v>
                </c:pt>
                <c:pt idx="121">
                  <c:v>0.26790000000000003</c:v>
                </c:pt>
                <c:pt idx="122">
                  <c:v>0.29039999999999999</c:v>
                </c:pt>
                <c:pt idx="123">
                  <c:v>0.30359999999999998</c:v>
                </c:pt>
                <c:pt idx="124">
                  <c:v>0.30840000000000001</c:v>
                </c:pt>
                <c:pt idx="125">
                  <c:v>0.31630000000000003</c:v>
                </c:pt>
                <c:pt idx="126">
                  <c:v>0.34560000000000002</c:v>
                </c:pt>
                <c:pt idx="127">
                  <c:v>0.34300000000000003</c:v>
                </c:pt>
                <c:pt idx="128">
                  <c:v>0.31209999999999999</c:v>
                </c:pt>
                <c:pt idx="129">
                  <c:v>0.34210000000000002</c:v>
                </c:pt>
                <c:pt idx="130">
                  <c:v>0.38479999999999998</c:v>
                </c:pt>
                <c:pt idx="131">
                  <c:v>0.40649999999999997</c:v>
                </c:pt>
                <c:pt idx="132">
                  <c:v>0.41099999999999998</c:v>
                </c:pt>
                <c:pt idx="133">
                  <c:v>0.44690000000000002</c:v>
                </c:pt>
                <c:pt idx="134">
                  <c:v>0.45279999999999998</c:v>
                </c:pt>
                <c:pt idx="135">
                  <c:v>0.44400000000000001</c:v>
                </c:pt>
                <c:pt idx="136">
                  <c:v>0.37569999999999998</c:v>
                </c:pt>
                <c:pt idx="137">
                  <c:v>0.3977</c:v>
                </c:pt>
                <c:pt idx="138">
                  <c:v>0.34560000000000002</c:v>
                </c:pt>
                <c:pt idx="139">
                  <c:v>0.34910000000000002</c:v>
                </c:pt>
                <c:pt idx="140">
                  <c:v>0.40439999999999998</c:v>
                </c:pt>
                <c:pt idx="141">
                  <c:v>0.35060000000000002</c:v>
                </c:pt>
                <c:pt idx="142">
                  <c:v>0.3468</c:v>
                </c:pt>
                <c:pt idx="143">
                  <c:v>0.45839999999999997</c:v>
                </c:pt>
                <c:pt idx="144">
                  <c:v>0.41399999999999998</c:v>
                </c:pt>
                <c:pt idx="145">
                  <c:v>0.41830000000000001</c:v>
                </c:pt>
                <c:pt idx="146">
                  <c:v>0.38500000000000001</c:v>
                </c:pt>
                <c:pt idx="147">
                  <c:v>0.38250000000000001</c:v>
                </c:pt>
                <c:pt idx="148">
                  <c:v>0.40150000000000002</c:v>
                </c:pt>
                <c:pt idx="149">
                  <c:v>0.40429999999999999</c:v>
                </c:pt>
                <c:pt idx="150">
                  <c:v>0.38879999999999998</c:v>
                </c:pt>
                <c:pt idx="151">
                  <c:v>0.41460000000000002</c:v>
                </c:pt>
                <c:pt idx="152">
                  <c:v>0.36549999999999999</c:v>
                </c:pt>
                <c:pt idx="153">
                  <c:v>0.3387</c:v>
                </c:pt>
                <c:pt idx="154">
                  <c:v>0.31240000000000001</c:v>
                </c:pt>
                <c:pt idx="155">
                  <c:v>0.34955999999999998</c:v>
                </c:pt>
                <c:pt idx="156">
                  <c:v>0.32554</c:v>
                </c:pt>
                <c:pt idx="157">
                  <c:v>0.36608000000000002</c:v>
                </c:pt>
                <c:pt idx="158">
                  <c:v>0.32784000000000002</c:v>
                </c:pt>
                <c:pt idx="159">
                  <c:v>0.32679000000000002</c:v>
                </c:pt>
                <c:pt idx="160">
                  <c:v>0.33395999999999998</c:v>
                </c:pt>
                <c:pt idx="161">
                  <c:v>0.33183000000000001</c:v>
                </c:pt>
                <c:pt idx="162">
                  <c:v>0.30924000000000001</c:v>
                </c:pt>
                <c:pt idx="163">
                  <c:v>0.31816</c:v>
                </c:pt>
                <c:pt idx="164">
                  <c:v>0.33033000000000001</c:v>
                </c:pt>
                <c:pt idx="165">
                  <c:v>0.34236</c:v>
                </c:pt>
                <c:pt idx="166">
                  <c:v>0.34289999999999998</c:v>
                </c:pt>
                <c:pt idx="167">
                  <c:v>0.31324999999999997</c:v>
                </c:pt>
                <c:pt idx="168">
                  <c:v>0.29520000000000002</c:v>
                </c:pt>
                <c:pt idx="169">
                  <c:v>0.30548999999999998</c:v>
                </c:pt>
                <c:pt idx="170">
                  <c:v>0.30531999999999998</c:v>
                </c:pt>
                <c:pt idx="171">
                  <c:v>0.29025000000000001</c:v>
                </c:pt>
                <c:pt idx="172">
                  <c:v>0.27645999999999998</c:v>
                </c:pt>
                <c:pt idx="173">
                  <c:v>0.30220000000000002</c:v>
                </c:pt>
                <c:pt idx="174">
                  <c:v>0.31178</c:v>
                </c:pt>
                <c:pt idx="175">
                  <c:v>0.27716000000000002</c:v>
                </c:pt>
                <c:pt idx="176">
                  <c:v>0.26883000000000001</c:v>
                </c:pt>
                <c:pt idx="177">
                  <c:v>0.26212999999999997</c:v>
                </c:pt>
                <c:pt idx="178">
                  <c:v>0.28226000000000001</c:v>
                </c:pt>
                <c:pt idx="179">
                  <c:v>0.24343000000000001</c:v>
                </c:pt>
                <c:pt idx="180">
                  <c:v>0.25649</c:v>
                </c:pt>
                <c:pt idx="181">
                  <c:v>0.25553999999999999</c:v>
                </c:pt>
                <c:pt idx="182">
                  <c:v>0.26723000000000002</c:v>
                </c:pt>
                <c:pt idx="183">
                  <c:v>0.22388</c:v>
                </c:pt>
                <c:pt idx="184">
                  <c:v>0.22811999999999999</c:v>
                </c:pt>
                <c:pt idx="185">
                  <c:v>0.22628000000000001</c:v>
                </c:pt>
                <c:pt idx="186">
                  <c:v>0.23810000000000001</c:v>
                </c:pt>
                <c:pt idx="187">
                  <c:v>0.20902999999999999</c:v>
                </c:pt>
                <c:pt idx="188">
                  <c:v>0.19782</c:v>
                </c:pt>
                <c:pt idx="189">
                  <c:v>0.19603999999999999</c:v>
                </c:pt>
                <c:pt idx="190">
                  <c:v>0.19350000000000001</c:v>
                </c:pt>
                <c:pt idx="191">
                  <c:v>0.17391999999999999</c:v>
                </c:pt>
                <c:pt idx="192">
                  <c:v>0.19151000000000001</c:v>
                </c:pt>
                <c:pt idx="193">
                  <c:v>0.20091999999999999</c:v>
                </c:pt>
                <c:pt idx="194">
                  <c:v>0.19336</c:v>
                </c:pt>
                <c:pt idx="195">
                  <c:v>0.20019000000000001</c:v>
                </c:pt>
                <c:pt idx="196">
                  <c:v>0.22936999999999999</c:v>
                </c:pt>
                <c:pt idx="197">
                  <c:v>0.22234999999999999</c:v>
                </c:pt>
                <c:pt idx="198">
                  <c:v>0.22026000000000001</c:v>
                </c:pt>
                <c:pt idx="199">
                  <c:v>0.22656999999999999</c:v>
                </c:pt>
                <c:pt idx="200">
                  <c:v>0.23555999999999999</c:v>
                </c:pt>
                <c:pt idx="201">
                  <c:v>0.23329</c:v>
                </c:pt>
                <c:pt idx="202">
                  <c:v>0.24</c:v>
                </c:pt>
                <c:pt idx="203">
                  <c:v>0.23014000000000001</c:v>
                </c:pt>
                <c:pt idx="204">
                  <c:v>0.25135999999999997</c:v>
                </c:pt>
                <c:pt idx="205">
                  <c:v>0.24736</c:v>
                </c:pt>
                <c:pt idx="206">
                  <c:v>0.24368000000000001</c:v>
                </c:pt>
                <c:pt idx="207">
                  <c:v>0.22925999999999999</c:v>
                </c:pt>
                <c:pt idx="208">
                  <c:v>0.22781000000000001</c:v>
                </c:pt>
                <c:pt idx="209">
                  <c:v>0.22919</c:v>
                </c:pt>
                <c:pt idx="210">
                  <c:v>0.21901999999999999</c:v>
                </c:pt>
                <c:pt idx="211">
                  <c:v>0.23932999999999999</c:v>
                </c:pt>
                <c:pt idx="212">
                  <c:v>0.25026999999999999</c:v>
                </c:pt>
                <c:pt idx="213">
                  <c:v>0.23641000000000001</c:v>
                </c:pt>
                <c:pt idx="214">
                  <c:v>0.24046999999999999</c:v>
                </c:pt>
                <c:pt idx="215">
                  <c:v>0.20673</c:v>
                </c:pt>
                <c:pt idx="216">
                  <c:v>0.20496</c:v>
                </c:pt>
                <c:pt idx="217">
                  <c:v>0.22806999999999999</c:v>
                </c:pt>
                <c:pt idx="218">
                  <c:v>0.23402000000000001</c:v>
                </c:pt>
                <c:pt idx="219">
                  <c:v>0.20443</c:v>
                </c:pt>
                <c:pt idx="220">
                  <c:v>0.21046000000000001</c:v>
                </c:pt>
                <c:pt idx="221">
                  <c:v>0.27226</c:v>
                </c:pt>
                <c:pt idx="222">
                  <c:v>0.28072999999999998</c:v>
                </c:pt>
                <c:pt idx="223">
                  <c:v>0.27751999999999999</c:v>
                </c:pt>
                <c:pt idx="224">
                  <c:v>0.29718</c:v>
                </c:pt>
                <c:pt idx="225">
                  <c:v>0.28536</c:v>
                </c:pt>
                <c:pt idx="226">
                  <c:v>0.30338999999999999</c:v>
                </c:pt>
                <c:pt idx="227">
                  <c:v>0.31402000000000002</c:v>
                </c:pt>
                <c:pt idx="228">
                  <c:v>0.30801000000000001</c:v>
                </c:pt>
                <c:pt idx="229">
                  <c:v>0.27688000000000001</c:v>
                </c:pt>
                <c:pt idx="230">
                  <c:v>0.29337000000000002</c:v>
                </c:pt>
                <c:pt idx="231">
                  <c:v>0.30975999999999998</c:v>
                </c:pt>
                <c:pt idx="232">
                  <c:v>0.33400000000000002</c:v>
                </c:pt>
                <c:pt idx="233">
                  <c:v>0.32657999999999998</c:v>
                </c:pt>
                <c:pt idx="234">
                  <c:v>0.33205000000000001</c:v>
                </c:pt>
                <c:pt idx="235">
                  <c:v>0.38324000000000003</c:v>
                </c:pt>
                <c:pt idx="236">
                  <c:v>0.36735000000000001</c:v>
                </c:pt>
                <c:pt idx="237">
                  <c:v>0.37590000000000001</c:v>
                </c:pt>
                <c:pt idx="238">
                  <c:v>0.42279</c:v>
                </c:pt>
                <c:pt idx="239">
                  <c:v>0.42055999999999999</c:v>
                </c:pt>
                <c:pt idx="240">
                  <c:v>0.41855999999999999</c:v>
                </c:pt>
                <c:pt idx="241">
                  <c:v>0.4546</c:v>
                </c:pt>
                <c:pt idx="242">
                  <c:v>0.42992000000000002</c:v>
                </c:pt>
                <c:pt idx="243">
                  <c:v>0.39243</c:v>
                </c:pt>
                <c:pt idx="244">
                  <c:v>0.43530000000000002</c:v>
                </c:pt>
                <c:pt idx="245">
                  <c:v>0.50161</c:v>
                </c:pt>
                <c:pt idx="246">
                  <c:v>0.55296999999999996</c:v>
                </c:pt>
                <c:pt idx="247">
                  <c:v>0.34105999999999997</c:v>
                </c:pt>
                <c:pt idx="248">
                  <c:v>0.31455</c:v>
                </c:pt>
                <c:pt idx="249">
                  <c:v>0.26673999999999998</c:v>
                </c:pt>
                <c:pt idx="250">
                  <c:v>0.30653999999999998</c:v>
                </c:pt>
                <c:pt idx="251">
                  <c:v>0.34361999999999998</c:v>
                </c:pt>
                <c:pt idx="252">
                  <c:v>0.37867000000000001</c:v>
                </c:pt>
                <c:pt idx="253">
                  <c:v>0.33573999999999998</c:v>
                </c:pt>
                <c:pt idx="254">
                  <c:v>0.56859999999999999</c:v>
                </c:pt>
                <c:pt idx="255">
                  <c:v>0.50599000000000005</c:v>
                </c:pt>
                <c:pt idx="256">
                  <c:v>0.53483000000000003</c:v>
                </c:pt>
                <c:pt idx="257">
                  <c:v>0.49597999999999998</c:v>
                </c:pt>
                <c:pt idx="258">
                  <c:v>0.53807000000000005</c:v>
                </c:pt>
                <c:pt idx="259">
                  <c:v>0.48845</c:v>
                </c:pt>
                <c:pt idx="260">
                  <c:v>0.47188000000000002</c:v>
                </c:pt>
                <c:pt idx="261">
                  <c:v>0.56852999999999998</c:v>
                </c:pt>
                <c:pt idx="262">
                  <c:v>0.53500000000000003</c:v>
                </c:pt>
                <c:pt idx="263">
                  <c:v>0.60187000000000002</c:v>
                </c:pt>
                <c:pt idx="264">
                  <c:v>0.61500999999999995</c:v>
                </c:pt>
                <c:pt idx="265">
                  <c:v>0.60734999999999995</c:v>
                </c:pt>
                <c:pt idx="266">
                  <c:v>0.625</c:v>
                </c:pt>
                <c:pt idx="267">
                  <c:v>0.61407</c:v>
                </c:pt>
                <c:pt idx="268">
                  <c:v>0.58672000000000002</c:v>
                </c:pt>
                <c:pt idx="269">
                  <c:v>0.66798999999999997</c:v>
                </c:pt>
                <c:pt idx="270">
                  <c:v>0.63473999999999997</c:v>
                </c:pt>
                <c:pt idx="271">
                  <c:v>0.65659999999999996</c:v>
                </c:pt>
                <c:pt idx="272">
                  <c:v>0.66900999999999999</c:v>
                </c:pt>
                <c:pt idx="273">
                  <c:v>0.67283000000000004</c:v>
                </c:pt>
                <c:pt idx="274">
                  <c:v>0.57359000000000004</c:v>
                </c:pt>
                <c:pt idx="275">
                  <c:v>0.62739999999999996</c:v>
                </c:pt>
                <c:pt idx="276">
                  <c:v>0.50948000000000004</c:v>
                </c:pt>
                <c:pt idx="277">
                  <c:v>0.44184000000000001</c:v>
                </c:pt>
                <c:pt idx="278">
                  <c:v>0.44961000000000001</c:v>
                </c:pt>
                <c:pt idx="279">
                  <c:v>0.49004999999999999</c:v>
                </c:pt>
                <c:pt idx="280">
                  <c:v>0.50517000000000001</c:v>
                </c:pt>
                <c:pt idx="281">
                  <c:v>0.54681000000000002</c:v>
                </c:pt>
                <c:pt idx="282">
                  <c:v>0.57286000000000004</c:v>
                </c:pt>
                <c:pt idx="283">
                  <c:v>0.56613000000000002</c:v>
                </c:pt>
                <c:pt idx="284">
                  <c:v>0.65598000000000001</c:v>
                </c:pt>
                <c:pt idx="285">
                  <c:v>0.79100000000000004</c:v>
                </c:pt>
                <c:pt idx="286">
                  <c:v>0.70640999999999998</c:v>
                </c:pt>
                <c:pt idx="287">
                  <c:v>0.70413000000000003</c:v>
                </c:pt>
                <c:pt idx="288">
                  <c:v>0.68111999999999995</c:v>
                </c:pt>
                <c:pt idx="289">
                  <c:v>0.69352000000000003</c:v>
                </c:pt>
                <c:pt idx="290">
                  <c:v>0.67856000000000005</c:v>
                </c:pt>
                <c:pt idx="291">
                  <c:v>0.69626999999999994</c:v>
                </c:pt>
                <c:pt idx="292">
                  <c:v>0.70538000000000001</c:v>
                </c:pt>
                <c:pt idx="293">
                  <c:v>0.68101999999999996</c:v>
                </c:pt>
                <c:pt idx="294">
                  <c:v>0.66685000000000005</c:v>
                </c:pt>
                <c:pt idx="295">
                  <c:v>0.62761</c:v>
                </c:pt>
                <c:pt idx="296">
                  <c:v>0.70477000000000001</c:v>
                </c:pt>
                <c:pt idx="297">
                  <c:v>0.72765999999999997</c:v>
                </c:pt>
                <c:pt idx="298">
                  <c:v>0.70443999999999996</c:v>
                </c:pt>
                <c:pt idx="299">
                  <c:v>0.67271000000000003</c:v>
                </c:pt>
                <c:pt idx="300">
                  <c:v>0.74765000000000004</c:v>
                </c:pt>
                <c:pt idx="301">
                  <c:v>0.81615000000000004</c:v>
                </c:pt>
                <c:pt idx="302">
                  <c:v>0.74944999999999995</c:v>
                </c:pt>
                <c:pt idx="303">
                  <c:v>0.80252000000000001</c:v>
                </c:pt>
                <c:pt idx="304">
                  <c:v>0.84126000000000001</c:v>
                </c:pt>
                <c:pt idx="305">
                  <c:v>0.73492999999999997</c:v>
                </c:pt>
                <c:pt idx="306">
                  <c:v>0.59079999999999999</c:v>
                </c:pt>
                <c:pt idx="307">
                  <c:v>0.58126</c:v>
                </c:pt>
                <c:pt idx="308">
                  <c:v>0.51790000000000003</c:v>
                </c:pt>
                <c:pt idx="309">
                  <c:v>0.57689000000000001</c:v>
                </c:pt>
                <c:pt idx="310">
                  <c:v>0.65690999999999999</c:v>
                </c:pt>
                <c:pt idx="311">
                  <c:v>0.69332000000000005</c:v>
                </c:pt>
                <c:pt idx="312">
                  <c:v>0.66083999999999998</c:v>
                </c:pt>
                <c:pt idx="313">
                  <c:v>0.68391999999999997</c:v>
                </c:pt>
                <c:pt idx="314">
                  <c:v>0.69325000000000003</c:v>
                </c:pt>
                <c:pt idx="315">
                  <c:v>0.69174000000000002</c:v>
                </c:pt>
                <c:pt idx="316">
                  <c:v>0.72372999999999998</c:v>
                </c:pt>
                <c:pt idx="317">
                  <c:v>0.69913999999999998</c:v>
                </c:pt>
                <c:pt idx="318">
                  <c:v>0.74173</c:v>
                </c:pt>
                <c:pt idx="319">
                  <c:v>0.8115</c:v>
                </c:pt>
                <c:pt idx="320">
                  <c:v>0.82737000000000005</c:v>
                </c:pt>
                <c:pt idx="321">
                  <c:v>0.88039999999999996</c:v>
                </c:pt>
                <c:pt idx="322">
                  <c:v>0.78320000000000001</c:v>
                </c:pt>
                <c:pt idx="323">
                  <c:v>0.52193999999999996</c:v>
                </c:pt>
                <c:pt idx="324">
                  <c:v>0.55705000000000005</c:v>
                </c:pt>
                <c:pt idx="325">
                  <c:v>0.34871999999999997</c:v>
                </c:pt>
                <c:pt idx="326">
                  <c:v>0.31029000000000001</c:v>
                </c:pt>
                <c:pt idx="327">
                  <c:v>0.29543999999999998</c:v>
                </c:pt>
                <c:pt idx="328">
                  <c:v>0.31813999999999998</c:v>
                </c:pt>
                <c:pt idx="329">
                  <c:v>0.29047000000000001</c:v>
                </c:pt>
                <c:pt idx="330">
                  <c:v>0.27315</c:v>
                </c:pt>
                <c:pt idx="331">
                  <c:v>0.28159000000000001</c:v>
                </c:pt>
                <c:pt idx="332">
                  <c:v>0.24079</c:v>
                </c:pt>
                <c:pt idx="333">
                  <c:v>0.20902000000000001</c:v>
                </c:pt>
                <c:pt idx="334">
                  <c:v>0.22741</c:v>
                </c:pt>
                <c:pt idx="335">
                  <c:v>0.21496999999999999</c:v>
                </c:pt>
                <c:pt idx="336">
                  <c:v>0.21684</c:v>
                </c:pt>
                <c:pt idx="337">
                  <c:v>0.23985999999999999</c:v>
                </c:pt>
                <c:pt idx="338">
                  <c:v>0.24611</c:v>
                </c:pt>
                <c:pt idx="339">
                  <c:v>0.27212999999999998</c:v>
                </c:pt>
                <c:pt idx="340">
                  <c:v>0.29796</c:v>
                </c:pt>
                <c:pt idx="341">
                  <c:v>0.28570000000000001</c:v>
                </c:pt>
                <c:pt idx="342">
                  <c:v>0.32819999999999999</c:v>
                </c:pt>
                <c:pt idx="343">
                  <c:v>0.30309999999999998</c:v>
                </c:pt>
                <c:pt idx="344">
                  <c:v>0.28958</c:v>
                </c:pt>
                <c:pt idx="345">
                  <c:v>0.28116999999999998</c:v>
                </c:pt>
                <c:pt idx="346">
                  <c:v>0.30781999999999998</c:v>
                </c:pt>
                <c:pt idx="347">
                  <c:v>0.29437999999999998</c:v>
                </c:pt>
                <c:pt idx="348">
                  <c:v>0.33424999999999999</c:v>
                </c:pt>
                <c:pt idx="349">
                  <c:v>0.33</c:v>
                </c:pt>
                <c:pt idx="350">
                  <c:v>0.34538999999999997</c:v>
                </c:pt>
                <c:pt idx="351">
                  <c:v>0.22267999999999999</c:v>
                </c:pt>
                <c:pt idx="352">
                  <c:v>0.2049</c:v>
                </c:pt>
                <c:pt idx="353">
                  <c:v>0.21071999999999999</c:v>
                </c:pt>
                <c:pt idx="354">
                  <c:v>0.16020000000000001</c:v>
                </c:pt>
                <c:pt idx="355">
                  <c:v>0.15873000000000001</c:v>
                </c:pt>
                <c:pt idx="356">
                  <c:v>0.17126</c:v>
                </c:pt>
                <c:pt idx="357">
                  <c:v>0.1623</c:v>
                </c:pt>
                <c:pt idx="358">
                  <c:v>0.1583</c:v>
                </c:pt>
                <c:pt idx="359">
                  <c:v>0.14927000000000001</c:v>
                </c:pt>
                <c:pt idx="360">
                  <c:v>0.13766999999999999</c:v>
                </c:pt>
                <c:pt idx="361">
                  <c:v>0.13372999999999999</c:v>
                </c:pt>
                <c:pt idx="362">
                  <c:v>0.13833000000000001</c:v>
                </c:pt>
                <c:pt idx="363">
                  <c:v>0.13785</c:v>
                </c:pt>
                <c:pt idx="364">
                  <c:v>0.13608000000000001</c:v>
                </c:pt>
                <c:pt idx="365">
                  <c:v>0.13062000000000001</c:v>
                </c:pt>
                <c:pt idx="366">
                  <c:v>0.15959999999999999</c:v>
                </c:pt>
                <c:pt idx="367">
                  <c:v>0.12941</c:v>
                </c:pt>
                <c:pt idx="368">
                  <c:v>0.13397000000000001</c:v>
                </c:pt>
                <c:pt idx="369">
                  <c:v>0.11826</c:v>
                </c:pt>
                <c:pt idx="370">
                  <c:v>0.11391</c:v>
                </c:pt>
                <c:pt idx="371">
                  <c:v>0.11622</c:v>
                </c:pt>
                <c:pt idx="372">
                  <c:v>0.13619999999999999</c:v>
                </c:pt>
                <c:pt idx="373">
                  <c:v>0.14246</c:v>
                </c:pt>
                <c:pt idx="374">
                  <c:v>0.14571000000000001</c:v>
                </c:pt>
                <c:pt idx="375">
                  <c:v>0.13991000000000001</c:v>
                </c:pt>
                <c:pt idx="376">
                  <c:v>0.13413</c:v>
                </c:pt>
                <c:pt idx="377">
                  <c:v>0.13303999999999999</c:v>
                </c:pt>
                <c:pt idx="378">
                  <c:v>0.12825</c:v>
                </c:pt>
                <c:pt idx="379">
                  <c:v>0.11183999999999999</c:v>
                </c:pt>
                <c:pt idx="380">
                  <c:v>0.10106999999999999</c:v>
                </c:pt>
                <c:pt idx="381">
                  <c:v>9.7739999999999994E-2</c:v>
                </c:pt>
                <c:pt idx="382">
                  <c:v>0.10221</c:v>
                </c:pt>
                <c:pt idx="383">
                  <c:v>0.11008</c:v>
                </c:pt>
                <c:pt idx="384">
                  <c:v>0.10936</c:v>
                </c:pt>
                <c:pt idx="385">
                  <c:v>0.11235000000000001</c:v>
                </c:pt>
                <c:pt idx="386">
                  <c:v>0.11199000000000001</c:v>
                </c:pt>
                <c:pt idx="387">
                  <c:v>0.11089</c:v>
                </c:pt>
                <c:pt idx="388">
                  <c:v>9.4009999999999996E-2</c:v>
                </c:pt>
                <c:pt idx="389">
                  <c:v>8.6559999999999998E-2</c:v>
                </c:pt>
                <c:pt idx="390">
                  <c:v>7.6590000000000005E-2</c:v>
                </c:pt>
                <c:pt idx="391">
                  <c:v>7.9969999999999999E-2</c:v>
                </c:pt>
                <c:pt idx="392">
                  <c:v>7.8780000000000003E-2</c:v>
                </c:pt>
                <c:pt idx="393">
                  <c:v>7.7259999999999995E-2</c:v>
                </c:pt>
                <c:pt idx="394">
                  <c:v>8.0310000000000006E-2</c:v>
                </c:pt>
                <c:pt idx="395">
                  <c:v>8.7309999999999999E-2</c:v>
                </c:pt>
                <c:pt idx="396">
                  <c:v>8.9429999999999996E-2</c:v>
                </c:pt>
                <c:pt idx="397">
                  <c:v>9.103E-2</c:v>
                </c:pt>
                <c:pt idx="398">
                  <c:v>8.9880000000000002E-2</c:v>
                </c:pt>
                <c:pt idx="399">
                  <c:v>8.1570000000000004E-2</c:v>
                </c:pt>
                <c:pt idx="400">
                  <c:v>6.787E-2</c:v>
                </c:pt>
                <c:pt idx="401">
                  <c:v>9.4409999999999994E-2</c:v>
                </c:pt>
                <c:pt idx="402">
                  <c:v>9.8909999999999998E-2</c:v>
                </c:pt>
                <c:pt idx="403">
                  <c:v>0.10682</c:v>
                </c:pt>
                <c:pt idx="404">
                  <c:v>0.12042</c:v>
                </c:pt>
                <c:pt idx="405">
                  <c:v>0.10624</c:v>
                </c:pt>
                <c:pt idx="406">
                  <c:v>9.9049999999999999E-2</c:v>
                </c:pt>
                <c:pt idx="407">
                  <c:v>0.11278000000000001</c:v>
                </c:pt>
                <c:pt idx="408">
                  <c:v>0.11662</c:v>
                </c:pt>
                <c:pt idx="409">
                  <c:v>0.11561</c:v>
                </c:pt>
                <c:pt idx="410">
                  <c:v>0.11815000000000001</c:v>
                </c:pt>
                <c:pt idx="411">
                  <c:v>0.12288</c:v>
                </c:pt>
                <c:pt idx="412">
                  <c:v>0.1153</c:v>
                </c:pt>
                <c:pt idx="413">
                  <c:v>0.12436</c:v>
                </c:pt>
                <c:pt idx="414">
                  <c:v>0.13764999999999999</c:v>
                </c:pt>
                <c:pt idx="415">
                  <c:v>0.12343</c:v>
                </c:pt>
                <c:pt idx="416">
                  <c:v>0.11921</c:v>
                </c:pt>
                <c:pt idx="417">
                  <c:v>0.11541999999999999</c:v>
                </c:pt>
                <c:pt idx="418">
                  <c:v>0.13900000000000001</c:v>
                </c:pt>
                <c:pt idx="419">
                  <c:v>0.14799999999999999</c:v>
                </c:pt>
                <c:pt idx="420">
                  <c:v>9.8900000000000002E-2</c:v>
                </c:pt>
                <c:pt idx="421">
                  <c:v>8.1479999999999997E-2</c:v>
                </c:pt>
                <c:pt idx="422">
                  <c:v>7.2230000000000003E-2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DA-4DAF-ACB8-CC38D45CFDE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-16.371283837309932</c:v>
                </c:pt>
                <c:pt idx="1">
                  <c:v>-16.337078019128111</c:v>
                </c:pt>
                <c:pt idx="2">
                  <c:v>-16.031606087309932</c:v>
                </c:pt>
                <c:pt idx="3">
                  <c:v>-16.128522634452786</c:v>
                </c:pt>
                <c:pt idx="4">
                  <c:v>-16.605191821276314</c:v>
                </c:pt>
                <c:pt idx="5">
                  <c:v>-16.627008532650365</c:v>
                </c:pt>
                <c:pt idx="6">
                  <c:v>-16.978939648886609</c:v>
                </c:pt>
                <c:pt idx="7">
                  <c:v>-16.139758806748681</c:v>
                </c:pt>
                <c:pt idx="8">
                  <c:v>-15.650102327969336</c:v>
                </c:pt>
                <c:pt idx="9">
                  <c:v>-15.493006903969336</c:v>
                </c:pt>
                <c:pt idx="10">
                  <c:v>-15.428959825169335</c:v>
                </c:pt>
                <c:pt idx="11">
                  <c:v>-15.184570152369336</c:v>
                </c:pt>
                <c:pt idx="12">
                  <c:v>-15.026880786450967</c:v>
                </c:pt>
                <c:pt idx="13">
                  <c:v>-13.311521864487776</c:v>
                </c:pt>
                <c:pt idx="14">
                  <c:v>-14.031822059245844</c:v>
                </c:pt>
                <c:pt idx="15">
                  <c:v>-13.61085164407343</c:v>
                </c:pt>
                <c:pt idx="16">
                  <c:v>-13.670924228261462</c:v>
                </c:pt>
                <c:pt idx="17">
                  <c:v>-13.824747177241056</c:v>
                </c:pt>
                <c:pt idx="18">
                  <c:v>-13.718106565124268</c:v>
                </c:pt>
                <c:pt idx="19">
                  <c:v>-13.748859889030518</c:v>
                </c:pt>
                <c:pt idx="20">
                  <c:v>-13.623542889387663</c:v>
                </c:pt>
                <c:pt idx="21">
                  <c:v>-13.4070227352824</c:v>
                </c:pt>
                <c:pt idx="22">
                  <c:v>-13.439602104171289</c:v>
                </c:pt>
                <c:pt idx="23">
                  <c:v>-13.174546786115021</c:v>
                </c:pt>
                <c:pt idx="24">
                  <c:v>-12.851266106771954</c:v>
                </c:pt>
                <c:pt idx="25">
                  <c:v>-12.769381472541186</c:v>
                </c:pt>
                <c:pt idx="26">
                  <c:v>-12.790127250064122</c:v>
                </c:pt>
                <c:pt idx="27">
                  <c:v>-12.931377511175235</c:v>
                </c:pt>
                <c:pt idx="28">
                  <c:v>-12.936018300041631</c:v>
                </c:pt>
                <c:pt idx="29">
                  <c:v>-12.946842643269978</c:v>
                </c:pt>
                <c:pt idx="30">
                  <c:v>-12.819342483269978</c:v>
                </c:pt>
                <c:pt idx="31">
                  <c:v>-12.646561363510942</c:v>
                </c:pt>
                <c:pt idx="32">
                  <c:v>-12.44405922134878</c:v>
                </c:pt>
                <c:pt idx="33">
                  <c:v>-12.683626858462182</c:v>
                </c:pt>
                <c:pt idx="34">
                  <c:v>-12.87635216203361</c:v>
                </c:pt>
                <c:pt idx="35">
                  <c:v>-12.703915247962813</c:v>
                </c:pt>
                <c:pt idx="36">
                  <c:v>-12.865102005311517</c:v>
                </c:pt>
                <c:pt idx="37">
                  <c:v>-12.816329779129699</c:v>
                </c:pt>
                <c:pt idx="38">
                  <c:v>-12.97358189557265</c:v>
                </c:pt>
                <c:pt idx="39">
                  <c:v>-13.161811697641618</c:v>
                </c:pt>
                <c:pt idx="40">
                  <c:v>-13.059791940641615</c:v>
                </c:pt>
                <c:pt idx="41">
                  <c:v>-13.163200579469201</c:v>
                </c:pt>
                <c:pt idx="42">
                  <c:v>-12.949419747379649</c:v>
                </c:pt>
                <c:pt idx="43">
                  <c:v>-12.663591624234108</c:v>
                </c:pt>
                <c:pt idx="44">
                  <c:v>-12.917130599336989</c:v>
                </c:pt>
                <c:pt idx="45">
                  <c:v>-13.128880949535663</c:v>
                </c:pt>
                <c:pt idx="46">
                  <c:v>-12.937805665862193</c:v>
                </c:pt>
                <c:pt idx="47">
                  <c:v>-12.960754177503985</c:v>
                </c:pt>
                <c:pt idx="48">
                  <c:v>-12.97354112365783</c:v>
                </c:pt>
                <c:pt idx="49">
                  <c:v>-12.665663825852953</c:v>
                </c:pt>
                <c:pt idx="50">
                  <c:v>-12.209501891166484</c:v>
                </c:pt>
                <c:pt idx="51">
                  <c:v>-12.750920831166484</c:v>
                </c:pt>
                <c:pt idx="52">
                  <c:v>-12.376684462315421</c:v>
                </c:pt>
                <c:pt idx="53">
                  <c:v>-12.753074792382536</c:v>
                </c:pt>
                <c:pt idx="54">
                  <c:v>-12.335404052221895</c:v>
                </c:pt>
                <c:pt idx="55">
                  <c:v>-12.780863138221894</c:v>
                </c:pt>
                <c:pt idx="56">
                  <c:v>-12.489408885015655</c:v>
                </c:pt>
                <c:pt idx="57">
                  <c:v>-12.927757470917292</c:v>
                </c:pt>
                <c:pt idx="58">
                  <c:v>-12.645239135034942</c:v>
                </c:pt>
                <c:pt idx="59">
                  <c:v>-12.355263830307667</c:v>
                </c:pt>
                <c:pt idx="60">
                  <c:v>-12.326911126351625</c:v>
                </c:pt>
                <c:pt idx="61">
                  <c:v>-12.672789329684957</c:v>
                </c:pt>
                <c:pt idx="62">
                  <c:v>-12.553902882798356</c:v>
                </c:pt>
                <c:pt idx="63">
                  <c:v>-11.7497591443123</c:v>
                </c:pt>
                <c:pt idx="64">
                  <c:v>-10.738514703130312</c:v>
                </c:pt>
                <c:pt idx="65">
                  <c:v>-10.739347745085869</c:v>
                </c:pt>
                <c:pt idx="66">
                  <c:v>-11.259696644195179</c:v>
                </c:pt>
                <c:pt idx="67">
                  <c:v>-10.862697173431455</c:v>
                </c:pt>
                <c:pt idx="68">
                  <c:v>-11.364914280177622</c:v>
                </c:pt>
                <c:pt idx="69">
                  <c:v>-11.545180875242</c:v>
                </c:pt>
                <c:pt idx="70">
                  <c:v>-11.613593264461331</c:v>
                </c:pt>
                <c:pt idx="71">
                  <c:v>-11.411991802723296</c:v>
                </c:pt>
                <c:pt idx="72">
                  <c:v>-11.687387320646373</c:v>
                </c:pt>
                <c:pt idx="73">
                  <c:v>-11.388100827495688</c:v>
                </c:pt>
                <c:pt idx="74">
                  <c:v>-11.212271010739835</c:v>
                </c:pt>
                <c:pt idx="75">
                  <c:v>-11.165001385522443</c:v>
                </c:pt>
                <c:pt idx="76">
                  <c:v>-11.206553865158806</c:v>
                </c:pt>
                <c:pt idx="77">
                  <c:v>-11.088594314367439</c:v>
                </c:pt>
                <c:pt idx="78">
                  <c:v>-11.224580536121826</c:v>
                </c:pt>
                <c:pt idx="79">
                  <c:v>-10.983746924300071</c:v>
                </c:pt>
                <c:pt idx="80">
                  <c:v>-10.78372281502471</c:v>
                </c:pt>
                <c:pt idx="81">
                  <c:v>-10.641168599394458</c:v>
                </c:pt>
                <c:pt idx="82">
                  <c:v>-10.928615427584935</c:v>
                </c:pt>
                <c:pt idx="83">
                  <c:v>-10.716018596592569</c:v>
                </c:pt>
                <c:pt idx="84">
                  <c:v>-10.81477447554909</c:v>
                </c:pt>
                <c:pt idx="85">
                  <c:v>-10.563426930148571</c:v>
                </c:pt>
                <c:pt idx="86">
                  <c:v>-10.668110875871285</c:v>
                </c:pt>
                <c:pt idx="87">
                  <c:v>-10.346297213336074</c:v>
                </c:pt>
                <c:pt idx="88">
                  <c:v>-10.9362797475466</c:v>
                </c:pt>
                <c:pt idx="89">
                  <c:v>-10.014561912678177</c:v>
                </c:pt>
                <c:pt idx="90">
                  <c:v>-10.015520859021969</c:v>
                </c:pt>
                <c:pt idx="91">
                  <c:v>-10.140608449916279</c:v>
                </c:pt>
                <c:pt idx="92">
                  <c:v>-10.270040979801992</c:v>
                </c:pt>
                <c:pt idx="93">
                  <c:v>-10.032743457929916</c:v>
                </c:pt>
                <c:pt idx="94">
                  <c:v>-9.8812734121751991</c:v>
                </c:pt>
                <c:pt idx="95">
                  <c:v>-9.8628672339724339</c:v>
                </c:pt>
                <c:pt idx="96">
                  <c:v>-9.7738711547200978</c:v>
                </c:pt>
                <c:pt idx="97">
                  <c:v>-9.7536095056061747</c:v>
                </c:pt>
                <c:pt idx="98">
                  <c:v>-9.5768670354866536</c:v>
                </c:pt>
                <c:pt idx="99">
                  <c:v>-9.3401316261953138</c:v>
                </c:pt>
                <c:pt idx="100">
                  <c:v>-9.3385207932375689</c:v>
                </c:pt>
                <c:pt idx="101">
                  <c:v>-9.2007960489518563</c:v>
                </c:pt>
                <c:pt idx="102">
                  <c:v>-9.3278202417723683</c:v>
                </c:pt>
                <c:pt idx="103">
                  <c:v>-9.1329427428747287</c:v>
                </c:pt>
                <c:pt idx="104">
                  <c:v>-7.1134604050824279</c:v>
                </c:pt>
                <c:pt idx="105">
                  <c:v>-7.6538204304319288</c:v>
                </c:pt>
                <c:pt idx="106">
                  <c:v>-7.7503704085021043</c:v>
                </c:pt>
                <c:pt idx="107">
                  <c:v>-7.8141444722717379</c:v>
                </c:pt>
                <c:pt idx="108">
                  <c:v>-7.9305707779397547</c:v>
                </c:pt>
                <c:pt idx="109">
                  <c:v>-7.9097337642254688</c:v>
                </c:pt>
                <c:pt idx="110">
                  <c:v>-7.7748363325756369</c:v>
                </c:pt>
                <c:pt idx="111">
                  <c:v>-7.8531508389715752</c:v>
                </c:pt>
                <c:pt idx="112">
                  <c:v>-7.6912329230340752</c:v>
                </c:pt>
                <c:pt idx="113">
                  <c:v>-7.553070024418691</c:v>
                </c:pt>
                <c:pt idx="114">
                  <c:v>-7.633323300466885</c:v>
                </c:pt>
                <c:pt idx="115">
                  <c:v>-7.6871122496071562</c:v>
                </c:pt>
                <c:pt idx="116">
                  <c:v>-7.6773150519984599</c:v>
                </c:pt>
                <c:pt idx="117">
                  <c:v>-7.6628878713939255</c:v>
                </c:pt>
                <c:pt idx="118">
                  <c:v>-7.6427713185029313</c:v>
                </c:pt>
                <c:pt idx="119">
                  <c:v>-7.9608924304809534</c:v>
                </c:pt>
                <c:pt idx="120">
                  <c:v>-7.9331023499122333</c:v>
                </c:pt>
                <c:pt idx="121">
                  <c:v>-7.9194467021415331</c:v>
                </c:pt>
                <c:pt idx="122">
                  <c:v>-7.7177684254173951</c:v>
                </c:pt>
                <c:pt idx="123">
                  <c:v>-7.5435623942173944</c:v>
                </c:pt>
                <c:pt idx="124">
                  <c:v>-7.5965054116537587</c:v>
                </c:pt>
                <c:pt idx="125">
                  <c:v>-7.5382932424836335</c:v>
                </c:pt>
                <c:pt idx="126">
                  <c:v>-7.439971117731158</c:v>
                </c:pt>
                <c:pt idx="127">
                  <c:v>-7.4823459884925807</c:v>
                </c:pt>
                <c:pt idx="128">
                  <c:v>-7.7137054384061887</c:v>
                </c:pt>
                <c:pt idx="129">
                  <c:v>-7.5752961342323504</c:v>
                </c:pt>
                <c:pt idx="130">
                  <c:v>-7.3638387934976564</c:v>
                </c:pt>
                <c:pt idx="131">
                  <c:v>-7.2212829390111688</c:v>
                </c:pt>
                <c:pt idx="132">
                  <c:v>-7.0390500374322214</c:v>
                </c:pt>
                <c:pt idx="133">
                  <c:v>-6.7358478554897747</c:v>
                </c:pt>
                <c:pt idx="134">
                  <c:v>-6.3237667614807389</c:v>
                </c:pt>
                <c:pt idx="135">
                  <c:v>-6.3560733407813057</c:v>
                </c:pt>
                <c:pt idx="136">
                  <c:v>-6.7841916536557996</c:v>
                </c:pt>
                <c:pt idx="137">
                  <c:v>-6.5107709181719287</c:v>
                </c:pt>
                <c:pt idx="138">
                  <c:v>-6.8337968578341703</c:v>
                </c:pt>
                <c:pt idx="139">
                  <c:v>-6.6853973860159899</c:v>
                </c:pt>
                <c:pt idx="140">
                  <c:v>-6.3436867374321393</c:v>
                </c:pt>
                <c:pt idx="141">
                  <c:v>-6.7623050928213608</c:v>
                </c:pt>
                <c:pt idx="142">
                  <c:v>-6.7855103821496057</c:v>
                </c:pt>
                <c:pt idx="143">
                  <c:v>-6.0723628043747508</c:v>
                </c:pt>
                <c:pt idx="144">
                  <c:v>-6.7340229345612537</c:v>
                </c:pt>
                <c:pt idx="145">
                  <c:v>-6.6595838102621876</c:v>
                </c:pt>
                <c:pt idx="146">
                  <c:v>-6.854807933103098</c:v>
                </c:pt>
                <c:pt idx="147">
                  <c:v>-6.878146486886882</c:v>
                </c:pt>
                <c:pt idx="148">
                  <c:v>-6.6316289007330358</c:v>
                </c:pt>
                <c:pt idx="149">
                  <c:v>-6.6686354362885929</c:v>
                </c:pt>
                <c:pt idx="150">
                  <c:v>-6.6477945144070603</c:v>
                </c:pt>
                <c:pt idx="151">
                  <c:v>-6.3612942104664665</c:v>
                </c:pt>
                <c:pt idx="152">
                  <c:v>-7.0289627449148329</c:v>
                </c:pt>
                <c:pt idx="153">
                  <c:v>-7.028962744914832</c:v>
                </c:pt>
                <c:pt idx="154">
                  <c:v>-7.2412560936828143</c:v>
                </c:pt>
                <c:pt idx="155">
                  <c:v>-6.9504839786991859</c:v>
                </c:pt>
                <c:pt idx="156">
                  <c:v>-7.2434502560068781</c:v>
                </c:pt>
                <c:pt idx="157">
                  <c:v>-6.9493907501790657</c:v>
                </c:pt>
                <c:pt idx="158">
                  <c:v>-6.7891482229748474</c:v>
                </c:pt>
                <c:pt idx="159">
                  <c:v>-6.8076389990655581</c:v>
                </c:pt>
                <c:pt idx="160">
                  <c:v>-6.6135598597547602</c:v>
                </c:pt>
                <c:pt idx="161">
                  <c:v>-6.7248534419078343</c:v>
                </c:pt>
                <c:pt idx="162">
                  <c:v>-6.7975811238968538</c:v>
                </c:pt>
                <c:pt idx="163">
                  <c:v>-6.7645348528110096</c:v>
                </c:pt>
                <c:pt idx="164">
                  <c:v>-6.4776215997667981</c:v>
                </c:pt>
                <c:pt idx="165">
                  <c:v>-6.0184315708126297</c:v>
                </c:pt>
                <c:pt idx="166">
                  <c:v>-6.2578285012269195</c:v>
                </c:pt>
                <c:pt idx="167">
                  <c:v>-6.3172841001783082</c:v>
                </c:pt>
                <c:pt idx="168">
                  <c:v>-6.4374061706897203</c:v>
                </c:pt>
                <c:pt idx="169">
                  <c:v>-6.3507660205827676</c:v>
                </c:pt>
                <c:pt idx="170">
                  <c:v>-5.9464137340449117</c:v>
                </c:pt>
                <c:pt idx="171">
                  <c:v>-5.9378441618490063</c:v>
                </c:pt>
                <c:pt idx="172">
                  <c:v>-6.0008227555204137</c:v>
                </c:pt>
                <c:pt idx="173">
                  <c:v>-5.7499539943630475</c:v>
                </c:pt>
                <c:pt idx="174">
                  <c:v>-5.6385334923951795</c:v>
                </c:pt>
                <c:pt idx="175">
                  <c:v>-6.2368501511700236</c:v>
                </c:pt>
                <c:pt idx="176">
                  <c:v>-6.4255142612944258</c:v>
                </c:pt>
                <c:pt idx="177">
                  <c:v>-6.566548283939631</c:v>
                </c:pt>
                <c:pt idx="178">
                  <c:v>-6.2721533641970746</c:v>
                </c:pt>
                <c:pt idx="179">
                  <c:v>-6.6410219968600535</c:v>
                </c:pt>
                <c:pt idx="180">
                  <c:v>-6.4286593944770383</c:v>
                </c:pt>
                <c:pt idx="181">
                  <c:v>-6.3444425393718031</c:v>
                </c:pt>
                <c:pt idx="182">
                  <c:v>-6.0025127743372861</c:v>
                </c:pt>
                <c:pt idx="183">
                  <c:v>-6.4562248096999504</c:v>
                </c:pt>
                <c:pt idx="184">
                  <c:v>-6.3344831249904869</c:v>
                </c:pt>
                <c:pt idx="185">
                  <c:v>-6.4408932152760601</c:v>
                </c:pt>
                <c:pt idx="186">
                  <c:v>-6.0267448546335087</c:v>
                </c:pt>
                <c:pt idx="187">
                  <c:v>-6.4182628381473315</c:v>
                </c:pt>
                <c:pt idx="188">
                  <c:v>-6.4404972998712946</c:v>
                </c:pt>
                <c:pt idx="189">
                  <c:v>-6.5650411785503149</c:v>
                </c:pt>
                <c:pt idx="190">
                  <c:v>-6.7591794082009171</c:v>
                </c:pt>
                <c:pt idx="191">
                  <c:v>-6.7812146786810938</c:v>
                </c:pt>
                <c:pt idx="192">
                  <c:v>-6.6606980571916274</c:v>
                </c:pt>
                <c:pt idx="193">
                  <c:v>-6.5977630108921002</c:v>
                </c:pt>
                <c:pt idx="194">
                  <c:v>-6.4421004157770527</c:v>
                </c:pt>
                <c:pt idx="195">
                  <c:v>-6.373504139676319</c:v>
                </c:pt>
                <c:pt idx="196">
                  <c:v>-6.1452076922308994</c:v>
                </c:pt>
                <c:pt idx="197">
                  <c:v>-6.3402323314998261</c:v>
                </c:pt>
                <c:pt idx="198">
                  <c:v>-6.4988935254115905</c:v>
                </c:pt>
                <c:pt idx="199">
                  <c:v>-6.3965080825669371</c:v>
                </c:pt>
                <c:pt idx="200">
                  <c:v>-6.331229837849695</c:v>
                </c:pt>
                <c:pt idx="201">
                  <c:v>-6.3700533073153434</c:v>
                </c:pt>
                <c:pt idx="202">
                  <c:v>-6.2476255540166896</c:v>
                </c:pt>
                <c:pt idx="203">
                  <c:v>-6.3729022318537361</c:v>
                </c:pt>
                <c:pt idx="204">
                  <c:v>-6.2119109002559005</c:v>
                </c:pt>
                <c:pt idx="205">
                  <c:v>-6.0342207185386716</c:v>
                </c:pt>
                <c:pt idx="206">
                  <c:v>-5.8690297923946106</c:v>
                </c:pt>
                <c:pt idx="207">
                  <c:v>-6.042702543649237</c:v>
                </c:pt>
                <c:pt idx="208">
                  <c:v>-6.0062592912076962</c:v>
                </c:pt>
                <c:pt idx="209">
                  <c:v>-6.0112838560790713</c:v>
                </c:pt>
                <c:pt idx="210">
                  <c:v>-6.0789554519361024</c:v>
                </c:pt>
                <c:pt idx="211">
                  <c:v>-5.9687323688983671</c:v>
                </c:pt>
                <c:pt idx="212">
                  <c:v>-5.9997753891250705</c:v>
                </c:pt>
                <c:pt idx="213">
                  <c:v>-6.1964394266991105</c:v>
                </c:pt>
                <c:pt idx="214">
                  <c:v>-5.9979315145925414</c:v>
                </c:pt>
                <c:pt idx="215">
                  <c:v>-6.3056703675318877</c:v>
                </c:pt>
                <c:pt idx="216">
                  <c:v>-6.4251512062085787</c:v>
                </c:pt>
                <c:pt idx="217">
                  <c:v>-6.1985345142572363</c:v>
                </c:pt>
                <c:pt idx="218">
                  <c:v>-6.1989198571425916</c:v>
                </c:pt>
                <c:pt idx="219">
                  <c:v>-6.3821893889636989</c:v>
                </c:pt>
                <c:pt idx="220">
                  <c:v>-6.4146565697636992</c:v>
                </c:pt>
                <c:pt idx="221">
                  <c:v>-6.1461547520689201</c:v>
                </c:pt>
                <c:pt idx="222">
                  <c:v>-6.1481025773859272</c:v>
                </c:pt>
                <c:pt idx="223">
                  <c:v>-6.1663725093328292</c:v>
                </c:pt>
                <c:pt idx="224">
                  <c:v>-5.8781000109148378</c:v>
                </c:pt>
                <c:pt idx="225">
                  <c:v>-5.8931292299705493</c:v>
                </c:pt>
                <c:pt idx="226">
                  <c:v>-5.6973037135640396</c:v>
                </c:pt>
                <c:pt idx="227">
                  <c:v>-5.5168065574087279</c:v>
                </c:pt>
                <c:pt idx="228">
                  <c:v>-5.4933553145659202</c:v>
                </c:pt>
                <c:pt idx="229">
                  <c:v>-5.6645319770565736</c:v>
                </c:pt>
                <c:pt idx="230">
                  <c:v>-5.5919249968633071</c:v>
                </c:pt>
                <c:pt idx="231">
                  <c:v>-5.3900293348966404</c:v>
                </c:pt>
                <c:pt idx="232">
                  <c:v>-5.2078816216850816</c:v>
                </c:pt>
                <c:pt idx="233">
                  <c:v>-5.3021846655846536</c:v>
                </c:pt>
                <c:pt idx="234">
                  <c:v>-5.4302144745846537</c:v>
                </c:pt>
                <c:pt idx="235">
                  <c:v>-5.239193306008664</c:v>
                </c:pt>
                <c:pt idx="236">
                  <c:v>-5.168856140764948</c:v>
                </c:pt>
                <c:pt idx="237">
                  <c:v>-5.1300718817931417</c:v>
                </c:pt>
                <c:pt idx="238">
                  <c:v>-4.9988305184967494</c:v>
                </c:pt>
                <c:pt idx="239">
                  <c:v>-4.9863785020633191</c:v>
                </c:pt>
                <c:pt idx="240">
                  <c:v>-4.7724710363058547</c:v>
                </c:pt>
                <c:pt idx="241">
                  <c:v>-4.5379141517350252</c:v>
                </c:pt>
                <c:pt idx="242">
                  <c:v>-4.5299939752494911</c:v>
                </c:pt>
                <c:pt idx="243">
                  <c:v>-4.9170100226397295</c:v>
                </c:pt>
                <c:pt idx="244">
                  <c:v>-4.7366367662666846</c:v>
                </c:pt>
                <c:pt idx="245">
                  <c:v>-4.3067405293226484</c:v>
                </c:pt>
                <c:pt idx="246">
                  <c:v>-2.9164302992921773</c:v>
                </c:pt>
                <c:pt idx="247">
                  <c:v>-3.7072246938407738</c:v>
                </c:pt>
                <c:pt idx="248">
                  <c:v>-3.9527285927274054</c:v>
                </c:pt>
                <c:pt idx="249">
                  <c:v>-3.9977696046673095</c:v>
                </c:pt>
                <c:pt idx="250">
                  <c:v>-4.0325913631735881</c:v>
                </c:pt>
                <c:pt idx="251">
                  <c:v>-3.8664746911707724</c:v>
                </c:pt>
                <c:pt idx="252">
                  <c:v>-3.6871211437888669</c:v>
                </c:pt>
                <c:pt idx="253">
                  <c:v>-3.7969999985289515</c:v>
                </c:pt>
                <c:pt idx="254">
                  <c:v>-3.3901251388166305</c:v>
                </c:pt>
                <c:pt idx="255">
                  <c:v>-3.6124569771008876</c:v>
                </c:pt>
                <c:pt idx="256">
                  <c:v>-3.5973986891370835</c:v>
                </c:pt>
                <c:pt idx="257">
                  <c:v>-3.3996936969336495</c:v>
                </c:pt>
                <c:pt idx="258">
                  <c:v>-3.2615297446074689</c:v>
                </c:pt>
                <c:pt idx="259">
                  <c:v>-3.295158936776065</c:v>
                </c:pt>
                <c:pt idx="260">
                  <c:v>-3.3691740443005518</c:v>
                </c:pt>
                <c:pt idx="261">
                  <c:v>-3.0470280496619981</c:v>
                </c:pt>
                <c:pt idx="262">
                  <c:v>-3.1900415639926445</c:v>
                </c:pt>
                <c:pt idx="263">
                  <c:v>-3.1033564252630348</c:v>
                </c:pt>
                <c:pt idx="264">
                  <c:v>-2.9991118266298731</c:v>
                </c:pt>
                <c:pt idx="265">
                  <c:v>-2.9496249361191675</c:v>
                </c:pt>
                <c:pt idx="266">
                  <c:v>-2.8578207064739312</c:v>
                </c:pt>
                <c:pt idx="267">
                  <c:v>-2.6256530871633021</c:v>
                </c:pt>
                <c:pt idx="268">
                  <c:v>-2.7010746785867696</c:v>
                </c:pt>
                <c:pt idx="269">
                  <c:v>-2.3921903583732211</c:v>
                </c:pt>
                <c:pt idx="270">
                  <c:v>-2.2021202823709469</c:v>
                </c:pt>
                <c:pt idx="271">
                  <c:v>-2.2259889267768944</c:v>
                </c:pt>
                <c:pt idx="272">
                  <c:v>-2.1955658326647134</c:v>
                </c:pt>
                <c:pt idx="273">
                  <c:v>-1.8684470082650402</c:v>
                </c:pt>
                <c:pt idx="274">
                  <c:v>-2.3291749908697978</c:v>
                </c:pt>
                <c:pt idx="275">
                  <c:v>-2.1602135462379848</c:v>
                </c:pt>
                <c:pt idx="276">
                  <c:v>-2.4864670395052197</c:v>
                </c:pt>
                <c:pt idx="277">
                  <c:v>-2.5668578718065653</c:v>
                </c:pt>
                <c:pt idx="278">
                  <c:v>-2.5581793898518423</c:v>
                </c:pt>
                <c:pt idx="279">
                  <c:v>-2.4501182578606029</c:v>
                </c:pt>
                <c:pt idx="280">
                  <c:v>-2.6794159099354169</c:v>
                </c:pt>
                <c:pt idx="281">
                  <c:v>-2.4687371108282079</c:v>
                </c:pt>
                <c:pt idx="282">
                  <c:v>-2.2741835463129942</c:v>
                </c:pt>
                <c:pt idx="283">
                  <c:v>-2.4328824625398728</c:v>
                </c:pt>
                <c:pt idx="284">
                  <c:v>-2.141290577505425</c:v>
                </c:pt>
                <c:pt idx="285">
                  <c:v>-2.3010134896093564</c:v>
                </c:pt>
                <c:pt idx="286">
                  <c:v>-2.4428314955082491</c:v>
                </c:pt>
                <c:pt idx="287">
                  <c:v>-2.4991834373301951</c:v>
                </c:pt>
                <c:pt idx="288">
                  <c:v>-2.5501647296486483</c:v>
                </c:pt>
                <c:pt idx="289">
                  <c:v>-2.5741477809495747</c:v>
                </c:pt>
                <c:pt idx="290">
                  <c:v>-2.5196333560859312</c:v>
                </c:pt>
                <c:pt idx="291">
                  <c:v>-2.4846755945584036</c:v>
                </c:pt>
                <c:pt idx="292">
                  <c:v>-2.3958796474643353</c:v>
                </c:pt>
                <c:pt idx="293">
                  <c:v>-2.3841259048873171</c:v>
                </c:pt>
                <c:pt idx="294">
                  <c:v>-2.3711337356321183</c:v>
                </c:pt>
                <c:pt idx="295">
                  <c:v>-2.4580618442968318</c:v>
                </c:pt>
                <c:pt idx="296">
                  <c:v>-2.3158210140703583</c:v>
                </c:pt>
                <c:pt idx="297">
                  <c:v>-2.2955933610336854</c:v>
                </c:pt>
                <c:pt idx="298">
                  <c:v>-2.388367366791571</c:v>
                </c:pt>
                <c:pt idx="299">
                  <c:v>-2.4315061113154539</c:v>
                </c:pt>
                <c:pt idx="300">
                  <c:v>-2.175372357640208</c:v>
                </c:pt>
                <c:pt idx="301">
                  <c:v>-2.0179503705511301</c:v>
                </c:pt>
                <c:pt idx="302">
                  <c:v>-2.3235200175130419</c:v>
                </c:pt>
                <c:pt idx="303">
                  <c:v>-2.1849911555463004</c:v>
                </c:pt>
                <c:pt idx="304">
                  <c:v>-2.070027592640856</c:v>
                </c:pt>
                <c:pt idx="305">
                  <c:v>-1.7080634420360674</c:v>
                </c:pt>
                <c:pt idx="306">
                  <c:v>-2.1542517492553044</c:v>
                </c:pt>
                <c:pt idx="307">
                  <c:v>-1.9914085188771817</c:v>
                </c:pt>
                <c:pt idx="308">
                  <c:v>-2.1527149262062046</c:v>
                </c:pt>
                <c:pt idx="309">
                  <c:v>-1.8429265092225242</c:v>
                </c:pt>
                <c:pt idx="310">
                  <c:v>-1.6010962384509357</c:v>
                </c:pt>
                <c:pt idx="311">
                  <c:v>-1.2650271704458038</c:v>
                </c:pt>
                <c:pt idx="312">
                  <c:v>-1.2571769657035072</c:v>
                </c:pt>
                <c:pt idx="313">
                  <c:v>-1.2582062174136019</c:v>
                </c:pt>
                <c:pt idx="314">
                  <c:v>-1.0365744166167778</c:v>
                </c:pt>
                <c:pt idx="315">
                  <c:v>-0.92107490936126868</c:v>
                </c:pt>
                <c:pt idx="316">
                  <c:v>-0.6911596483264183</c:v>
                </c:pt>
                <c:pt idx="317">
                  <c:v>-0.66830718603797168</c:v>
                </c:pt>
                <c:pt idx="318">
                  <c:v>-0.47692539281843938</c:v>
                </c:pt>
                <c:pt idx="319">
                  <c:v>-0.18264563893628141</c:v>
                </c:pt>
                <c:pt idx="320">
                  <c:v>-6.6648547285118848E-2</c:v>
                </c:pt>
                <c:pt idx="321">
                  <c:v>0.77299197146644716</c:v>
                </c:pt>
                <c:pt idx="322">
                  <c:v>3.2622043544317987</c:v>
                </c:pt>
                <c:pt idx="323">
                  <c:v>1.9885287540633718</c:v>
                </c:pt>
                <c:pt idx="324">
                  <c:v>3.7189230549145198</c:v>
                </c:pt>
                <c:pt idx="325">
                  <c:v>2.4142924450520025</c:v>
                </c:pt>
                <c:pt idx="326">
                  <c:v>2.1842645452566649</c:v>
                </c:pt>
                <c:pt idx="327">
                  <c:v>2.1070217146596653</c:v>
                </c:pt>
                <c:pt idx="328">
                  <c:v>2.2967285811850568</c:v>
                </c:pt>
                <c:pt idx="329">
                  <c:v>1.96535829517243</c:v>
                </c:pt>
                <c:pt idx="330">
                  <c:v>2.0782710937680537</c:v>
                </c:pt>
                <c:pt idx="331">
                  <c:v>2.1904457413886202</c:v>
                </c:pt>
                <c:pt idx="332">
                  <c:v>1.9103634444280491</c:v>
                </c:pt>
                <c:pt idx="333">
                  <c:v>1.7677139746029349</c:v>
                </c:pt>
                <c:pt idx="334">
                  <c:v>1.7817256974682927</c:v>
                </c:pt>
                <c:pt idx="335">
                  <c:v>1.824613585396174</c:v>
                </c:pt>
                <c:pt idx="336">
                  <c:v>1.8408877798773262</c:v>
                </c:pt>
                <c:pt idx="337">
                  <c:v>1.9964159025781973</c:v>
                </c:pt>
                <c:pt idx="338">
                  <c:v>2.1377456977424627</c:v>
                </c:pt>
                <c:pt idx="339">
                  <c:v>2.0739226994336075</c:v>
                </c:pt>
                <c:pt idx="340">
                  <c:v>1.9515437818686148</c:v>
                </c:pt>
                <c:pt idx="341">
                  <c:v>1.9470209735912445</c:v>
                </c:pt>
                <c:pt idx="342">
                  <c:v>2.0835923344566463</c:v>
                </c:pt>
                <c:pt idx="343">
                  <c:v>1.7997020364068541</c:v>
                </c:pt>
                <c:pt idx="344">
                  <c:v>1.7876937010383298</c:v>
                </c:pt>
                <c:pt idx="345">
                  <c:v>1.6386500650007256</c:v>
                </c:pt>
                <c:pt idx="346">
                  <c:v>1.8990154304700733</c:v>
                </c:pt>
                <c:pt idx="347">
                  <c:v>1.6527783588034068</c:v>
                </c:pt>
                <c:pt idx="348">
                  <c:v>1.8619678773225319</c:v>
                </c:pt>
                <c:pt idx="349">
                  <c:v>1.9566788272392475</c:v>
                </c:pt>
                <c:pt idx="350">
                  <c:v>1.8671389907886975</c:v>
                </c:pt>
                <c:pt idx="351">
                  <c:v>1.2994524224380026</c:v>
                </c:pt>
                <c:pt idx="352">
                  <c:v>1.2697756686898833</c:v>
                </c:pt>
                <c:pt idx="353">
                  <c:v>1.4845652173226014</c:v>
                </c:pt>
                <c:pt idx="354">
                  <c:v>0.95305360246584725</c:v>
                </c:pt>
                <c:pt idx="355">
                  <c:v>0.77056765190843513</c:v>
                </c:pt>
                <c:pt idx="356">
                  <c:v>0.82084559628229059</c:v>
                </c:pt>
                <c:pt idx="357">
                  <c:v>0.68950512988266344</c:v>
                </c:pt>
                <c:pt idx="358">
                  <c:v>0.94721583676182819</c:v>
                </c:pt>
                <c:pt idx="359">
                  <c:v>0.72159812918984367</c:v>
                </c:pt>
                <c:pt idx="360">
                  <c:v>0.45994333280394128</c:v>
                </c:pt>
                <c:pt idx="361">
                  <c:v>0.3998504589960637</c:v>
                </c:pt>
                <c:pt idx="362">
                  <c:v>0.55763939484401737</c:v>
                </c:pt>
                <c:pt idx="363">
                  <c:v>0.41446725261077305</c:v>
                </c:pt>
                <c:pt idx="364">
                  <c:v>9.95699331070274E-2</c:v>
                </c:pt>
                <c:pt idx="365">
                  <c:v>0.19123603866536426</c:v>
                </c:pt>
                <c:pt idx="366">
                  <c:v>0.84594948728749086</c:v>
                </c:pt>
                <c:pt idx="367">
                  <c:v>0.20528401722945536</c:v>
                </c:pt>
                <c:pt idx="368">
                  <c:v>0.31995433139821017</c:v>
                </c:pt>
                <c:pt idx="369">
                  <c:v>9.8601109024427716E-2</c:v>
                </c:pt>
                <c:pt idx="370">
                  <c:v>8.9500948070178971E-2</c:v>
                </c:pt>
                <c:pt idx="371">
                  <c:v>-0.3039867711223444</c:v>
                </c:pt>
                <c:pt idx="372">
                  <c:v>0.16859983636856432</c:v>
                </c:pt>
                <c:pt idx="373">
                  <c:v>0.1718699102163162</c:v>
                </c:pt>
                <c:pt idx="374">
                  <c:v>0.5539684977061311</c:v>
                </c:pt>
                <c:pt idx="375">
                  <c:v>0.42661130228355576</c:v>
                </c:pt>
                <c:pt idx="376">
                  <c:v>0.26210775532271735</c:v>
                </c:pt>
                <c:pt idx="377">
                  <c:v>0.40770851136907044</c:v>
                </c:pt>
                <c:pt idx="378">
                  <c:v>0.41283327587868601</c:v>
                </c:pt>
                <c:pt idx="379">
                  <c:v>-3.8406393920590594E-2</c:v>
                </c:pt>
                <c:pt idx="380">
                  <c:v>-0.14655211901552703</c:v>
                </c:pt>
                <c:pt idx="381">
                  <c:v>-0.20424499845486344</c:v>
                </c:pt>
                <c:pt idx="382">
                  <c:v>-0.61858780553592663</c:v>
                </c:pt>
                <c:pt idx="383">
                  <c:v>-0.14665515954391545</c:v>
                </c:pt>
                <c:pt idx="384">
                  <c:v>-0.15906108721100504</c:v>
                </c:pt>
                <c:pt idx="385">
                  <c:v>-0.21963516133199493</c:v>
                </c:pt>
                <c:pt idx="386">
                  <c:v>-0.17864424075013563</c:v>
                </c:pt>
                <c:pt idx="387">
                  <c:v>-0.34375807133530945</c:v>
                </c:pt>
                <c:pt idx="388">
                  <c:v>-1.0613078502946116</c:v>
                </c:pt>
                <c:pt idx="389">
                  <c:v>-1.5304261833319301</c:v>
                </c:pt>
                <c:pt idx="390">
                  <c:v>-1.7137376092993053</c:v>
                </c:pt>
                <c:pt idx="391">
                  <c:v>-1.5967231192202196</c:v>
                </c:pt>
                <c:pt idx="392">
                  <c:v>-1.6557339041904144</c:v>
                </c:pt>
                <c:pt idx="393">
                  <c:v>-1.7389350699350952</c:v>
                </c:pt>
                <c:pt idx="394">
                  <c:v>-1.6749736617064317</c:v>
                </c:pt>
                <c:pt idx="395">
                  <c:v>-1.4696219912508828</c:v>
                </c:pt>
                <c:pt idx="396">
                  <c:v>-1.2631994595040743</c:v>
                </c:pt>
                <c:pt idx="397">
                  <c:v>-1.0614621012831249</c:v>
                </c:pt>
                <c:pt idx="398">
                  <c:v>-1.2331351543352509</c:v>
                </c:pt>
                <c:pt idx="399">
                  <c:v>-1.6982090953311209</c:v>
                </c:pt>
                <c:pt idx="400">
                  <c:v>-2.5719843563358213</c:v>
                </c:pt>
                <c:pt idx="401">
                  <c:v>-2.1226069848439999</c:v>
                </c:pt>
                <c:pt idx="402">
                  <c:v>-2.0522315793550678</c:v>
                </c:pt>
                <c:pt idx="403">
                  <c:v>-1.7315909037375206</c:v>
                </c:pt>
                <c:pt idx="404">
                  <c:v>-0.73310410450409524</c:v>
                </c:pt>
                <c:pt idx="405">
                  <c:v>-0.99580428197547977</c:v>
                </c:pt>
                <c:pt idx="406">
                  <c:v>-1.525311614649854</c:v>
                </c:pt>
                <c:pt idx="407">
                  <c:v>-1.0587155959186136</c:v>
                </c:pt>
                <c:pt idx="408">
                  <c:v>-1.028315150166716</c:v>
                </c:pt>
                <c:pt idx="409">
                  <c:v>-0.83955740401729129</c:v>
                </c:pt>
                <c:pt idx="410">
                  <c:v>-0.89649675672055607</c:v>
                </c:pt>
                <c:pt idx="411">
                  <c:v>-0.56545422934230027</c:v>
                </c:pt>
                <c:pt idx="412">
                  <c:v>-0.53113023103915746</c:v>
                </c:pt>
                <c:pt idx="413">
                  <c:v>0.24853288322056324</c:v>
                </c:pt>
                <c:pt idx="414">
                  <c:v>1.7484380107257484</c:v>
                </c:pt>
                <c:pt idx="415">
                  <c:v>0.49762260914619633</c:v>
                </c:pt>
                <c:pt idx="416">
                  <c:v>0.35969306792990846</c:v>
                </c:pt>
                <c:pt idx="417">
                  <c:v>0.83004799737990842</c:v>
                </c:pt>
                <c:pt idx="418">
                  <c:v>1.5372079925253637</c:v>
                </c:pt>
                <c:pt idx="419">
                  <c:v>1.4586698501240816</c:v>
                </c:pt>
                <c:pt idx="420">
                  <c:v>0.16269232127760877</c:v>
                </c:pt>
                <c:pt idx="421">
                  <c:v>-0.21319268248417528</c:v>
                </c:pt>
                <c:pt idx="422">
                  <c:v>-0.70249354037236367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DA-4DAF-ACB8-CC38D45C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563216"/>
        <c:axId val="144564880"/>
      </c:lineChart>
      <c:dateAx>
        <c:axId val="144563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564880"/>
        <c:crosses val="autoZero"/>
        <c:auto val="1"/>
        <c:lblOffset val="100"/>
        <c:baseTimeUnit val="days"/>
      </c:dateAx>
      <c:valAx>
        <c:axId val="14456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56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C48EC64-3EA0-4DF5-BE36-00437C294C20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27FC14-0F62-4749-8648-50C8BD4B230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1.2444299999999999</v>
      </c>
      <c r="D2" s="4">
        <f>MIN(D3:D1912)</f>
        <v>0.03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0.11849999999999999</v>
      </c>
      <c r="C5">
        <v>0.1206</v>
      </c>
      <c r="D5">
        <v>0.1162</v>
      </c>
      <c r="E5">
        <v>0.1164</v>
      </c>
      <c r="F5">
        <v>3762640</v>
      </c>
      <c r="G5">
        <v>0.1164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-0.90909090909090651</v>
      </c>
      <c r="Q5">
        <f t="shared" ref="Q5" si="1">F5*P5</f>
        <v>-3420581.8181818086</v>
      </c>
      <c r="R5">
        <f t="shared" ref="R5" si="2">R6+Q5</f>
        <v>-1637128383.730993</v>
      </c>
      <c r="S5">
        <f t="shared" ref="S5" si="3">R5/100000</f>
        <v>-16371.283837309931</v>
      </c>
      <c r="T5">
        <f t="shared" ref="T5" si="4">S5/1000</f>
        <v>-16.371283837309932</v>
      </c>
    </row>
    <row r="6" spans="1:20" x14ac:dyDescent="0.25">
      <c r="A6" s="5">
        <v>44587</v>
      </c>
      <c r="B6">
        <v>0.1134</v>
      </c>
      <c r="C6">
        <v>0.13519999999999999</v>
      </c>
      <c r="D6">
        <v>0.11210000000000001</v>
      </c>
      <c r="E6">
        <v>0.11840000000000001</v>
      </c>
      <c r="F6">
        <v>67203825</v>
      </c>
      <c r="G6">
        <v>0.11840000000000001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-0.45454545454545409</v>
      </c>
      <c r="Q6">
        <f t="shared" ref="Q6" si="6">F6*P6</f>
        <v>-30547193.18181815</v>
      </c>
      <c r="R6">
        <f t="shared" ref="R6" si="7">R7+Q6</f>
        <v>-1633707801.9128113</v>
      </c>
      <c r="S6">
        <f t="shared" ref="S6" si="8">R6/100000</f>
        <v>-16337.078019128112</v>
      </c>
      <c r="T6">
        <f t="shared" ref="T6" si="9">S6/1000</f>
        <v>-16.337078019128111</v>
      </c>
    </row>
    <row r="7" spans="1:20" x14ac:dyDescent="0.25">
      <c r="A7" s="5">
        <v>44586</v>
      </c>
      <c r="B7">
        <v>0.11119999999999999</v>
      </c>
      <c r="C7">
        <v>0.1159</v>
      </c>
      <c r="D7">
        <v>0.10680000000000001</v>
      </c>
      <c r="E7">
        <v>0.1133</v>
      </c>
      <c r="F7">
        <v>22613861</v>
      </c>
      <c r="G7">
        <v>0.1133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0.42857142857142727</v>
      </c>
      <c r="Q7">
        <f t="shared" ref="Q7" si="11">F7*P7</f>
        <v>9691654.7142856847</v>
      </c>
      <c r="R7">
        <f t="shared" ref="R7" si="12">R8+Q7</f>
        <v>-1603160608.730993</v>
      </c>
      <c r="S7">
        <f t="shared" ref="S7" si="13">R7/100000</f>
        <v>-16031.60608730993</v>
      </c>
      <c r="T7">
        <f t="shared" ref="T7" si="14">S7/1000</f>
        <v>-16.031606087309932</v>
      </c>
    </row>
    <row r="8" spans="1:20" x14ac:dyDescent="0.25">
      <c r="A8" s="5">
        <v>44585</v>
      </c>
      <c r="B8">
        <v>0.1137</v>
      </c>
      <c r="C8">
        <v>0.11409999999999999</v>
      </c>
      <c r="D8">
        <v>9.7100000000000006E-2</v>
      </c>
      <c r="E8">
        <v>0.11119999999999999</v>
      </c>
      <c r="F8">
        <v>72351573</v>
      </c>
      <c r="G8">
        <v>0.11119999999999999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0.65882352941176447</v>
      </c>
      <c r="Q8">
        <f t="shared" ref="Q8" si="16">F8*P8</f>
        <v>47666918.682352923</v>
      </c>
      <c r="R8">
        <f t="shared" ref="R8" si="17">R9+Q8</f>
        <v>-1612852263.4452786</v>
      </c>
      <c r="S8">
        <f t="shared" ref="S8" si="18">R8/100000</f>
        <v>-16128.522634452787</v>
      </c>
      <c r="T8">
        <f t="shared" ref="T8" si="19">S8/1000</f>
        <v>-16.128522634452786</v>
      </c>
    </row>
    <row r="9" spans="1:20" x14ac:dyDescent="0.25">
      <c r="A9" s="5">
        <v>44584</v>
      </c>
      <c r="B9">
        <v>0.1129</v>
      </c>
      <c r="C9">
        <v>0.12</v>
      </c>
      <c r="D9">
        <v>0.1069</v>
      </c>
      <c r="E9">
        <v>0.1138</v>
      </c>
      <c r="F9">
        <v>40828417</v>
      </c>
      <c r="G9">
        <v>0.1138</v>
      </c>
      <c r="L9" t="s">
        <v>8</v>
      </c>
      <c r="M9" t="s">
        <v>8</v>
      </c>
      <c r="N9" t="s">
        <v>7</v>
      </c>
      <c r="P9">
        <f t="shared" ref="P9" si="20">IF(C9=D9,0,((E9-D9)-(C9-E9))/(C9-D9))</f>
        <v>5.3435114503817265E-2</v>
      </c>
      <c r="Q9">
        <f t="shared" ref="Q9" si="21">F9*P9</f>
        <v>2181671.1374045992</v>
      </c>
      <c r="R9">
        <f t="shared" ref="R9" si="22">R10+Q9</f>
        <v>-1660519182.1276317</v>
      </c>
      <c r="S9">
        <f t="shared" ref="S9" si="23">R9/100000</f>
        <v>-16605.191821276316</v>
      </c>
      <c r="T9">
        <f t="shared" ref="T9" si="24">S9/1000</f>
        <v>-16.605191821276314</v>
      </c>
    </row>
    <row r="10" spans="1:20" x14ac:dyDescent="0.25">
      <c r="A10" s="5">
        <v>44583</v>
      </c>
      <c r="B10">
        <v>0.1206</v>
      </c>
      <c r="C10">
        <v>0.1234</v>
      </c>
      <c r="D10">
        <v>9.2499999999999999E-2</v>
      </c>
      <c r="E10">
        <v>0.11360000000000001</v>
      </c>
      <c r="F10">
        <v>96236030.900000006</v>
      </c>
      <c r="G10">
        <v>0.11360000000000001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0.36569579288025955</v>
      </c>
      <c r="Q10">
        <f t="shared" ref="Q10" si="26">F10*P10</f>
        <v>35193111.62362466</v>
      </c>
      <c r="R10">
        <f t="shared" ref="R10" si="27">R11+Q10</f>
        <v>-1662700853.2650363</v>
      </c>
      <c r="S10">
        <f t="shared" ref="S10" si="28">R10/100000</f>
        <v>-16627.008532650365</v>
      </c>
      <c r="T10">
        <f t="shared" ref="T10" si="29">S10/1000</f>
        <v>-16.627008532650365</v>
      </c>
    </row>
    <row r="11" spans="1:20" x14ac:dyDescent="0.25">
      <c r="A11" s="5">
        <v>44582</v>
      </c>
      <c r="B11">
        <v>0.14829999999999999</v>
      </c>
      <c r="C11">
        <v>0.14899999999999999</v>
      </c>
      <c r="D11">
        <v>0.1171</v>
      </c>
      <c r="E11">
        <v>0.12089999999999999</v>
      </c>
      <c r="F11">
        <v>110164069.40000001</v>
      </c>
      <c r="G11">
        <v>0.12089999999999999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-0.76175548589341702</v>
      </c>
      <c r="Q11">
        <f t="shared" ref="Q11" si="31">F11*P11</f>
        <v>-83918084.213793114</v>
      </c>
      <c r="R11">
        <f t="shared" ref="R11" si="32">R12+Q11</f>
        <v>-1697893964.8886609</v>
      </c>
      <c r="S11">
        <f t="shared" ref="S11" si="33">R11/100000</f>
        <v>-16978.939648886608</v>
      </c>
      <c r="T11">
        <f t="shared" ref="T11" si="34">S11/1000</f>
        <v>-16.978939648886609</v>
      </c>
    </row>
    <row r="12" spans="1:20" x14ac:dyDescent="0.25">
      <c r="A12" s="5">
        <v>44581</v>
      </c>
      <c r="B12">
        <v>0.15110000000000001</v>
      </c>
      <c r="C12">
        <v>0.1681</v>
      </c>
      <c r="D12">
        <v>0.14680000000000001</v>
      </c>
      <c r="E12">
        <v>0.1484</v>
      </c>
      <c r="F12">
        <v>57622558</v>
      </c>
      <c r="G12">
        <v>0.1484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-0.84976525821596327</v>
      </c>
      <c r="Q12">
        <f t="shared" ref="Q12" si="36">F12*P12</f>
        <v>-48965647.877934322</v>
      </c>
      <c r="R12">
        <f t="shared" ref="R12" si="37">R13+Q12</f>
        <v>-1613975880.6748679</v>
      </c>
      <c r="S12">
        <f t="shared" ref="S12" si="38">R12/100000</f>
        <v>-16139.758806748679</v>
      </c>
      <c r="T12">
        <f t="shared" ref="T12" si="39">S12/1000</f>
        <v>-16.139758806748681</v>
      </c>
    </row>
    <row r="13" spans="1:20" x14ac:dyDescent="0.25">
      <c r="A13" s="5">
        <v>44580</v>
      </c>
      <c r="B13">
        <v>0.1542</v>
      </c>
      <c r="C13">
        <v>0.1615</v>
      </c>
      <c r="D13">
        <v>0.14649999999999999</v>
      </c>
      <c r="E13">
        <v>0.151</v>
      </c>
      <c r="F13">
        <v>39273856</v>
      </c>
      <c r="G13">
        <v>0.151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-0.4</v>
      </c>
      <c r="Q13">
        <f t="shared" ref="Q13" si="41">F13*P13</f>
        <v>-15709542.4</v>
      </c>
      <c r="R13">
        <f t="shared" ref="R13" si="42">R14+Q13</f>
        <v>-1565010232.7969337</v>
      </c>
      <c r="S13">
        <f t="shared" ref="S13" si="43">R13/100000</f>
        <v>-15650.102327969336</v>
      </c>
      <c r="T13">
        <f t="shared" ref="T13" si="44">S13/1000</f>
        <v>-15.650102327969336</v>
      </c>
    </row>
    <row r="14" spans="1:20" x14ac:dyDescent="0.25">
      <c r="A14" s="5">
        <v>44579</v>
      </c>
      <c r="B14">
        <v>0.1598</v>
      </c>
      <c r="C14">
        <v>0.1615</v>
      </c>
      <c r="D14">
        <v>0.14899999999999999</v>
      </c>
      <c r="E14">
        <v>0.15409999999999999</v>
      </c>
      <c r="F14">
        <v>34808195</v>
      </c>
      <c r="G14">
        <v>0.15409999999999999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-0.18400000000000177</v>
      </c>
      <c r="Q14">
        <f t="shared" ref="Q14" si="46">F14*P14</f>
        <v>-6404707.8800000614</v>
      </c>
      <c r="R14">
        <f t="shared" ref="R14" si="47">R15+Q14</f>
        <v>-1549300690.3969336</v>
      </c>
      <c r="S14">
        <f t="shared" ref="S14" si="48">R14/100000</f>
        <v>-15493.006903969335</v>
      </c>
      <c r="T14">
        <f t="shared" ref="T14" si="49">S14/1000</f>
        <v>-15.493006903969336</v>
      </c>
    </row>
    <row r="15" spans="1:20" x14ac:dyDescent="0.25">
      <c r="A15" s="5">
        <v>44578</v>
      </c>
      <c r="B15">
        <v>0.1686</v>
      </c>
      <c r="C15">
        <v>0.17100000000000001</v>
      </c>
      <c r="D15">
        <v>0.156</v>
      </c>
      <c r="E15">
        <v>0.15959999999999999</v>
      </c>
      <c r="F15">
        <v>46998014</v>
      </c>
      <c r="G15">
        <v>0.15959999999999999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-0.52000000000000146</v>
      </c>
      <c r="Q15">
        <f t="shared" ref="Q15" si="51">F15*P15</f>
        <v>-24438967.280000068</v>
      </c>
      <c r="R15">
        <f t="shared" ref="R15" si="52">R16+Q15</f>
        <v>-1542895982.5169334</v>
      </c>
      <c r="S15">
        <f t="shared" ref="S15" si="53">R15/100000</f>
        <v>-15428.959825169335</v>
      </c>
      <c r="T15">
        <f t="shared" ref="T15" si="54">S15/1000</f>
        <v>-15.428959825169335</v>
      </c>
    </row>
    <row r="16" spans="1:20" x14ac:dyDescent="0.25">
      <c r="A16" s="5">
        <v>44577</v>
      </c>
      <c r="B16">
        <v>0.1719</v>
      </c>
      <c r="C16">
        <v>0.17549999999999999</v>
      </c>
      <c r="D16">
        <v>0.16569999999999999</v>
      </c>
      <c r="E16">
        <v>0.16830000000000001</v>
      </c>
      <c r="F16">
        <v>33594691</v>
      </c>
      <c r="G16">
        <v>0.16830000000000001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-0.46938775510203712</v>
      </c>
      <c r="Q16">
        <f t="shared" ref="Q16" si="56">F16*P16</f>
        <v>-15768936.591836611</v>
      </c>
      <c r="R16">
        <f t="shared" ref="R16" si="57">R17+Q16</f>
        <v>-1518457015.2369335</v>
      </c>
      <c r="S16">
        <f t="shared" ref="S16" si="58">R16/100000</f>
        <v>-15184.570152369335</v>
      </c>
      <c r="T16">
        <f t="shared" ref="T16" si="59">S16/1000</f>
        <v>-15.184570152369336</v>
      </c>
    </row>
    <row r="17" spans="1:20" x14ac:dyDescent="0.25">
      <c r="A17" s="5">
        <v>44576</v>
      </c>
      <c r="B17">
        <v>0.1754</v>
      </c>
      <c r="C17">
        <v>0.18790000000000001</v>
      </c>
      <c r="D17">
        <v>0.1716</v>
      </c>
      <c r="E17">
        <v>0.1719</v>
      </c>
      <c r="F17">
        <v>178091404</v>
      </c>
      <c r="G17">
        <v>0.1719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-0.96319018404908041</v>
      </c>
      <c r="Q17">
        <f t="shared" ref="Q17" si="61">F17*P17</f>
        <v>-171535892.19631913</v>
      </c>
      <c r="R17">
        <f t="shared" ref="R17" si="62">R18+Q17</f>
        <v>-1502688078.6450968</v>
      </c>
      <c r="S17">
        <f t="shared" ref="S17" si="63">R17/100000</f>
        <v>-15026.880786450967</v>
      </c>
      <c r="T17">
        <f t="shared" ref="T17" si="64">S17/1000</f>
        <v>-15.026880786450967</v>
      </c>
    </row>
    <row r="18" spans="1:20" x14ac:dyDescent="0.25">
      <c r="A18" s="5">
        <v>44575</v>
      </c>
      <c r="B18">
        <v>0.15670000000000001</v>
      </c>
      <c r="C18">
        <v>0.18</v>
      </c>
      <c r="D18">
        <v>0.1552</v>
      </c>
      <c r="E18">
        <v>0.17530000000000001</v>
      </c>
      <c r="F18">
        <v>115996395</v>
      </c>
      <c r="G18">
        <v>0.17530000000000001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0.62096774193548521</v>
      </c>
      <c r="Q18">
        <f t="shared" ref="Q18" si="66">F18*P18</f>
        <v>72030019.475806609</v>
      </c>
      <c r="R18">
        <f t="shared" ref="R18" si="67">R19+Q18</f>
        <v>-1331152186.4487777</v>
      </c>
      <c r="S18">
        <f t="shared" ref="S18" si="68">R18/100000</f>
        <v>-13311.521864487777</v>
      </c>
      <c r="T18">
        <f t="shared" ref="T18" si="69">S18/1000</f>
        <v>-13.311521864487776</v>
      </c>
    </row>
    <row r="19" spans="1:20" x14ac:dyDescent="0.25">
      <c r="A19" s="5">
        <v>44574</v>
      </c>
      <c r="B19">
        <v>0.16669999999999999</v>
      </c>
      <c r="C19">
        <v>0.17050000000000001</v>
      </c>
      <c r="D19">
        <v>0.156</v>
      </c>
      <c r="E19">
        <v>0.15679999999999999</v>
      </c>
      <c r="F19">
        <v>47318380</v>
      </c>
      <c r="G19">
        <v>0.15679999999999999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-0.88965517241379388</v>
      </c>
      <c r="Q19">
        <f t="shared" ref="Q19" si="71">F19*P19</f>
        <v>-42097041.517241418</v>
      </c>
      <c r="R19">
        <f t="shared" ref="R19" si="72">R20+Q19</f>
        <v>-1403182205.9245844</v>
      </c>
      <c r="S19">
        <f t="shared" ref="S19" si="73">R19/100000</f>
        <v>-14031.822059245844</v>
      </c>
      <c r="T19">
        <f t="shared" ref="T19" si="74">S19/1000</f>
        <v>-14.031822059245844</v>
      </c>
    </row>
    <row r="20" spans="1:20" x14ac:dyDescent="0.25">
      <c r="A20" s="5">
        <v>44573</v>
      </c>
      <c r="B20">
        <v>0.16059999999999999</v>
      </c>
      <c r="C20">
        <v>0.17169999999999999</v>
      </c>
      <c r="D20">
        <v>0.16</v>
      </c>
      <c r="E20">
        <v>0.1668</v>
      </c>
      <c r="F20">
        <v>36992065</v>
      </c>
      <c r="G20">
        <v>0.1668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0.16239316239316365</v>
      </c>
      <c r="Q20">
        <f t="shared" ref="Q20" si="76">F20*P20</f>
        <v>6007258.4188034656</v>
      </c>
      <c r="R20">
        <f t="shared" ref="R20" si="77">R21+Q20</f>
        <v>-1361085164.4073429</v>
      </c>
      <c r="S20">
        <f t="shared" ref="S20" si="78">R20/100000</f>
        <v>-13610.851644073429</v>
      </c>
      <c r="T20">
        <f t="shared" ref="T20" si="79">S20/1000</f>
        <v>-13.61085164407343</v>
      </c>
    </row>
    <row r="21" spans="1:20" x14ac:dyDescent="0.25">
      <c r="A21" s="5">
        <v>44572</v>
      </c>
      <c r="B21">
        <v>0.158</v>
      </c>
      <c r="C21">
        <v>0.16239999999999999</v>
      </c>
      <c r="D21">
        <v>0.15260000000000001</v>
      </c>
      <c r="E21">
        <v>0.16059999999999999</v>
      </c>
      <c r="F21">
        <v>24313950</v>
      </c>
      <c r="G21">
        <v>0.16059999999999999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0.63265306122448972</v>
      </c>
      <c r="Q21">
        <f t="shared" ref="Q21" si="81">F21*P21</f>
        <v>15382294.897959182</v>
      </c>
      <c r="R21">
        <f t="shared" ref="R21" si="82">R22+Q21</f>
        <v>-1367092422.8261464</v>
      </c>
      <c r="S21">
        <f t="shared" ref="S21" si="83">R21/100000</f>
        <v>-13670.924228261463</v>
      </c>
      <c r="T21">
        <f t="shared" ref="T21" si="84">S21/1000</f>
        <v>-13.670924228261462</v>
      </c>
    </row>
    <row r="22" spans="1:20" x14ac:dyDescent="0.25">
      <c r="A22" s="5">
        <v>44571</v>
      </c>
      <c r="B22">
        <v>0.16980000000000001</v>
      </c>
      <c r="C22">
        <v>0.1757</v>
      </c>
      <c r="D22">
        <v>0.14829999999999999</v>
      </c>
      <c r="E22">
        <v>0.15820000000000001</v>
      </c>
      <c r="F22">
        <v>38446747</v>
      </c>
      <c r="G22">
        <v>0.15820000000000001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-0.2773722627737214</v>
      </c>
      <c r="Q22">
        <f t="shared" ref="Q22" si="86">F22*P22</f>
        <v>-10664061.211678784</v>
      </c>
      <c r="R22">
        <f t="shared" ref="R22" si="87">R23+Q22</f>
        <v>-1382474717.7241056</v>
      </c>
      <c r="S22">
        <f t="shared" ref="S22" si="88">R22/100000</f>
        <v>-13824.747177241055</v>
      </c>
      <c r="T22">
        <f t="shared" ref="T22" si="89">S22/1000</f>
        <v>-13.824747177241056</v>
      </c>
    </row>
    <row r="23" spans="1:20" x14ac:dyDescent="0.25">
      <c r="A23" s="5">
        <v>44570</v>
      </c>
      <c r="B23">
        <v>0.16370000000000001</v>
      </c>
      <c r="C23">
        <v>0.17499999999999999</v>
      </c>
      <c r="D23">
        <v>0.16220000000000001</v>
      </c>
      <c r="E23">
        <v>0.16969999999999999</v>
      </c>
      <c r="F23">
        <v>17892843</v>
      </c>
      <c r="G23">
        <v>0.16969999999999999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0.17187499999999872</v>
      </c>
      <c r="Q23">
        <f t="shared" ref="Q23" si="91">F23*P23</f>
        <v>3075332.3906249772</v>
      </c>
      <c r="R23">
        <f t="shared" ref="R23" si="92">R24+Q23</f>
        <v>-1371810656.5124269</v>
      </c>
      <c r="S23">
        <f t="shared" ref="S23" si="93">R23/100000</f>
        <v>-13718.106565124268</v>
      </c>
      <c r="T23">
        <f t="shared" ref="T23" si="94">S23/1000</f>
        <v>-13.718106565124268</v>
      </c>
    </row>
    <row r="24" spans="1:20" x14ac:dyDescent="0.25">
      <c r="A24" s="5">
        <v>44569</v>
      </c>
      <c r="B24">
        <v>0.1734</v>
      </c>
      <c r="C24">
        <v>0.1789</v>
      </c>
      <c r="D24">
        <v>0.1565</v>
      </c>
      <c r="E24">
        <v>0.16370000000000001</v>
      </c>
      <c r="F24">
        <v>35088759.899999999</v>
      </c>
      <c r="G24">
        <v>0.16370000000000001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-0.35714285714285615</v>
      </c>
      <c r="Q24">
        <f t="shared" ref="Q24" si="96">F24*P24</f>
        <v>-12531699.964285679</v>
      </c>
      <c r="R24">
        <f t="shared" ref="R24" si="97">R25+Q24</f>
        <v>-1374885988.9030519</v>
      </c>
      <c r="S24">
        <f t="shared" ref="S24" si="98">R24/100000</f>
        <v>-13748.859889030518</v>
      </c>
      <c r="T24">
        <f t="shared" ref="T24" si="99">S24/1000</f>
        <v>-13.748859889030518</v>
      </c>
    </row>
    <row r="25" spans="1:20" x14ac:dyDescent="0.25">
      <c r="A25" s="5">
        <v>44568</v>
      </c>
      <c r="B25">
        <v>0.187</v>
      </c>
      <c r="C25">
        <v>0.18840000000000001</v>
      </c>
      <c r="D25">
        <v>0.1694</v>
      </c>
      <c r="E25">
        <v>0.1731</v>
      </c>
      <c r="F25">
        <v>35464508</v>
      </c>
      <c r="G25">
        <v>0.1731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-0.61052631578947314</v>
      </c>
      <c r="Q25">
        <f t="shared" ref="Q25" si="101">F25*P25</f>
        <v>-21652015.410526298</v>
      </c>
      <c r="R25">
        <f t="shared" ref="R25" si="102">R26+Q25</f>
        <v>-1362354288.9387662</v>
      </c>
      <c r="S25">
        <f t="shared" ref="S25" si="103">R25/100000</f>
        <v>-13623.542889387663</v>
      </c>
      <c r="T25">
        <f t="shared" ref="T25" si="104">S25/1000</f>
        <v>-13.623542889387663</v>
      </c>
    </row>
    <row r="26" spans="1:20" x14ac:dyDescent="0.25">
      <c r="A26" s="5">
        <v>44567</v>
      </c>
      <c r="B26">
        <v>0.1905</v>
      </c>
      <c r="C26">
        <v>0.19270000000000001</v>
      </c>
      <c r="D26">
        <v>0.18010000000000001</v>
      </c>
      <c r="E26">
        <v>0.18709999999999999</v>
      </c>
      <c r="F26">
        <v>29321432</v>
      </c>
      <c r="G26">
        <v>0.18709999999999999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0.11111111111110769</v>
      </c>
      <c r="Q26">
        <f t="shared" ref="Q26" si="106">F26*P26</f>
        <v>3257936.8888887884</v>
      </c>
      <c r="R26">
        <f t="shared" ref="R26" si="107">R27+Q26</f>
        <v>-1340702273.52824</v>
      </c>
      <c r="S26">
        <f t="shared" ref="S26" si="108">R26/100000</f>
        <v>-13407.0227352824</v>
      </c>
      <c r="T26">
        <f t="shared" ref="T26" si="109">S26/1000</f>
        <v>-13.4070227352824</v>
      </c>
    </row>
    <row r="27" spans="1:20" x14ac:dyDescent="0.25">
      <c r="A27" s="5">
        <v>44566</v>
      </c>
      <c r="B27">
        <v>0.1996</v>
      </c>
      <c r="C27">
        <v>0.21920000000000001</v>
      </c>
      <c r="D27">
        <v>0.18010000000000001</v>
      </c>
      <c r="E27">
        <v>0.1908</v>
      </c>
      <c r="F27">
        <v>58551768</v>
      </c>
      <c r="G27">
        <v>0.1908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-0.45268542199488548</v>
      </c>
      <c r="Q27">
        <f t="shared" ref="Q27" si="111">F27*P27</f>
        <v>-26505531.805626631</v>
      </c>
      <c r="R27">
        <f t="shared" ref="R27" si="112">R28+Q27</f>
        <v>-1343960210.4171288</v>
      </c>
      <c r="S27">
        <f t="shared" ref="S27" si="113">R27/100000</f>
        <v>-13439.602104171288</v>
      </c>
      <c r="T27">
        <f t="shared" ref="T27" si="114">S27/1000</f>
        <v>-13.439602104171289</v>
      </c>
    </row>
    <row r="28" spans="1:20" x14ac:dyDescent="0.25">
      <c r="A28" s="5">
        <v>44565</v>
      </c>
      <c r="B28">
        <v>0.20519999999999999</v>
      </c>
      <c r="C28">
        <v>0.21149999999999999</v>
      </c>
      <c r="D28">
        <v>0.1978</v>
      </c>
      <c r="E28">
        <v>0.19950000000000001</v>
      </c>
      <c r="F28">
        <v>42999469</v>
      </c>
      <c r="G28">
        <v>0.19950000000000001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-0.75182481751824692</v>
      </c>
      <c r="Q28">
        <f t="shared" ref="Q28" si="116">F28*P28</f>
        <v>-32328067.934306517</v>
      </c>
      <c r="R28">
        <f t="shared" ref="R28" si="117">R29+Q28</f>
        <v>-1317454678.6115022</v>
      </c>
      <c r="S28">
        <f t="shared" ref="S28" si="118">R28/100000</f>
        <v>-13174.546786115021</v>
      </c>
      <c r="T28">
        <f t="shared" ref="T28" si="119">S28/1000</f>
        <v>-13.174546786115021</v>
      </c>
    </row>
    <row r="29" spans="1:20" x14ac:dyDescent="0.25">
      <c r="A29" s="5">
        <v>44564</v>
      </c>
      <c r="B29">
        <v>0.21179999999999999</v>
      </c>
      <c r="C29">
        <v>0.2157</v>
      </c>
      <c r="D29">
        <v>0.2001</v>
      </c>
      <c r="E29">
        <v>0.20519999999999999</v>
      </c>
      <c r="F29">
        <v>23655561</v>
      </c>
      <c r="G29">
        <v>0.20519999999999999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-0.34615384615384709</v>
      </c>
      <c r="Q29">
        <f t="shared" ref="Q29" si="121">F29*P29</f>
        <v>-8188463.4230769454</v>
      </c>
      <c r="R29">
        <f t="shared" ref="R29" si="122">R30+Q29</f>
        <v>-1285126610.6771955</v>
      </c>
      <c r="S29">
        <f t="shared" ref="S29" si="123">R29/100000</f>
        <v>-12851.266106771955</v>
      </c>
      <c r="T29">
        <f t="shared" ref="T29" si="124">S29/1000</f>
        <v>-12.851266106771954</v>
      </c>
    </row>
    <row r="30" spans="1:20" x14ac:dyDescent="0.25">
      <c r="A30" s="5">
        <v>44563</v>
      </c>
      <c r="B30">
        <v>0.21240000000000001</v>
      </c>
      <c r="C30">
        <v>0.2167</v>
      </c>
      <c r="D30">
        <v>0.20580000000000001</v>
      </c>
      <c r="E30">
        <v>0.21199999999999999</v>
      </c>
      <c r="F30">
        <v>15075265</v>
      </c>
      <c r="G30">
        <v>0.21199999999999999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0.13761467889908024</v>
      </c>
      <c r="Q30">
        <f t="shared" ref="Q30" si="126">F30*P30</f>
        <v>2074577.752293543</v>
      </c>
      <c r="R30">
        <f t="shared" ref="R30" si="127">R31+Q30</f>
        <v>-1276938147.2541187</v>
      </c>
      <c r="S30">
        <f t="shared" ref="S30" si="128">R30/100000</f>
        <v>-12769.381472541187</v>
      </c>
      <c r="T30">
        <f t="shared" ref="T30" si="129">S30/1000</f>
        <v>-12.769381472541186</v>
      </c>
    </row>
    <row r="31" spans="1:20" x14ac:dyDescent="0.25">
      <c r="A31" s="5">
        <v>44562</v>
      </c>
      <c r="B31">
        <v>0.20230000000000001</v>
      </c>
      <c r="C31">
        <v>0.21310000000000001</v>
      </c>
      <c r="D31">
        <v>0.20230000000000001</v>
      </c>
      <c r="E31">
        <v>0.21279999999999999</v>
      </c>
      <c r="F31">
        <v>14955910</v>
      </c>
      <c r="G31">
        <v>0.21279999999999999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0.94444444444444031</v>
      </c>
      <c r="Q31">
        <f t="shared" ref="Q31" si="131">F31*P31</f>
        <v>14125026.111111049</v>
      </c>
      <c r="R31">
        <f t="shared" ref="R31" si="132">R32+Q31</f>
        <v>-1279012725.0064123</v>
      </c>
      <c r="S31">
        <f t="shared" ref="S31" si="133">R31/100000</f>
        <v>-12790.127250064123</v>
      </c>
      <c r="T31">
        <f t="shared" ref="T31" si="134">S31/1000</f>
        <v>-12.790127250064122</v>
      </c>
    </row>
    <row r="32" spans="1:20" x14ac:dyDescent="0.25">
      <c r="A32" s="5">
        <v>44561</v>
      </c>
      <c r="B32">
        <v>0.2079</v>
      </c>
      <c r="C32">
        <v>0.2142</v>
      </c>
      <c r="D32">
        <v>0.1895</v>
      </c>
      <c r="E32">
        <v>0.20219999999999999</v>
      </c>
      <c r="F32">
        <v>16375355</v>
      </c>
      <c r="G32">
        <v>0.20219999999999999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2.8340080971659045E-2</v>
      </c>
      <c r="Q32">
        <f t="shared" ref="Q32" si="136">F32*P32</f>
        <v>464078.8866396618</v>
      </c>
      <c r="R32">
        <f t="shared" ref="R32" si="137">R33+Q32</f>
        <v>-1293137751.1175234</v>
      </c>
      <c r="S32">
        <f t="shared" ref="S32" si="138">R32/100000</f>
        <v>-12931.377511175235</v>
      </c>
      <c r="T32">
        <f t="shared" ref="T32" si="139">S32/1000</f>
        <v>-12.931377511175235</v>
      </c>
    </row>
    <row r="33" spans="1:20" x14ac:dyDescent="0.25">
      <c r="A33" s="5">
        <v>44560</v>
      </c>
      <c r="B33">
        <v>0.2069</v>
      </c>
      <c r="C33">
        <v>0.21360000000000001</v>
      </c>
      <c r="D33">
        <v>0.2009</v>
      </c>
      <c r="E33">
        <v>0.2077</v>
      </c>
      <c r="F33">
        <v>15274351</v>
      </c>
      <c r="G33">
        <v>0.2077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7.0866141732282117E-2</v>
      </c>
      <c r="Q33">
        <f t="shared" ref="Q33" si="141">F33*P33</f>
        <v>1082434.3228346251</v>
      </c>
      <c r="R33">
        <f t="shared" ref="R33" si="142">R34+Q33</f>
        <v>-1293601830.004163</v>
      </c>
      <c r="S33">
        <f t="shared" ref="S33" si="143">R33/100000</f>
        <v>-12936.018300041631</v>
      </c>
      <c r="T33">
        <f t="shared" ref="T33" si="144">S33/1000</f>
        <v>-12.936018300041631</v>
      </c>
    </row>
    <row r="34" spans="1:20" x14ac:dyDescent="0.25">
      <c r="A34" s="5">
        <v>44559</v>
      </c>
      <c r="B34">
        <v>0.2198</v>
      </c>
      <c r="C34">
        <v>0.2238</v>
      </c>
      <c r="D34">
        <v>0.20250000000000001</v>
      </c>
      <c r="E34">
        <v>0.20669999999999999</v>
      </c>
      <c r="F34">
        <v>21052352</v>
      </c>
      <c r="G34">
        <v>0.20669999999999999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-0.60563380281690282</v>
      </c>
      <c r="Q34">
        <f t="shared" ref="Q34" si="146">F34*P34</f>
        <v>-12750016.00000003</v>
      </c>
      <c r="R34">
        <f t="shared" ref="R34" si="147">R35+Q34</f>
        <v>-1294684264.3269978</v>
      </c>
      <c r="S34">
        <f t="shared" ref="S34" si="148">R34/100000</f>
        <v>-12946.842643269978</v>
      </c>
      <c r="T34">
        <f t="shared" ref="T34" si="149">S34/1000</f>
        <v>-12.946842643269978</v>
      </c>
    </row>
    <row r="35" spans="1:20" x14ac:dyDescent="0.25">
      <c r="A35" s="5">
        <v>44558</v>
      </c>
      <c r="B35">
        <v>0.2394</v>
      </c>
      <c r="C35">
        <v>0.23960000000000001</v>
      </c>
      <c r="D35">
        <v>0.2147</v>
      </c>
      <c r="E35">
        <v>0.2198</v>
      </c>
      <c r="F35">
        <v>29267006</v>
      </c>
      <c r="G35">
        <v>0.2198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-0.5903614457831331</v>
      </c>
      <c r="Q35">
        <f t="shared" ref="Q35" si="151">F35*P35</f>
        <v>-17278111.97590363</v>
      </c>
      <c r="R35">
        <f t="shared" ref="R35" si="152">R36+Q35</f>
        <v>-1281934248.3269978</v>
      </c>
      <c r="S35">
        <f t="shared" ref="S35" si="153">R35/100000</f>
        <v>-12819.342483269978</v>
      </c>
      <c r="T35">
        <f t="shared" ref="T35" si="154">S35/1000</f>
        <v>-12.819342483269978</v>
      </c>
    </row>
    <row r="36" spans="1:20" x14ac:dyDescent="0.25">
      <c r="A36" s="5">
        <v>44557</v>
      </c>
      <c r="B36">
        <v>0.24010000000000001</v>
      </c>
      <c r="C36">
        <v>0.26050000000000001</v>
      </c>
      <c r="D36">
        <v>0.2346</v>
      </c>
      <c r="E36">
        <v>0.23960000000000001</v>
      </c>
      <c r="F36">
        <v>32986198</v>
      </c>
      <c r="G36">
        <v>0.23960000000000001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-0.61389961389961367</v>
      </c>
      <c r="Q36">
        <f t="shared" ref="Q36" si="156">F36*P36</f>
        <v>-20250214.21621621</v>
      </c>
      <c r="R36">
        <f t="shared" ref="R36" si="157">R37+Q36</f>
        <v>-1264656136.3510942</v>
      </c>
      <c r="S36">
        <f t="shared" ref="S36" si="158">R36/100000</f>
        <v>-12646.561363510942</v>
      </c>
      <c r="T36">
        <f t="shared" ref="T36" si="159">S36/1000</f>
        <v>-12.646561363510942</v>
      </c>
    </row>
    <row r="37" spans="1:20" x14ac:dyDescent="0.25">
      <c r="A37" s="5">
        <v>44556</v>
      </c>
      <c r="B37">
        <v>0.23400000000000001</v>
      </c>
      <c r="C37">
        <v>0.24229999999999999</v>
      </c>
      <c r="D37">
        <v>0.22289999999999999</v>
      </c>
      <c r="E37">
        <v>0.2399</v>
      </c>
      <c r="F37">
        <v>31832960</v>
      </c>
      <c r="G37">
        <v>0.2399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0.75257731958763041</v>
      </c>
      <c r="Q37">
        <f t="shared" ref="Q37" si="161">F37*P37</f>
        <v>23956763.711340256</v>
      </c>
      <c r="R37">
        <f t="shared" ref="R37" si="162">R38+Q37</f>
        <v>-1244405922.1348779</v>
      </c>
      <c r="S37">
        <f t="shared" ref="S37" si="163">R37/100000</f>
        <v>-12444.05922134878</v>
      </c>
      <c r="T37">
        <f t="shared" ref="T37" si="164">S37/1000</f>
        <v>-12.44405922134878</v>
      </c>
    </row>
    <row r="38" spans="1:20" x14ac:dyDescent="0.25">
      <c r="A38" s="5">
        <v>44555</v>
      </c>
      <c r="B38">
        <v>0.2172</v>
      </c>
      <c r="C38">
        <v>0.2379</v>
      </c>
      <c r="D38">
        <v>0.2155</v>
      </c>
      <c r="E38">
        <v>0.23419999999999999</v>
      </c>
      <c r="F38">
        <v>28780312</v>
      </c>
      <c r="G38">
        <v>0.23419999999999999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0.66964285714285643</v>
      </c>
      <c r="Q38">
        <f t="shared" ref="Q38" si="166">F38*P38</f>
        <v>19272530.357142836</v>
      </c>
      <c r="R38">
        <f t="shared" ref="R38" si="167">R39+Q38</f>
        <v>-1268362685.8462181</v>
      </c>
      <c r="S38">
        <f t="shared" ref="S38" si="168">R38/100000</f>
        <v>-12683.626858462181</v>
      </c>
      <c r="T38">
        <f t="shared" ref="T38" si="169">S38/1000</f>
        <v>-12.683626858462182</v>
      </c>
    </row>
    <row r="39" spans="1:20" x14ac:dyDescent="0.25">
      <c r="A39" s="5">
        <v>44554</v>
      </c>
      <c r="B39">
        <v>0.2298</v>
      </c>
      <c r="C39">
        <v>0.23599999999999999</v>
      </c>
      <c r="D39">
        <v>0.21340000000000001</v>
      </c>
      <c r="E39">
        <v>0.217</v>
      </c>
      <c r="F39">
        <v>25305677</v>
      </c>
      <c r="G39">
        <v>0.217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-0.68141592920354022</v>
      </c>
      <c r="Q39">
        <f t="shared" ref="Q39" si="171">F39*P39</f>
        <v>-17243691.407079656</v>
      </c>
      <c r="R39">
        <f t="shared" ref="R39" si="172">R40+Q39</f>
        <v>-1287635216.203361</v>
      </c>
      <c r="S39">
        <f t="shared" ref="S39" si="173">R39/100000</f>
        <v>-12876.352162033611</v>
      </c>
      <c r="T39">
        <f t="shared" ref="T39" si="174">S39/1000</f>
        <v>-12.87635216203361</v>
      </c>
    </row>
    <row r="40" spans="1:20" x14ac:dyDescent="0.25">
      <c r="A40" s="5">
        <v>44553</v>
      </c>
      <c r="B40">
        <v>0.20799999999999999</v>
      </c>
      <c r="C40">
        <v>0.2379</v>
      </c>
      <c r="D40">
        <v>0.20319999999999999</v>
      </c>
      <c r="E40">
        <v>0.2298</v>
      </c>
      <c r="F40">
        <v>30233408</v>
      </c>
      <c r="G40">
        <v>0.2298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0.53314121037464013</v>
      </c>
      <c r="Q40">
        <f t="shared" ref="Q40" si="176">F40*P40</f>
        <v>16118675.734870328</v>
      </c>
      <c r="R40">
        <f t="shared" ref="R40" si="177">R41+Q40</f>
        <v>-1270391524.7962813</v>
      </c>
      <c r="S40">
        <f t="shared" ref="S40" si="178">R40/100000</f>
        <v>-12703.915247962814</v>
      </c>
      <c r="T40">
        <f t="shared" ref="T40" si="179">S40/1000</f>
        <v>-12.703915247962813</v>
      </c>
    </row>
    <row r="41" spans="1:20" x14ac:dyDescent="0.25">
      <c r="A41" s="5">
        <v>44552</v>
      </c>
      <c r="B41">
        <v>0.2041</v>
      </c>
      <c r="C41">
        <v>0.2147</v>
      </c>
      <c r="D41">
        <v>0.20369999999999999</v>
      </c>
      <c r="E41">
        <v>0.20799999999999999</v>
      </c>
      <c r="F41">
        <v>22353937</v>
      </c>
      <c r="G41">
        <v>0.20799999999999999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-0.2181818181818192</v>
      </c>
      <c r="Q41">
        <f t="shared" ref="Q41" si="181">F41*P41</f>
        <v>-4877222.6181818405</v>
      </c>
      <c r="R41">
        <f t="shared" ref="R41" si="182">R42+Q41</f>
        <v>-1286510200.5311518</v>
      </c>
      <c r="S41">
        <f t="shared" ref="S41" si="183">R41/100000</f>
        <v>-12865.102005311517</v>
      </c>
      <c r="T41">
        <f t="shared" ref="T41" si="184">S41/1000</f>
        <v>-12.865102005311517</v>
      </c>
    </row>
    <row r="42" spans="1:20" x14ac:dyDescent="0.25">
      <c r="A42" s="5">
        <v>44551</v>
      </c>
      <c r="B42">
        <v>0.19939999999999999</v>
      </c>
      <c r="C42">
        <v>0.20669999999999999</v>
      </c>
      <c r="D42">
        <v>0.1918</v>
      </c>
      <c r="E42">
        <v>0.20399999999999999</v>
      </c>
      <c r="F42">
        <v>24663753</v>
      </c>
      <c r="G42">
        <v>0.20399999999999999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0.63758389261744852</v>
      </c>
      <c r="Q42">
        <f t="shared" ref="Q42" si="186">F42*P42</f>
        <v>15725211.644295273</v>
      </c>
      <c r="R42">
        <f t="shared" ref="R42" si="187">R43+Q42</f>
        <v>-1281632977.9129698</v>
      </c>
      <c r="S42">
        <f t="shared" ref="S42" si="188">R42/100000</f>
        <v>-12816.329779129699</v>
      </c>
      <c r="T42">
        <f t="shared" ref="T42" si="189">S42/1000</f>
        <v>-12.816329779129699</v>
      </c>
    </row>
    <row r="43" spans="1:20" x14ac:dyDescent="0.25">
      <c r="A43" s="5">
        <v>44550</v>
      </c>
      <c r="B43">
        <v>0.19209999999999999</v>
      </c>
      <c r="C43">
        <v>0.20369999999999999</v>
      </c>
      <c r="D43">
        <v>0.18629999999999999</v>
      </c>
      <c r="E43">
        <v>0.19919999999999999</v>
      </c>
      <c r="F43">
        <v>38990459</v>
      </c>
      <c r="G43">
        <v>0.19919999999999999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0.48275862068965469</v>
      </c>
      <c r="Q43">
        <f t="shared" ref="Q43" si="191">F43*P43</f>
        <v>18822980.206896532</v>
      </c>
      <c r="R43">
        <f t="shared" ref="R43" si="192">R44+Q43</f>
        <v>-1297358189.557265</v>
      </c>
      <c r="S43">
        <f t="shared" ref="S43" si="193">R43/100000</f>
        <v>-12973.58189557265</v>
      </c>
      <c r="T43">
        <f t="shared" ref="T43" si="194">S43/1000</f>
        <v>-12.97358189557265</v>
      </c>
    </row>
    <row r="44" spans="1:20" x14ac:dyDescent="0.25">
      <c r="A44" s="5">
        <v>44549</v>
      </c>
      <c r="B44">
        <v>0.19620000000000001</v>
      </c>
      <c r="C44">
        <v>0.20250000000000001</v>
      </c>
      <c r="D44">
        <v>0.1905</v>
      </c>
      <c r="E44">
        <v>0.1923</v>
      </c>
      <c r="F44">
        <v>14574251</v>
      </c>
      <c r="G44">
        <v>0.1923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-0.70000000000000095</v>
      </c>
      <c r="Q44">
        <f t="shared" ref="Q44" si="196">F44*P44</f>
        <v>-10201975.700000014</v>
      </c>
      <c r="R44">
        <f t="shared" ref="R44" si="197">R45+Q44</f>
        <v>-1316181169.7641616</v>
      </c>
      <c r="S44">
        <f t="shared" ref="S44" si="198">R44/100000</f>
        <v>-13161.811697641617</v>
      </c>
      <c r="T44">
        <f t="shared" ref="T44" si="199">S44/1000</f>
        <v>-13.161811697641618</v>
      </c>
    </row>
    <row r="45" spans="1:20" x14ac:dyDescent="0.25">
      <c r="A45" s="5">
        <v>44548</v>
      </c>
      <c r="B45">
        <v>0.18970000000000001</v>
      </c>
      <c r="C45">
        <v>0.1996</v>
      </c>
      <c r="D45">
        <v>0.18509999999999999</v>
      </c>
      <c r="E45">
        <v>0.19639999999999999</v>
      </c>
      <c r="F45">
        <v>18511423</v>
      </c>
      <c r="G45">
        <v>0.19639999999999999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0.55862068965517164</v>
      </c>
      <c r="Q45">
        <f t="shared" ref="Q45" si="201">F45*P45</f>
        <v>10340863.882758606</v>
      </c>
      <c r="R45">
        <f t="shared" ref="R45" si="202">R46+Q45</f>
        <v>-1305979194.0641615</v>
      </c>
      <c r="S45">
        <f t="shared" ref="S45" si="203">R45/100000</f>
        <v>-13059.791940641615</v>
      </c>
      <c r="T45">
        <f t="shared" ref="T45" si="204">S45/1000</f>
        <v>-13.059791940641615</v>
      </c>
    </row>
    <row r="46" spans="1:20" x14ac:dyDescent="0.25">
      <c r="A46" s="5">
        <v>44547</v>
      </c>
      <c r="B46">
        <v>0.2026</v>
      </c>
      <c r="C46">
        <v>0.20660000000000001</v>
      </c>
      <c r="D46">
        <v>0.1865</v>
      </c>
      <c r="E46">
        <v>0.18970000000000001</v>
      </c>
      <c r="F46">
        <v>31364925</v>
      </c>
      <c r="G46">
        <v>0.18970000000000001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-0.68159203980099425</v>
      </c>
      <c r="Q46">
        <f t="shared" ref="Q46" si="206">F46*P46</f>
        <v>-21378083.208955199</v>
      </c>
      <c r="R46">
        <f t="shared" ref="R46" si="207">R47+Q46</f>
        <v>-1316320057.9469202</v>
      </c>
      <c r="S46">
        <f t="shared" ref="S46" si="208">R46/100000</f>
        <v>-13163.200579469201</v>
      </c>
      <c r="T46">
        <f t="shared" ref="T46" si="209">S46/1000</f>
        <v>-13.163200579469201</v>
      </c>
    </row>
    <row r="47" spans="1:20" x14ac:dyDescent="0.25">
      <c r="A47" s="5">
        <v>44546</v>
      </c>
      <c r="B47">
        <v>0.20749999999999999</v>
      </c>
      <c r="C47">
        <v>0.223</v>
      </c>
      <c r="D47">
        <v>0.20169999999999999</v>
      </c>
      <c r="E47">
        <v>0.20250000000000001</v>
      </c>
      <c r="F47">
        <v>30904259</v>
      </c>
      <c r="G47">
        <v>0.20250000000000001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-0.92488262910797914</v>
      </c>
      <c r="Q47">
        <f t="shared" ref="Q47" si="211">F47*P47</f>
        <v>-28582812.314553928</v>
      </c>
      <c r="R47">
        <f t="shared" ref="R47" si="212">R48+Q47</f>
        <v>-1294941974.7379649</v>
      </c>
      <c r="S47">
        <f t="shared" ref="S47" si="213">R47/100000</f>
        <v>-12949.419747379648</v>
      </c>
      <c r="T47">
        <f t="shared" ref="T47" si="214">S47/1000</f>
        <v>-12.949419747379649</v>
      </c>
    </row>
    <row r="48" spans="1:20" x14ac:dyDescent="0.25">
      <c r="A48" s="5">
        <v>44545</v>
      </c>
      <c r="B48">
        <v>0.2</v>
      </c>
      <c r="C48">
        <v>0.21049999999999999</v>
      </c>
      <c r="D48">
        <v>0.1862</v>
      </c>
      <c r="E48">
        <v>0.20760000000000001</v>
      </c>
      <c r="F48">
        <v>33302687</v>
      </c>
      <c r="G48">
        <v>0.20760000000000001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0.76131687242798463</v>
      </c>
      <c r="Q48">
        <f t="shared" ref="Q48" si="216">F48*P48</f>
        <v>25353897.510288101</v>
      </c>
      <c r="R48">
        <f t="shared" ref="R48" si="217">R49+Q48</f>
        <v>-1266359162.4234109</v>
      </c>
      <c r="S48">
        <f t="shared" ref="S48" si="218">R48/100000</f>
        <v>-12663.591624234108</v>
      </c>
      <c r="T48">
        <f t="shared" ref="T48" si="219">S48/1000</f>
        <v>-12.663591624234108</v>
      </c>
    </row>
    <row r="49" spans="1:20" x14ac:dyDescent="0.25">
      <c r="A49" s="5">
        <v>44544</v>
      </c>
      <c r="B49">
        <v>0.19389999999999999</v>
      </c>
      <c r="C49">
        <v>0.20180000000000001</v>
      </c>
      <c r="D49">
        <v>0.1867</v>
      </c>
      <c r="E49">
        <v>0.2001</v>
      </c>
      <c r="F49">
        <v>27328464</v>
      </c>
      <c r="G49">
        <v>0.2001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0.77483443708609179</v>
      </c>
      <c r="Q49">
        <f t="shared" ref="Q49" si="221">F49*P49</f>
        <v>21175035.019867525</v>
      </c>
      <c r="R49">
        <f t="shared" ref="R49" si="222">R50+Q49</f>
        <v>-1291713059.9336989</v>
      </c>
      <c r="S49">
        <f t="shared" ref="S49" si="223">R49/100000</f>
        <v>-12917.13059933699</v>
      </c>
      <c r="T49">
        <f t="shared" ref="T49" si="224">S49/1000</f>
        <v>-12.917130599336989</v>
      </c>
    </row>
    <row r="50" spans="1:20" x14ac:dyDescent="0.25">
      <c r="A50" s="5">
        <v>44543</v>
      </c>
      <c r="B50">
        <v>0.21609999999999999</v>
      </c>
      <c r="C50">
        <v>0.21820000000000001</v>
      </c>
      <c r="D50">
        <v>0.1888</v>
      </c>
      <c r="E50">
        <v>0.19400000000000001</v>
      </c>
      <c r="F50">
        <v>29566386</v>
      </c>
      <c r="G50">
        <v>0.19400000000000001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-0.64625850340135993</v>
      </c>
      <c r="Q50">
        <f t="shared" ref="Q50" si="226">F50*P50</f>
        <v>-19107528.36734692</v>
      </c>
      <c r="R50">
        <f t="shared" ref="R50" si="227">R51+Q50</f>
        <v>-1312888094.9535663</v>
      </c>
      <c r="S50">
        <f t="shared" ref="S50" si="228">R50/100000</f>
        <v>-13128.880949535664</v>
      </c>
      <c r="T50">
        <f t="shared" ref="T50" si="229">S50/1000</f>
        <v>-13.128880949535663</v>
      </c>
    </row>
    <row r="51" spans="1:20" x14ac:dyDescent="0.25">
      <c r="A51" s="5">
        <v>44542</v>
      </c>
      <c r="B51">
        <v>0.2167</v>
      </c>
      <c r="C51">
        <v>0.2225</v>
      </c>
      <c r="D51">
        <v>0.20910000000000001</v>
      </c>
      <c r="E51">
        <v>0.2167</v>
      </c>
      <c r="F51">
        <v>17083892</v>
      </c>
      <c r="G51">
        <v>0.2167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0.13432835820895497</v>
      </c>
      <c r="Q51">
        <f t="shared" ref="Q51" si="231">F51*P51</f>
        <v>2294851.1641791002</v>
      </c>
      <c r="R51">
        <f t="shared" ref="R51" si="232">R52+Q51</f>
        <v>-1293780566.5862193</v>
      </c>
      <c r="S51">
        <f t="shared" ref="S51" si="233">R51/100000</f>
        <v>-12937.805665862194</v>
      </c>
      <c r="T51">
        <f t="shared" ref="T51" si="234">S51/1000</f>
        <v>-12.937805665862193</v>
      </c>
    </row>
    <row r="52" spans="1:20" x14ac:dyDescent="0.25">
      <c r="A52" s="5">
        <v>44541</v>
      </c>
      <c r="B52">
        <v>0.20480000000000001</v>
      </c>
      <c r="C52">
        <v>0.2087</v>
      </c>
      <c r="D52">
        <v>0.2009</v>
      </c>
      <c r="E52">
        <v>0.20780000000000001</v>
      </c>
      <c r="F52">
        <v>1662303</v>
      </c>
      <c r="G52">
        <v>0.20780000000000001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0.76923076923077338</v>
      </c>
      <c r="Q52">
        <f t="shared" ref="Q52" si="236">F52*P52</f>
        <v>1278694.6153846222</v>
      </c>
      <c r="R52">
        <f t="shared" ref="R52" si="237">R53+Q52</f>
        <v>-1296075417.7503984</v>
      </c>
      <c r="S52">
        <f t="shared" ref="S52" si="238">R52/100000</f>
        <v>-12960.754177503984</v>
      </c>
      <c r="T52">
        <f t="shared" ref="T52" si="239">S52/1000</f>
        <v>-12.960754177503985</v>
      </c>
    </row>
    <row r="53" spans="1:20" x14ac:dyDescent="0.25">
      <c r="A53" s="5">
        <v>44540</v>
      </c>
      <c r="B53">
        <v>0.216</v>
      </c>
      <c r="C53">
        <v>0.22839999999999999</v>
      </c>
      <c r="D53">
        <v>0.20380000000000001</v>
      </c>
      <c r="E53">
        <v>0.20499999999999999</v>
      </c>
      <c r="F53">
        <v>34116133</v>
      </c>
      <c r="G53">
        <v>0.20499999999999999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-0.90243902439024559</v>
      </c>
      <c r="Q53">
        <f t="shared" ref="Q53" si="241">F53*P53</f>
        <v>-30787729.780487861</v>
      </c>
      <c r="R53">
        <f t="shared" ref="R53" si="242">R54+Q53</f>
        <v>-1297354112.365783</v>
      </c>
      <c r="S53">
        <f t="shared" ref="S53" si="243">R53/100000</f>
        <v>-12973.541123657829</v>
      </c>
      <c r="T53">
        <f t="shared" ref="T53" si="244">S53/1000</f>
        <v>-12.97354112365783</v>
      </c>
    </row>
    <row r="54" spans="1:20" x14ac:dyDescent="0.25">
      <c r="A54" s="5">
        <v>44539</v>
      </c>
      <c r="B54">
        <v>0.23480000000000001</v>
      </c>
      <c r="C54">
        <v>0.24479999999999999</v>
      </c>
      <c r="D54">
        <v>0.2145</v>
      </c>
      <c r="E54">
        <v>0.2162</v>
      </c>
      <c r="F54">
        <v>51381809</v>
      </c>
      <c r="G54">
        <v>0.2162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-0.88778877887788732</v>
      </c>
      <c r="Q54">
        <f t="shared" ref="Q54" si="246">F54*P54</f>
        <v>-45616193.468646839</v>
      </c>
      <c r="R54">
        <f t="shared" ref="R54" si="247">R55+Q54</f>
        <v>-1266566382.5852952</v>
      </c>
      <c r="S54">
        <f t="shared" ref="S54" si="248">R54/100000</f>
        <v>-12665.663825852953</v>
      </c>
      <c r="T54">
        <f t="shared" ref="T54" si="249">S54/1000</f>
        <v>-12.665663825852953</v>
      </c>
    </row>
    <row r="55" spans="1:20" x14ac:dyDescent="0.25">
      <c r="A55" s="5">
        <v>44538</v>
      </c>
      <c r="B55">
        <v>0.2276</v>
      </c>
      <c r="C55">
        <v>0.23480000000000001</v>
      </c>
      <c r="D55">
        <v>0.21299999999999999</v>
      </c>
      <c r="E55">
        <v>0.23480000000000001</v>
      </c>
      <c r="F55">
        <v>54141894</v>
      </c>
      <c r="G55">
        <v>0.23480000000000001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1</v>
      </c>
      <c r="Q55">
        <f t="shared" ref="Q55" si="251">F55*P55</f>
        <v>54141894</v>
      </c>
      <c r="R55">
        <f t="shared" ref="R55" si="252">R56+Q55</f>
        <v>-1220950189.1166484</v>
      </c>
      <c r="S55">
        <f t="shared" ref="S55" si="253">R55/100000</f>
        <v>-12209.501891166485</v>
      </c>
      <c r="T55">
        <f t="shared" ref="T55" si="254">S55/1000</f>
        <v>-12.209501891166484</v>
      </c>
    </row>
    <row r="56" spans="1:20" x14ac:dyDescent="0.25">
      <c r="A56" s="5">
        <v>44537</v>
      </c>
      <c r="B56">
        <v>0.2346</v>
      </c>
      <c r="C56">
        <v>0.24759999999999999</v>
      </c>
      <c r="D56">
        <v>0.22409999999999999</v>
      </c>
      <c r="E56">
        <v>0.22750000000000001</v>
      </c>
      <c r="F56">
        <v>52662004</v>
      </c>
      <c r="G56">
        <v>0.22750000000000001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-0.71063829787233912</v>
      </c>
      <c r="Q56">
        <f t="shared" ref="Q56" si="256">F56*P56</f>
        <v>-37423636.885106318</v>
      </c>
      <c r="R56">
        <f t="shared" ref="R56" si="257">R57+Q56</f>
        <v>-1275092083.1166484</v>
      </c>
      <c r="S56">
        <f t="shared" ref="S56" si="258">R56/100000</f>
        <v>-12750.920831166484</v>
      </c>
      <c r="T56">
        <f t="shared" ref="T56" si="259">S56/1000</f>
        <v>-12.750920831166484</v>
      </c>
    </row>
    <row r="57" spans="1:20" x14ac:dyDescent="0.25">
      <c r="A57" s="5">
        <v>44536</v>
      </c>
      <c r="B57">
        <v>0.2291</v>
      </c>
      <c r="C57">
        <v>0.23930000000000001</v>
      </c>
      <c r="D57">
        <v>0.20949999999999999</v>
      </c>
      <c r="E57">
        <v>0.2346</v>
      </c>
      <c r="F57">
        <v>54982509</v>
      </c>
      <c r="G57">
        <v>0.2346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0.68456375838926131</v>
      </c>
      <c r="Q57">
        <f t="shared" ref="Q57" si="261">F57*P57</f>
        <v>37639033.006711386</v>
      </c>
      <c r="R57">
        <f t="shared" ref="R57" si="262">R58+Q57</f>
        <v>-1237668446.2315421</v>
      </c>
      <c r="S57">
        <f t="shared" ref="S57" si="263">R57/100000</f>
        <v>-12376.684462315421</v>
      </c>
      <c r="T57">
        <f t="shared" ref="T57" si="264">S57/1000</f>
        <v>-12.376684462315421</v>
      </c>
    </row>
    <row r="58" spans="1:20" x14ac:dyDescent="0.25">
      <c r="A58" s="5">
        <v>44535</v>
      </c>
      <c r="B58">
        <v>0.25369999999999998</v>
      </c>
      <c r="C58">
        <v>0.27110000000000001</v>
      </c>
      <c r="D58">
        <v>0.2213</v>
      </c>
      <c r="E58">
        <v>0.2293</v>
      </c>
      <c r="F58">
        <v>61538470</v>
      </c>
      <c r="G58">
        <v>0.2293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-0.67871485943775078</v>
      </c>
      <c r="Q58">
        <f t="shared" ref="Q58" si="266">F58*P58</f>
        <v>-41767074.016064242</v>
      </c>
      <c r="R58">
        <f t="shared" ref="R58" si="267">R59+Q58</f>
        <v>-1275307479.2382536</v>
      </c>
      <c r="S58">
        <f t="shared" ref="S58" si="268">R58/100000</f>
        <v>-12753.074792382537</v>
      </c>
      <c r="T58">
        <f t="shared" ref="T58" si="269">S58/1000</f>
        <v>-12.753074792382536</v>
      </c>
    </row>
    <row r="59" spans="1:20" x14ac:dyDescent="0.25">
      <c r="A59" s="5">
        <v>44534</v>
      </c>
      <c r="B59">
        <v>0.30070000000000002</v>
      </c>
      <c r="C59">
        <v>0.3009</v>
      </c>
      <c r="D59">
        <v>0.16550000000000001</v>
      </c>
      <c r="E59">
        <v>0.25340000000000001</v>
      </c>
      <c r="F59">
        <v>149294951.09999999</v>
      </c>
      <c r="G59">
        <v>0.25340000000000001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0.29837518463810947</v>
      </c>
      <c r="Q59">
        <f t="shared" ref="Q59" si="271">F59*P59</f>
        <v>44545908.600000024</v>
      </c>
      <c r="R59">
        <f t="shared" ref="R59" si="272">R60+Q59</f>
        <v>-1233540405.2221894</v>
      </c>
      <c r="S59">
        <f t="shared" ref="S59" si="273">R59/100000</f>
        <v>-12335.404052221895</v>
      </c>
      <c r="T59">
        <f t="shared" ref="T59" si="274">S59/1000</f>
        <v>-12.335404052221895</v>
      </c>
    </row>
    <row r="60" spans="1:20" x14ac:dyDescent="0.25">
      <c r="A60" s="5">
        <v>44533</v>
      </c>
      <c r="B60">
        <v>0.32519999999999999</v>
      </c>
      <c r="C60">
        <v>0.34100000000000003</v>
      </c>
      <c r="D60">
        <v>0.2833</v>
      </c>
      <c r="E60">
        <v>0.30070000000000002</v>
      </c>
      <c r="F60">
        <v>73436290</v>
      </c>
      <c r="G60">
        <v>0.30070000000000002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-0.3968804159445401</v>
      </c>
      <c r="Q60">
        <f t="shared" ref="Q60" si="276">F60*P60</f>
        <v>-29145425.320623871</v>
      </c>
      <c r="R60">
        <f t="shared" ref="R60" si="277">R61+Q60</f>
        <v>-1278086313.8221893</v>
      </c>
      <c r="S60">
        <f t="shared" ref="S60" si="278">R60/100000</f>
        <v>-12780.863138221894</v>
      </c>
      <c r="T60">
        <f t="shared" ref="T60" si="279">S60/1000</f>
        <v>-12.780863138221894</v>
      </c>
    </row>
    <row r="61" spans="1:20" x14ac:dyDescent="0.25">
      <c r="A61" s="5">
        <v>44532</v>
      </c>
      <c r="B61">
        <v>0.312</v>
      </c>
      <c r="C61">
        <v>0.33179999999999998</v>
      </c>
      <c r="D61">
        <v>0.29520000000000002</v>
      </c>
      <c r="E61">
        <v>0.32529999999999998</v>
      </c>
      <c r="F61">
        <v>67981179</v>
      </c>
      <c r="G61">
        <v>0.32529999999999998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0.64480874316939829</v>
      </c>
      <c r="Q61">
        <f t="shared" ref="Q61" si="281">F61*P61</f>
        <v>43834858.590163894</v>
      </c>
      <c r="R61">
        <f t="shared" ref="R61" si="282">R62+Q61</f>
        <v>-1248940888.5015655</v>
      </c>
      <c r="S61">
        <f t="shared" ref="S61" si="283">R61/100000</f>
        <v>-12489.408885015655</v>
      </c>
      <c r="T61">
        <f t="shared" ref="T61" si="284">S61/1000</f>
        <v>-12.489408885015655</v>
      </c>
    </row>
    <row r="62" spans="1:20" x14ac:dyDescent="0.25">
      <c r="A62" s="5">
        <v>44531</v>
      </c>
      <c r="B62">
        <v>0.317</v>
      </c>
      <c r="C62">
        <v>0.32840000000000003</v>
      </c>
      <c r="D62">
        <v>0.308</v>
      </c>
      <c r="E62">
        <v>0.312</v>
      </c>
      <c r="F62">
        <v>46478823</v>
      </c>
      <c r="G62">
        <v>0.312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-0.60784313725490213</v>
      </c>
      <c r="Q62">
        <f t="shared" ref="Q62" si="286">F62*P62</f>
        <v>-28251833.588235304</v>
      </c>
      <c r="R62">
        <f t="shared" ref="R62" si="287">R63+Q62</f>
        <v>-1292775747.0917294</v>
      </c>
      <c r="S62">
        <f t="shared" ref="S62" si="288">R62/100000</f>
        <v>-12927.757470917293</v>
      </c>
      <c r="T62">
        <f t="shared" ref="T62" si="289">S62/1000</f>
        <v>-12.927757470917292</v>
      </c>
    </row>
    <row r="63" spans="1:20" x14ac:dyDescent="0.25">
      <c r="A63" s="5">
        <v>44530</v>
      </c>
      <c r="B63">
        <v>0.33289999999999997</v>
      </c>
      <c r="C63">
        <v>0.33729999999999999</v>
      </c>
      <c r="D63">
        <v>0.31530000000000002</v>
      </c>
      <c r="E63">
        <v>0.31669999999999998</v>
      </c>
      <c r="F63">
        <v>33226337</v>
      </c>
      <c r="G63">
        <v>0.31669999999999998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-0.87272727272727646</v>
      </c>
      <c r="Q63">
        <f t="shared" ref="Q63" si="291">F63*P63</f>
        <v>-28997530.472727396</v>
      </c>
      <c r="R63">
        <f t="shared" ref="R63" si="292">R64+Q63</f>
        <v>-1264523913.503494</v>
      </c>
      <c r="S63">
        <f t="shared" ref="S63" si="293">R63/100000</f>
        <v>-12645.239135034941</v>
      </c>
      <c r="T63">
        <f t="shared" ref="T63" si="294">S63/1000</f>
        <v>-12.645239135034942</v>
      </c>
    </row>
    <row r="64" spans="1:20" x14ac:dyDescent="0.25">
      <c r="A64" s="5">
        <v>44529</v>
      </c>
      <c r="B64">
        <v>0.33679999999999999</v>
      </c>
      <c r="C64">
        <v>0.34289999999999998</v>
      </c>
      <c r="D64">
        <v>0.32469999999999999</v>
      </c>
      <c r="E64">
        <v>0.33289999999999997</v>
      </c>
      <c r="F64">
        <v>28667734</v>
      </c>
      <c r="G64">
        <v>0.33289999999999997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-9.8901098901100243E-2</v>
      </c>
      <c r="Q64">
        <f t="shared" ref="Q64" si="296">F64*P64</f>
        <v>-2835270.395604434</v>
      </c>
      <c r="R64">
        <f t="shared" ref="R64" si="297">R65+Q64</f>
        <v>-1235526383.0307667</v>
      </c>
      <c r="S64">
        <f t="shared" ref="S64" si="298">R64/100000</f>
        <v>-12355.263830307667</v>
      </c>
      <c r="T64">
        <f t="shared" ref="T64" si="299">S64/1000</f>
        <v>-12.355263830307667</v>
      </c>
    </row>
    <row r="65" spans="1:20" x14ac:dyDescent="0.25">
      <c r="A65" s="5">
        <v>44528</v>
      </c>
      <c r="B65">
        <v>0.34310000000000002</v>
      </c>
      <c r="C65">
        <v>0.34320000000000001</v>
      </c>
      <c r="D65">
        <v>0.30809999999999998</v>
      </c>
      <c r="E65">
        <v>0.33679999999999999</v>
      </c>
      <c r="F65">
        <v>54440919</v>
      </c>
      <c r="G65">
        <v>0.33679999999999999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0.63532763532763459</v>
      </c>
      <c r="Q65">
        <f t="shared" ref="Q65" si="301">F65*P65</f>
        <v>34587820.333333291</v>
      </c>
      <c r="R65">
        <f t="shared" ref="R65" si="302">R66+Q65</f>
        <v>-1232691112.6351624</v>
      </c>
      <c r="S65">
        <f t="shared" ref="S65" si="303">R65/100000</f>
        <v>-12326.911126351624</v>
      </c>
      <c r="T65">
        <f t="shared" ref="T65" si="304">S65/1000</f>
        <v>-12.326911126351625</v>
      </c>
    </row>
    <row r="66" spans="1:20" x14ac:dyDescent="0.25">
      <c r="A66" s="5">
        <v>44527</v>
      </c>
      <c r="B66">
        <v>0.32669999999999999</v>
      </c>
      <c r="C66">
        <v>0.373</v>
      </c>
      <c r="D66">
        <v>0.32450000000000001</v>
      </c>
      <c r="E66">
        <v>0.34339999999999998</v>
      </c>
      <c r="F66">
        <v>53887782</v>
      </c>
      <c r="G66">
        <v>0.34339999999999998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-0.22061855670103186</v>
      </c>
      <c r="Q66">
        <f t="shared" ref="Q66" si="306">F66*P66</f>
        <v>-11888644.688659845</v>
      </c>
      <c r="R66">
        <f t="shared" ref="R66" si="307">R67+Q66</f>
        <v>-1267278932.9684956</v>
      </c>
      <c r="S66">
        <f t="shared" ref="S66" si="308">R66/100000</f>
        <v>-12672.789329684956</v>
      </c>
      <c r="T66">
        <f t="shared" ref="T66" si="309">S66/1000</f>
        <v>-12.672789329684957</v>
      </c>
    </row>
    <row r="67" spans="1:20" x14ac:dyDescent="0.25">
      <c r="A67" s="5">
        <v>44526</v>
      </c>
      <c r="B67">
        <v>0.37919999999999998</v>
      </c>
      <c r="C67">
        <v>0.39539999999999997</v>
      </c>
      <c r="D67">
        <v>0.3201</v>
      </c>
      <c r="E67">
        <v>0.32679999999999998</v>
      </c>
      <c r="F67">
        <v>97822332</v>
      </c>
      <c r="G67">
        <v>0.32679999999999998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-0.82204515272244394</v>
      </c>
      <c r="Q67">
        <f t="shared" ref="Q67" si="311">F67*P67</f>
        <v>-80414373.848605618</v>
      </c>
      <c r="R67">
        <f t="shared" ref="R67" si="312">R68+Q67</f>
        <v>-1255390288.2798357</v>
      </c>
      <c r="S67">
        <f t="shared" ref="S67" si="313">R67/100000</f>
        <v>-12553.902882798357</v>
      </c>
      <c r="T67">
        <f t="shared" ref="T67" si="314">S67/1000</f>
        <v>-12.553902882798356</v>
      </c>
    </row>
    <row r="68" spans="1:20" x14ac:dyDescent="0.25">
      <c r="A68" s="5">
        <v>44525</v>
      </c>
      <c r="B68">
        <v>0.3876</v>
      </c>
      <c r="C68">
        <v>0.42799999999999999</v>
      </c>
      <c r="D68">
        <v>0.37469999999999998</v>
      </c>
      <c r="E68">
        <v>0.37909999999999999</v>
      </c>
      <c r="F68">
        <v>121122087</v>
      </c>
      <c r="G68">
        <v>0.37909999999999999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-0.83489681050656606</v>
      </c>
      <c r="Q68">
        <f t="shared" ref="Q68" si="316">F68*P68</f>
        <v>-101124444.11819881</v>
      </c>
      <c r="R68">
        <f t="shared" ref="R68" si="317">R69+Q68</f>
        <v>-1174975914.4312301</v>
      </c>
      <c r="S68">
        <f t="shared" ref="S68" si="318">R68/100000</f>
        <v>-11749.7591443123</v>
      </c>
      <c r="T68">
        <f t="shared" ref="T68" si="319">S68/1000</f>
        <v>-11.7497591443123</v>
      </c>
    </row>
    <row r="69" spans="1:20" x14ac:dyDescent="0.25">
      <c r="A69" s="5">
        <v>44524</v>
      </c>
      <c r="B69">
        <v>0.3725</v>
      </c>
      <c r="C69">
        <v>0.37940000000000002</v>
      </c>
      <c r="D69">
        <v>0.3569</v>
      </c>
      <c r="E69">
        <v>0.36820000000000003</v>
      </c>
      <c r="F69">
        <v>18743444</v>
      </c>
      <c r="G69">
        <v>0.36820000000000003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4.4444444444464186E-3</v>
      </c>
      <c r="Q69">
        <f t="shared" ref="Q69" si="321">F69*P69</f>
        <v>83304.195555592552</v>
      </c>
      <c r="R69">
        <f t="shared" ref="R69" si="322">R70+Q69</f>
        <v>-1073851470.3130312</v>
      </c>
      <c r="S69">
        <f t="shared" ref="S69" si="323">R69/100000</f>
        <v>-10738.514703130311</v>
      </c>
      <c r="T69">
        <f t="shared" ref="T69" si="324">S69/1000</f>
        <v>-10.738514703130312</v>
      </c>
    </row>
    <row r="70" spans="1:20" x14ac:dyDescent="0.25">
      <c r="A70" s="5">
        <v>44523</v>
      </c>
      <c r="B70">
        <v>0.33460000000000001</v>
      </c>
      <c r="C70">
        <v>0.38080000000000003</v>
      </c>
      <c r="D70">
        <v>0.33139999999999997</v>
      </c>
      <c r="E70">
        <v>0.37240000000000001</v>
      </c>
      <c r="F70">
        <v>78850416</v>
      </c>
      <c r="G70">
        <v>0.37240000000000001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0.65991902834008065</v>
      </c>
      <c r="Q70">
        <f t="shared" ref="Q70" si="326">F70*P70</f>
        <v>52034889.910931148</v>
      </c>
      <c r="R70">
        <f t="shared" ref="R70" si="327">R71+Q70</f>
        <v>-1073934774.5085869</v>
      </c>
      <c r="S70">
        <f t="shared" ref="S70" si="328">R70/100000</f>
        <v>-10739.347745085868</v>
      </c>
      <c r="T70">
        <f t="shared" ref="T70" si="329">S70/1000</f>
        <v>-10.739347745085869</v>
      </c>
    </row>
    <row r="71" spans="1:20" x14ac:dyDescent="0.25">
      <c r="A71" s="5">
        <v>44522</v>
      </c>
      <c r="B71">
        <v>0.36459999999999998</v>
      </c>
      <c r="C71">
        <v>0.36959999999999998</v>
      </c>
      <c r="D71">
        <v>0.32769999999999999</v>
      </c>
      <c r="E71">
        <v>0.33489999999999998</v>
      </c>
      <c r="F71">
        <v>60488283</v>
      </c>
      <c r="G71">
        <v>0.33489999999999998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-0.6563245823389029</v>
      </c>
      <c r="Q71">
        <f t="shared" ref="Q71" si="331">F71*P71</f>
        <v>-39699947.076372363</v>
      </c>
      <c r="R71">
        <f t="shared" ref="R71" si="332">R72+Q71</f>
        <v>-1125969664.419518</v>
      </c>
      <c r="S71">
        <f t="shared" ref="S71" si="333">R71/100000</f>
        <v>-11259.696644195179</v>
      </c>
      <c r="T71">
        <f t="shared" ref="T71" si="334">S71/1000</f>
        <v>-11.259696644195179</v>
      </c>
    </row>
    <row r="72" spans="1:20" x14ac:dyDescent="0.25">
      <c r="A72" s="5">
        <v>44521</v>
      </c>
      <c r="B72">
        <v>0.32829999999999998</v>
      </c>
      <c r="C72">
        <v>0.38240000000000002</v>
      </c>
      <c r="D72">
        <v>0.32369999999999999</v>
      </c>
      <c r="E72">
        <v>0.36449999999999999</v>
      </c>
      <c r="F72">
        <v>128734254</v>
      </c>
      <c r="G72">
        <v>0.36449999999999999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0.39011925042589379</v>
      </c>
      <c r="Q72">
        <f t="shared" ref="Q72" si="336">F72*P72</f>
        <v>50221710.67461662</v>
      </c>
      <c r="R72">
        <f t="shared" ref="R72" si="337">R73+Q72</f>
        <v>-1086269717.3431456</v>
      </c>
      <c r="S72">
        <f t="shared" ref="S72" si="338">R72/100000</f>
        <v>-10862.697173431456</v>
      </c>
      <c r="T72">
        <f t="shared" ref="T72" si="339">S72/1000</f>
        <v>-10.862697173431455</v>
      </c>
    </row>
    <row r="73" spans="1:20" x14ac:dyDescent="0.25">
      <c r="A73" s="5">
        <v>44520</v>
      </c>
      <c r="B73">
        <v>0.32100000000000001</v>
      </c>
      <c r="C73">
        <v>0.33389999999999997</v>
      </c>
      <c r="D73">
        <v>0.31059999999999999</v>
      </c>
      <c r="E73">
        <v>0.3281</v>
      </c>
      <c r="F73">
        <v>35899245</v>
      </c>
      <c r="G73">
        <v>0.3281</v>
      </c>
      <c r="L73" t="s">
        <v>7</v>
      </c>
      <c r="M73" t="s">
        <v>7</v>
      </c>
      <c r="N73" t="s">
        <v>7</v>
      </c>
      <c r="P73">
        <f t="shared" ref="P73" si="340">IF(C73=D73,0,((E73-D73)-(C73-E73))/(C73-D73))</f>
        <v>0.50214592274678327</v>
      </c>
      <c r="Q73">
        <f t="shared" ref="Q73" si="341">F73*P73</f>
        <v>18026659.506437846</v>
      </c>
      <c r="R73">
        <f t="shared" ref="R73" si="342">R74+Q73</f>
        <v>-1136491428.0177622</v>
      </c>
      <c r="S73">
        <f t="shared" ref="S73" si="343">R73/100000</f>
        <v>-11364.914280177622</v>
      </c>
      <c r="T73">
        <f t="shared" ref="T73" si="344">S73/1000</f>
        <v>-11.364914280177622</v>
      </c>
    </row>
    <row r="74" spans="1:20" x14ac:dyDescent="0.25">
      <c r="A74" s="5">
        <v>44519</v>
      </c>
      <c r="B74">
        <v>0.30969999999999998</v>
      </c>
      <c r="C74">
        <v>0.33040000000000003</v>
      </c>
      <c r="D74">
        <v>0.30349999999999999</v>
      </c>
      <c r="E74">
        <v>0.32100000000000001</v>
      </c>
      <c r="F74">
        <v>22719670</v>
      </c>
      <c r="G74">
        <v>0.32100000000000001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0.3011152416356872</v>
      </c>
      <c r="Q74">
        <f t="shared" ref="Q74" si="346">F74*P74</f>
        <v>6841238.9219330736</v>
      </c>
      <c r="R74">
        <f t="shared" ref="R74" si="347">R75+Q74</f>
        <v>-1154518087.5242</v>
      </c>
      <c r="S74">
        <f t="shared" ref="S74" si="348">R74/100000</f>
        <v>-11545.180875242</v>
      </c>
      <c r="T74">
        <f t="shared" ref="T74" si="349">S74/1000</f>
        <v>-11.545180875242</v>
      </c>
    </row>
    <row r="75" spans="1:20" x14ac:dyDescent="0.25">
      <c r="A75" s="5">
        <v>44518</v>
      </c>
      <c r="B75">
        <v>0.33379999999999999</v>
      </c>
      <c r="C75">
        <v>0.34050000000000002</v>
      </c>
      <c r="D75">
        <v>0.30080000000000001</v>
      </c>
      <c r="E75">
        <v>0.30930000000000002</v>
      </c>
      <c r="F75">
        <v>35258053</v>
      </c>
      <c r="G75">
        <v>0.30930000000000002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-0.57178841309823658</v>
      </c>
      <c r="Q75">
        <f t="shared" ref="Q75" si="351">F75*P75</f>
        <v>-20160146.173803519</v>
      </c>
      <c r="R75">
        <f t="shared" ref="R75" si="352">R76+Q75</f>
        <v>-1161359326.4461331</v>
      </c>
      <c r="S75">
        <f t="shared" ref="S75" si="353">R75/100000</f>
        <v>-11613.593264461331</v>
      </c>
      <c r="T75">
        <f t="shared" ref="T75" si="354">S75/1000</f>
        <v>-11.613593264461331</v>
      </c>
    </row>
    <row r="76" spans="1:20" x14ac:dyDescent="0.25">
      <c r="A76" s="5">
        <v>44517</v>
      </c>
      <c r="B76">
        <v>0.33</v>
      </c>
      <c r="C76">
        <v>0.33629999999999999</v>
      </c>
      <c r="D76">
        <v>0.31030000000000002</v>
      </c>
      <c r="E76">
        <v>0.3342</v>
      </c>
      <c r="F76">
        <v>32845337</v>
      </c>
      <c r="G76">
        <v>0.3342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0.83846153846153892</v>
      </c>
      <c r="Q76">
        <f t="shared" ref="Q76" si="356">F76*P76</f>
        <v>27539551.792307708</v>
      </c>
      <c r="R76">
        <f t="shared" ref="R76" si="357">R77+Q76</f>
        <v>-1141199180.2723296</v>
      </c>
      <c r="S76">
        <f t="shared" ref="S76" si="358">R76/100000</f>
        <v>-11411.991802723296</v>
      </c>
      <c r="T76">
        <f t="shared" ref="T76" si="359">S76/1000</f>
        <v>-11.411991802723296</v>
      </c>
    </row>
    <row r="77" spans="1:20" x14ac:dyDescent="0.25">
      <c r="A77" s="5">
        <v>44516</v>
      </c>
      <c r="B77">
        <v>0.37180000000000002</v>
      </c>
      <c r="C77">
        <v>0.3735</v>
      </c>
      <c r="D77">
        <v>0.31509999999999999</v>
      </c>
      <c r="E77">
        <v>0.32990000000000003</v>
      </c>
      <c r="F77">
        <v>60688650</v>
      </c>
      <c r="G77">
        <v>0.32990000000000003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-0.49315068493150571</v>
      </c>
      <c r="Q77">
        <f t="shared" ref="Q77" si="361">F77*P77</f>
        <v>-29928649.315068424</v>
      </c>
      <c r="R77">
        <f t="shared" ref="R77" si="362">R78+Q77</f>
        <v>-1168738732.0646372</v>
      </c>
      <c r="S77">
        <f t="shared" ref="S77" si="363">R77/100000</f>
        <v>-11687.387320646372</v>
      </c>
      <c r="T77">
        <f t="shared" ref="T77" si="364">S77/1000</f>
        <v>-11.687387320646373</v>
      </c>
    </row>
    <row r="78" spans="1:20" x14ac:dyDescent="0.25">
      <c r="A78" s="5">
        <v>44515</v>
      </c>
      <c r="B78">
        <v>0.36599999999999999</v>
      </c>
      <c r="C78">
        <v>0.3906</v>
      </c>
      <c r="D78">
        <v>0.36070000000000002</v>
      </c>
      <c r="E78">
        <v>0.37180000000000002</v>
      </c>
      <c r="F78">
        <v>68276773</v>
      </c>
      <c r="G78">
        <v>0.37180000000000002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-0.2575250836120398</v>
      </c>
      <c r="Q78">
        <f t="shared" ref="Q78" si="366">F78*P78</f>
        <v>-17582981.675585262</v>
      </c>
      <c r="R78">
        <f t="shared" ref="R78" si="367">R79+Q78</f>
        <v>-1138810082.7495687</v>
      </c>
      <c r="S78">
        <f t="shared" ref="S78" si="368">R78/100000</f>
        <v>-11388.100827495688</v>
      </c>
      <c r="T78">
        <f t="shared" ref="T78" si="369">S78/1000</f>
        <v>-11.388100827495688</v>
      </c>
    </row>
    <row r="79" spans="1:20" x14ac:dyDescent="0.25">
      <c r="A79" s="5">
        <v>44514</v>
      </c>
      <c r="B79">
        <v>0.36030000000000001</v>
      </c>
      <c r="C79">
        <v>0.38040000000000002</v>
      </c>
      <c r="D79">
        <v>0.35510000000000003</v>
      </c>
      <c r="E79">
        <v>0.36609999999999998</v>
      </c>
      <c r="F79">
        <v>36240046</v>
      </c>
      <c r="G79">
        <v>0.36609999999999998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-0.1304347826086989</v>
      </c>
      <c r="Q79">
        <f t="shared" ref="Q79" si="371">F79*P79</f>
        <v>-4726962.5217392482</v>
      </c>
      <c r="R79">
        <f t="shared" ref="R79" si="372">R80+Q79</f>
        <v>-1121227101.0739834</v>
      </c>
      <c r="S79">
        <f t="shared" ref="S79" si="373">R79/100000</f>
        <v>-11212.271010739834</v>
      </c>
      <c r="T79">
        <f t="shared" ref="T79" si="374">S79/1000</f>
        <v>-11.212271010739835</v>
      </c>
    </row>
    <row r="80" spans="1:20" x14ac:dyDescent="0.25">
      <c r="A80" s="5">
        <v>44513</v>
      </c>
      <c r="B80">
        <v>0.3589</v>
      </c>
      <c r="C80">
        <v>0.36959999999999998</v>
      </c>
      <c r="D80">
        <v>0.34760000000000002</v>
      </c>
      <c r="E80">
        <v>0.3604</v>
      </c>
      <c r="F80">
        <v>25393182</v>
      </c>
      <c r="G80">
        <v>0.3604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0.16363636363636355</v>
      </c>
      <c r="Q80">
        <f t="shared" ref="Q80" si="376">F80*P80</f>
        <v>4155247.9636363615</v>
      </c>
      <c r="R80">
        <f t="shared" ref="R80" si="377">R81+Q80</f>
        <v>-1116500138.5522442</v>
      </c>
      <c r="S80">
        <f t="shared" ref="S80" si="378">R80/100000</f>
        <v>-11165.001385522442</v>
      </c>
      <c r="T80">
        <f t="shared" ref="T80" si="379">S80/1000</f>
        <v>-11.165001385522443</v>
      </c>
    </row>
    <row r="81" spans="1:20" x14ac:dyDescent="0.25">
      <c r="A81" s="5">
        <v>44512</v>
      </c>
      <c r="B81">
        <v>0.36959999999999998</v>
      </c>
      <c r="C81">
        <v>0.37659999999999999</v>
      </c>
      <c r="D81">
        <v>0.3488</v>
      </c>
      <c r="E81">
        <v>0.3589</v>
      </c>
      <c r="F81">
        <v>43148362</v>
      </c>
      <c r="G81">
        <v>0.3589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-0.27338129496402869</v>
      </c>
      <c r="Q81">
        <f t="shared" ref="Q81" si="381">F81*P81</f>
        <v>-11795955.079136686</v>
      </c>
      <c r="R81">
        <f t="shared" ref="R81" si="382">R82+Q81</f>
        <v>-1120655386.5158806</v>
      </c>
      <c r="S81">
        <f t="shared" ref="S81" si="383">R81/100000</f>
        <v>-11206.553865158807</v>
      </c>
      <c r="T81">
        <f t="shared" ref="T81" si="384">S81/1000</f>
        <v>-11.206553865158806</v>
      </c>
    </row>
    <row r="82" spans="1:20" x14ac:dyDescent="0.25">
      <c r="A82" s="5">
        <v>44511</v>
      </c>
      <c r="B82">
        <v>0.34110000000000001</v>
      </c>
      <c r="C82">
        <v>0.39179999999999998</v>
      </c>
      <c r="D82">
        <v>0.33479999999999999</v>
      </c>
      <c r="E82">
        <v>0.36980000000000002</v>
      </c>
      <c r="F82">
        <v>59624728</v>
      </c>
      <c r="G82">
        <v>0.36980000000000002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0.2280701754385977</v>
      </c>
      <c r="Q82">
        <f t="shared" ref="Q82" si="386">F82*P82</f>
        <v>13598622.175438669</v>
      </c>
      <c r="R82">
        <f t="shared" ref="R82" si="387">R83+Q82</f>
        <v>-1108859431.436744</v>
      </c>
      <c r="S82">
        <f t="shared" ref="S82" si="388">R82/100000</f>
        <v>-11088.594314367439</v>
      </c>
      <c r="T82">
        <f t="shared" ref="T82" si="389">S82/1000</f>
        <v>-11.088594314367439</v>
      </c>
    </row>
    <row r="83" spans="1:20" x14ac:dyDescent="0.25">
      <c r="A83" s="5">
        <v>44510</v>
      </c>
      <c r="B83">
        <v>0.3659</v>
      </c>
      <c r="C83">
        <v>0.39439999999999997</v>
      </c>
      <c r="D83">
        <v>0.31809999999999999</v>
      </c>
      <c r="E83">
        <v>0.34160000000000001</v>
      </c>
      <c r="F83">
        <v>62715374</v>
      </c>
      <c r="G83">
        <v>0.34160000000000001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-0.3840104849279154</v>
      </c>
      <c r="Q83">
        <f t="shared" ref="Q83" si="391">F83*P83</f>
        <v>-24083361.182175577</v>
      </c>
      <c r="R83">
        <f t="shared" ref="R83" si="392">R84+Q83</f>
        <v>-1122458053.6121826</v>
      </c>
      <c r="S83">
        <f t="shared" ref="S83" si="393">R83/100000</f>
        <v>-11224.580536121826</v>
      </c>
      <c r="T83">
        <f t="shared" ref="T83" si="394">S83/1000</f>
        <v>-11.224580536121826</v>
      </c>
    </row>
    <row r="84" spans="1:20" x14ac:dyDescent="0.25">
      <c r="A84" s="5">
        <v>44509</v>
      </c>
      <c r="B84">
        <v>0.38200000000000001</v>
      </c>
      <c r="C84">
        <v>0.38219999999999998</v>
      </c>
      <c r="D84">
        <v>0.36149999999999999</v>
      </c>
      <c r="E84">
        <v>0.36570000000000003</v>
      </c>
      <c r="F84">
        <v>33662594</v>
      </c>
      <c r="G84">
        <v>0.36570000000000003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-0.59420289855072095</v>
      </c>
      <c r="Q84">
        <f t="shared" ref="Q84" si="396">F84*P84</f>
        <v>-20002410.927536108</v>
      </c>
      <c r="R84">
        <f t="shared" ref="R84" si="397">R85+Q84</f>
        <v>-1098374692.430007</v>
      </c>
      <c r="S84">
        <f t="shared" ref="S84" si="398">R84/100000</f>
        <v>-10983.746924300071</v>
      </c>
      <c r="T84">
        <f t="shared" ref="T84" si="399">S84/1000</f>
        <v>-10.983746924300071</v>
      </c>
    </row>
    <row r="85" spans="1:20" x14ac:dyDescent="0.25">
      <c r="A85" s="5">
        <v>44508</v>
      </c>
      <c r="B85">
        <v>0.40410000000000001</v>
      </c>
      <c r="C85">
        <v>0.40539999999999998</v>
      </c>
      <c r="D85">
        <v>0.36969999999999997</v>
      </c>
      <c r="E85">
        <v>0.38200000000000001</v>
      </c>
      <c r="F85">
        <v>45848518</v>
      </c>
      <c r="G85">
        <v>0.38200000000000001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-0.3109243697478975</v>
      </c>
      <c r="Q85">
        <f t="shared" ref="Q85" si="401">F85*P85</f>
        <v>-14255421.563025134</v>
      </c>
      <c r="R85">
        <f t="shared" ref="R85" si="402">R86+Q85</f>
        <v>-1078372281.502471</v>
      </c>
      <c r="S85">
        <f t="shared" ref="S85" si="403">R85/100000</f>
        <v>-10783.72281502471</v>
      </c>
      <c r="T85">
        <f t="shared" ref="T85" si="404">S85/1000</f>
        <v>-10.78372281502471</v>
      </c>
    </row>
    <row r="86" spans="1:20" x14ac:dyDescent="0.25">
      <c r="A86" s="5">
        <v>44507</v>
      </c>
      <c r="B86">
        <v>0.3805</v>
      </c>
      <c r="C86">
        <v>0.4088</v>
      </c>
      <c r="D86">
        <v>0.37730000000000002</v>
      </c>
      <c r="E86">
        <v>0.40410000000000001</v>
      </c>
      <c r="F86">
        <v>40970928</v>
      </c>
      <c r="G86">
        <v>0.40410000000000001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0.70158730158730243</v>
      </c>
      <c r="Q86">
        <f t="shared" ref="Q86" si="406">F86*P86</f>
        <v>28744682.819047652</v>
      </c>
      <c r="R86">
        <f t="shared" ref="R86" si="407">R87+Q86</f>
        <v>-1064116859.9394457</v>
      </c>
      <c r="S86">
        <f t="shared" ref="S86" si="408">R86/100000</f>
        <v>-10641.168599394457</v>
      </c>
      <c r="T86">
        <f t="shared" ref="T86" si="409">S86/1000</f>
        <v>-10.641168599394458</v>
      </c>
    </row>
    <row r="87" spans="1:20" x14ac:dyDescent="0.25">
      <c r="A87" s="5">
        <v>44506</v>
      </c>
      <c r="B87">
        <v>0.36659999999999998</v>
      </c>
      <c r="C87">
        <v>0.40439999999999998</v>
      </c>
      <c r="D87">
        <v>0.36509999999999998</v>
      </c>
      <c r="E87">
        <v>0.38009999999999999</v>
      </c>
      <c r="F87">
        <v>89839306</v>
      </c>
      <c r="G87">
        <v>0.38009999999999999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-0.23664122137404514</v>
      </c>
      <c r="Q87">
        <f t="shared" ref="Q87" si="411">F87*P87</f>
        <v>-21259683.099236581</v>
      </c>
      <c r="R87">
        <f t="shared" ref="R87" si="412">R88+Q87</f>
        <v>-1092861542.7584934</v>
      </c>
      <c r="S87">
        <f t="shared" ref="S87" si="413">R87/100000</f>
        <v>-10928.615427584935</v>
      </c>
      <c r="T87">
        <f t="shared" ref="T87" si="414">S87/1000</f>
        <v>-10.928615427584935</v>
      </c>
    </row>
    <row r="88" spans="1:20" x14ac:dyDescent="0.25">
      <c r="A88" s="5">
        <v>44505</v>
      </c>
      <c r="B88">
        <v>0.36370000000000002</v>
      </c>
      <c r="C88">
        <v>0.37509999999999999</v>
      </c>
      <c r="D88">
        <v>0.35210000000000002</v>
      </c>
      <c r="E88">
        <v>0.36680000000000001</v>
      </c>
      <c r="F88">
        <v>35490394</v>
      </c>
      <c r="G88">
        <v>0.36680000000000001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0.27826086956521856</v>
      </c>
      <c r="Q88">
        <f t="shared" ref="Q88" si="416">F88*P88</f>
        <v>9875587.8956522159</v>
      </c>
      <c r="R88">
        <f t="shared" ref="R88" si="417">R89+Q88</f>
        <v>-1071601859.6592568</v>
      </c>
      <c r="S88">
        <f t="shared" ref="S88" si="418">R88/100000</f>
        <v>-10716.018596592568</v>
      </c>
      <c r="T88">
        <f t="shared" ref="T88" si="419">S88/1000</f>
        <v>-10.716018596592569</v>
      </c>
    </row>
    <row r="89" spans="1:20" x14ac:dyDescent="0.25">
      <c r="A89" s="5">
        <v>44504</v>
      </c>
      <c r="B89">
        <v>0.37130000000000002</v>
      </c>
      <c r="C89">
        <v>0.39379999999999998</v>
      </c>
      <c r="D89">
        <v>0.35510000000000003</v>
      </c>
      <c r="E89">
        <v>0.3639</v>
      </c>
      <c r="F89">
        <v>46100237</v>
      </c>
      <c r="G89">
        <v>0.3639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-0.54521963824289488</v>
      </c>
      <c r="Q89">
        <f t="shared" ref="Q89" si="421">F89*P89</f>
        <v>-25134754.540051717</v>
      </c>
      <c r="R89">
        <f t="shared" ref="R89" si="422">R90+Q89</f>
        <v>-1081477447.554909</v>
      </c>
      <c r="S89">
        <f t="shared" ref="S89" si="423">R89/100000</f>
        <v>-10814.774475549089</v>
      </c>
      <c r="T89">
        <f t="shared" ref="T89" si="424">S89/1000</f>
        <v>-10.81477447554909</v>
      </c>
    </row>
    <row r="90" spans="1:20" x14ac:dyDescent="0.25">
      <c r="A90" s="5">
        <v>44503</v>
      </c>
      <c r="B90">
        <v>0.36020000000000002</v>
      </c>
      <c r="C90">
        <v>0.38500000000000001</v>
      </c>
      <c r="D90">
        <v>0.35110000000000002</v>
      </c>
      <c r="E90">
        <v>0.37130000000000002</v>
      </c>
      <c r="F90">
        <v>54596704</v>
      </c>
      <c r="G90">
        <v>0.37130000000000002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0.19174041297935129</v>
      </c>
      <c r="Q90">
        <f t="shared" ref="Q90" si="426">F90*P90</f>
        <v>10468394.572271401</v>
      </c>
      <c r="R90">
        <f t="shared" ref="R90" si="427">R91+Q90</f>
        <v>-1056342693.0148572</v>
      </c>
      <c r="S90">
        <f t="shared" ref="S90" si="428">R90/100000</f>
        <v>-10563.426930148571</v>
      </c>
      <c r="T90">
        <f t="shared" ref="T90" si="429">S90/1000</f>
        <v>-10.563426930148571</v>
      </c>
    </row>
    <row r="91" spans="1:20" x14ac:dyDescent="0.25">
      <c r="A91" s="5">
        <v>44502</v>
      </c>
      <c r="B91">
        <v>0.35980000000000001</v>
      </c>
      <c r="C91">
        <v>0.38690000000000002</v>
      </c>
      <c r="D91">
        <v>0.35139999999999999</v>
      </c>
      <c r="E91">
        <v>0.36020000000000002</v>
      </c>
      <c r="F91">
        <v>63823380</v>
      </c>
      <c r="G91">
        <v>0.36020000000000002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-0.50422535211267483</v>
      </c>
      <c r="Q91">
        <f t="shared" ref="Q91" si="431">F91*P91</f>
        <v>-32181366.253521048</v>
      </c>
      <c r="R91">
        <f t="shared" ref="R91" si="432">R92+Q91</f>
        <v>-1066811087.5871285</v>
      </c>
      <c r="S91">
        <f t="shared" ref="S91" si="433">R91/100000</f>
        <v>-10668.110875871285</v>
      </c>
      <c r="T91">
        <f t="shared" ref="T91" si="434">S91/1000</f>
        <v>-10.668110875871285</v>
      </c>
    </row>
    <row r="92" spans="1:20" x14ac:dyDescent="0.25">
      <c r="A92" s="5">
        <v>44501</v>
      </c>
      <c r="B92">
        <v>0.34110000000000001</v>
      </c>
      <c r="C92">
        <v>0.36470000000000002</v>
      </c>
      <c r="D92">
        <v>0.32100000000000001</v>
      </c>
      <c r="E92">
        <v>0.36009999999999998</v>
      </c>
      <c r="F92">
        <v>74731121</v>
      </c>
      <c r="G92">
        <v>0.36009999999999998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0.78947368421052422</v>
      </c>
      <c r="Q92">
        <f t="shared" ref="Q92" si="436">F92*P92</f>
        <v>58998253.421052478</v>
      </c>
      <c r="R92">
        <f t="shared" ref="R92" si="437">R93+Q92</f>
        <v>-1034629721.3336074</v>
      </c>
      <c r="S92">
        <f t="shared" ref="S92" si="438">R92/100000</f>
        <v>-10346.297213336074</v>
      </c>
      <c r="T92">
        <f t="shared" ref="T92" si="439">S92/1000</f>
        <v>-10.346297213336074</v>
      </c>
    </row>
    <row r="93" spans="1:20" x14ac:dyDescent="0.25">
      <c r="A93" s="5">
        <v>44500</v>
      </c>
      <c r="B93">
        <v>0.35020000000000001</v>
      </c>
      <c r="C93">
        <v>0.43640000000000001</v>
      </c>
      <c r="D93">
        <v>0.33</v>
      </c>
      <c r="E93">
        <v>0.34089999999999998</v>
      </c>
      <c r="F93">
        <v>115922905</v>
      </c>
      <c r="G93">
        <v>0.34089999999999998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-0.79511278195488788</v>
      </c>
      <c r="Q93">
        <f t="shared" ref="Q93" si="441">F93*P93</f>
        <v>-92171783.486842185</v>
      </c>
      <c r="R93">
        <f t="shared" ref="R93" si="442">R94+Q93</f>
        <v>-1093627974.7546599</v>
      </c>
      <c r="S93">
        <f t="shared" ref="S93" si="443">R93/100000</f>
        <v>-10936.2797475466</v>
      </c>
      <c r="T93">
        <f t="shared" ref="T93" si="444">S93/1000</f>
        <v>-10.9362797475466</v>
      </c>
    </row>
    <row r="94" spans="1:20" x14ac:dyDescent="0.25">
      <c r="A94" s="5">
        <v>44499</v>
      </c>
      <c r="B94">
        <v>0.32800000000000001</v>
      </c>
      <c r="C94">
        <v>0.38679999999999998</v>
      </c>
      <c r="D94">
        <v>0.3135</v>
      </c>
      <c r="E94">
        <v>0.35020000000000001</v>
      </c>
      <c r="F94">
        <v>70290767</v>
      </c>
      <c r="G94">
        <v>0.35020000000000001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1.3642564802188886E-3</v>
      </c>
      <c r="Q94">
        <f t="shared" ref="Q94" si="446">F94*P94</f>
        <v>95894.634379306008</v>
      </c>
      <c r="R94">
        <f t="shared" ref="R94" si="447">R95+Q94</f>
        <v>-1001456191.2678176</v>
      </c>
      <c r="S94">
        <f t="shared" ref="S94" si="448">R94/100000</f>
        <v>-10014.561912678177</v>
      </c>
      <c r="T94">
        <f t="shared" ref="T94" si="449">S94/1000</f>
        <v>-10.014561912678177</v>
      </c>
    </row>
    <row r="95" spans="1:20" x14ac:dyDescent="0.25">
      <c r="A95" s="5">
        <v>44498</v>
      </c>
      <c r="B95">
        <v>0.311</v>
      </c>
      <c r="C95">
        <v>0.33439999999999998</v>
      </c>
      <c r="D95">
        <v>0.30980000000000002</v>
      </c>
      <c r="E95">
        <v>0.32790000000000002</v>
      </c>
      <c r="F95">
        <v>26527196</v>
      </c>
      <c r="G95">
        <v>0.32790000000000002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0.47154471544715754</v>
      </c>
      <c r="Q95">
        <f t="shared" ref="Q95" si="451">F95*P95</f>
        <v>12508759.089430975</v>
      </c>
      <c r="R95">
        <f t="shared" ref="R95" si="452">R96+Q95</f>
        <v>-1001552085.9021969</v>
      </c>
      <c r="S95">
        <f t="shared" ref="S95" si="453">R95/100000</f>
        <v>-10015.520859021968</v>
      </c>
      <c r="T95">
        <f t="shared" ref="T95" si="454">S95/1000</f>
        <v>-10.015520859021969</v>
      </c>
    </row>
    <row r="96" spans="1:20" x14ac:dyDescent="0.25">
      <c r="A96" s="5">
        <v>44497</v>
      </c>
      <c r="B96">
        <v>0.2903</v>
      </c>
      <c r="C96">
        <v>0.32340000000000002</v>
      </c>
      <c r="D96">
        <v>0.28839999999999999</v>
      </c>
      <c r="E96">
        <v>0.311</v>
      </c>
      <c r="F96">
        <v>44413123</v>
      </c>
      <c r="G96">
        <v>0.311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0.29142857142857082</v>
      </c>
      <c r="Q96">
        <f t="shared" ref="Q96" si="456">F96*P96</f>
        <v>12943252.988571402</v>
      </c>
      <c r="R96">
        <f t="shared" ref="R96" si="457">R97+Q96</f>
        <v>-1014060844.9916278</v>
      </c>
      <c r="S96">
        <f t="shared" ref="S96" si="458">R96/100000</f>
        <v>-10140.608449916279</v>
      </c>
      <c r="T96">
        <f t="shared" ref="T96" si="459">S96/1000</f>
        <v>-10.140608449916279</v>
      </c>
    </row>
    <row r="97" spans="1:20" x14ac:dyDescent="0.25">
      <c r="A97" s="5">
        <v>44496</v>
      </c>
      <c r="B97">
        <v>0.33289999999999997</v>
      </c>
      <c r="C97">
        <v>0.33760000000000001</v>
      </c>
      <c r="D97">
        <v>0.27350000000000002</v>
      </c>
      <c r="E97">
        <v>0.28999999999999998</v>
      </c>
      <c r="F97">
        <v>48909232</v>
      </c>
      <c r="G97">
        <v>0.28999999999999998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-0.48517940717628827</v>
      </c>
      <c r="Q97">
        <f t="shared" ref="Q97" si="461">F97*P97</f>
        <v>-23729752.187207546</v>
      </c>
      <c r="R97">
        <f t="shared" ref="R97" si="462">R98+Q97</f>
        <v>-1027004097.9801992</v>
      </c>
      <c r="S97">
        <f t="shared" ref="S97" si="463">R97/100000</f>
        <v>-10270.040979801992</v>
      </c>
      <c r="T97">
        <f t="shared" ref="T97" si="464">S97/1000</f>
        <v>-10.270040979801992</v>
      </c>
    </row>
    <row r="98" spans="1:20" x14ac:dyDescent="0.25">
      <c r="A98" s="5">
        <v>44495</v>
      </c>
      <c r="B98">
        <v>0.3322</v>
      </c>
      <c r="C98">
        <v>0.3498</v>
      </c>
      <c r="D98">
        <v>0.3286</v>
      </c>
      <c r="E98">
        <v>0.3327</v>
      </c>
      <c r="F98">
        <v>24701269</v>
      </c>
      <c r="G98">
        <v>0.3327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-0.61320754716981196</v>
      </c>
      <c r="Q98">
        <f t="shared" ref="Q98" si="466">F98*P98</f>
        <v>-15147004.575471714</v>
      </c>
      <c r="R98">
        <f t="shared" ref="R98" si="467">R99+Q98</f>
        <v>-1003274345.7929916</v>
      </c>
      <c r="S98">
        <f t="shared" ref="S98" si="468">R98/100000</f>
        <v>-10032.743457929917</v>
      </c>
      <c r="T98">
        <f t="shared" ref="T98" si="469">S98/1000</f>
        <v>-10.032743457929916</v>
      </c>
    </row>
    <row r="99" spans="1:20" x14ac:dyDescent="0.25">
      <c r="A99" s="5">
        <v>44494</v>
      </c>
      <c r="B99">
        <v>0.32340000000000002</v>
      </c>
      <c r="C99">
        <v>0.34399999999999997</v>
      </c>
      <c r="D99">
        <v>0.32229999999999998</v>
      </c>
      <c r="E99">
        <v>0.3322</v>
      </c>
      <c r="F99">
        <v>21021793</v>
      </c>
      <c r="G99">
        <v>0.3322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-8.7557603686633984E-2</v>
      </c>
      <c r="Q99">
        <f t="shared" ref="Q99" si="471">F99*P99</f>
        <v>-1840617.8202764564</v>
      </c>
      <c r="R99">
        <f t="shared" ref="R99" si="472">R100+Q99</f>
        <v>-988127341.21751988</v>
      </c>
      <c r="S99">
        <f t="shared" ref="S99" si="473">R99/100000</f>
        <v>-9881.2734121751982</v>
      </c>
      <c r="T99">
        <f t="shared" ref="T99" si="474">S99/1000</f>
        <v>-9.8812734121751991</v>
      </c>
    </row>
    <row r="100" spans="1:20" x14ac:dyDescent="0.25">
      <c r="A100" s="5">
        <v>44493</v>
      </c>
      <c r="B100">
        <v>0.33489999999999998</v>
      </c>
      <c r="C100">
        <v>0.34050000000000002</v>
      </c>
      <c r="D100">
        <v>0.31909999999999999</v>
      </c>
      <c r="E100">
        <v>0.32340000000000002</v>
      </c>
      <c r="F100">
        <v>14879032</v>
      </c>
      <c r="G100">
        <v>0.32340000000000002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-0.59813084112149351</v>
      </c>
      <c r="Q100">
        <f t="shared" ref="Q100" si="476">F100*P100</f>
        <v>-8899607.9252336174</v>
      </c>
      <c r="R100">
        <f t="shared" ref="R100" si="477">R101+Q100</f>
        <v>-986286723.39724338</v>
      </c>
      <c r="S100">
        <f t="shared" ref="S100" si="478">R100/100000</f>
        <v>-9862.8672339724344</v>
      </c>
      <c r="T100">
        <f t="shared" ref="T100" si="479">S100/1000</f>
        <v>-9.8628672339724339</v>
      </c>
    </row>
    <row r="101" spans="1:20" x14ac:dyDescent="0.25">
      <c r="A101" s="5">
        <v>44492</v>
      </c>
      <c r="B101">
        <v>0.3367</v>
      </c>
      <c r="C101">
        <v>0.34410000000000002</v>
      </c>
      <c r="D101">
        <v>0.32829999999999998</v>
      </c>
      <c r="E101">
        <v>0.33510000000000001</v>
      </c>
      <c r="F101">
        <v>14551548</v>
      </c>
      <c r="G101">
        <v>0.33510000000000001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-0.13924050632911233</v>
      </c>
      <c r="Q101">
        <f t="shared" ref="Q101" si="481">F101*P101</f>
        <v>-2026164.9113923819</v>
      </c>
      <c r="R101">
        <f t="shared" ref="R101" si="482">R102+Q101</f>
        <v>-977387115.47200978</v>
      </c>
      <c r="S101">
        <f t="shared" ref="S101" si="483">R101/100000</f>
        <v>-9773.8711547200983</v>
      </c>
      <c r="T101">
        <f t="shared" ref="T101" si="484">S101/1000</f>
        <v>-9.7738711547200978</v>
      </c>
    </row>
    <row r="102" spans="1:20" x14ac:dyDescent="0.25">
      <c r="A102" s="5">
        <v>44491</v>
      </c>
      <c r="B102">
        <v>0.34</v>
      </c>
      <c r="C102">
        <v>0.35780000000000001</v>
      </c>
      <c r="D102">
        <v>0.3327</v>
      </c>
      <c r="E102">
        <v>0.33650000000000002</v>
      </c>
      <c r="F102">
        <v>25349920</v>
      </c>
      <c r="G102">
        <v>0.33650000000000002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-0.6972111553784841</v>
      </c>
      <c r="Q102">
        <f t="shared" ref="Q102" si="486">F102*P102</f>
        <v>-17674247.011952143</v>
      </c>
      <c r="R102">
        <f t="shared" ref="R102" si="487">R103+Q102</f>
        <v>-975360950.56061745</v>
      </c>
      <c r="S102">
        <f t="shared" ref="S102" si="488">R102/100000</f>
        <v>-9753.6095056061749</v>
      </c>
      <c r="T102">
        <f t="shared" ref="T102" si="489">S102/1000</f>
        <v>-9.7536095056061747</v>
      </c>
    </row>
    <row r="103" spans="1:20" x14ac:dyDescent="0.25">
      <c r="A103" s="5">
        <v>44490</v>
      </c>
      <c r="B103">
        <v>0.34920000000000001</v>
      </c>
      <c r="C103">
        <v>0.376</v>
      </c>
      <c r="D103">
        <v>0.33789999999999998</v>
      </c>
      <c r="E103">
        <v>0.34</v>
      </c>
      <c r="F103">
        <v>26606546</v>
      </c>
      <c r="G103">
        <v>0.34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-0.8897637795275567</v>
      </c>
      <c r="Q103">
        <f t="shared" ref="Q103" si="491">F103*P103</f>
        <v>-23673540.929133795</v>
      </c>
      <c r="R103">
        <f t="shared" ref="R103" si="492">R104+Q103</f>
        <v>-957686703.54866529</v>
      </c>
      <c r="S103">
        <f t="shared" ref="S103" si="493">R103/100000</f>
        <v>-9576.8670354866535</v>
      </c>
      <c r="T103">
        <f t="shared" ref="T103" si="494">S103/1000</f>
        <v>-9.5768670354866536</v>
      </c>
    </row>
    <row r="104" spans="1:20" x14ac:dyDescent="0.25">
      <c r="A104" s="5">
        <v>44489</v>
      </c>
      <c r="B104">
        <v>0.34139999999999998</v>
      </c>
      <c r="C104">
        <v>0.36320000000000002</v>
      </c>
      <c r="D104">
        <v>0.33479999999999999</v>
      </c>
      <c r="E104">
        <v>0.34889999999999999</v>
      </c>
      <c r="F104">
        <v>22873828</v>
      </c>
      <c r="G104">
        <v>0.34889999999999999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-7.0422535211279308E-3</v>
      </c>
      <c r="Q104">
        <f t="shared" ref="Q104" si="496">F104*P104</f>
        <v>-161083.29577467465</v>
      </c>
      <c r="R104">
        <f t="shared" ref="R104" si="497">R105+Q104</f>
        <v>-934013162.61953151</v>
      </c>
      <c r="S104">
        <f t="shared" ref="S104" si="498">R104/100000</f>
        <v>-9340.1316261953143</v>
      </c>
      <c r="T104">
        <f t="shared" ref="T104" si="499">S104/1000</f>
        <v>-9.3401316261953138</v>
      </c>
    </row>
    <row r="105" spans="1:20" x14ac:dyDescent="0.25">
      <c r="A105" s="5">
        <v>44488</v>
      </c>
      <c r="B105">
        <v>0.36670000000000003</v>
      </c>
      <c r="C105">
        <v>0.36930000000000002</v>
      </c>
      <c r="D105">
        <v>0.33429999999999999</v>
      </c>
      <c r="E105">
        <v>0.34110000000000001</v>
      </c>
      <c r="F105">
        <v>22525075</v>
      </c>
      <c r="G105">
        <v>0.34110000000000001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-0.61142857142857021</v>
      </c>
      <c r="Q105">
        <f t="shared" ref="Q105" si="501">F105*P105</f>
        <v>-13772474.428571401</v>
      </c>
      <c r="R105">
        <f t="shared" ref="R105" si="502">R106+Q105</f>
        <v>-933852079.32375681</v>
      </c>
      <c r="S105">
        <f t="shared" ref="S105" si="503">R105/100000</f>
        <v>-9338.5207932375688</v>
      </c>
      <c r="T105">
        <f t="shared" ref="T105" si="504">S105/1000</f>
        <v>-9.3385207932375689</v>
      </c>
    </row>
    <row r="106" spans="1:20" x14ac:dyDescent="0.25">
      <c r="A106" s="5">
        <v>44487</v>
      </c>
      <c r="B106">
        <v>0.35189999999999999</v>
      </c>
      <c r="C106">
        <v>0.379</v>
      </c>
      <c r="D106">
        <v>0.34</v>
      </c>
      <c r="E106">
        <v>0.36680000000000001</v>
      </c>
      <c r="F106">
        <v>33931120</v>
      </c>
      <c r="G106">
        <v>0.36680000000000001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0.37435897435897458</v>
      </c>
      <c r="Q106">
        <f t="shared" ref="Q106" si="506">F106*P106</f>
        <v>12702419.282051289</v>
      </c>
      <c r="R106">
        <f t="shared" ref="R106" si="507">R107+Q106</f>
        <v>-920079604.89518547</v>
      </c>
      <c r="S106">
        <f t="shared" ref="S106" si="508">R106/100000</f>
        <v>-9200.7960489518555</v>
      </c>
      <c r="T106">
        <f t="shared" ref="T106" si="509">S106/1000</f>
        <v>-9.2007960489518563</v>
      </c>
    </row>
    <row r="107" spans="1:20" x14ac:dyDescent="0.25">
      <c r="A107" s="5">
        <v>44486</v>
      </c>
      <c r="B107">
        <v>0.36670000000000003</v>
      </c>
      <c r="C107">
        <v>0.38679999999999998</v>
      </c>
      <c r="D107">
        <v>0.33600000000000002</v>
      </c>
      <c r="E107">
        <v>0.35199999999999998</v>
      </c>
      <c r="F107">
        <v>52658388</v>
      </c>
      <c r="G107">
        <v>0.35199999999999998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-0.37007874015748138</v>
      </c>
      <c r="Q107">
        <f t="shared" ref="Q107" si="511">F107*P107</f>
        <v>-19487749.889763836</v>
      </c>
      <c r="R107">
        <f t="shared" ref="R107" si="512">R108+Q107</f>
        <v>-932782024.1772368</v>
      </c>
      <c r="S107">
        <f t="shared" ref="S107" si="513">R107/100000</f>
        <v>-9327.8202417723678</v>
      </c>
      <c r="T107">
        <f t="shared" ref="T107" si="514">S107/1000</f>
        <v>-9.3278202417723683</v>
      </c>
    </row>
    <row r="108" spans="1:20" x14ac:dyDescent="0.25">
      <c r="A108" s="5">
        <v>44485</v>
      </c>
      <c r="B108">
        <v>0.35759999999999997</v>
      </c>
      <c r="C108">
        <v>0.48899999999999999</v>
      </c>
      <c r="D108">
        <v>0.3513</v>
      </c>
      <c r="E108">
        <v>0.36670000000000003</v>
      </c>
      <c r="F108">
        <v>260133506</v>
      </c>
      <c r="G108">
        <v>0.36670000000000003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-0.77632534495279559</v>
      </c>
      <c r="Q108">
        <f t="shared" ref="Q108" si="516">F108*P108</f>
        <v>-201948233.77923012</v>
      </c>
      <c r="R108">
        <f t="shared" ref="R108" si="517">R109+Q108</f>
        <v>-913294274.28747296</v>
      </c>
      <c r="S108">
        <f t="shared" ref="S108" si="518">R108/100000</f>
        <v>-9132.9427428747294</v>
      </c>
      <c r="T108">
        <f t="shared" ref="T108" si="519">S108/1000</f>
        <v>-9.1329427428747287</v>
      </c>
    </row>
    <row r="109" spans="1:20" x14ac:dyDescent="0.25">
      <c r="A109" s="5">
        <v>44484</v>
      </c>
      <c r="B109">
        <v>0.3105</v>
      </c>
      <c r="C109">
        <v>0.377</v>
      </c>
      <c r="D109">
        <v>0.30690000000000001</v>
      </c>
      <c r="E109">
        <v>0.35759999999999997</v>
      </c>
      <c r="F109">
        <v>121019929</v>
      </c>
      <c r="G109">
        <v>0.35759999999999997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0.44650499286733153</v>
      </c>
      <c r="Q109">
        <f t="shared" ref="Q109" si="521">F109*P109</f>
        <v>54036002.534949966</v>
      </c>
      <c r="R109">
        <f t="shared" ref="R109" si="522">R110+Q109</f>
        <v>-711346040.50824285</v>
      </c>
      <c r="S109">
        <f t="shared" ref="S109" si="523">R109/100000</f>
        <v>-7113.4604050824282</v>
      </c>
      <c r="T109">
        <f t="shared" ref="T109" si="524">S109/1000</f>
        <v>-7.1134604050824279</v>
      </c>
    </row>
    <row r="110" spans="1:20" x14ac:dyDescent="0.25">
      <c r="A110" s="5">
        <v>44483</v>
      </c>
      <c r="B110">
        <v>0.29980000000000001</v>
      </c>
      <c r="C110">
        <v>0.31509999999999999</v>
      </c>
      <c r="D110">
        <v>0.29799999999999999</v>
      </c>
      <c r="E110">
        <v>0.31030000000000002</v>
      </c>
      <c r="F110">
        <v>22013395</v>
      </c>
      <c r="G110">
        <v>0.31030000000000002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0.4385964912280737</v>
      </c>
      <c r="Q110">
        <f t="shared" ref="Q110" si="526">F110*P110</f>
        <v>9654997.8070176207</v>
      </c>
      <c r="R110">
        <f t="shared" ref="R110" si="527">R111+Q110</f>
        <v>-765382043.04319286</v>
      </c>
      <c r="S110">
        <f t="shared" ref="S110" si="528">R110/100000</f>
        <v>-7653.8204304319288</v>
      </c>
      <c r="T110">
        <f t="shared" ref="T110" si="529">S110/1000</f>
        <v>-7.6538204304319288</v>
      </c>
    </row>
    <row r="111" spans="1:20" x14ac:dyDescent="0.25">
      <c r="A111" s="5">
        <v>44482</v>
      </c>
      <c r="B111">
        <v>0.29630000000000001</v>
      </c>
      <c r="C111">
        <v>0.30609999999999998</v>
      </c>
      <c r="D111">
        <v>0.28699999999999998</v>
      </c>
      <c r="E111">
        <v>0.29949999999999999</v>
      </c>
      <c r="F111">
        <v>20645502</v>
      </c>
      <c r="G111">
        <v>0.29949999999999999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0.30890052356021019</v>
      </c>
      <c r="Q111">
        <f t="shared" ref="Q111" si="531">F111*P111</f>
        <v>6377406.3769633668</v>
      </c>
      <c r="R111">
        <f t="shared" ref="R111" si="532">R112+Q111</f>
        <v>-775037040.85021043</v>
      </c>
      <c r="S111">
        <f t="shared" ref="S111" si="533">R111/100000</f>
        <v>-7750.3704085021045</v>
      </c>
      <c r="T111">
        <f t="shared" ref="T111" si="534">S111/1000</f>
        <v>-7.7503704085021043</v>
      </c>
    </row>
    <row r="112" spans="1:20" x14ac:dyDescent="0.25">
      <c r="A112" s="5">
        <v>44481</v>
      </c>
      <c r="B112">
        <v>0.29389999999999999</v>
      </c>
      <c r="C112">
        <v>0.30099999999999999</v>
      </c>
      <c r="D112">
        <v>0.27629999999999999</v>
      </c>
      <c r="E112">
        <v>0.29649999999999999</v>
      </c>
      <c r="F112">
        <v>18316750</v>
      </c>
      <c r="G112">
        <v>0.29649999999999999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0.63562753036437214</v>
      </c>
      <c r="Q112">
        <f t="shared" ref="Q112" si="536">F112*P112</f>
        <v>11642630.566801613</v>
      </c>
      <c r="R112">
        <f t="shared" ref="R112" si="537">R113+Q112</f>
        <v>-781414447.22717381</v>
      </c>
      <c r="S112">
        <f t="shared" ref="S112" si="538">R112/100000</f>
        <v>-7814.1444722717379</v>
      </c>
      <c r="T112">
        <f t="shared" ref="T112" si="539">S112/1000</f>
        <v>-7.8141444722717379</v>
      </c>
    </row>
    <row r="113" spans="1:20" x14ac:dyDescent="0.25">
      <c r="A113" s="5">
        <v>44480</v>
      </c>
      <c r="B113">
        <v>0.29799999999999999</v>
      </c>
      <c r="C113">
        <v>0.30869999999999997</v>
      </c>
      <c r="D113">
        <v>0.28420000000000001</v>
      </c>
      <c r="E113">
        <v>0.29430000000000001</v>
      </c>
      <c r="F113">
        <v>11872252</v>
      </c>
      <c r="G113">
        <v>0.29430000000000001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-0.1755102040816317</v>
      </c>
      <c r="Q113">
        <f t="shared" ref="Q113" si="541">F113*P113</f>
        <v>-2083701.3714285602</v>
      </c>
      <c r="R113">
        <f t="shared" ref="R113" si="542">R114+Q113</f>
        <v>-793057077.79397547</v>
      </c>
      <c r="S113">
        <f t="shared" ref="S113" si="543">R113/100000</f>
        <v>-7930.5707779397544</v>
      </c>
      <c r="T113">
        <f t="shared" ref="T113" si="544">S113/1000</f>
        <v>-7.9305707779397547</v>
      </c>
    </row>
    <row r="114" spans="1:20" x14ac:dyDescent="0.25">
      <c r="A114" s="5">
        <v>44479</v>
      </c>
      <c r="B114">
        <v>0.32029999999999997</v>
      </c>
      <c r="C114">
        <v>0.32640000000000002</v>
      </c>
      <c r="D114">
        <v>0.29670000000000002</v>
      </c>
      <c r="E114">
        <v>0.29809999999999998</v>
      </c>
      <c r="F114">
        <v>14893880</v>
      </c>
      <c r="G114">
        <v>0.29809999999999998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-0.9057239057239086</v>
      </c>
      <c r="Q114">
        <f t="shared" ref="Q114" si="546">F114*P114</f>
        <v>-13489743.164983207</v>
      </c>
      <c r="R114">
        <f t="shared" ref="R114" si="547">R115+Q114</f>
        <v>-790973376.42254686</v>
      </c>
      <c r="S114">
        <f t="shared" ref="S114" si="548">R114/100000</f>
        <v>-7909.7337642254688</v>
      </c>
      <c r="T114">
        <f t="shared" ref="T114" si="549">S114/1000</f>
        <v>-7.9097337642254688</v>
      </c>
    </row>
    <row r="115" spans="1:20" x14ac:dyDescent="0.25">
      <c r="A115" s="5">
        <v>44478</v>
      </c>
      <c r="B115">
        <v>0.31059999999999999</v>
      </c>
      <c r="C115">
        <v>0.32569999999999999</v>
      </c>
      <c r="D115">
        <v>0.30599999999999999</v>
      </c>
      <c r="E115">
        <v>0.32029999999999997</v>
      </c>
      <c r="F115">
        <v>17334784</v>
      </c>
      <c r="G115">
        <v>0.32029999999999997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0.45177664974619114</v>
      </c>
      <c r="Q115">
        <f t="shared" ref="Q115" si="551">F115*P115</f>
        <v>7831450.6395938778</v>
      </c>
      <c r="R115">
        <f t="shared" ref="R115" si="552">R116+Q115</f>
        <v>-777483633.25756371</v>
      </c>
      <c r="S115">
        <f t="shared" ref="S115" si="553">R115/100000</f>
        <v>-7774.8363325756372</v>
      </c>
      <c r="T115">
        <f t="shared" ref="T115" si="554">S115/1000</f>
        <v>-7.7748363325756369</v>
      </c>
    </row>
    <row r="116" spans="1:20" x14ac:dyDescent="0.25">
      <c r="A116" s="5">
        <v>44477</v>
      </c>
      <c r="B116">
        <v>0.32219999999999999</v>
      </c>
      <c r="C116">
        <v>0.32679999999999998</v>
      </c>
      <c r="D116">
        <v>0.30759999999999998</v>
      </c>
      <c r="E116">
        <v>0.3105</v>
      </c>
      <c r="F116">
        <v>23200179</v>
      </c>
      <c r="G116">
        <v>0.3105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-0.69791666666666519</v>
      </c>
      <c r="Q116">
        <f t="shared" ref="Q116" si="556">F116*P116</f>
        <v>-16191791.593749966</v>
      </c>
      <c r="R116">
        <f t="shared" ref="R116" si="557">R117+Q116</f>
        <v>-785315083.89715755</v>
      </c>
      <c r="S116">
        <f t="shared" ref="S116" si="558">R116/100000</f>
        <v>-7853.1508389715755</v>
      </c>
      <c r="T116">
        <f t="shared" ref="T116" si="559">S116/1000</f>
        <v>-7.8531508389715752</v>
      </c>
    </row>
    <row r="117" spans="1:20" x14ac:dyDescent="0.25">
      <c r="A117" s="5">
        <v>44476</v>
      </c>
      <c r="B117">
        <v>0.33589999999999998</v>
      </c>
      <c r="C117">
        <v>0.3382</v>
      </c>
      <c r="D117">
        <v>0.31869999999999998</v>
      </c>
      <c r="E117">
        <v>0.32190000000000002</v>
      </c>
      <c r="F117">
        <v>20566233</v>
      </c>
      <c r="G117">
        <v>0.32190000000000002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-0.67179487179486841</v>
      </c>
      <c r="Q117">
        <f t="shared" ref="Q117" si="561">F117*P117</f>
        <v>-13816289.861538392</v>
      </c>
      <c r="R117">
        <f t="shared" ref="R117" si="562">R118+Q117</f>
        <v>-769123292.30340755</v>
      </c>
      <c r="S117">
        <f t="shared" ref="S117" si="563">R117/100000</f>
        <v>-7691.2329230340756</v>
      </c>
      <c r="T117">
        <f t="shared" ref="T117" si="564">S117/1000</f>
        <v>-7.6912329230340752</v>
      </c>
    </row>
    <row r="118" spans="1:20" x14ac:dyDescent="0.25">
      <c r="A118" s="5">
        <v>44475</v>
      </c>
      <c r="B118">
        <v>0.33789999999999998</v>
      </c>
      <c r="C118">
        <v>0.35149999999999998</v>
      </c>
      <c r="D118">
        <v>0.31</v>
      </c>
      <c r="E118">
        <v>0.33579999999999999</v>
      </c>
      <c r="F118">
        <v>32975356</v>
      </c>
      <c r="G118">
        <v>0.33579999999999999</v>
      </c>
      <c r="L118" t="s">
        <v>8</v>
      </c>
      <c r="M118" t="s">
        <v>7</v>
      </c>
      <c r="N118" t="s">
        <v>7</v>
      </c>
      <c r="P118">
        <f t="shared" ref="P118" si="565">IF(C118=D118,0,((E118-D118)-(C118-E118))/(C118-D118))</f>
        <v>0.24337349397590366</v>
      </c>
      <c r="Q118">
        <f t="shared" ref="Q118" si="566">F118*P118</f>
        <v>8025327.6048192782</v>
      </c>
      <c r="R118">
        <f t="shared" ref="R118" si="567">R119+Q118</f>
        <v>-755307002.44186914</v>
      </c>
      <c r="S118">
        <f t="shared" ref="S118" si="568">R118/100000</f>
        <v>-7553.070024418691</v>
      </c>
      <c r="T118">
        <f t="shared" ref="T118" si="569">S118/1000</f>
        <v>-7.553070024418691</v>
      </c>
    </row>
    <row r="119" spans="1:20" x14ac:dyDescent="0.25">
      <c r="A119" s="5">
        <v>44474</v>
      </c>
      <c r="B119">
        <v>0.33639999999999998</v>
      </c>
      <c r="C119">
        <v>0.3458</v>
      </c>
      <c r="D119">
        <v>0.32369999999999999</v>
      </c>
      <c r="E119">
        <v>0.3377</v>
      </c>
      <c r="F119">
        <v>20148064</v>
      </c>
      <c r="G119">
        <v>0.3377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0.26696832579185586</v>
      </c>
      <c r="Q119">
        <f t="shared" ref="Q119" si="571">F119*P119</f>
        <v>5378894.9140271628</v>
      </c>
      <c r="R119">
        <f t="shared" ref="R119" si="572">R120+Q119</f>
        <v>-763332330.04668844</v>
      </c>
      <c r="S119">
        <f t="shared" ref="S119" si="573">R119/100000</f>
        <v>-7633.3233004668846</v>
      </c>
      <c r="T119">
        <f t="shared" ref="T119" si="574">S119/1000</f>
        <v>-7.633323300466885</v>
      </c>
    </row>
    <row r="120" spans="1:20" x14ac:dyDescent="0.25">
      <c r="A120" s="5">
        <v>44473</v>
      </c>
      <c r="B120">
        <v>0.34350000000000003</v>
      </c>
      <c r="C120">
        <v>0.35560000000000003</v>
      </c>
      <c r="D120">
        <v>0.31879999999999997</v>
      </c>
      <c r="E120">
        <v>0.33679999999999999</v>
      </c>
      <c r="F120">
        <v>45067109</v>
      </c>
      <c r="G120">
        <v>0.33679999999999999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-2.1739130434783198E-2</v>
      </c>
      <c r="Q120">
        <f t="shared" ref="Q120" si="576">F120*P120</f>
        <v>-979719.76086959173</v>
      </c>
      <c r="R120">
        <f t="shared" ref="R120" si="577">R121+Q120</f>
        <v>-768711224.96071565</v>
      </c>
      <c r="S120">
        <f t="shared" ref="S120" si="578">R120/100000</f>
        <v>-7687.1122496071566</v>
      </c>
      <c r="T120">
        <f t="shared" ref="T120" si="579">S120/1000</f>
        <v>-7.6871122496071562</v>
      </c>
    </row>
    <row r="121" spans="1:20" x14ac:dyDescent="0.25">
      <c r="A121" s="5">
        <v>44472</v>
      </c>
      <c r="B121">
        <v>0.33560000000000001</v>
      </c>
      <c r="C121">
        <v>0.36499999999999999</v>
      </c>
      <c r="D121">
        <v>0.32529999999999998</v>
      </c>
      <c r="E121">
        <v>0.34429999999999999</v>
      </c>
      <c r="F121">
        <v>33691710</v>
      </c>
      <c r="G121">
        <v>0.34429999999999999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-4.282115869017579E-2</v>
      </c>
      <c r="Q121">
        <f t="shared" ref="Q121" si="581">F121*P121</f>
        <v>-1442718.0604533826</v>
      </c>
      <c r="R121">
        <f t="shared" ref="R121" si="582">R122+Q121</f>
        <v>-767731505.19984603</v>
      </c>
      <c r="S121">
        <f t="shared" ref="S121" si="583">R121/100000</f>
        <v>-7677.3150519984601</v>
      </c>
      <c r="T121">
        <f t="shared" ref="T121" si="584">S121/1000</f>
        <v>-7.6773150519984599</v>
      </c>
    </row>
    <row r="122" spans="1:20" x14ac:dyDescent="0.25">
      <c r="A122" s="5">
        <v>44471</v>
      </c>
      <c r="B122">
        <v>0.32600000000000001</v>
      </c>
      <c r="C122">
        <v>0.35809999999999997</v>
      </c>
      <c r="D122">
        <v>0.31590000000000001</v>
      </c>
      <c r="E122">
        <v>0.33560000000000001</v>
      </c>
      <c r="F122">
        <v>30318519</v>
      </c>
      <c r="G122">
        <v>0.33560000000000001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-6.6350710900473273E-2</v>
      </c>
      <c r="Q122">
        <f t="shared" ref="Q122" si="586">F122*P122</f>
        <v>-2011655.2890995061</v>
      </c>
      <c r="R122">
        <f t="shared" ref="R122" si="587">R123+Q122</f>
        <v>-766288787.13939261</v>
      </c>
      <c r="S122">
        <f t="shared" ref="S122" si="588">R122/100000</f>
        <v>-7662.8878713939257</v>
      </c>
      <c r="T122">
        <f t="shared" ref="T122" si="589">S122/1000</f>
        <v>-7.6628878713939255</v>
      </c>
    </row>
    <row r="123" spans="1:20" x14ac:dyDescent="0.25">
      <c r="A123" s="5">
        <v>44470</v>
      </c>
      <c r="B123">
        <v>0.29670000000000002</v>
      </c>
      <c r="C123">
        <v>0.32640000000000002</v>
      </c>
      <c r="D123">
        <v>0.28999999999999998</v>
      </c>
      <c r="E123">
        <v>0.3256</v>
      </c>
      <c r="F123">
        <v>33274737</v>
      </c>
      <c r="G123">
        <v>0.3256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0.95604395604395487</v>
      </c>
      <c r="Q123">
        <f t="shared" ref="Q123" si="591">F123*P123</f>
        <v>31812111.19780216</v>
      </c>
      <c r="R123">
        <f t="shared" ref="R123" si="592">R124+Q123</f>
        <v>-764277131.85029316</v>
      </c>
      <c r="S123">
        <f t="shared" ref="S123" si="593">R123/100000</f>
        <v>-7642.7713185029315</v>
      </c>
      <c r="T123">
        <f t="shared" ref="T123" si="594">S123/1000</f>
        <v>-7.6427713185029313</v>
      </c>
    </row>
    <row r="124" spans="1:20" x14ac:dyDescent="0.25">
      <c r="A124" s="5">
        <v>44469</v>
      </c>
      <c r="B124">
        <v>0.27979999999999999</v>
      </c>
      <c r="C124">
        <v>0.31979999999999997</v>
      </c>
      <c r="D124">
        <v>0.27760000000000001</v>
      </c>
      <c r="E124">
        <v>0.29620000000000002</v>
      </c>
      <c r="F124">
        <v>23454828</v>
      </c>
      <c r="G124">
        <v>0.29620000000000002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-0.11848341232227379</v>
      </c>
      <c r="Q124">
        <f t="shared" ref="Q124" si="596">F124*P124</f>
        <v>-2779008.0568720121</v>
      </c>
      <c r="R124">
        <f t="shared" ref="R124" si="597">R125+Q124</f>
        <v>-796089243.04809535</v>
      </c>
      <c r="S124">
        <f t="shared" ref="S124" si="598">R124/100000</f>
        <v>-7960.8924304809534</v>
      </c>
      <c r="T124">
        <f t="shared" ref="T124" si="599">S124/1000</f>
        <v>-7.9608924304809534</v>
      </c>
    </row>
    <row r="125" spans="1:20" x14ac:dyDescent="0.25">
      <c r="A125" s="5">
        <v>44468</v>
      </c>
      <c r="B125">
        <v>0.26750000000000002</v>
      </c>
      <c r="C125">
        <v>0.2964</v>
      </c>
      <c r="D125">
        <v>0.26500000000000001</v>
      </c>
      <c r="E125">
        <v>0.2797</v>
      </c>
      <c r="F125">
        <v>21439367</v>
      </c>
      <c r="G125">
        <v>0.2797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-6.3694267515923664E-2</v>
      </c>
      <c r="Q125">
        <f t="shared" ref="Q125" si="601">F125*P125</f>
        <v>-1365564.7770700657</v>
      </c>
      <c r="R125">
        <f t="shared" ref="R125" si="602">R126+Q125</f>
        <v>-793310234.99122334</v>
      </c>
      <c r="S125">
        <f t="shared" ref="S125" si="603">R125/100000</f>
        <v>-7933.102349912233</v>
      </c>
      <c r="T125">
        <f t="shared" ref="T125" si="604">S125/1000</f>
        <v>-7.9331023499122333</v>
      </c>
    </row>
    <row r="126" spans="1:20" x14ac:dyDescent="0.25">
      <c r="A126" s="5">
        <v>44467</v>
      </c>
      <c r="B126">
        <v>0.29010000000000002</v>
      </c>
      <c r="C126">
        <v>0.2949</v>
      </c>
      <c r="D126">
        <v>0.26590000000000003</v>
      </c>
      <c r="E126">
        <v>0.26790000000000003</v>
      </c>
      <c r="F126">
        <v>23394680.100000001</v>
      </c>
      <c r="G126">
        <v>0.26790000000000003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-0.8620689655172411</v>
      </c>
      <c r="Q126">
        <f t="shared" ref="Q126" si="606">F126*P126</f>
        <v>-20167827.672413789</v>
      </c>
      <c r="R126">
        <f t="shared" ref="R126" si="607">R127+Q126</f>
        <v>-791944670.21415329</v>
      </c>
      <c r="S126">
        <f t="shared" ref="S126" si="608">R126/100000</f>
        <v>-7919.446702141533</v>
      </c>
      <c r="T126">
        <f t="shared" ref="T126" si="609">S126/1000</f>
        <v>-7.9194467021415331</v>
      </c>
    </row>
    <row r="127" spans="1:20" x14ac:dyDescent="0.25">
      <c r="A127" s="5">
        <v>44466</v>
      </c>
      <c r="B127">
        <v>0.30320000000000003</v>
      </c>
      <c r="C127">
        <v>0.31929999999999997</v>
      </c>
      <c r="D127">
        <v>0.2893</v>
      </c>
      <c r="E127">
        <v>0.29039999999999999</v>
      </c>
      <c r="F127">
        <v>18799212</v>
      </c>
      <c r="G127">
        <v>0.29039999999999999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-0.9266666666666673</v>
      </c>
      <c r="Q127">
        <f t="shared" ref="Q127" si="611">F127*P127</f>
        <v>-17420603.120000012</v>
      </c>
      <c r="R127">
        <f t="shared" ref="R127" si="612">R128+Q127</f>
        <v>-771776842.54173946</v>
      </c>
      <c r="S127">
        <f t="shared" ref="S127" si="613">R127/100000</f>
        <v>-7717.7684254173946</v>
      </c>
      <c r="T127">
        <f t="shared" ref="T127" si="614">S127/1000</f>
        <v>-7.7177684254173951</v>
      </c>
    </row>
    <row r="128" spans="1:20" x14ac:dyDescent="0.25">
      <c r="A128" s="5">
        <v>44465</v>
      </c>
      <c r="B128">
        <v>0.30790000000000001</v>
      </c>
      <c r="C128">
        <v>0.31979999999999997</v>
      </c>
      <c r="D128">
        <v>0.27579999999999999</v>
      </c>
      <c r="E128">
        <v>0.30359999999999998</v>
      </c>
      <c r="F128">
        <v>20081834.199999999</v>
      </c>
      <c r="G128">
        <v>0.30359999999999998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0.26363636363636372</v>
      </c>
      <c r="Q128">
        <f t="shared" ref="Q128" si="616">F128*P128</f>
        <v>5294301.743636365</v>
      </c>
      <c r="R128">
        <f t="shared" ref="R128" si="617">R129+Q128</f>
        <v>-754356239.42173946</v>
      </c>
      <c r="S128">
        <f t="shared" ref="S128" si="618">R128/100000</f>
        <v>-7543.5623942173943</v>
      </c>
      <c r="T128">
        <f t="shared" ref="T128" si="619">S128/1000</f>
        <v>-7.5435623942173944</v>
      </c>
    </row>
    <row r="129" spans="1:20" x14ac:dyDescent="0.25">
      <c r="A129" s="5">
        <v>44464</v>
      </c>
      <c r="B129">
        <v>0.31630000000000003</v>
      </c>
      <c r="C129">
        <v>0.32450000000000001</v>
      </c>
      <c r="D129">
        <v>0.3004</v>
      </c>
      <c r="E129">
        <v>0.30840000000000001</v>
      </c>
      <c r="F129">
        <v>17319917</v>
      </c>
      <c r="G129">
        <v>0.30840000000000001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-0.33609958506224036</v>
      </c>
      <c r="Q129">
        <f t="shared" ref="Q129" si="621">F129*P129</f>
        <v>-5821216.9170124428</v>
      </c>
      <c r="R129">
        <f t="shared" ref="R129" si="622">R130+Q129</f>
        <v>-759650541.16537583</v>
      </c>
      <c r="S129">
        <f t="shared" ref="S129" si="623">R129/100000</f>
        <v>-7596.5054116537585</v>
      </c>
      <c r="T129">
        <f t="shared" ref="T129" si="624">S129/1000</f>
        <v>-7.5965054116537587</v>
      </c>
    </row>
    <row r="130" spans="1:20" x14ac:dyDescent="0.25">
      <c r="A130" s="5">
        <v>44463</v>
      </c>
      <c r="B130">
        <v>0.3453</v>
      </c>
      <c r="C130">
        <v>0.35560000000000003</v>
      </c>
      <c r="D130">
        <v>0.29499999999999998</v>
      </c>
      <c r="E130">
        <v>0.31630000000000003</v>
      </c>
      <c r="F130">
        <v>33101782</v>
      </c>
      <c r="G130">
        <v>0.31630000000000003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-0.29702970297029618</v>
      </c>
      <c r="Q130">
        <f t="shared" ref="Q130" si="626">F130*P130</f>
        <v>-9832212.4752474967</v>
      </c>
      <c r="R130">
        <f t="shared" ref="R130" si="627">R131+Q130</f>
        <v>-753829324.24836338</v>
      </c>
      <c r="S130">
        <f t="shared" ref="S130" si="628">R130/100000</f>
        <v>-7538.2932424836335</v>
      </c>
      <c r="T130">
        <f t="shared" ref="T130" si="629">S130/1000</f>
        <v>-7.5382932424836335</v>
      </c>
    </row>
    <row r="131" spans="1:20" x14ac:dyDescent="0.25">
      <c r="A131" s="5">
        <v>44462</v>
      </c>
      <c r="B131">
        <v>0.34300000000000003</v>
      </c>
      <c r="C131">
        <v>0.35310000000000002</v>
      </c>
      <c r="D131">
        <v>0.33339999999999997</v>
      </c>
      <c r="E131">
        <v>0.34560000000000002</v>
      </c>
      <c r="F131">
        <v>17761382</v>
      </c>
      <c r="G131">
        <v>0.34560000000000002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0.23857868020304698</v>
      </c>
      <c r="Q131">
        <f t="shared" ref="Q131" si="631">F131*P131</f>
        <v>4237487.0761421546</v>
      </c>
      <c r="R131">
        <f t="shared" ref="R131" si="632">R132+Q131</f>
        <v>-743997111.77311587</v>
      </c>
      <c r="S131">
        <f t="shared" ref="S131" si="633">R131/100000</f>
        <v>-7439.9711177311583</v>
      </c>
      <c r="T131">
        <f t="shared" ref="T131" si="634">S131/1000</f>
        <v>-7.439971117731158</v>
      </c>
    </row>
    <row r="132" spans="1:20" x14ac:dyDescent="0.25">
      <c r="A132" s="5">
        <v>44461</v>
      </c>
      <c r="B132">
        <v>0.31180000000000002</v>
      </c>
      <c r="C132">
        <v>0.3463</v>
      </c>
      <c r="D132">
        <v>0.3</v>
      </c>
      <c r="E132">
        <v>0.34300000000000003</v>
      </c>
      <c r="F132">
        <v>26982223</v>
      </c>
      <c r="G132">
        <v>0.34300000000000003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0.85745140388769037</v>
      </c>
      <c r="Q132">
        <f t="shared" ref="Q132" si="636">F132*P132</f>
        <v>23135944.991360728</v>
      </c>
      <c r="R132">
        <f t="shared" ref="R132" si="637">R133+Q132</f>
        <v>-748234598.84925807</v>
      </c>
      <c r="S132">
        <f t="shared" ref="S132" si="638">R132/100000</f>
        <v>-7482.3459884925805</v>
      </c>
      <c r="T132">
        <f t="shared" ref="T132" si="639">S132/1000</f>
        <v>-7.4823459884925807</v>
      </c>
    </row>
    <row r="133" spans="1:20" x14ac:dyDescent="0.25">
      <c r="A133" s="5">
        <v>44460</v>
      </c>
      <c r="B133">
        <v>0.31819999999999998</v>
      </c>
      <c r="C133">
        <v>0.35239999999999999</v>
      </c>
      <c r="D133">
        <v>0.29430000000000001</v>
      </c>
      <c r="E133">
        <v>0.31209999999999999</v>
      </c>
      <c r="F133">
        <v>35740358.100000001</v>
      </c>
      <c r="G133">
        <v>0.31209999999999999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-0.38726333907056842</v>
      </c>
      <c r="Q133">
        <f t="shared" ref="Q133" si="641">F133*P133</f>
        <v>-13840930.417383837</v>
      </c>
      <c r="R133">
        <f t="shared" ref="R133" si="642">R134+Q133</f>
        <v>-771370543.84061885</v>
      </c>
      <c r="S133">
        <f t="shared" ref="S133" si="643">R133/100000</f>
        <v>-7713.7054384061885</v>
      </c>
      <c r="T133">
        <f t="shared" ref="T133" si="644">S133/1000</f>
        <v>-7.7137054384061887</v>
      </c>
    </row>
    <row r="134" spans="1:20" x14ac:dyDescent="0.25">
      <c r="A134" s="5">
        <v>44459</v>
      </c>
      <c r="B134">
        <v>0.38440000000000002</v>
      </c>
      <c r="C134">
        <v>0.38529999999999998</v>
      </c>
      <c r="D134">
        <v>0.33629999999999999</v>
      </c>
      <c r="E134">
        <v>0.34210000000000002</v>
      </c>
      <c r="F134">
        <v>27704304</v>
      </c>
      <c r="G134">
        <v>0.34210000000000002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-0.76326530612244781</v>
      </c>
      <c r="Q134">
        <f t="shared" ref="Q134" si="646">F134*P134</f>
        <v>-21145734.073469356</v>
      </c>
      <c r="R134">
        <f t="shared" ref="R134" si="647">R135+Q134</f>
        <v>-757529613.42323506</v>
      </c>
      <c r="S134">
        <f t="shared" ref="S134" si="648">R134/100000</f>
        <v>-7575.2961342323506</v>
      </c>
      <c r="T134">
        <f t="shared" ref="T134" si="649">S134/1000</f>
        <v>-7.5752961342323504</v>
      </c>
    </row>
    <row r="135" spans="1:20" x14ac:dyDescent="0.25">
      <c r="A135" s="5">
        <v>44458</v>
      </c>
      <c r="B135">
        <v>0.40600000000000003</v>
      </c>
      <c r="C135">
        <v>0.40989999999999999</v>
      </c>
      <c r="D135">
        <v>0.37290000000000001</v>
      </c>
      <c r="E135">
        <v>0.38479999999999998</v>
      </c>
      <c r="F135">
        <v>39958838</v>
      </c>
      <c r="G135">
        <v>0.38479999999999998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-0.35675675675675822</v>
      </c>
      <c r="Q135">
        <f t="shared" ref="Q135" si="651">F135*P135</f>
        <v>-14255585.448648708</v>
      </c>
      <c r="R135">
        <f t="shared" ref="R135" si="652">R136+Q135</f>
        <v>-736383879.34976566</v>
      </c>
      <c r="S135">
        <f t="shared" ref="S135" si="653">R135/100000</f>
        <v>-7363.8387934976563</v>
      </c>
      <c r="T135">
        <f t="shared" ref="T135" si="654">S135/1000</f>
        <v>-7.3638387934976564</v>
      </c>
    </row>
    <row r="136" spans="1:20" x14ac:dyDescent="0.25">
      <c r="A136" s="5">
        <v>44457</v>
      </c>
      <c r="B136">
        <v>0.41099999999999998</v>
      </c>
      <c r="C136">
        <v>0.4304</v>
      </c>
      <c r="D136">
        <v>0.4</v>
      </c>
      <c r="E136">
        <v>0.40649999999999997</v>
      </c>
      <c r="F136">
        <v>31838392</v>
      </c>
      <c r="G136">
        <v>0.40649999999999997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-0.57236842105263463</v>
      </c>
      <c r="Q136">
        <f t="shared" ref="Q136" si="656">F136*P136</f>
        <v>-18223290.157894835</v>
      </c>
      <c r="R136">
        <f t="shared" ref="R136" si="657">R137+Q136</f>
        <v>-722128293.90111697</v>
      </c>
      <c r="S136">
        <f t="shared" ref="S136" si="658">R136/100000</f>
        <v>-7221.2829390111692</v>
      </c>
      <c r="T136">
        <f t="shared" ref="T136" si="659">S136/1000</f>
        <v>-7.2212829390111688</v>
      </c>
    </row>
    <row r="137" spans="1:20" x14ac:dyDescent="0.25">
      <c r="A137" s="5">
        <v>44456</v>
      </c>
      <c r="B137">
        <v>0.4466</v>
      </c>
      <c r="C137">
        <v>0.44790000000000002</v>
      </c>
      <c r="D137">
        <v>0.40620000000000001</v>
      </c>
      <c r="E137">
        <v>0.41099999999999998</v>
      </c>
      <c r="F137">
        <v>39387947</v>
      </c>
      <c r="G137">
        <v>0.41099999999999998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-0.76978417266187193</v>
      </c>
      <c r="Q137">
        <f t="shared" ref="Q137" si="661">F137*P137</f>
        <v>-30320218.19424466</v>
      </c>
      <c r="R137">
        <f t="shared" ref="R137" si="662">R138+Q137</f>
        <v>-703905003.74322212</v>
      </c>
      <c r="S137">
        <f t="shared" ref="S137" si="663">R137/100000</f>
        <v>-7039.050037432221</v>
      </c>
      <c r="T137">
        <f t="shared" ref="T137" si="664">S137/1000</f>
        <v>-7.0390500374322214</v>
      </c>
    </row>
    <row r="138" spans="1:20" x14ac:dyDescent="0.25">
      <c r="A138" s="5">
        <v>44455</v>
      </c>
      <c r="B138">
        <v>0.4526</v>
      </c>
      <c r="C138">
        <v>0.50119999999999998</v>
      </c>
      <c r="D138">
        <v>0.43480000000000002</v>
      </c>
      <c r="E138">
        <v>0.44690000000000002</v>
      </c>
      <c r="F138">
        <v>64839300.100000001</v>
      </c>
      <c r="G138">
        <v>0.44690000000000002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-0.63554216867469859</v>
      </c>
      <c r="Q138">
        <f t="shared" ref="Q138" si="666">F138*P138</f>
        <v>-41208109.400903605</v>
      </c>
      <c r="R138">
        <f t="shared" ref="R138" si="667">R139+Q138</f>
        <v>-673584785.54897749</v>
      </c>
      <c r="S138">
        <f t="shared" ref="S138" si="668">R138/100000</f>
        <v>-6735.8478554897747</v>
      </c>
      <c r="T138">
        <f t="shared" ref="T138" si="669">S138/1000</f>
        <v>-6.7358478554897747</v>
      </c>
    </row>
    <row r="139" spans="1:20" x14ac:dyDescent="0.25">
      <c r="A139" s="5">
        <v>44454</v>
      </c>
      <c r="B139">
        <v>0.44400000000000001</v>
      </c>
      <c r="C139">
        <v>0.47749999999999998</v>
      </c>
      <c r="D139">
        <v>0.42459999999999998</v>
      </c>
      <c r="E139">
        <v>0.45279999999999998</v>
      </c>
      <c r="F139">
        <v>48829087</v>
      </c>
      <c r="G139">
        <v>0.45279999999999998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6.6162570888468858E-2</v>
      </c>
      <c r="Q139">
        <f t="shared" ref="Q139" si="671">F139*P139</f>
        <v>3230657.9300567131</v>
      </c>
      <c r="R139">
        <f t="shared" ref="R139" si="672">R140+Q139</f>
        <v>-632376676.14807391</v>
      </c>
      <c r="S139">
        <f t="shared" ref="S139" si="673">R139/100000</f>
        <v>-6323.7667614807388</v>
      </c>
      <c r="T139">
        <f t="shared" ref="T139" si="674">S139/1000</f>
        <v>-6.3237667614807389</v>
      </c>
    </row>
    <row r="140" spans="1:20" x14ac:dyDescent="0.25">
      <c r="A140" s="5">
        <v>44453</v>
      </c>
      <c r="B140">
        <v>0.376</v>
      </c>
      <c r="C140">
        <v>0.4698</v>
      </c>
      <c r="D140">
        <v>0.371</v>
      </c>
      <c r="E140">
        <v>0.44400000000000001</v>
      </c>
      <c r="F140">
        <v>89614596</v>
      </c>
      <c r="G140">
        <v>0.44400000000000001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0.47773279352226738</v>
      </c>
      <c r="Q140">
        <f t="shared" ref="Q140" si="676">F140*P140</f>
        <v>42811831.287449412</v>
      </c>
      <c r="R140">
        <f t="shared" ref="R140" si="677">R141+Q140</f>
        <v>-635607334.0781306</v>
      </c>
      <c r="S140">
        <f t="shared" ref="S140" si="678">R140/100000</f>
        <v>-6356.0733407813059</v>
      </c>
      <c r="T140">
        <f t="shared" ref="T140" si="679">S140/1000</f>
        <v>-6.3560733407813057</v>
      </c>
    </row>
    <row r="141" spans="1:20" x14ac:dyDescent="0.25">
      <c r="A141" s="5">
        <v>44452</v>
      </c>
      <c r="B141">
        <v>0.39789999999999998</v>
      </c>
      <c r="C141">
        <v>0.4249</v>
      </c>
      <c r="D141">
        <v>0.35049999999999998</v>
      </c>
      <c r="E141">
        <v>0.37569999999999998</v>
      </c>
      <c r="F141">
        <v>84760428</v>
      </c>
      <c r="G141">
        <v>0.37569999999999998</v>
      </c>
      <c r="L141" t="s">
        <v>8</v>
      </c>
      <c r="M141" t="s">
        <v>7</v>
      </c>
      <c r="N141" t="s">
        <v>8</v>
      </c>
      <c r="P141">
        <f t="shared" ref="P141" si="680">IF(C141=D141,0,((E141-D141)-(C141-E141))/(C141-D141))</f>
        <v>-0.32258064516129054</v>
      </c>
      <c r="Q141">
        <f t="shared" ref="Q141" si="681">F141*P141</f>
        <v>-27342073.548387114</v>
      </c>
      <c r="R141">
        <f t="shared" ref="R141" si="682">R142+Q141</f>
        <v>-678419165.36557996</v>
      </c>
      <c r="S141">
        <f t="shared" ref="S141" si="683">R141/100000</f>
        <v>-6784.1916536557992</v>
      </c>
      <c r="T141">
        <f t="shared" ref="T141" si="684">S141/1000</f>
        <v>-6.7841916536557996</v>
      </c>
    </row>
    <row r="142" spans="1:20" x14ac:dyDescent="0.25">
      <c r="A142" s="5">
        <v>44451</v>
      </c>
      <c r="B142">
        <v>0.34539999999999998</v>
      </c>
      <c r="C142">
        <v>0.41620000000000001</v>
      </c>
      <c r="D142">
        <v>0.33329999999999999</v>
      </c>
      <c r="E142">
        <v>0.3977</v>
      </c>
      <c r="F142">
        <v>58341722</v>
      </c>
      <c r="G142">
        <v>0.3977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0.55367913148371506</v>
      </c>
      <c r="Q142">
        <f t="shared" ref="Q142" si="686">F142*P142</f>
        <v>32302593.96622435</v>
      </c>
      <c r="R142">
        <f t="shared" ref="R142" si="687">R143+Q142</f>
        <v>-651077091.81719279</v>
      </c>
      <c r="S142">
        <f t="shared" ref="S142" si="688">R142/100000</f>
        <v>-6510.7709181719283</v>
      </c>
      <c r="T142">
        <f t="shared" ref="T142" si="689">S142/1000</f>
        <v>-6.5107709181719287</v>
      </c>
    </row>
    <row r="143" spans="1:20" x14ac:dyDescent="0.25">
      <c r="A143" s="5">
        <v>44450</v>
      </c>
      <c r="B143">
        <v>0.3493</v>
      </c>
      <c r="C143">
        <v>0.36359999999999998</v>
      </c>
      <c r="D143">
        <v>0.34160000000000001</v>
      </c>
      <c r="E143">
        <v>0.34560000000000002</v>
      </c>
      <c r="F143">
        <v>23319917</v>
      </c>
      <c r="G143">
        <v>0.34560000000000002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-0.63636363636363547</v>
      </c>
      <c r="Q143">
        <f t="shared" ref="Q143" si="691">F143*P143</f>
        <v>-14839947.181818161</v>
      </c>
      <c r="R143">
        <f t="shared" ref="R143" si="692">R144+Q143</f>
        <v>-683379685.78341711</v>
      </c>
      <c r="S143">
        <f t="shared" ref="S143" si="693">R143/100000</f>
        <v>-6833.7968578341706</v>
      </c>
      <c r="T143">
        <f t="shared" ref="T143" si="694">S143/1000</f>
        <v>-6.8337968578341703</v>
      </c>
    </row>
    <row r="144" spans="1:20" x14ac:dyDescent="0.25">
      <c r="A144" s="5">
        <v>44449</v>
      </c>
      <c r="B144">
        <v>0.4042</v>
      </c>
      <c r="C144">
        <v>0.41670000000000001</v>
      </c>
      <c r="D144">
        <v>0.3362</v>
      </c>
      <c r="E144">
        <v>0.34910000000000002</v>
      </c>
      <c r="F144">
        <v>50288313</v>
      </c>
      <c r="G144">
        <v>0.34910000000000002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-0.67950310559006166</v>
      </c>
      <c r="Q144">
        <f t="shared" ref="Q144" si="696">F144*P144</f>
        <v>-34171064.858385071</v>
      </c>
      <c r="R144">
        <f t="shared" ref="R144" si="697">R145+Q144</f>
        <v>-668539738.60159898</v>
      </c>
      <c r="S144">
        <f t="shared" ref="S144" si="698">R144/100000</f>
        <v>-6685.3973860159895</v>
      </c>
      <c r="T144">
        <f t="shared" ref="T144" si="699">S144/1000</f>
        <v>-6.6853973860159899</v>
      </c>
    </row>
    <row r="145" spans="1:20" x14ac:dyDescent="0.25">
      <c r="A145" s="5">
        <v>44448</v>
      </c>
      <c r="B145">
        <v>0.3508</v>
      </c>
      <c r="C145">
        <v>0.41349999999999998</v>
      </c>
      <c r="D145">
        <v>0.34670000000000001</v>
      </c>
      <c r="E145">
        <v>0.40439999999999998</v>
      </c>
      <c r="F145">
        <v>57538490</v>
      </c>
      <c r="G145">
        <v>0.40439999999999998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0.72754491017964074</v>
      </c>
      <c r="Q145">
        <f t="shared" ref="Q145" si="701">F145*P145</f>
        <v>41861835.538922153</v>
      </c>
      <c r="R145">
        <f t="shared" ref="R145" si="702">R146+Q145</f>
        <v>-634368673.74321389</v>
      </c>
      <c r="S145">
        <f t="shared" ref="S145" si="703">R145/100000</f>
        <v>-6343.6867374321391</v>
      </c>
      <c r="T145">
        <f t="shared" ref="T145" si="704">S145/1000</f>
        <v>-6.3436867374321393</v>
      </c>
    </row>
    <row r="146" spans="1:20" x14ac:dyDescent="0.25">
      <c r="A146" s="5">
        <v>44447</v>
      </c>
      <c r="B146">
        <v>0.3468</v>
      </c>
      <c r="C146">
        <v>0.38200000000000001</v>
      </c>
      <c r="D146">
        <v>0.3165</v>
      </c>
      <c r="E146">
        <v>0.35060000000000002</v>
      </c>
      <c r="F146">
        <v>56294313</v>
      </c>
      <c r="G146">
        <v>0.35060000000000002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4.1221374045802069E-2</v>
      </c>
      <c r="Q146">
        <f t="shared" ref="Q146" si="706">F146*P146</f>
        <v>2320528.932824458</v>
      </c>
      <c r="R146">
        <f t="shared" ref="R146" si="707">R147+Q146</f>
        <v>-676230509.28213608</v>
      </c>
      <c r="S146">
        <f t="shared" ref="S146" si="708">R146/100000</f>
        <v>-6762.3050928213606</v>
      </c>
      <c r="T146">
        <f t="shared" ref="T146" si="709">S146/1000</f>
        <v>-6.7623050928213608</v>
      </c>
    </row>
    <row r="147" spans="1:20" x14ac:dyDescent="0.25">
      <c r="A147" s="5">
        <v>44446</v>
      </c>
      <c r="B147">
        <v>0.45850000000000002</v>
      </c>
      <c r="C147">
        <v>0.49909999999999999</v>
      </c>
      <c r="D147">
        <v>0.309</v>
      </c>
      <c r="E147">
        <v>0.3468</v>
      </c>
      <c r="F147">
        <v>118401183</v>
      </c>
      <c r="G147">
        <v>0.3468</v>
      </c>
      <c r="L147" t="s">
        <v>7</v>
      </c>
      <c r="M147" t="s">
        <v>8</v>
      </c>
      <c r="N147" t="s">
        <v>7</v>
      </c>
      <c r="P147">
        <f t="shared" ref="P147" si="710">IF(C147=D147,0,((E147-D147)-(C147-E147))/(C147-D147))</f>
        <v>-0.60231457127827459</v>
      </c>
      <c r="Q147">
        <f t="shared" ref="Q147" si="711">F147*P147</f>
        <v>-71314757.777485535</v>
      </c>
      <c r="R147">
        <f t="shared" ref="R147" si="712">R148+Q147</f>
        <v>-678551038.21496058</v>
      </c>
      <c r="S147">
        <f t="shared" ref="S147" si="713">R147/100000</f>
        <v>-6785.5103821496059</v>
      </c>
      <c r="T147">
        <f t="shared" ref="T147" si="714">S147/1000</f>
        <v>-6.7855103821496057</v>
      </c>
    </row>
    <row r="148" spans="1:20" x14ac:dyDescent="0.25">
      <c r="A148" s="5">
        <v>44445</v>
      </c>
      <c r="B148">
        <v>0.41360000000000002</v>
      </c>
      <c r="C148">
        <v>0.4672</v>
      </c>
      <c r="D148">
        <v>0.38569999999999999</v>
      </c>
      <c r="E148">
        <v>0.45839999999999997</v>
      </c>
      <c r="F148">
        <v>84390141.799999997</v>
      </c>
      <c r="G148">
        <v>0.45839999999999997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0.78404907975460059</v>
      </c>
      <c r="Q148">
        <f t="shared" ref="Q148" si="716">F148*P148</f>
        <v>66166013.018650249</v>
      </c>
      <c r="R148">
        <f t="shared" ref="R148" si="717">R149+Q148</f>
        <v>-607236280.43747509</v>
      </c>
      <c r="S148">
        <f t="shared" ref="S148" si="718">R148/100000</f>
        <v>-6072.3628043747512</v>
      </c>
      <c r="T148">
        <f t="shared" ref="T148" si="719">S148/1000</f>
        <v>-6.0723628043747508</v>
      </c>
    </row>
    <row r="149" spans="1:20" x14ac:dyDescent="0.25">
      <c r="A149" s="5">
        <v>44444</v>
      </c>
      <c r="B149">
        <v>0.41860000000000003</v>
      </c>
      <c r="C149">
        <v>0.43440000000000001</v>
      </c>
      <c r="D149">
        <v>0.40229999999999999</v>
      </c>
      <c r="E149">
        <v>0.41399999999999998</v>
      </c>
      <c r="F149">
        <v>27465470</v>
      </c>
      <c r="G149">
        <v>0.41399999999999998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-0.27102803738317871</v>
      </c>
      <c r="Q149">
        <f t="shared" ref="Q149" si="721">F149*P149</f>
        <v>-7443912.4299065731</v>
      </c>
      <c r="R149">
        <f t="shared" ref="R149" si="722">R150+Q149</f>
        <v>-673402293.45612538</v>
      </c>
      <c r="S149">
        <f t="shared" ref="S149" si="723">R149/100000</f>
        <v>-6734.0229345612534</v>
      </c>
      <c r="T149">
        <f t="shared" ref="T149" si="724">S149/1000</f>
        <v>-6.7340229345612537</v>
      </c>
    </row>
    <row r="150" spans="1:20" x14ac:dyDescent="0.25">
      <c r="A150" s="5">
        <v>44443</v>
      </c>
      <c r="B150">
        <v>0.38540000000000002</v>
      </c>
      <c r="C150">
        <v>0.43569999999999998</v>
      </c>
      <c r="D150">
        <v>0.38290000000000002</v>
      </c>
      <c r="E150">
        <v>0.41830000000000001</v>
      </c>
      <c r="F150">
        <v>57265742.700000003</v>
      </c>
      <c r="G150">
        <v>0.41830000000000001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0.34090909090909149</v>
      </c>
      <c r="Q150">
        <f t="shared" ref="Q150" si="726">F150*P150</f>
        <v>19522412.284090944</v>
      </c>
      <c r="R150">
        <f t="shared" ref="R150" si="727">R151+Q150</f>
        <v>-665958381.02621877</v>
      </c>
      <c r="S150">
        <f t="shared" ref="S150" si="728">R150/100000</f>
        <v>-6659.5838102621874</v>
      </c>
      <c r="T150">
        <f t="shared" ref="T150" si="729">S150/1000</f>
        <v>-6.6595838102621876</v>
      </c>
    </row>
    <row r="151" spans="1:20" x14ac:dyDescent="0.25">
      <c r="A151" s="5">
        <v>44442</v>
      </c>
      <c r="B151">
        <v>0.3826</v>
      </c>
      <c r="C151">
        <v>0.39679999999999999</v>
      </c>
      <c r="D151">
        <v>0.37090000000000001</v>
      </c>
      <c r="E151">
        <v>0.38500000000000001</v>
      </c>
      <c r="F151">
        <v>26281241</v>
      </c>
      <c r="G151">
        <v>0.38500000000000001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8.8803088803089819E-2</v>
      </c>
      <c r="Q151">
        <f t="shared" ref="Q151" si="731">F151*P151</f>
        <v>2333855.3783784052</v>
      </c>
      <c r="R151">
        <f t="shared" ref="R151" si="732">R152+Q151</f>
        <v>-685480793.31030977</v>
      </c>
      <c r="S151">
        <f t="shared" ref="S151" si="733">R151/100000</f>
        <v>-6854.8079331030976</v>
      </c>
      <c r="T151">
        <f t="shared" ref="T151" si="734">S151/1000</f>
        <v>-6.854807933103098</v>
      </c>
    </row>
    <row r="152" spans="1:20" x14ac:dyDescent="0.25">
      <c r="A152" s="5">
        <v>44441</v>
      </c>
      <c r="B152">
        <v>0.40150000000000002</v>
      </c>
      <c r="C152">
        <v>0.40639999999999998</v>
      </c>
      <c r="D152">
        <v>0.38040000000000002</v>
      </c>
      <c r="E152">
        <v>0.38250000000000001</v>
      </c>
      <c r="F152">
        <v>29401180</v>
      </c>
      <c r="G152">
        <v>0.38250000000000001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-0.83846153846153892</v>
      </c>
      <c r="Q152">
        <f t="shared" ref="Q152" si="736">F152*P152</f>
        <v>-24651758.615384627</v>
      </c>
      <c r="R152">
        <f t="shared" ref="R152" si="737">R153+Q152</f>
        <v>-687814648.68868816</v>
      </c>
      <c r="S152">
        <f t="shared" ref="S152" si="738">R152/100000</f>
        <v>-6878.1464868868816</v>
      </c>
      <c r="T152">
        <f t="shared" ref="T152" si="739">S152/1000</f>
        <v>-6.878146486886882</v>
      </c>
    </row>
    <row r="153" spans="1:20" x14ac:dyDescent="0.25">
      <c r="A153" s="5">
        <v>44440</v>
      </c>
      <c r="B153">
        <v>0.40429999999999999</v>
      </c>
      <c r="C153">
        <v>0.40989999999999999</v>
      </c>
      <c r="D153">
        <v>0.39100000000000001</v>
      </c>
      <c r="E153">
        <v>0.40150000000000002</v>
      </c>
      <c r="F153">
        <v>33305882</v>
      </c>
      <c r="G153">
        <v>0.40150000000000002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0.11111111111111373</v>
      </c>
      <c r="Q153">
        <f t="shared" ref="Q153" si="741">F153*P153</f>
        <v>3700653.5555556426</v>
      </c>
      <c r="R153">
        <f t="shared" ref="R153" si="742">R154+Q153</f>
        <v>-663162890.07330358</v>
      </c>
      <c r="S153">
        <f t="shared" ref="S153" si="743">R153/100000</f>
        <v>-6631.6289007330361</v>
      </c>
      <c r="T153">
        <f t="shared" ref="T153" si="744">S153/1000</f>
        <v>-6.6316289007330358</v>
      </c>
    </row>
    <row r="154" spans="1:20" x14ac:dyDescent="0.25">
      <c r="A154" s="5">
        <v>44439</v>
      </c>
      <c r="B154">
        <v>0.38879999999999998</v>
      </c>
      <c r="C154">
        <v>0.434</v>
      </c>
      <c r="D154">
        <v>0.37659999999999999</v>
      </c>
      <c r="E154">
        <v>0.40429999999999999</v>
      </c>
      <c r="F154">
        <v>59813445.799999997</v>
      </c>
      <c r="G154">
        <v>0.40429999999999999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-3.4843205574912918E-2</v>
      </c>
      <c r="Q154">
        <f t="shared" ref="Q154" si="746">F154*P154</f>
        <v>-2084092.1881533116</v>
      </c>
      <c r="R154">
        <f t="shared" ref="R154" si="747">R155+Q154</f>
        <v>-666863543.62885928</v>
      </c>
      <c r="S154">
        <f t="shared" ref="S154" si="748">R154/100000</f>
        <v>-6668.6354362885932</v>
      </c>
      <c r="T154">
        <f t="shared" ref="T154" si="749">S154/1000</f>
        <v>-6.6686354362885929</v>
      </c>
    </row>
    <row r="155" spans="1:20" x14ac:dyDescent="0.25">
      <c r="A155" s="5">
        <v>44438</v>
      </c>
      <c r="B155">
        <v>0.4143</v>
      </c>
      <c r="C155">
        <v>0.42399999999999999</v>
      </c>
      <c r="D155">
        <v>0.3735</v>
      </c>
      <c r="E155">
        <v>0.38879999999999998</v>
      </c>
      <c r="F155">
        <v>72704851</v>
      </c>
      <c r="G155">
        <v>0.38879999999999998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-0.39405940594059469</v>
      </c>
      <c r="Q155">
        <f t="shared" ref="Q155" si="751">F155*P155</f>
        <v>-28650030.394059453</v>
      </c>
      <c r="R155">
        <f t="shared" ref="R155" si="752">R156+Q155</f>
        <v>-664779451.44070601</v>
      </c>
      <c r="S155">
        <f t="shared" ref="S155" si="753">R155/100000</f>
        <v>-6647.79451440706</v>
      </c>
      <c r="T155">
        <f t="shared" ref="T155" si="754">S155/1000</f>
        <v>-6.6477945144070603</v>
      </c>
    </row>
    <row r="156" spans="1:20" x14ac:dyDescent="0.25">
      <c r="A156" s="5">
        <v>44437</v>
      </c>
      <c r="B156">
        <v>0.36580000000000001</v>
      </c>
      <c r="C156">
        <v>0.43</v>
      </c>
      <c r="D156">
        <v>0.35349999999999998</v>
      </c>
      <c r="E156">
        <v>0.41460000000000002</v>
      </c>
      <c r="F156">
        <v>111765082.90000001</v>
      </c>
      <c r="G156">
        <v>0.41460000000000002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0.59738562091503356</v>
      </c>
      <c r="Q156">
        <f t="shared" ref="Q156" si="756">F156*P156</f>
        <v>66766853.444836706</v>
      </c>
      <c r="R156">
        <f t="shared" ref="R156" si="757">R157+Q156</f>
        <v>-636129421.0466466</v>
      </c>
      <c r="S156">
        <f t="shared" ref="S156" si="758">R156/100000</f>
        <v>-6361.2942104664662</v>
      </c>
      <c r="T156">
        <f t="shared" ref="T156" si="759">S156/1000</f>
        <v>-6.3612942104664665</v>
      </c>
    </row>
    <row r="157" spans="1:20" x14ac:dyDescent="0.25">
      <c r="A157" s="5">
        <v>44436</v>
      </c>
      <c r="B157">
        <v>0.33879999999999999</v>
      </c>
      <c r="C157">
        <v>0.39800000000000002</v>
      </c>
      <c r="D157">
        <v>0.33300000000000002</v>
      </c>
      <c r="E157">
        <v>0.36549999999999999</v>
      </c>
      <c r="F157">
        <v>74918834.700000003</v>
      </c>
      <c r="G157">
        <v>0.36549999999999999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-8.5401771125012034E-16</v>
      </c>
      <c r="Q157">
        <f t="shared" ref="Q157" si="761">F157*P157</f>
        <v>-6.3982011740020099E-8</v>
      </c>
      <c r="R157">
        <f t="shared" ref="R157" si="762">R158+Q157</f>
        <v>-702896274.49148333</v>
      </c>
      <c r="S157">
        <f t="shared" ref="S157" si="763">R157/100000</f>
        <v>-7028.9627449148329</v>
      </c>
      <c r="T157">
        <f t="shared" ref="T157" si="764">S157/1000</f>
        <v>-7.0289627449148329</v>
      </c>
    </row>
    <row r="158" spans="1:20" x14ac:dyDescent="0.25">
      <c r="A158" s="5">
        <v>44435</v>
      </c>
      <c r="B158">
        <v>0.31280000000000002</v>
      </c>
      <c r="C158">
        <v>0.34460000000000002</v>
      </c>
      <c r="D158">
        <v>0.30149999999999999</v>
      </c>
      <c r="E158">
        <v>0.3387</v>
      </c>
      <c r="F158">
        <v>29232726.300000001</v>
      </c>
      <c r="G158">
        <v>0.3387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0.7262180974477952</v>
      </c>
      <c r="Q158">
        <f t="shared" ref="Q158" si="766">F158*P158</f>
        <v>21229334.876798127</v>
      </c>
      <c r="R158">
        <f t="shared" ref="R158" si="767">R159+Q158</f>
        <v>-702896274.49148321</v>
      </c>
      <c r="S158">
        <f t="shared" ref="S158" si="768">R158/100000</f>
        <v>-7028.962744914832</v>
      </c>
      <c r="T158">
        <f t="shared" ref="T158" si="769">S158/1000</f>
        <v>-7.028962744914832</v>
      </c>
    </row>
    <row r="159" spans="1:20" x14ac:dyDescent="0.25">
      <c r="A159" s="5">
        <v>44434</v>
      </c>
      <c r="B159">
        <v>0.34932000000000002</v>
      </c>
      <c r="C159">
        <v>0.35421999999999998</v>
      </c>
      <c r="D159">
        <v>0.30780000000000002</v>
      </c>
      <c r="E159">
        <v>0.31240000000000001</v>
      </c>
      <c r="F159">
        <v>36264485.700000003</v>
      </c>
      <c r="G159">
        <v>0.31240000000000001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-0.80180956484274035</v>
      </c>
      <c r="Q159">
        <f t="shared" ref="Q159" si="771">F159*P159</f>
        <v>-29077211.498362783</v>
      </c>
      <c r="R159">
        <f t="shared" ref="R159" si="772">R160+Q159</f>
        <v>-724125609.36828136</v>
      </c>
      <c r="S159">
        <f t="shared" ref="S159" si="773">R159/100000</f>
        <v>-7241.256093682814</v>
      </c>
      <c r="T159">
        <f t="shared" ref="T159" si="774">S159/1000</f>
        <v>-7.2412560936828143</v>
      </c>
    </row>
    <row r="160" spans="1:20" x14ac:dyDescent="0.25">
      <c r="A160" s="5">
        <v>44433</v>
      </c>
      <c r="B160">
        <v>0.32549</v>
      </c>
      <c r="C160">
        <v>0.35594999999999999</v>
      </c>
      <c r="D160">
        <v>0.31539</v>
      </c>
      <c r="E160">
        <v>0.34955999999999998</v>
      </c>
      <c r="F160">
        <v>42774342</v>
      </c>
      <c r="G160">
        <v>0.34955999999999998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0.68491124260354985</v>
      </c>
      <c r="Q160">
        <f t="shared" ref="Q160" si="776">F160*P160</f>
        <v>29296627.730769213</v>
      </c>
      <c r="R160">
        <f t="shared" ref="R160" si="777">R161+Q160</f>
        <v>-695048397.86991858</v>
      </c>
      <c r="S160">
        <f t="shared" ref="S160" si="778">R160/100000</f>
        <v>-6950.4839786991861</v>
      </c>
      <c r="T160">
        <f t="shared" ref="T160" si="779">S160/1000</f>
        <v>-6.9504839786991859</v>
      </c>
    </row>
    <row r="161" spans="1:20" x14ac:dyDescent="0.25">
      <c r="A161" s="5">
        <v>44432</v>
      </c>
      <c r="B161">
        <v>0.36570999999999998</v>
      </c>
      <c r="C161">
        <v>0.37748999999999999</v>
      </c>
      <c r="D161">
        <v>0.315</v>
      </c>
      <c r="E161">
        <v>0.32554</v>
      </c>
      <c r="F161">
        <v>44375219.799999997</v>
      </c>
      <c r="G161">
        <v>0.32554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-0.66266602656425044</v>
      </c>
      <c r="Q161">
        <f t="shared" ref="Q161" si="781">F161*P161</f>
        <v>-29405950.582781252</v>
      </c>
      <c r="R161">
        <f t="shared" ref="R161" si="782">R162+Q161</f>
        <v>-724345025.60068774</v>
      </c>
      <c r="S161">
        <f t="shared" ref="S161" si="783">R161/100000</f>
        <v>-7243.4502560068777</v>
      </c>
      <c r="T161">
        <f t="shared" ref="T161" si="784">S161/1000</f>
        <v>-7.2434502560068781</v>
      </c>
    </row>
    <row r="162" spans="1:20" x14ac:dyDescent="0.25">
      <c r="A162" s="5">
        <v>44431</v>
      </c>
      <c r="B162">
        <v>0.37862000000000001</v>
      </c>
      <c r="C162">
        <v>0.3861</v>
      </c>
      <c r="D162">
        <v>0.35338999999999998</v>
      </c>
      <c r="E162">
        <v>0.36608000000000002</v>
      </c>
      <c r="F162">
        <v>71507954.5</v>
      </c>
      <c r="G162">
        <v>0.36608000000000002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-0.22409049220421717</v>
      </c>
      <c r="Q162">
        <f t="shared" ref="Q162" si="786">F162*P162</f>
        <v>-16024252.720421767</v>
      </c>
      <c r="R162">
        <f t="shared" ref="R162" si="787">R163+Q162</f>
        <v>-694939075.01790655</v>
      </c>
      <c r="S162">
        <f t="shared" ref="S162" si="788">R162/100000</f>
        <v>-6949.3907501790654</v>
      </c>
      <c r="T162">
        <f t="shared" ref="T162" si="789">S162/1000</f>
        <v>-6.9493907501790657</v>
      </c>
    </row>
    <row r="163" spans="1:20" x14ac:dyDescent="0.25">
      <c r="A163" s="5">
        <v>44430</v>
      </c>
      <c r="B163">
        <v>0.32645000000000002</v>
      </c>
      <c r="C163">
        <v>0.33098</v>
      </c>
      <c r="D163">
        <v>0.32183</v>
      </c>
      <c r="E163">
        <v>0.32784000000000002</v>
      </c>
      <c r="F163">
        <v>5895142.9000000004</v>
      </c>
      <c r="G163">
        <v>0.32784000000000002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0.31366120218579691</v>
      </c>
      <c r="Q163">
        <f t="shared" ref="Q163" si="791">F163*P163</f>
        <v>1849077.6090710652</v>
      </c>
      <c r="R163">
        <f t="shared" ref="R163" si="792">R164+Q163</f>
        <v>-678914822.29748476</v>
      </c>
      <c r="S163">
        <f t="shared" ref="S163" si="793">R163/100000</f>
        <v>-6789.1482229748472</v>
      </c>
      <c r="T163">
        <f t="shared" ref="T163" si="794">S163/1000</f>
        <v>-6.7891482229748474</v>
      </c>
    </row>
    <row r="164" spans="1:20" x14ac:dyDescent="0.25">
      <c r="A164" s="5">
        <v>44429</v>
      </c>
      <c r="B164">
        <v>0.33423000000000003</v>
      </c>
      <c r="C164">
        <v>0.34497</v>
      </c>
      <c r="D164">
        <v>0.32218999999999998</v>
      </c>
      <c r="E164">
        <v>0.32679000000000002</v>
      </c>
      <c r="F164">
        <v>32556132.5</v>
      </c>
      <c r="G164">
        <v>0.32679000000000002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-0.59613696224758173</v>
      </c>
      <c r="Q164">
        <f t="shared" ref="Q164" si="796">F164*P164</f>
        <v>-19407913.931079768</v>
      </c>
      <c r="R164">
        <f t="shared" ref="R164" si="797">R165+Q164</f>
        <v>-680763899.90655577</v>
      </c>
      <c r="S164">
        <f t="shared" ref="S164" si="798">R164/100000</f>
        <v>-6807.638999065558</v>
      </c>
      <c r="T164">
        <f t="shared" ref="T164" si="799">S164/1000</f>
        <v>-6.8076389990655581</v>
      </c>
    </row>
    <row r="165" spans="1:20" x14ac:dyDescent="0.25">
      <c r="A165" s="5">
        <v>44428</v>
      </c>
      <c r="B165">
        <v>0.33234999999999998</v>
      </c>
      <c r="C165">
        <v>0.33894999999999997</v>
      </c>
      <c r="D165">
        <v>0.32301000000000002</v>
      </c>
      <c r="E165">
        <v>0.33395999999999998</v>
      </c>
      <c r="F165">
        <v>29765431.199999999</v>
      </c>
      <c r="G165">
        <v>0.33395999999999998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0.3739021329987442</v>
      </c>
      <c r="Q165">
        <f t="shared" ref="Q165" si="801">F165*P165</f>
        <v>11129358.21530737</v>
      </c>
      <c r="R165">
        <f t="shared" ref="R165" si="802">R166+Q165</f>
        <v>-661355985.97547603</v>
      </c>
      <c r="S165">
        <f t="shared" ref="S165" si="803">R165/100000</f>
        <v>-6613.5598597547605</v>
      </c>
      <c r="T165">
        <f t="shared" ref="T165" si="804">S165/1000</f>
        <v>-6.6135598597547602</v>
      </c>
    </row>
    <row r="166" spans="1:20" x14ac:dyDescent="0.25">
      <c r="A166" s="5">
        <v>44427</v>
      </c>
      <c r="B166">
        <v>0.30921999999999999</v>
      </c>
      <c r="C166">
        <v>0.36</v>
      </c>
      <c r="D166">
        <v>0.28895999999999999</v>
      </c>
      <c r="E166">
        <v>0.33183000000000001</v>
      </c>
      <c r="F166">
        <v>35146765.5</v>
      </c>
      <c r="G166">
        <v>0.33183000000000001</v>
      </c>
      <c r="L166" t="s">
        <v>7</v>
      </c>
      <c r="M166" t="s">
        <v>8</v>
      </c>
      <c r="N166" t="s">
        <v>8</v>
      </c>
      <c r="P166">
        <f t="shared" ref="P166" si="805">IF(C166=D166,0,((E166-D166)-(C166-E166))/(C166-D166))</f>
        <v>0.20692567567567635</v>
      </c>
      <c r="Q166">
        <f t="shared" ref="Q166" si="806">F166*P166</f>
        <v>7272768.198902051</v>
      </c>
      <c r="R166">
        <f t="shared" ref="R166" si="807">R167+Q166</f>
        <v>-672485344.19078338</v>
      </c>
      <c r="S166">
        <f t="shared" ref="S166" si="808">R166/100000</f>
        <v>-6724.8534419078342</v>
      </c>
      <c r="T166">
        <f t="shared" ref="T166" si="809">S166/1000</f>
        <v>-6.7248534419078343</v>
      </c>
    </row>
    <row r="167" spans="1:20" x14ac:dyDescent="0.25">
      <c r="A167" s="5">
        <v>44426</v>
      </c>
      <c r="B167">
        <v>0.31796999999999997</v>
      </c>
      <c r="C167">
        <v>0.32839000000000002</v>
      </c>
      <c r="D167">
        <v>0.29321000000000003</v>
      </c>
      <c r="E167">
        <v>0.30924000000000001</v>
      </c>
      <c r="F167">
        <v>37261789</v>
      </c>
      <c r="G167">
        <v>0.30924000000000001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-8.8686753837407983E-2</v>
      </c>
      <c r="Q167">
        <f t="shared" ref="Q167" si="811">F167*P167</f>
        <v>-3304627.1085844366</v>
      </c>
      <c r="R167">
        <f t="shared" ref="R167" si="812">R168+Q167</f>
        <v>-679758112.38968539</v>
      </c>
      <c r="S167">
        <f t="shared" ref="S167" si="813">R167/100000</f>
        <v>-6797.5811238968536</v>
      </c>
      <c r="T167">
        <f t="shared" ref="T167" si="814">S167/1000</f>
        <v>-6.7975811238968538</v>
      </c>
    </row>
    <row r="168" spans="1:20" x14ac:dyDescent="0.25">
      <c r="A168" s="5">
        <v>44425</v>
      </c>
      <c r="B168">
        <v>0.33056999999999997</v>
      </c>
      <c r="C168">
        <v>0.36420999999999998</v>
      </c>
      <c r="D168">
        <v>0.30381999999999998</v>
      </c>
      <c r="E168">
        <v>0.31816</v>
      </c>
      <c r="F168">
        <v>54641095.399999999</v>
      </c>
      <c r="G168">
        <v>0.31816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-0.52508693492299985</v>
      </c>
      <c r="Q168">
        <f t="shared" ref="Q168" si="816">F168*P168</f>
        <v>-28691325.304421227</v>
      </c>
      <c r="R168">
        <f t="shared" ref="R168" si="817">R169+Q168</f>
        <v>-676453485.28110099</v>
      </c>
      <c r="S168">
        <f t="shared" ref="S168" si="818">R168/100000</f>
        <v>-6764.5348528110098</v>
      </c>
      <c r="T168">
        <f t="shared" ref="T168" si="819">S168/1000</f>
        <v>-6.7645348528110096</v>
      </c>
    </row>
    <row r="169" spans="1:20" x14ac:dyDescent="0.25">
      <c r="A169" s="5">
        <v>44424</v>
      </c>
      <c r="B169">
        <v>0.34236</v>
      </c>
      <c r="C169">
        <v>0.37552999999999997</v>
      </c>
      <c r="D169">
        <v>0.32600000000000001</v>
      </c>
      <c r="E169">
        <v>0.33033000000000001</v>
      </c>
      <c r="F169">
        <v>55648843</v>
      </c>
      <c r="G169">
        <v>0.33033000000000001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-0.82515647082576205</v>
      </c>
      <c r="Q169">
        <f t="shared" ref="Q169" si="821">F169*P169</f>
        <v>-45919002.895416915</v>
      </c>
      <c r="R169">
        <f t="shared" ref="R169" si="822">R170+Q169</f>
        <v>-647762159.9766798</v>
      </c>
      <c r="S169">
        <f t="shared" ref="S169" si="823">R169/100000</f>
        <v>-6477.6215997667978</v>
      </c>
      <c r="T169">
        <f t="shared" ref="T169" si="824">S169/1000</f>
        <v>-6.4776215997667981</v>
      </c>
    </row>
    <row r="170" spans="1:20" x14ac:dyDescent="0.25">
      <c r="A170" s="5">
        <v>44423</v>
      </c>
      <c r="B170">
        <v>0.34305000000000002</v>
      </c>
      <c r="C170">
        <v>0.34799000000000002</v>
      </c>
      <c r="D170">
        <v>0.31818000000000002</v>
      </c>
      <c r="E170">
        <v>0.34236</v>
      </c>
      <c r="F170">
        <v>38471280.299999997</v>
      </c>
      <c r="G170">
        <v>0.34236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0.62227440456222582</v>
      </c>
      <c r="Q170">
        <f t="shared" ref="Q170" si="826">F170*P170</f>
        <v>23939693.041428987</v>
      </c>
      <c r="R170">
        <f t="shared" ref="R170" si="827">R171+Q170</f>
        <v>-601843157.08126295</v>
      </c>
      <c r="S170">
        <f t="shared" ref="S170" si="828">R170/100000</f>
        <v>-6018.4315708126296</v>
      </c>
      <c r="T170">
        <f t="shared" ref="T170" si="829">S170/1000</f>
        <v>-6.0184315708126297</v>
      </c>
    </row>
    <row r="171" spans="1:20" x14ac:dyDescent="0.25">
      <c r="A171" s="5">
        <v>44422</v>
      </c>
      <c r="B171">
        <v>0.31336000000000003</v>
      </c>
      <c r="C171">
        <v>0.37</v>
      </c>
      <c r="D171">
        <v>0.31240000000000001</v>
      </c>
      <c r="E171">
        <v>0.34289999999999998</v>
      </c>
      <c r="F171">
        <v>100724779.40000001</v>
      </c>
      <c r="G171">
        <v>0.34289999999999998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5.9027777777777075E-2</v>
      </c>
      <c r="Q171">
        <f t="shared" ref="Q171" si="831">F171*P171</f>
        <v>5945559.8951388188</v>
      </c>
      <c r="R171">
        <f t="shared" ref="R171" si="832">R172+Q171</f>
        <v>-625782850.12269199</v>
      </c>
      <c r="S171">
        <f t="shared" ref="S171" si="833">R171/100000</f>
        <v>-6257.8285012269198</v>
      </c>
      <c r="T171">
        <f t="shared" ref="T171" si="834">S171/1000</f>
        <v>-6.2578285012269195</v>
      </c>
    </row>
    <row r="172" spans="1:20" x14ac:dyDescent="0.25">
      <c r="A172" s="5">
        <v>44421</v>
      </c>
      <c r="B172">
        <v>0.29492000000000002</v>
      </c>
      <c r="C172">
        <v>0.32</v>
      </c>
      <c r="D172">
        <v>0.29196</v>
      </c>
      <c r="E172">
        <v>0.31324999999999997</v>
      </c>
      <c r="F172">
        <v>23165219.100000001</v>
      </c>
      <c r="G172">
        <v>0.31324999999999997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0.51854493580598915</v>
      </c>
      <c r="Q172">
        <f t="shared" ref="Q172" si="836">F172*P172</f>
        <v>12012207.051141175</v>
      </c>
      <c r="R172">
        <f t="shared" ref="R172" si="837">R173+Q172</f>
        <v>-631728410.01783085</v>
      </c>
      <c r="S172">
        <f t="shared" ref="S172" si="838">R172/100000</f>
        <v>-6317.2841001783081</v>
      </c>
      <c r="T172">
        <f t="shared" ref="T172" si="839">S172/1000</f>
        <v>-6.3172841001783082</v>
      </c>
    </row>
    <row r="173" spans="1:20" x14ac:dyDescent="0.25">
      <c r="A173" s="5">
        <v>44420</v>
      </c>
      <c r="B173">
        <v>0.30548999999999998</v>
      </c>
      <c r="C173">
        <v>0.31850000000000001</v>
      </c>
      <c r="D173">
        <v>0.28110000000000002</v>
      </c>
      <c r="E173">
        <v>0.29520000000000002</v>
      </c>
      <c r="F173">
        <v>35221104.5</v>
      </c>
      <c r="G173">
        <v>0.29520000000000002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-0.24598930481283393</v>
      </c>
      <c r="Q173">
        <f t="shared" ref="Q173" si="841">F173*P173</f>
        <v>-8664015.0106951762</v>
      </c>
      <c r="R173">
        <f t="shared" ref="R173" si="842">R174+Q173</f>
        <v>-643740617.06897199</v>
      </c>
      <c r="S173">
        <f t="shared" ref="S173" si="843">R173/100000</f>
        <v>-6437.4061706897201</v>
      </c>
      <c r="T173">
        <f t="shared" ref="T173" si="844">S173/1000</f>
        <v>-6.4374061706897203</v>
      </c>
    </row>
    <row r="174" spans="1:20" x14ac:dyDescent="0.25">
      <c r="A174" s="5">
        <v>44419</v>
      </c>
      <c r="B174">
        <v>0.30569000000000002</v>
      </c>
      <c r="C174">
        <v>0.33601999999999999</v>
      </c>
      <c r="D174">
        <v>0.30299999999999999</v>
      </c>
      <c r="E174">
        <v>0.30548999999999998</v>
      </c>
      <c r="F174">
        <v>47616663.700000003</v>
      </c>
      <c r="G174">
        <v>0.30548999999999998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-0.84918231374924336</v>
      </c>
      <c r="Q174">
        <f t="shared" ref="Q174" si="846">F174*P174</f>
        <v>-40435228.653785609</v>
      </c>
      <c r="R174">
        <f t="shared" ref="R174" si="847">R175+Q174</f>
        <v>-635076602.05827677</v>
      </c>
      <c r="S174">
        <f t="shared" ref="S174" si="848">R174/100000</f>
        <v>-6350.7660205827679</v>
      </c>
      <c r="T174">
        <f t="shared" ref="T174" si="849">S174/1000</f>
        <v>-6.3507660205827676</v>
      </c>
    </row>
    <row r="175" spans="1:20" x14ac:dyDescent="0.25">
      <c r="A175" s="5">
        <v>44418</v>
      </c>
      <c r="B175">
        <v>0.29026000000000002</v>
      </c>
      <c r="C175">
        <v>0.32366</v>
      </c>
      <c r="D175">
        <v>0.28752</v>
      </c>
      <c r="E175">
        <v>0.30531999999999998</v>
      </c>
      <c r="F175">
        <v>57352655.399999999</v>
      </c>
      <c r="G175">
        <v>0.30531999999999998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-1.4941892639735483E-2</v>
      </c>
      <c r="Q175">
        <f t="shared" ref="Q175" si="851">F175*P175</f>
        <v>-856957.21959054552</v>
      </c>
      <c r="R175">
        <f t="shared" ref="R175" si="852">R176+Q175</f>
        <v>-594641373.40449119</v>
      </c>
      <c r="S175">
        <f t="shared" ref="S175" si="853">R175/100000</f>
        <v>-5946.4137340449115</v>
      </c>
      <c r="T175">
        <f t="shared" ref="T175" si="854">S175/1000</f>
        <v>-5.9464137340449117</v>
      </c>
    </row>
    <row r="176" spans="1:20" x14ac:dyDescent="0.25">
      <c r="A176" s="5">
        <v>44417</v>
      </c>
      <c r="B176">
        <v>0.27696999999999999</v>
      </c>
      <c r="C176">
        <v>0.30635000000000001</v>
      </c>
      <c r="D176">
        <v>0.26556999999999997</v>
      </c>
      <c r="E176">
        <v>0.29025000000000001</v>
      </c>
      <c r="F176">
        <v>29933182.399999999</v>
      </c>
      <c r="G176">
        <v>0.29025000000000001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0.21039725355566513</v>
      </c>
      <c r="Q176">
        <f t="shared" ref="Q176" si="856">F176*P176</f>
        <v>6297859.3671407728</v>
      </c>
      <c r="R176">
        <f t="shared" ref="R176" si="857">R177+Q176</f>
        <v>-593784416.18490064</v>
      </c>
      <c r="S176">
        <f t="shared" ref="S176" si="858">R176/100000</f>
        <v>-5937.844161849006</v>
      </c>
      <c r="T176">
        <f t="shared" ref="T176" si="859">S176/1000</f>
        <v>-5.9378441618490063</v>
      </c>
    </row>
    <row r="177" spans="1:20" x14ac:dyDescent="0.25">
      <c r="A177" s="5">
        <v>44416</v>
      </c>
      <c r="B177">
        <v>0.30231999999999998</v>
      </c>
      <c r="C177">
        <v>0.30668000000000001</v>
      </c>
      <c r="D177">
        <v>0.27389000000000002</v>
      </c>
      <c r="E177">
        <v>0.27645999999999998</v>
      </c>
      <c r="F177">
        <v>29750403.899999999</v>
      </c>
      <c r="G177">
        <v>0.27645999999999998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-0.84324489173528749</v>
      </c>
      <c r="Q177">
        <f t="shared" ref="Q177" si="861">F177*P177</f>
        <v>-25086876.115736574</v>
      </c>
      <c r="R177">
        <f t="shared" ref="R177" si="862">R178+Q177</f>
        <v>-600082275.55204141</v>
      </c>
      <c r="S177">
        <f t="shared" ref="S177" si="863">R177/100000</f>
        <v>-6000.8227555204139</v>
      </c>
      <c r="T177">
        <f t="shared" ref="T177" si="864">S177/1000</f>
        <v>-6.0008227555204137</v>
      </c>
    </row>
    <row r="178" spans="1:20" x14ac:dyDescent="0.25">
      <c r="A178" s="5">
        <v>44415</v>
      </c>
      <c r="B178">
        <v>0.31178</v>
      </c>
      <c r="C178">
        <v>0.32497999999999999</v>
      </c>
      <c r="D178">
        <v>0.28700999999999999</v>
      </c>
      <c r="E178">
        <v>0.30220000000000002</v>
      </c>
      <c r="F178">
        <v>55739610.799999997</v>
      </c>
      <c r="G178">
        <v>0.30220000000000002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-0.19989465367395126</v>
      </c>
      <c r="Q178">
        <f t="shared" ref="Q178" si="866">F178*P178</f>
        <v>-11142050.196786832</v>
      </c>
      <c r="R178">
        <f t="shared" ref="R178" si="867">R179+Q178</f>
        <v>-574995399.43630481</v>
      </c>
      <c r="S178">
        <f t="shared" ref="S178" si="868">R178/100000</f>
        <v>-5749.953994363048</v>
      </c>
      <c r="T178">
        <f t="shared" ref="T178" si="869">S178/1000</f>
        <v>-5.7499539943630475</v>
      </c>
    </row>
    <row r="179" spans="1:20" x14ac:dyDescent="0.25">
      <c r="A179" s="5">
        <v>44414</v>
      </c>
      <c r="B179">
        <v>0.27716000000000002</v>
      </c>
      <c r="C179">
        <v>0.312</v>
      </c>
      <c r="D179">
        <v>0.27034000000000002</v>
      </c>
      <c r="E179">
        <v>0.31178</v>
      </c>
      <c r="F179">
        <v>60470334.799999997</v>
      </c>
      <c r="G179">
        <v>0.31178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0.9894383101296208</v>
      </c>
      <c r="Q179">
        <f t="shared" ref="Q179" si="871">F179*P179</f>
        <v>59831665.877484396</v>
      </c>
      <c r="R179">
        <f t="shared" ref="R179" si="872">R180+Q179</f>
        <v>-563853349.23951793</v>
      </c>
      <c r="S179">
        <f t="shared" ref="S179" si="873">R179/100000</f>
        <v>-5638.5334923951796</v>
      </c>
      <c r="T179">
        <f t="shared" ref="T179" si="874">S179/1000</f>
        <v>-5.6385334923951795</v>
      </c>
    </row>
    <row r="180" spans="1:20" x14ac:dyDescent="0.25">
      <c r="A180" s="5">
        <v>44413</v>
      </c>
      <c r="B180">
        <v>0.26883000000000001</v>
      </c>
      <c r="C180">
        <v>0.28526000000000001</v>
      </c>
      <c r="D180">
        <v>0.25600000000000001</v>
      </c>
      <c r="E180">
        <v>0.27716000000000002</v>
      </c>
      <c r="F180">
        <v>42268850.399999999</v>
      </c>
      <c r="G180">
        <v>0.27716000000000002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0.44634313055365732</v>
      </c>
      <c r="Q180">
        <f t="shared" ref="Q180" si="876">F180*P180</f>
        <v>18866411.012440208</v>
      </c>
      <c r="R180">
        <f t="shared" ref="R180" si="877">R181+Q180</f>
        <v>-623685015.11700237</v>
      </c>
      <c r="S180">
        <f t="shared" ref="S180" si="878">R180/100000</f>
        <v>-6236.8501511700233</v>
      </c>
      <c r="T180">
        <f t="shared" ref="T180" si="879">S180/1000</f>
        <v>-6.2368501511700236</v>
      </c>
    </row>
    <row r="181" spans="1:20" x14ac:dyDescent="0.25">
      <c r="A181" s="5">
        <v>44412</v>
      </c>
      <c r="B181">
        <v>0.26239000000000001</v>
      </c>
      <c r="C181">
        <v>0.27411999999999997</v>
      </c>
      <c r="D181">
        <v>0.25191000000000002</v>
      </c>
      <c r="E181">
        <v>0.26883000000000001</v>
      </c>
      <c r="F181">
        <v>26933496.5</v>
      </c>
      <c r="G181">
        <v>0.26883000000000001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0.52363800090049772</v>
      </c>
      <c r="Q181">
        <f t="shared" ref="Q181" si="881">F181*P181</f>
        <v>14103402.264520552</v>
      </c>
      <c r="R181">
        <f t="shared" ref="R181" si="882">R182+Q181</f>
        <v>-642551426.12944257</v>
      </c>
      <c r="S181">
        <f t="shared" ref="S181" si="883">R181/100000</f>
        <v>-6425.5142612944255</v>
      </c>
      <c r="T181">
        <f t="shared" ref="T181" si="884">S181/1000</f>
        <v>-6.4255142612944258</v>
      </c>
    </row>
    <row r="182" spans="1:20" x14ac:dyDescent="0.25">
      <c r="A182" s="5">
        <v>44411</v>
      </c>
      <c r="B182">
        <v>0.28226000000000001</v>
      </c>
      <c r="C182">
        <v>0.29760999999999999</v>
      </c>
      <c r="D182">
        <v>0.25294</v>
      </c>
      <c r="E182">
        <v>0.26212999999999997</v>
      </c>
      <c r="F182">
        <v>50021381</v>
      </c>
      <c r="G182">
        <v>0.26212999999999997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-0.58853816879337462</v>
      </c>
      <c r="Q182">
        <f t="shared" ref="Q182" si="886">F182*P182</f>
        <v>-29439491.974255703</v>
      </c>
      <c r="R182">
        <f t="shared" ref="R182" si="887">R183+Q182</f>
        <v>-656654828.3939631</v>
      </c>
      <c r="S182">
        <f t="shared" ref="S182" si="888">R182/100000</f>
        <v>-6566.5482839396309</v>
      </c>
      <c r="T182">
        <f t="shared" ref="T182" si="889">S182/1000</f>
        <v>-6.566548283939631</v>
      </c>
    </row>
    <row r="183" spans="1:20" x14ac:dyDescent="0.25">
      <c r="A183" s="5">
        <v>44410</v>
      </c>
      <c r="B183">
        <v>0.24357999999999999</v>
      </c>
      <c r="C183">
        <v>0.28499999999999998</v>
      </c>
      <c r="D183">
        <v>0.23619000000000001</v>
      </c>
      <c r="E183">
        <v>0.28226000000000001</v>
      </c>
      <c r="F183">
        <v>41551991.600000001</v>
      </c>
      <c r="G183">
        <v>0.28226000000000001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0.887727924605615</v>
      </c>
      <c r="Q183">
        <f t="shared" ref="Q183" si="891">F183*P183</f>
        <v>36886863.266297951</v>
      </c>
      <c r="R183">
        <f t="shared" ref="R183" si="892">R184+Q183</f>
        <v>-627215336.41970742</v>
      </c>
      <c r="S183">
        <f t="shared" ref="S183" si="893">R183/100000</f>
        <v>-6272.1533641970746</v>
      </c>
      <c r="T183">
        <f t="shared" ref="T183" si="894">S183/1000</f>
        <v>-6.2721533641970746</v>
      </c>
    </row>
    <row r="184" spans="1:20" x14ac:dyDescent="0.25">
      <c r="A184" s="5">
        <v>44409</v>
      </c>
      <c r="B184">
        <v>0.25647999999999999</v>
      </c>
      <c r="C184">
        <v>0.27499000000000001</v>
      </c>
      <c r="D184">
        <v>0.24037</v>
      </c>
      <c r="E184">
        <v>0.24343000000000001</v>
      </c>
      <c r="F184">
        <v>25796467.699999999</v>
      </c>
      <c r="G184">
        <v>0.24343000000000001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-0.82322357019064085</v>
      </c>
      <c r="Q184">
        <f t="shared" ref="Q184" si="896">F184*P184</f>
        <v>-21236260.238301549</v>
      </c>
      <c r="R184">
        <f t="shared" ref="R184" si="897">R185+Q184</f>
        <v>-664102199.68600535</v>
      </c>
      <c r="S184">
        <f t="shared" ref="S184" si="898">R184/100000</f>
        <v>-6641.0219968600532</v>
      </c>
      <c r="T184">
        <f t="shared" ref="T184" si="899">S184/1000</f>
        <v>-6.6410219968600535</v>
      </c>
    </row>
    <row r="185" spans="1:20" x14ac:dyDescent="0.25">
      <c r="A185" s="5">
        <v>44408</v>
      </c>
      <c r="B185">
        <v>0.25596000000000002</v>
      </c>
      <c r="C185">
        <v>0.26900000000000002</v>
      </c>
      <c r="D185">
        <v>0.25008999999999998</v>
      </c>
      <c r="E185">
        <v>0.25649</v>
      </c>
      <c r="F185">
        <v>26064496.399999999</v>
      </c>
      <c r="G185">
        <v>0.25649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-0.32310946589106249</v>
      </c>
      <c r="Q185">
        <f t="shared" ref="Q185" si="901">F185*P185</f>
        <v>-8421685.5105235204</v>
      </c>
      <c r="R185">
        <f t="shared" ref="R185" si="902">R186+Q185</f>
        <v>-642865939.44770384</v>
      </c>
      <c r="S185">
        <f t="shared" ref="S185" si="903">R185/100000</f>
        <v>-6428.6593944770384</v>
      </c>
      <c r="T185">
        <f t="shared" ref="T185" si="904">S185/1000</f>
        <v>-6.4286593944770383</v>
      </c>
    </row>
    <row r="186" spans="1:20" x14ac:dyDescent="0.25">
      <c r="A186" s="5">
        <v>44407</v>
      </c>
      <c r="B186">
        <v>0.26733000000000001</v>
      </c>
      <c r="C186">
        <v>0.27850000000000003</v>
      </c>
      <c r="D186">
        <v>0.24779000000000001</v>
      </c>
      <c r="E186">
        <v>0.25553999999999999</v>
      </c>
      <c r="F186">
        <v>69037890.099999994</v>
      </c>
      <c r="G186">
        <v>0.25553999999999999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-0.49527841094106317</v>
      </c>
      <c r="Q186">
        <f t="shared" ref="Q186" si="906">F186*P186</f>
        <v>-34192976.503451757</v>
      </c>
      <c r="R186">
        <f t="shared" ref="R186" si="907">R187+Q186</f>
        <v>-634444253.93718028</v>
      </c>
      <c r="S186">
        <f t="shared" ref="S186" si="908">R186/100000</f>
        <v>-6344.4425393718029</v>
      </c>
      <c r="T186">
        <f t="shared" ref="T186" si="909">S186/1000</f>
        <v>-6.3444425393718031</v>
      </c>
    </row>
    <row r="187" spans="1:20" x14ac:dyDescent="0.25">
      <c r="A187" s="5">
        <v>44406</v>
      </c>
      <c r="B187">
        <v>0.22405</v>
      </c>
      <c r="C187">
        <v>0.26876</v>
      </c>
      <c r="D187">
        <v>0.21829999999999999</v>
      </c>
      <c r="E187">
        <v>0.26723000000000002</v>
      </c>
      <c r="F187">
        <v>48300230.600000001</v>
      </c>
      <c r="G187">
        <v>0.26723000000000002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0.93935790725327084</v>
      </c>
      <c r="Q187">
        <f t="shared" ref="Q187" si="911">F187*P187</f>
        <v>45371203.536266394</v>
      </c>
      <c r="R187">
        <f t="shared" ref="R187" si="912">R188+Q187</f>
        <v>-600251277.43372858</v>
      </c>
      <c r="S187">
        <f t="shared" ref="S187" si="913">R187/100000</f>
        <v>-6002.5127743372859</v>
      </c>
      <c r="T187">
        <f t="shared" ref="T187" si="914">S187/1000</f>
        <v>-6.0025127743372861</v>
      </c>
    </row>
    <row r="188" spans="1:20" x14ac:dyDescent="0.25">
      <c r="A188" s="5">
        <v>44405</v>
      </c>
      <c r="B188">
        <v>0.22811000000000001</v>
      </c>
      <c r="C188">
        <v>0.24048</v>
      </c>
      <c r="D188">
        <v>0.21945000000000001</v>
      </c>
      <c r="E188">
        <v>0.22388</v>
      </c>
      <c r="F188">
        <v>21037203.199999999</v>
      </c>
      <c r="G188">
        <v>0.22388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-0.57869709938183633</v>
      </c>
      <c r="Q188">
        <f t="shared" ref="Q188" si="916">F188*P188</f>
        <v>-12174168.470946284</v>
      </c>
      <c r="R188">
        <f t="shared" ref="R188" si="917">R189+Q188</f>
        <v>-645622480.96999502</v>
      </c>
      <c r="S188">
        <f t="shared" ref="S188" si="918">R188/100000</f>
        <v>-6456.2248096999501</v>
      </c>
      <c r="T188">
        <f t="shared" ref="T188" si="919">S188/1000</f>
        <v>-6.4562248096999504</v>
      </c>
    </row>
    <row r="189" spans="1:20" x14ac:dyDescent="0.25">
      <c r="A189" s="5">
        <v>44404</v>
      </c>
      <c r="B189">
        <v>0.22624</v>
      </c>
      <c r="C189">
        <v>0.2341</v>
      </c>
      <c r="D189">
        <v>0.21379000000000001</v>
      </c>
      <c r="E189">
        <v>0.22811999999999999</v>
      </c>
      <c r="F189">
        <v>25882502.199999999</v>
      </c>
      <c r="G189">
        <v>0.22811999999999999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0.41112752338749242</v>
      </c>
      <c r="Q189">
        <f t="shared" ref="Q189" si="921">F189*P189</f>
        <v>10641009.028557323</v>
      </c>
      <c r="R189">
        <f t="shared" ref="R189" si="922">R190+Q189</f>
        <v>-633448312.49904871</v>
      </c>
      <c r="S189">
        <f t="shared" ref="S189" si="923">R189/100000</f>
        <v>-6334.4831249904873</v>
      </c>
      <c r="T189">
        <f t="shared" ref="T189" si="924">S189/1000</f>
        <v>-6.3344831249904869</v>
      </c>
    </row>
    <row r="190" spans="1:20" x14ac:dyDescent="0.25">
      <c r="A190" s="5">
        <v>44403</v>
      </c>
      <c r="B190">
        <v>0.23818</v>
      </c>
      <c r="C190">
        <v>0.26</v>
      </c>
      <c r="D190">
        <v>0.22503000000000001</v>
      </c>
      <c r="E190">
        <v>0.22628000000000001</v>
      </c>
      <c r="F190">
        <v>44603536.100000001</v>
      </c>
      <c r="G190">
        <v>0.22628000000000001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-0.9285101515584786</v>
      </c>
      <c r="Q190">
        <f t="shared" ref="Q190" si="926">F190*P190</f>
        <v>-41414836.064255074</v>
      </c>
      <c r="R190">
        <f t="shared" ref="R190" si="927">R191+Q190</f>
        <v>-644089321.52760601</v>
      </c>
      <c r="S190">
        <f t="shared" ref="S190" si="928">R190/100000</f>
        <v>-6440.8932152760599</v>
      </c>
      <c r="T190">
        <f t="shared" ref="T190" si="929">S190/1000</f>
        <v>-6.4408932152760601</v>
      </c>
    </row>
    <row r="191" spans="1:20" x14ac:dyDescent="0.25">
      <c r="A191" s="5">
        <v>44402</v>
      </c>
      <c r="B191">
        <v>0.20898</v>
      </c>
      <c r="C191">
        <v>0.24476999999999999</v>
      </c>
      <c r="D191">
        <v>0.20100000000000001</v>
      </c>
      <c r="E191">
        <v>0.23810000000000001</v>
      </c>
      <c r="F191">
        <v>56315288</v>
      </c>
      <c r="G191">
        <v>0.23810000000000001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0.69522503998172336</v>
      </c>
      <c r="Q191">
        <f t="shared" ref="Q191" si="931">F191*P191</f>
        <v>39151798.351382263</v>
      </c>
      <c r="R191">
        <f t="shared" ref="R191" si="932">R192+Q191</f>
        <v>-602674485.46335089</v>
      </c>
      <c r="S191">
        <f t="shared" ref="S191" si="933">R191/100000</f>
        <v>-6026.744854633509</v>
      </c>
      <c r="T191">
        <f t="shared" ref="T191:T197" si="934">S191/1000</f>
        <v>-6.0267448546335087</v>
      </c>
    </row>
    <row r="192" spans="1:20" x14ac:dyDescent="0.25">
      <c r="A192" s="5">
        <v>44401</v>
      </c>
      <c r="B192">
        <v>0.19797000000000001</v>
      </c>
      <c r="C192">
        <v>0.22</v>
      </c>
      <c r="D192">
        <v>0.19638</v>
      </c>
      <c r="E192">
        <v>0.20902999999999999</v>
      </c>
      <c r="F192">
        <v>31260594.399999999</v>
      </c>
      <c r="G192">
        <v>0.20902999999999999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7.1126164267569306E-2</v>
      </c>
      <c r="Q192">
        <f t="shared" ref="Q192" si="936">F192*P192</f>
        <v>2223446.1723962571</v>
      </c>
      <c r="R192">
        <f t="shared" ref="R192" si="937">R193+Q192</f>
        <v>-641826283.81473315</v>
      </c>
      <c r="S192">
        <f t="shared" ref="S192" si="938">R192/100000</f>
        <v>-6418.2628381473314</v>
      </c>
      <c r="T192">
        <f t="shared" si="934"/>
        <v>-6.4182628381473315</v>
      </c>
    </row>
    <row r="193" spans="1:20" x14ac:dyDescent="0.25">
      <c r="A193" s="5">
        <v>44400</v>
      </c>
      <c r="B193">
        <v>0.19625999999999999</v>
      </c>
      <c r="C193">
        <v>0.20141999999999999</v>
      </c>
      <c r="D193">
        <v>0.18631</v>
      </c>
      <c r="E193">
        <v>0.19782</v>
      </c>
      <c r="F193">
        <v>23790872.399999999</v>
      </c>
      <c r="G193">
        <v>0.19782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0.52349437458636716</v>
      </c>
      <c r="Q193">
        <f t="shared" ref="Q193" si="940">F193*P193</f>
        <v>12454387.867902063</v>
      </c>
      <c r="R193">
        <f t="shared" ref="R193" si="941">R194+Q193</f>
        <v>-644049729.98712945</v>
      </c>
      <c r="S193">
        <f t="shared" ref="S193" si="942">R193/100000</f>
        <v>-6440.4972998712947</v>
      </c>
      <c r="T193">
        <f t="shared" si="934"/>
        <v>-6.4404972998712946</v>
      </c>
    </row>
    <row r="194" spans="1:20" x14ac:dyDescent="0.25">
      <c r="A194" s="5">
        <v>44399</v>
      </c>
      <c r="B194">
        <v>0.19350000000000001</v>
      </c>
      <c r="C194">
        <v>0.19944000000000001</v>
      </c>
      <c r="D194">
        <v>0.18284</v>
      </c>
      <c r="E194">
        <v>0.19603999999999999</v>
      </c>
      <c r="F194">
        <v>32884638.899999999</v>
      </c>
      <c r="G194">
        <v>0.19603999999999999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0.59036144578313088</v>
      </c>
      <c r="Q194">
        <f t="shared" ref="Q194" si="944">F194*P194</f>
        <v>19413822.965060186</v>
      </c>
      <c r="R194">
        <f t="shared" ref="R194" si="945">R195+Q194</f>
        <v>-656504117.85503149</v>
      </c>
      <c r="S194">
        <f t="shared" ref="S194" si="946">R194/100000</f>
        <v>-6565.0411785503147</v>
      </c>
      <c r="T194">
        <f t="shared" si="934"/>
        <v>-6.5650411785503149</v>
      </c>
    </row>
    <row r="195" spans="1:20" x14ac:dyDescent="0.25">
      <c r="A195" s="5">
        <v>44398</v>
      </c>
      <c r="B195">
        <v>0.17407</v>
      </c>
      <c r="C195">
        <v>0.21382999999999999</v>
      </c>
      <c r="D195">
        <v>0.17069999999999999</v>
      </c>
      <c r="E195">
        <v>0.19350000000000001</v>
      </c>
      <c r="F195">
        <v>38476972.299999997</v>
      </c>
      <c r="G195">
        <v>0.19350000000000001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5.7268722466960992E-2</v>
      </c>
      <c r="Q195">
        <f t="shared" ref="Q195" si="948">F195*P195</f>
        <v>2203527.0480176457</v>
      </c>
      <c r="R195">
        <f t="shared" ref="R195" si="949">R196+Q195</f>
        <v>-675917940.82009172</v>
      </c>
      <c r="S195">
        <f t="shared" ref="S195" si="950">R195/100000</f>
        <v>-6759.1794082009174</v>
      </c>
      <c r="T195">
        <f t="shared" si="934"/>
        <v>-6.7591794082009171</v>
      </c>
    </row>
    <row r="196" spans="1:20" x14ac:dyDescent="0.25">
      <c r="A196" s="5">
        <v>44397</v>
      </c>
      <c r="B196">
        <v>0.19170000000000001</v>
      </c>
      <c r="C196">
        <v>0.19625000000000001</v>
      </c>
      <c r="D196">
        <v>0.16777</v>
      </c>
      <c r="E196">
        <v>0.17391999999999999</v>
      </c>
      <c r="F196">
        <v>21213308.899999999</v>
      </c>
      <c r="G196">
        <v>0.17391999999999999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-0.56811797752809079</v>
      </c>
      <c r="Q196">
        <f t="shared" ref="Q196" si="952">F196*P196</f>
        <v>-12051662.148946647</v>
      </c>
      <c r="R196">
        <f t="shared" ref="R196" si="953">R197+Q196</f>
        <v>-678121467.86810935</v>
      </c>
      <c r="S196">
        <f t="shared" ref="S196" si="954">R196/100000</f>
        <v>-6781.2146786810936</v>
      </c>
      <c r="T196">
        <f t="shared" si="934"/>
        <v>-6.7812146786810938</v>
      </c>
    </row>
    <row r="197" spans="1:20" x14ac:dyDescent="0.25">
      <c r="A197" s="5">
        <v>44396</v>
      </c>
      <c r="B197">
        <v>0.20091999999999999</v>
      </c>
      <c r="C197">
        <v>0.20388000000000001</v>
      </c>
      <c r="D197">
        <v>0.18484999999999999</v>
      </c>
      <c r="E197">
        <v>0.19151000000000001</v>
      </c>
      <c r="F197">
        <v>20974674.800000001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-0.30005254860745978</v>
      </c>
      <c r="Q197">
        <f t="shared" ref="Q197" si="956">F197*P197</f>
        <v>-6293504.6299526617</v>
      </c>
      <c r="R197">
        <f t="shared" ref="R197" si="957">R198+Q197</f>
        <v>-666069805.7191627</v>
      </c>
      <c r="S197">
        <f t="shared" ref="S197" si="958">R197/100000</f>
        <v>-6660.6980571916274</v>
      </c>
      <c r="T197">
        <f t="shared" si="934"/>
        <v>-6.6606980571916274</v>
      </c>
    </row>
    <row r="198" spans="1:20" x14ac:dyDescent="0.25">
      <c r="A198" s="5">
        <v>44395</v>
      </c>
      <c r="B198">
        <v>0.19338</v>
      </c>
      <c r="C198">
        <v>0.22186</v>
      </c>
      <c r="D198">
        <v>0.19334999999999999</v>
      </c>
      <c r="E198">
        <v>0.20091999999999999</v>
      </c>
      <c r="F198">
        <v>33193272.899999999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-0.46895826025955867</v>
      </c>
      <c r="Q198">
        <f t="shared" ref="Q198:Q261" si="960">F198*P198</f>
        <v>-15566259.511504754</v>
      </c>
      <c r="R198">
        <f t="shared" ref="R198:R261" si="961">R199+Q198</f>
        <v>-659776301.08921003</v>
      </c>
      <c r="S198">
        <f t="shared" ref="S198:S261" si="962">R198/100000</f>
        <v>-6597.7630108921003</v>
      </c>
      <c r="T198">
        <f t="shared" ref="T198:T261" si="963">S198/1000</f>
        <v>-6.5977630108921002</v>
      </c>
    </row>
    <row r="199" spans="1:20" x14ac:dyDescent="0.25">
      <c r="A199" s="5">
        <v>44394</v>
      </c>
      <c r="B199">
        <v>0.20044000000000001</v>
      </c>
      <c r="C199">
        <v>0.20422999999999999</v>
      </c>
      <c r="D199">
        <v>0.18923999999999999</v>
      </c>
      <c r="E199">
        <v>0.19336</v>
      </c>
      <c r="F199">
        <v>15233454.5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-0.4503002001334207</v>
      </c>
      <c r="Q199">
        <f t="shared" si="960"/>
        <v>-6859627.6100733578</v>
      </c>
      <c r="R199">
        <f t="shared" si="961"/>
        <v>-644210041.57770526</v>
      </c>
      <c r="S199">
        <f t="shared" si="962"/>
        <v>-6442.1004157770531</v>
      </c>
      <c r="T199">
        <f t="shared" si="963"/>
        <v>-6.4421004157770527</v>
      </c>
    </row>
    <row r="200" spans="1:20" x14ac:dyDescent="0.25">
      <c r="A200" s="5">
        <v>44393</v>
      </c>
      <c r="B200">
        <v>0.22928999999999999</v>
      </c>
      <c r="C200">
        <v>0.23388999999999999</v>
      </c>
      <c r="D200">
        <v>0.19972000000000001</v>
      </c>
      <c r="E200">
        <v>0.20019000000000001</v>
      </c>
      <c r="F200">
        <v>23475442.699999999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-0.97249048873280663</v>
      </c>
      <c r="Q200">
        <f t="shared" si="960"/>
        <v>-22829644.744541995</v>
      </c>
      <c r="R200">
        <f t="shared" si="961"/>
        <v>-637350413.96763194</v>
      </c>
      <c r="S200">
        <f t="shared" si="962"/>
        <v>-6373.504139676319</v>
      </c>
      <c r="T200">
        <f t="shared" si="963"/>
        <v>-6.373504139676319</v>
      </c>
    </row>
    <row r="201" spans="1:20" x14ac:dyDescent="0.25">
      <c r="A201" s="5">
        <v>44392</v>
      </c>
      <c r="B201">
        <v>0.22195000000000001</v>
      </c>
      <c r="C201">
        <v>0.23103000000000001</v>
      </c>
      <c r="D201">
        <v>0.20949999999999999</v>
      </c>
      <c r="E201">
        <v>0.22936999999999999</v>
      </c>
      <c r="F201">
        <v>23058102.600000001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0.84579656293543692</v>
      </c>
      <c r="Q201">
        <f t="shared" si="960"/>
        <v>19502463.926892664</v>
      </c>
      <c r="R201">
        <f t="shared" si="961"/>
        <v>-614520769.22308993</v>
      </c>
      <c r="S201">
        <f t="shared" si="962"/>
        <v>-6145.2076922308997</v>
      </c>
      <c r="T201">
        <f t="shared" si="963"/>
        <v>-6.1452076922308994</v>
      </c>
    </row>
    <row r="202" spans="1:20" x14ac:dyDescent="0.25">
      <c r="A202" s="5">
        <v>44391</v>
      </c>
      <c r="B202">
        <v>0.22070000000000001</v>
      </c>
      <c r="C202">
        <v>0.223</v>
      </c>
      <c r="D202">
        <v>0.20599999999999999</v>
      </c>
      <c r="E202">
        <v>0.22234999999999999</v>
      </c>
      <c r="F202">
        <v>17179874.5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0.9235294117647046</v>
      </c>
      <c r="Q202">
        <f t="shared" si="960"/>
        <v>15866119.391176449</v>
      </c>
      <c r="R202">
        <f t="shared" si="961"/>
        <v>-634023233.14998257</v>
      </c>
      <c r="S202">
        <f t="shared" si="962"/>
        <v>-6340.2323314998257</v>
      </c>
      <c r="T202">
        <f t="shared" si="963"/>
        <v>-6.3402323314998261</v>
      </c>
    </row>
    <row r="203" spans="1:20" x14ac:dyDescent="0.25">
      <c r="A203" s="5">
        <v>44390</v>
      </c>
      <c r="B203">
        <v>0.22653999999999999</v>
      </c>
      <c r="C203">
        <v>0.23246</v>
      </c>
      <c r="D203">
        <v>0.21759000000000001</v>
      </c>
      <c r="E203">
        <v>0.22026000000000001</v>
      </c>
      <c r="F203">
        <v>15975567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-0.640887693342299</v>
      </c>
      <c r="Q203">
        <f t="shared" si="960"/>
        <v>-10238544.284465352</v>
      </c>
      <c r="R203">
        <f t="shared" si="961"/>
        <v>-649889352.54115903</v>
      </c>
      <c r="S203">
        <f t="shared" si="962"/>
        <v>-6498.8935254115904</v>
      </c>
      <c r="T203">
        <f t="shared" si="963"/>
        <v>-6.4988935254115905</v>
      </c>
    </row>
    <row r="204" spans="1:20" x14ac:dyDescent="0.25">
      <c r="A204" s="5">
        <v>44389</v>
      </c>
      <c r="B204">
        <v>0.23555999999999999</v>
      </c>
      <c r="C204">
        <v>0.24149999999999999</v>
      </c>
      <c r="D204">
        <v>0.22120000000000001</v>
      </c>
      <c r="E204">
        <v>0.22656999999999999</v>
      </c>
      <c r="F204">
        <v>13861384.6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-0.47093596059113402</v>
      </c>
      <c r="Q204">
        <f t="shared" si="960"/>
        <v>-6527824.4717241516</v>
      </c>
      <c r="R204">
        <f t="shared" si="961"/>
        <v>-639650808.25669372</v>
      </c>
      <c r="S204">
        <f t="shared" si="962"/>
        <v>-6396.5080825669374</v>
      </c>
      <c r="T204">
        <f t="shared" si="963"/>
        <v>-6.3965080825669371</v>
      </c>
    </row>
    <row r="205" spans="1:20" x14ac:dyDescent="0.25">
      <c r="A205" s="5">
        <v>44388</v>
      </c>
      <c r="B205">
        <v>0.23388999999999999</v>
      </c>
      <c r="C205">
        <v>0.23980000000000001</v>
      </c>
      <c r="D205">
        <v>0.22932</v>
      </c>
      <c r="E205">
        <v>0.23555999999999999</v>
      </c>
      <c r="F205">
        <v>20343498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0.19083969465648576</v>
      </c>
      <c r="Q205">
        <f t="shared" si="960"/>
        <v>3882346.9465648285</v>
      </c>
      <c r="R205">
        <f t="shared" si="961"/>
        <v>-633122983.78496957</v>
      </c>
      <c r="S205">
        <f t="shared" si="962"/>
        <v>-6331.2298378496953</v>
      </c>
      <c r="T205">
        <f t="shared" si="963"/>
        <v>-6.331229837849695</v>
      </c>
    </row>
    <row r="206" spans="1:20" x14ac:dyDescent="0.25">
      <c r="A206" s="5">
        <v>44387</v>
      </c>
      <c r="B206">
        <v>0.23982000000000001</v>
      </c>
      <c r="C206">
        <v>0.25</v>
      </c>
      <c r="D206">
        <v>0.22770000000000001</v>
      </c>
      <c r="E206">
        <v>0.23329</v>
      </c>
      <c r="F206">
        <v>24551608.800000001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-0.49865470852018051</v>
      </c>
      <c r="Q206">
        <f t="shared" si="960"/>
        <v>-12242775.329865498</v>
      </c>
      <c r="R206">
        <f t="shared" si="961"/>
        <v>-637005330.73153436</v>
      </c>
      <c r="S206">
        <f t="shared" si="962"/>
        <v>-6370.0533073153438</v>
      </c>
      <c r="T206">
        <f t="shared" si="963"/>
        <v>-6.3700533073153434</v>
      </c>
    </row>
    <row r="207" spans="1:20" x14ac:dyDescent="0.25">
      <c r="A207" s="5">
        <v>44386</v>
      </c>
      <c r="B207">
        <v>0.22975000000000001</v>
      </c>
      <c r="C207">
        <v>0.24676000000000001</v>
      </c>
      <c r="D207">
        <v>0.21939</v>
      </c>
      <c r="E207">
        <v>0.24</v>
      </c>
      <c r="F207">
        <v>24756842.399999999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0.50602849835586305</v>
      </c>
      <c r="Q207">
        <f t="shared" si="960"/>
        <v>12527667.78370476</v>
      </c>
      <c r="R207">
        <f t="shared" si="961"/>
        <v>-624762555.40166891</v>
      </c>
      <c r="S207">
        <f t="shared" si="962"/>
        <v>-6247.6255540166894</v>
      </c>
      <c r="T207">
        <f t="shared" si="963"/>
        <v>-6.2476255540166896</v>
      </c>
    </row>
    <row r="208" spans="1:20" x14ac:dyDescent="0.25">
      <c r="A208" s="5">
        <v>44385</v>
      </c>
      <c r="B208">
        <v>0.25124999999999997</v>
      </c>
      <c r="C208">
        <v>0.25347999999999998</v>
      </c>
      <c r="D208">
        <v>0.22297</v>
      </c>
      <c r="E208">
        <v>0.23014000000000001</v>
      </c>
      <c r="F208">
        <v>30376286.5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-0.52999016715830782</v>
      </c>
      <c r="Q208">
        <f t="shared" si="960"/>
        <v>-16099133.15978365</v>
      </c>
      <c r="R208">
        <f t="shared" si="961"/>
        <v>-637290223.18537366</v>
      </c>
      <c r="S208">
        <f t="shared" si="962"/>
        <v>-6372.9022318537363</v>
      </c>
      <c r="T208">
        <f t="shared" si="963"/>
        <v>-6.3729022318537361</v>
      </c>
    </row>
    <row r="209" spans="1:20" x14ac:dyDescent="0.25">
      <c r="A209" s="5">
        <v>44384</v>
      </c>
      <c r="B209">
        <v>0.24718000000000001</v>
      </c>
      <c r="C209">
        <v>0.27455000000000002</v>
      </c>
      <c r="D209">
        <v>0.24251</v>
      </c>
      <c r="E209">
        <v>0.25135999999999997</v>
      </c>
      <c r="F209">
        <v>39701488.299999997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-0.4475655430711632</v>
      </c>
      <c r="Q209">
        <f t="shared" si="960"/>
        <v>-17769018.17172293</v>
      </c>
      <c r="R209">
        <f t="shared" si="961"/>
        <v>-621191090.02559006</v>
      </c>
      <c r="S209">
        <f t="shared" si="962"/>
        <v>-6211.9109002559007</v>
      </c>
      <c r="T209">
        <f t="shared" si="963"/>
        <v>-6.2119109002559005</v>
      </c>
    </row>
    <row r="210" spans="1:20" x14ac:dyDescent="0.25">
      <c r="A210" s="5">
        <v>44383</v>
      </c>
      <c r="B210">
        <v>0.24407999999999999</v>
      </c>
      <c r="C210">
        <v>0.26600000000000001</v>
      </c>
      <c r="D210">
        <v>0.2399</v>
      </c>
      <c r="E210">
        <v>0.24736</v>
      </c>
      <c r="F210">
        <v>38564250.200000003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-0.42835249042145662</v>
      </c>
      <c r="Q210">
        <f t="shared" si="960"/>
        <v>-16519092.614406157</v>
      </c>
      <c r="R210">
        <f t="shared" si="961"/>
        <v>-603422071.85386717</v>
      </c>
      <c r="S210">
        <f t="shared" si="962"/>
        <v>-6034.2207185386715</v>
      </c>
      <c r="T210">
        <f t="shared" si="963"/>
        <v>-6.0342207185386716</v>
      </c>
    </row>
    <row r="211" spans="1:20" x14ac:dyDescent="0.25">
      <c r="A211" s="5">
        <v>44382</v>
      </c>
      <c r="B211">
        <v>0.22925999999999999</v>
      </c>
      <c r="C211">
        <v>0.24983</v>
      </c>
      <c r="D211">
        <v>0.21848999999999999</v>
      </c>
      <c r="E211">
        <v>0.24368000000000001</v>
      </c>
      <c r="F211">
        <v>28586680.800000001</v>
      </c>
      <c r="G211">
        <v>0</v>
      </c>
      <c r="L211" t="s">
        <v>8</v>
      </c>
      <c r="M211" t="s">
        <v>7</v>
      </c>
      <c r="N211" t="s">
        <v>8</v>
      </c>
      <c r="P211">
        <f t="shared" si="959"/>
        <v>0.60753031269942648</v>
      </c>
      <c r="Q211">
        <f t="shared" si="960"/>
        <v>17367275.125462692</v>
      </c>
      <c r="R211">
        <f t="shared" si="961"/>
        <v>-586902979.23946106</v>
      </c>
      <c r="S211">
        <f t="shared" si="962"/>
        <v>-5869.0297923946109</v>
      </c>
      <c r="T211">
        <f t="shared" si="963"/>
        <v>-5.8690297923946106</v>
      </c>
    </row>
    <row r="212" spans="1:20" x14ac:dyDescent="0.25">
      <c r="A212" s="5">
        <v>44381</v>
      </c>
      <c r="B212">
        <v>0.22781000000000001</v>
      </c>
      <c r="C212">
        <v>0.24274000000000001</v>
      </c>
      <c r="D212">
        <v>0.22092999999999999</v>
      </c>
      <c r="E212">
        <v>0.22925999999999999</v>
      </c>
      <c r="F212">
        <v>15433540.5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-0.23613021549747867</v>
      </c>
      <c r="Q212">
        <f t="shared" si="960"/>
        <v>-3644325.2441540649</v>
      </c>
      <c r="R212">
        <f t="shared" si="961"/>
        <v>-604270254.36492372</v>
      </c>
      <c r="S212">
        <f t="shared" si="962"/>
        <v>-6042.7025436492368</v>
      </c>
      <c r="T212">
        <f t="shared" si="963"/>
        <v>-6.042702543649237</v>
      </c>
    </row>
    <row r="213" spans="1:20" x14ac:dyDescent="0.25">
      <c r="A213" s="5">
        <v>44380</v>
      </c>
      <c r="B213">
        <v>0.22919</v>
      </c>
      <c r="C213">
        <v>0.23427000000000001</v>
      </c>
      <c r="D213">
        <v>0.22081999999999999</v>
      </c>
      <c r="E213">
        <v>0.22781000000000001</v>
      </c>
      <c r="F213">
        <v>12751018.4</v>
      </c>
      <c r="G213">
        <v>0</v>
      </c>
      <c r="L213" t="s">
        <v>7</v>
      </c>
      <c r="M213" t="s">
        <v>7</v>
      </c>
      <c r="N213" t="s">
        <v>8</v>
      </c>
      <c r="P213">
        <f t="shared" si="959"/>
        <v>3.9405204460968755E-2</v>
      </c>
      <c r="Q213">
        <f t="shared" si="960"/>
        <v>502456.4871375747</v>
      </c>
      <c r="R213">
        <f t="shared" si="961"/>
        <v>-600625929.12076962</v>
      </c>
      <c r="S213">
        <f t="shared" si="962"/>
        <v>-6006.2592912076962</v>
      </c>
      <c r="T213">
        <f t="shared" si="963"/>
        <v>-6.0062592912076962</v>
      </c>
    </row>
    <row r="214" spans="1:20" x14ac:dyDescent="0.25">
      <c r="A214" s="5">
        <v>44379</v>
      </c>
      <c r="B214">
        <v>0.21876999999999999</v>
      </c>
      <c r="C214">
        <v>0.23588000000000001</v>
      </c>
      <c r="D214">
        <v>0.21021000000000001</v>
      </c>
      <c r="E214">
        <v>0.22919</v>
      </c>
      <c r="F214">
        <v>14134498.5</v>
      </c>
      <c r="G214">
        <v>0</v>
      </c>
      <c r="L214" t="s">
        <v>8</v>
      </c>
      <c r="M214" t="s">
        <v>7</v>
      </c>
      <c r="N214" t="s">
        <v>8</v>
      </c>
      <c r="P214">
        <f t="shared" si="959"/>
        <v>0.47876899104012449</v>
      </c>
      <c r="Q214">
        <f t="shared" si="960"/>
        <v>6767159.5857031532</v>
      </c>
      <c r="R214">
        <f t="shared" si="961"/>
        <v>-601128385.60790718</v>
      </c>
      <c r="S214">
        <f t="shared" si="962"/>
        <v>-6011.2838560790715</v>
      </c>
      <c r="T214">
        <f t="shared" si="963"/>
        <v>-6.0112838560790713</v>
      </c>
    </row>
    <row r="215" spans="1:20" x14ac:dyDescent="0.25">
      <c r="A215" s="5">
        <v>44378</v>
      </c>
      <c r="B215">
        <v>0.23935000000000001</v>
      </c>
      <c r="C215">
        <v>0.23965</v>
      </c>
      <c r="D215">
        <v>0.21262</v>
      </c>
      <c r="E215">
        <v>0.21901999999999999</v>
      </c>
      <c r="F215">
        <v>20936963.699999999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-0.52645209027007112</v>
      </c>
      <c r="Q215">
        <f t="shared" si="960"/>
        <v>-11022308.303773602</v>
      </c>
      <c r="R215">
        <f t="shared" si="961"/>
        <v>-607895545.19361031</v>
      </c>
      <c r="S215">
        <f t="shared" si="962"/>
        <v>-6078.9554519361027</v>
      </c>
      <c r="T215">
        <f t="shared" si="963"/>
        <v>-6.0789554519361024</v>
      </c>
    </row>
    <row r="216" spans="1:20" x14ac:dyDescent="0.25">
      <c r="A216" s="5">
        <v>44377</v>
      </c>
      <c r="B216">
        <v>0.25013999999999997</v>
      </c>
      <c r="C216">
        <v>0.25189</v>
      </c>
      <c r="D216">
        <v>0.22313</v>
      </c>
      <c r="E216">
        <v>0.23932999999999999</v>
      </c>
      <c r="F216">
        <v>24527397.300000001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0.12656467315716188</v>
      </c>
      <c r="Q216">
        <f t="shared" si="960"/>
        <v>3104302.0226703552</v>
      </c>
      <c r="R216">
        <f t="shared" si="961"/>
        <v>-596873236.88983667</v>
      </c>
      <c r="S216">
        <f t="shared" si="962"/>
        <v>-5968.732368898367</v>
      </c>
      <c r="T216">
        <f t="shared" si="963"/>
        <v>-5.9687323688983671</v>
      </c>
    </row>
    <row r="217" spans="1:20" x14ac:dyDescent="0.25">
      <c r="A217" s="5">
        <v>44376</v>
      </c>
      <c r="B217">
        <v>0.23672000000000001</v>
      </c>
      <c r="C217">
        <v>0.25855</v>
      </c>
      <c r="D217">
        <v>0.23119999999999999</v>
      </c>
      <c r="E217">
        <v>0.25026999999999999</v>
      </c>
      <c r="F217">
        <v>49849503.5</v>
      </c>
      <c r="G217">
        <v>0</v>
      </c>
      <c r="L217" t="s">
        <v>7</v>
      </c>
      <c r="M217" t="s">
        <v>8</v>
      </c>
      <c r="N217" t="s">
        <v>8</v>
      </c>
      <c r="P217">
        <f t="shared" si="959"/>
        <v>0.39451553930530125</v>
      </c>
      <c r="Q217">
        <f t="shared" si="960"/>
        <v>19666403.757404003</v>
      </c>
      <c r="R217">
        <f t="shared" si="961"/>
        <v>-599977538.91250706</v>
      </c>
      <c r="S217">
        <f t="shared" si="962"/>
        <v>-5999.7753891250704</v>
      </c>
      <c r="T217">
        <f t="shared" si="963"/>
        <v>-5.9997753891250705</v>
      </c>
    </row>
    <row r="218" spans="1:20" x14ac:dyDescent="0.25">
      <c r="A218" s="5">
        <v>44375</v>
      </c>
      <c r="B218">
        <v>0.24057000000000001</v>
      </c>
      <c r="C218">
        <v>0.26484999999999997</v>
      </c>
      <c r="D218">
        <v>0.22375</v>
      </c>
      <c r="E218">
        <v>0.23641000000000001</v>
      </c>
      <c r="F218">
        <v>51702631.100000001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-0.38394160583941539</v>
      </c>
      <c r="Q218">
        <f t="shared" si="960"/>
        <v>-19850791.2106569</v>
      </c>
      <c r="R218">
        <f t="shared" si="961"/>
        <v>-619643942.66991103</v>
      </c>
      <c r="S218">
        <f t="shared" si="962"/>
        <v>-6196.4394266991103</v>
      </c>
      <c r="T218">
        <f t="shared" si="963"/>
        <v>-6.1964394266991105</v>
      </c>
    </row>
    <row r="219" spans="1:20" x14ac:dyDescent="0.25">
      <c r="A219" s="5">
        <v>44374</v>
      </c>
      <c r="B219">
        <v>0.20643</v>
      </c>
      <c r="C219">
        <v>0.24252000000000001</v>
      </c>
      <c r="D219">
        <v>0.20394000000000001</v>
      </c>
      <c r="E219">
        <v>0.24046999999999999</v>
      </c>
      <c r="F219">
        <v>34433193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0.89372731985484588</v>
      </c>
      <c r="Q219">
        <f t="shared" si="960"/>
        <v>30773885.29393464</v>
      </c>
      <c r="R219">
        <f t="shared" si="961"/>
        <v>-599793151.45925415</v>
      </c>
      <c r="S219">
        <f t="shared" si="962"/>
        <v>-5997.9315145925411</v>
      </c>
      <c r="T219">
        <f t="shared" si="963"/>
        <v>-5.9979315145925414</v>
      </c>
    </row>
    <row r="220" spans="1:20" x14ac:dyDescent="0.25">
      <c r="A220" s="5">
        <v>44373</v>
      </c>
      <c r="B220">
        <v>0.20469999999999999</v>
      </c>
      <c r="C220">
        <v>0.21259</v>
      </c>
      <c r="D220">
        <v>0.18865000000000001</v>
      </c>
      <c r="E220">
        <v>0.20673</v>
      </c>
      <c r="F220">
        <v>23407293.600000001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0.51044277360066781</v>
      </c>
      <c r="Q220">
        <f t="shared" si="960"/>
        <v>11948083.867669161</v>
      </c>
      <c r="R220">
        <f t="shared" si="961"/>
        <v>-630567036.75318873</v>
      </c>
      <c r="S220">
        <f t="shared" si="962"/>
        <v>-6305.6703675318877</v>
      </c>
      <c r="T220">
        <f t="shared" si="963"/>
        <v>-6.3056703675318877</v>
      </c>
    </row>
    <row r="221" spans="1:20" x14ac:dyDescent="0.25">
      <c r="A221" s="5">
        <v>44372</v>
      </c>
      <c r="B221">
        <v>0.22836000000000001</v>
      </c>
      <c r="C221">
        <v>0.24084</v>
      </c>
      <c r="D221">
        <v>0.20138</v>
      </c>
      <c r="E221">
        <v>0.20496</v>
      </c>
      <c r="F221">
        <v>27685122.800000001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-0.81855043081601619</v>
      </c>
      <c r="Q221">
        <f t="shared" si="960"/>
        <v>-22661669.195134312</v>
      </c>
      <c r="R221">
        <f t="shared" si="961"/>
        <v>-642515120.62085783</v>
      </c>
      <c r="S221">
        <f t="shared" si="962"/>
        <v>-6425.1512062085785</v>
      </c>
      <c r="T221">
        <f t="shared" si="963"/>
        <v>-6.4251512062085787</v>
      </c>
    </row>
    <row r="222" spans="1:20" x14ac:dyDescent="0.25">
      <c r="A222" s="5">
        <v>44371</v>
      </c>
      <c r="B222">
        <v>0.23415</v>
      </c>
      <c r="C222">
        <v>0.24</v>
      </c>
      <c r="D222">
        <v>0.21609999999999999</v>
      </c>
      <c r="E222">
        <v>0.22806999999999999</v>
      </c>
      <c r="F222">
        <v>23024237.399999999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1.6736401673645288E-3</v>
      </c>
      <c r="Q222">
        <f t="shared" si="960"/>
        <v>38534.288535576641</v>
      </c>
      <c r="R222">
        <f t="shared" si="961"/>
        <v>-619853451.42572355</v>
      </c>
      <c r="S222">
        <f t="shared" si="962"/>
        <v>-6198.534514257236</v>
      </c>
      <c r="T222">
        <f t="shared" si="963"/>
        <v>-6.1985345142572363</v>
      </c>
    </row>
    <row r="223" spans="1:20" x14ac:dyDescent="0.25">
      <c r="A223" s="5">
        <v>44370</v>
      </c>
      <c r="B223">
        <v>0.20437</v>
      </c>
      <c r="C223">
        <v>0.24743999999999999</v>
      </c>
      <c r="D223">
        <v>0.19305</v>
      </c>
      <c r="E223">
        <v>0.23402000000000001</v>
      </c>
      <c r="F223">
        <v>36181596.5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0.50652693509836411</v>
      </c>
      <c r="Q223">
        <f t="shared" si="960"/>
        <v>18326953.182110697</v>
      </c>
      <c r="R223">
        <f t="shared" si="961"/>
        <v>-619891985.71425915</v>
      </c>
      <c r="S223">
        <f t="shared" si="962"/>
        <v>-6198.9198571425914</v>
      </c>
      <c r="T223">
        <f t="shared" si="963"/>
        <v>-6.1989198571425916</v>
      </c>
    </row>
    <row r="224" spans="1:20" x14ac:dyDescent="0.25">
      <c r="A224" s="5">
        <v>44369</v>
      </c>
      <c r="B224">
        <v>0.21085999999999999</v>
      </c>
      <c r="C224">
        <v>0.22949</v>
      </c>
      <c r="D224">
        <v>0.17524000000000001</v>
      </c>
      <c r="E224">
        <v>0.20443</v>
      </c>
      <c r="F224">
        <v>42647568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7.612903225806443E-2</v>
      </c>
      <c r="Q224">
        <f t="shared" si="960"/>
        <v>3246718.0799999963</v>
      </c>
      <c r="R224">
        <f t="shared" si="961"/>
        <v>-638218938.89636981</v>
      </c>
      <c r="S224">
        <f t="shared" si="962"/>
        <v>-6382.1893889636985</v>
      </c>
      <c r="T224">
        <f t="shared" si="963"/>
        <v>-6.3821893889636989</v>
      </c>
    </row>
    <row r="225" spans="1:20" x14ac:dyDescent="0.25">
      <c r="A225" s="5">
        <v>44368</v>
      </c>
      <c r="B225">
        <v>0.27295999999999998</v>
      </c>
      <c r="C225">
        <v>0.27524999999999999</v>
      </c>
      <c r="D225">
        <v>0.20956</v>
      </c>
      <c r="E225">
        <v>0.21046000000000001</v>
      </c>
      <c r="F225">
        <v>27606643.300000001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-0.97259856903638264</v>
      </c>
      <c r="Q225">
        <f t="shared" si="960"/>
        <v>-26850181.769477841</v>
      </c>
      <c r="R225">
        <f t="shared" si="961"/>
        <v>-641465656.97636986</v>
      </c>
      <c r="S225">
        <f t="shared" si="962"/>
        <v>-6414.6565697636988</v>
      </c>
      <c r="T225">
        <f t="shared" si="963"/>
        <v>-6.4146565697636992</v>
      </c>
    </row>
    <row r="226" spans="1:20" x14ac:dyDescent="0.25">
      <c r="A226" s="5">
        <v>44367</v>
      </c>
      <c r="B226">
        <v>0.28060000000000002</v>
      </c>
      <c r="C226">
        <v>0.2868</v>
      </c>
      <c r="D226">
        <v>0.25740000000000002</v>
      </c>
      <c r="E226">
        <v>0.27226</v>
      </c>
      <c r="F226">
        <v>17895645.100000001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1.0884353741496162E-2</v>
      </c>
      <c r="Q226">
        <f t="shared" si="960"/>
        <v>194782.53170067249</v>
      </c>
      <c r="R226">
        <f t="shared" si="961"/>
        <v>-614615475.20689201</v>
      </c>
      <c r="S226">
        <f t="shared" si="962"/>
        <v>-6146.1547520689201</v>
      </c>
      <c r="T226">
        <f t="shared" si="963"/>
        <v>-6.1461547520689201</v>
      </c>
    </row>
    <row r="227" spans="1:20" x14ac:dyDescent="0.25">
      <c r="A227" s="5">
        <v>44366</v>
      </c>
      <c r="B227">
        <v>0.27742</v>
      </c>
      <c r="C227">
        <v>0.28999999999999998</v>
      </c>
      <c r="D227">
        <v>0.26966000000000001</v>
      </c>
      <c r="E227">
        <v>0.28072999999999998</v>
      </c>
      <c r="F227">
        <v>20645023.100000001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8.8495575221237507E-2</v>
      </c>
      <c r="Q227">
        <f t="shared" si="960"/>
        <v>1826993.1946902361</v>
      </c>
      <c r="R227">
        <f t="shared" si="961"/>
        <v>-614810257.73859274</v>
      </c>
      <c r="S227">
        <f t="shared" si="962"/>
        <v>-6148.1025773859274</v>
      </c>
      <c r="T227">
        <f t="shared" si="963"/>
        <v>-6.1481025773859272</v>
      </c>
    </row>
    <row r="228" spans="1:20" x14ac:dyDescent="0.25">
      <c r="A228" s="5">
        <v>44365</v>
      </c>
      <c r="B228">
        <v>0.29687000000000002</v>
      </c>
      <c r="C228">
        <v>0.32956000000000002</v>
      </c>
      <c r="D228">
        <v>0.26852999999999999</v>
      </c>
      <c r="E228">
        <v>0.27751999999999999</v>
      </c>
      <c r="F228">
        <v>40867062.899999999</v>
      </c>
      <c r="G228">
        <v>0</v>
      </c>
      <c r="L228" t="s">
        <v>8</v>
      </c>
      <c r="M228" t="s">
        <v>7</v>
      </c>
      <c r="N228" t="s">
        <v>7</v>
      </c>
      <c r="P228">
        <f t="shared" si="959"/>
        <v>-0.70539079141405892</v>
      </c>
      <c r="Q228">
        <f t="shared" si="960"/>
        <v>-28827249.841799125</v>
      </c>
      <c r="R228">
        <f t="shared" si="961"/>
        <v>-616637250.93328297</v>
      </c>
      <c r="S228">
        <f t="shared" si="962"/>
        <v>-6166.3725093328294</v>
      </c>
      <c r="T228">
        <f t="shared" si="963"/>
        <v>-6.1663725093328292</v>
      </c>
    </row>
    <row r="229" spans="1:20" x14ac:dyDescent="0.25">
      <c r="A229" s="5">
        <v>44364</v>
      </c>
      <c r="B229">
        <v>0.28495999999999999</v>
      </c>
      <c r="C229">
        <v>0.30864999999999998</v>
      </c>
      <c r="D229">
        <v>0.28351999999999999</v>
      </c>
      <c r="E229">
        <v>0.29718</v>
      </c>
      <c r="F229">
        <v>17245857.300000001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8.7146836450458676E-2</v>
      </c>
      <c r="Q229">
        <f t="shared" si="960"/>
        <v>1502921.9055710488</v>
      </c>
      <c r="R229">
        <f t="shared" si="961"/>
        <v>-587810001.09148383</v>
      </c>
      <c r="S229">
        <f t="shared" si="962"/>
        <v>-5878.1000109148381</v>
      </c>
      <c r="T229">
        <f t="shared" si="963"/>
        <v>-5.8781000109148378</v>
      </c>
    </row>
    <row r="230" spans="1:20" x14ac:dyDescent="0.25">
      <c r="A230" s="5">
        <v>44363</v>
      </c>
      <c r="B230">
        <v>0.30368000000000001</v>
      </c>
      <c r="C230">
        <v>0.31230999999999998</v>
      </c>
      <c r="D230">
        <v>0.28220000000000001</v>
      </c>
      <c r="E230">
        <v>0.28536</v>
      </c>
      <c r="F230">
        <v>24784810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-0.79010295582862844</v>
      </c>
      <c r="Q230">
        <f t="shared" si="960"/>
        <v>-19582551.640650947</v>
      </c>
      <c r="R230">
        <f t="shared" si="961"/>
        <v>-589312922.99705493</v>
      </c>
      <c r="S230">
        <f t="shared" si="962"/>
        <v>-5893.1292299705492</v>
      </c>
      <c r="T230">
        <f t="shared" si="963"/>
        <v>-5.8931292299705493</v>
      </c>
    </row>
    <row r="231" spans="1:20" x14ac:dyDescent="0.25">
      <c r="A231" s="5">
        <v>44362</v>
      </c>
      <c r="B231">
        <v>0.31435000000000002</v>
      </c>
      <c r="C231">
        <v>0.32750000000000001</v>
      </c>
      <c r="D231">
        <v>0.30020000000000002</v>
      </c>
      <c r="E231">
        <v>0.30338999999999999</v>
      </c>
      <c r="F231">
        <v>23554361.199999999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-0.76630036630036835</v>
      </c>
      <c r="Q231">
        <f t="shared" si="960"/>
        <v>-18049715.615531184</v>
      </c>
      <c r="R231">
        <f t="shared" si="961"/>
        <v>-569730371.35640395</v>
      </c>
      <c r="S231">
        <f t="shared" si="962"/>
        <v>-5697.3037135640398</v>
      </c>
      <c r="T231">
        <f t="shared" si="963"/>
        <v>-5.6973037135640396</v>
      </c>
    </row>
    <row r="232" spans="1:20" x14ac:dyDescent="0.25">
      <c r="A232" s="5">
        <v>44361</v>
      </c>
      <c r="B232">
        <v>0.30810999999999999</v>
      </c>
      <c r="C232">
        <v>0.33465</v>
      </c>
      <c r="D232">
        <v>0.29648000000000002</v>
      </c>
      <c r="E232">
        <v>0.31402000000000002</v>
      </c>
      <c r="F232">
        <v>28968735.899999999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-8.0953628504060335E-2</v>
      </c>
      <c r="Q232">
        <f t="shared" si="960"/>
        <v>-2345124.2842808357</v>
      </c>
      <c r="R232">
        <f t="shared" si="961"/>
        <v>-551680655.74087274</v>
      </c>
      <c r="S232">
        <f t="shared" si="962"/>
        <v>-5516.8065574087277</v>
      </c>
      <c r="T232">
        <f t="shared" si="963"/>
        <v>-5.5168065574087279</v>
      </c>
    </row>
    <row r="233" spans="1:20" x14ac:dyDescent="0.25">
      <c r="A233" s="5">
        <v>44360</v>
      </c>
      <c r="B233">
        <v>0.27796999999999999</v>
      </c>
      <c r="C233">
        <v>0.31337999999999999</v>
      </c>
      <c r="D233">
        <v>0.27485999999999999</v>
      </c>
      <c r="E233">
        <v>0.30801000000000001</v>
      </c>
      <c r="F233">
        <v>23735511.300000001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0.72118380062305365</v>
      </c>
      <c r="Q233">
        <f t="shared" si="960"/>
        <v>17117666.249065436</v>
      </c>
      <c r="R233">
        <f t="shared" si="961"/>
        <v>-549335531.45659196</v>
      </c>
      <c r="S233">
        <f t="shared" si="962"/>
        <v>-5493.3553145659198</v>
      </c>
      <c r="T233">
        <f t="shared" si="963"/>
        <v>-5.4933553145659202</v>
      </c>
    </row>
    <row r="234" spans="1:20" x14ac:dyDescent="0.25">
      <c r="A234" s="5">
        <v>44359</v>
      </c>
      <c r="B234">
        <v>0.29337999999999997</v>
      </c>
      <c r="C234">
        <v>0.29631999999999997</v>
      </c>
      <c r="D234">
        <v>0.26543</v>
      </c>
      <c r="E234">
        <v>0.27688000000000001</v>
      </c>
      <c r="F234">
        <v>28070458.300000001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-0.25865976044027028</v>
      </c>
      <c r="Q234">
        <f t="shared" si="960"/>
        <v>-7260698.0193265965</v>
      </c>
      <c r="R234">
        <f t="shared" si="961"/>
        <v>-566453197.70565736</v>
      </c>
      <c r="S234">
        <f t="shared" si="962"/>
        <v>-5664.5319770565739</v>
      </c>
      <c r="T234">
        <f t="shared" si="963"/>
        <v>-5.6645319770565736</v>
      </c>
    </row>
    <row r="235" spans="1:20" x14ac:dyDescent="0.25">
      <c r="A235" s="5">
        <v>44358</v>
      </c>
      <c r="B235">
        <v>0.31047999999999998</v>
      </c>
      <c r="C235">
        <v>0.34889999999999999</v>
      </c>
      <c r="D235">
        <v>0.28410000000000002</v>
      </c>
      <c r="E235">
        <v>0.29337000000000002</v>
      </c>
      <c r="F235">
        <v>28281104.399999999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-0.71388888888888868</v>
      </c>
      <c r="Q235">
        <f t="shared" si="960"/>
        <v>-20189566.196666662</v>
      </c>
      <c r="R235">
        <f t="shared" si="961"/>
        <v>-559192499.6863308</v>
      </c>
      <c r="S235">
        <f t="shared" si="962"/>
        <v>-5591.9249968633076</v>
      </c>
      <c r="T235">
        <f t="shared" si="963"/>
        <v>-5.5919249968633071</v>
      </c>
    </row>
    <row r="236" spans="1:20" x14ac:dyDescent="0.25">
      <c r="A236" s="5">
        <v>44357</v>
      </c>
      <c r="B236">
        <v>0.33333000000000002</v>
      </c>
      <c r="C236">
        <v>0.34075</v>
      </c>
      <c r="D236">
        <v>0.30303000000000002</v>
      </c>
      <c r="E236">
        <v>0.30975999999999998</v>
      </c>
      <c r="F236">
        <v>28320740.899999999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-0.6431601272534484</v>
      </c>
      <c r="Q236">
        <f t="shared" si="960"/>
        <v>-18214771.321155939</v>
      </c>
      <c r="R236">
        <f t="shared" si="961"/>
        <v>-539002933.48966408</v>
      </c>
      <c r="S236">
        <f t="shared" si="962"/>
        <v>-5390.0293348966406</v>
      </c>
      <c r="T236">
        <f t="shared" si="963"/>
        <v>-5.3900293348966404</v>
      </c>
    </row>
    <row r="237" spans="1:20" x14ac:dyDescent="0.25">
      <c r="A237" s="5">
        <v>44356</v>
      </c>
      <c r="B237">
        <v>0.32657999999999998</v>
      </c>
      <c r="C237">
        <v>0.35</v>
      </c>
      <c r="D237">
        <v>0.30101</v>
      </c>
      <c r="E237">
        <v>0.33400000000000002</v>
      </c>
      <c r="F237">
        <v>27191913.600000001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0.34680547050418592</v>
      </c>
      <c r="Q237">
        <f t="shared" si="960"/>
        <v>9430304.3899571728</v>
      </c>
      <c r="R237">
        <f t="shared" si="961"/>
        <v>-520788162.16850817</v>
      </c>
      <c r="S237">
        <f t="shared" si="962"/>
        <v>-5207.8816216850819</v>
      </c>
      <c r="T237">
        <f t="shared" si="963"/>
        <v>-5.2078816216850816</v>
      </c>
    </row>
    <row r="238" spans="1:20" x14ac:dyDescent="0.25">
      <c r="A238" s="5">
        <v>44355</v>
      </c>
      <c r="B238">
        <v>0.33195999999999998</v>
      </c>
      <c r="C238">
        <v>0.34099000000000002</v>
      </c>
      <c r="D238">
        <v>0.29094999999999999</v>
      </c>
      <c r="E238">
        <v>0.32657999999999998</v>
      </c>
      <c r="F238">
        <v>30191383.800000001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0.42406075139887989</v>
      </c>
      <c r="Q238">
        <f t="shared" si="960"/>
        <v>12802980.899999971</v>
      </c>
      <c r="R238">
        <f t="shared" si="961"/>
        <v>-530218466.55846536</v>
      </c>
      <c r="S238">
        <f t="shared" si="962"/>
        <v>-5302.1846655846539</v>
      </c>
      <c r="T238">
        <f t="shared" si="963"/>
        <v>-5.3021846655846536</v>
      </c>
    </row>
    <row r="239" spans="1:20" x14ac:dyDescent="0.25">
      <c r="A239" s="5">
        <v>44354</v>
      </c>
      <c r="B239">
        <v>0.38325999999999999</v>
      </c>
      <c r="C239">
        <v>0.39024999999999999</v>
      </c>
      <c r="D239">
        <v>0.32728000000000002</v>
      </c>
      <c r="E239">
        <v>0.33205000000000001</v>
      </c>
      <c r="F239">
        <v>22512826.100000001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-0.84849928537398767</v>
      </c>
      <c r="Q239">
        <f t="shared" si="960"/>
        <v>-19102116.85759886</v>
      </c>
      <c r="R239">
        <f t="shared" si="961"/>
        <v>-543021447.45846534</v>
      </c>
      <c r="S239">
        <f t="shared" si="962"/>
        <v>-5430.2144745846535</v>
      </c>
      <c r="T239">
        <f t="shared" si="963"/>
        <v>-5.4302144745846537</v>
      </c>
    </row>
    <row r="240" spans="1:20" x14ac:dyDescent="0.25">
      <c r="A240" s="5">
        <v>44353</v>
      </c>
      <c r="B240">
        <v>0.36681000000000002</v>
      </c>
      <c r="C240">
        <v>0.41492000000000001</v>
      </c>
      <c r="D240">
        <v>0.36359000000000002</v>
      </c>
      <c r="E240">
        <v>0.38324000000000003</v>
      </c>
      <c r="F240">
        <v>30011693.199999999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-0.23436586791350064</v>
      </c>
      <c r="Q240">
        <f t="shared" si="960"/>
        <v>-7033716.524371705</v>
      </c>
      <c r="R240">
        <f t="shared" si="961"/>
        <v>-523919330.60086644</v>
      </c>
      <c r="S240">
        <f t="shared" si="962"/>
        <v>-5239.193306008664</v>
      </c>
      <c r="T240">
        <f t="shared" si="963"/>
        <v>-5.239193306008664</v>
      </c>
    </row>
    <row r="241" spans="1:20" x14ac:dyDescent="0.25">
      <c r="A241" s="5">
        <v>44352</v>
      </c>
      <c r="B241">
        <v>0.37584000000000001</v>
      </c>
      <c r="C241">
        <v>0.39761999999999997</v>
      </c>
      <c r="D241">
        <v>0.34760999999999997</v>
      </c>
      <c r="E241">
        <v>0.36735000000000001</v>
      </c>
      <c r="F241">
        <v>18419760.600000001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-0.2105578884223141</v>
      </c>
      <c r="Q241">
        <f t="shared" si="960"/>
        <v>-3878425.8971805377</v>
      </c>
      <c r="R241">
        <f t="shared" si="961"/>
        <v>-516885614.07649475</v>
      </c>
      <c r="S241">
        <f t="shared" si="962"/>
        <v>-5168.8561407649477</v>
      </c>
      <c r="T241">
        <f t="shared" si="963"/>
        <v>-5.168856140764948</v>
      </c>
    </row>
    <row r="242" spans="1:20" x14ac:dyDescent="0.25">
      <c r="A242" s="5">
        <v>44351</v>
      </c>
      <c r="B242">
        <v>0.42298000000000002</v>
      </c>
      <c r="C242">
        <v>0.42354000000000003</v>
      </c>
      <c r="D242">
        <v>0.36226999999999998</v>
      </c>
      <c r="E242">
        <v>0.37590000000000001</v>
      </c>
      <c r="F242">
        <v>23643511.699999999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-0.5550840541863874</v>
      </c>
      <c r="Q242">
        <f t="shared" si="960"/>
        <v>-13124136.329639284</v>
      </c>
      <c r="R242">
        <f t="shared" si="961"/>
        <v>-513007188.1793142</v>
      </c>
      <c r="S242">
        <f t="shared" si="962"/>
        <v>-5130.071881793142</v>
      </c>
      <c r="T242">
        <f t="shared" si="963"/>
        <v>-5.1300718817931417</v>
      </c>
    </row>
    <row r="243" spans="1:20" x14ac:dyDescent="0.25">
      <c r="A243" s="5">
        <v>44350</v>
      </c>
      <c r="B243">
        <v>0.42054999999999998</v>
      </c>
      <c r="C243">
        <v>0.439</v>
      </c>
      <c r="D243">
        <v>0.40812999999999999</v>
      </c>
      <c r="E243">
        <v>0.42279</v>
      </c>
      <c r="F243">
        <v>24799596.600000001</v>
      </c>
      <c r="G243">
        <v>0</v>
      </c>
      <c r="L243" t="s">
        <v>7</v>
      </c>
      <c r="M243" t="s">
        <v>7</v>
      </c>
      <c r="N243" t="s">
        <v>7</v>
      </c>
      <c r="P243">
        <f t="shared" si="959"/>
        <v>-5.0210560414641899E-2</v>
      </c>
      <c r="Q243">
        <f t="shared" si="960"/>
        <v>-1245201.6433430479</v>
      </c>
      <c r="R243">
        <f t="shared" si="961"/>
        <v>-499883051.84967494</v>
      </c>
      <c r="S243">
        <f t="shared" si="962"/>
        <v>-4998.8305184967494</v>
      </c>
      <c r="T243">
        <f t="shared" si="963"/>
        <v>-4.9988305184967494</v>
      </c>
    </row>
    <row r="244" spans="1:20" x14ac:dyDescent="0.25">
      <c r="A244" s="5">
        <v>44349</v>
      </c>
      <c r="B244">
        <v>0.41871999999999998</v>
      </c>
      <c r="C244">
        <v>0.46267999999999998</v>
      </c>
      <c r="D244">
        <v>0.40842000000000001</v>
      </c>
      <c r="E244">
        <v>0.42055999999999999</v>
      </c>
      <c r="F244">
        <v>38714540</v>
      </c>
      <c r="G244">
        <v>0</v>
      </c>
      <c r="L244" t="s">
        <v>8</v>
      </c>
      <c r="M244" t="s">
        <v>7</v>
      </c>
      <c r="N244" t="s">
        <v>7</v>
      </c>
      <c r="P244">
        <f t="shared" si="959"/>
        <v>-0.55252488020641399</v>
      </c>
      <c r="Q244">
        <f t="shared" si="960"/>
        <v>-21390746.575746424</v>
      </c>
      <c r="R244">
        <f t="shared" si="961"/>
        <v>-498637850.20633191</v>
      </c>
      <c r="S244">
        <f t="shared" si="962"/>
        <v>-4986.3785020633195</v>
      </c>
      <c r="T244">
        <f t="shared" si="963"/>
        <v>-4.9863785020633191</v>
      </c>
    </row>
    <row r="245" spans="1:20" x14ac:dyDescent="0.25">
      <c r="A245" s="5">
        <v>44348</v>
      </c>
      <c r="B245">
        <v>0.45440999999999998</v>
      </c>
      <c r="C245">
        <v>0.45946999999999999</v>
      </c>
      <c r="D245">
        <v>0.40701999999999999</v>
      </c>
      <c r="E245">
        <v>0.41855999999999999</v>
      </c>
      <c r="F245">
        <v>41888010.200000003</v>
      </c>
      <c r="G245">
        <v>0</v>
      </c>
      <c r="L245" t="s">
        <v>7</v>
      </c>
      <c r="M245" t="s">
        <v>7</v>
      </c>
      <c r="N245" t="s">
        <v>7</v>
      </c>
      <c r="P245">
        <f t="shared" si="959"/>
        <v>-0.55996186844613938</v>
      </c>
      <c r="Q245">
        <f t="shared" si="960"/>
        <v>-23455688.457082946</v>
      </c>
      <c r="R245">
        <f t="shared" si="961"/>
        <v>-477247103.63058549</v>
      </c>
      <c r="S245">
        <f t="shared" si="962"/>
        <v>-4772.4710363058548</v>
      </c>
      <c r="T245">
        <f t="shared" si="963"/>
        <v>-4.7724710363058547</v>
      </c>
    </row>
    <row r="246" spans="1:20" x14ac:dyDescent="0.25">
      <c r="A246" s="5">
        <v>44347</v>
      </c>
      <c r="B246">
        <v>0.42920000000000003</v>
      </c>
      <c r="C246">
        <v>0.51</v>
      </c>
      <c r="D246">
        <v>0.40043000000000001</v>
      </c>
      <c r="E246">
        <v>0.4546</v>
      </c>
      <c r="F246">
        <v>70553962.400000006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-1.1225700465455953E-2</v>
      </c>
      <c r="Q246">
        <f t="shared" si="960"/>
        <v>-792017.64855344186</v>
      </c>
      <c r="R246">
        <f t="shared" si="961"/>
        <v>-453791415.17350256</v>
      </c>
      <c r="S246">
        <f t="shared" si="962"/>
        <v>-4537.9141517350254</v>
      </c>
      <c r="T246">
        <f t="shared" si="963"/>
        <v>-4.5379141517350252</v>
      </c>
    </row>
    <row r="247" spans="1:20" x14ac:dyDescent="0.25">
      <c r="A247" s="5">
        <v>44346</v>
      </c>
      <c r="B247">
        <v>0.39280999999999999</v>
      </c>
      <c r="C247">
        <v>0.44098999999999999</v>
      </c>
      <c r="D247">
        <v>0.35125000000000001</v>
      </c>
      <c r="E247">
        <v>0.42992000000000002</v>
      </c>
      <c r="F247">
        <v>51376952.799999997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0.75328727434811749</v>
      </c>
      <c r="Q247">
        <f t="shared" si="960"/>
        <v>38701604.739023879</v>
      </c>
      <c r="R247">
        <f t="shared" si="961"/>
        <v>-452999397.52494913</v>
      </c>
      <c r="S247">
        <f t="shared" si="962"/>
        <v>-4529.9939752494911</v>
      </c>
      <c r="T247">
        <f t="shared" si="963"/>
        <v>-4.5299939752494911</v>
      </c>
    </row>
    <row r="248" spans="1:20" x14ac:dyDescent="0.25">
      <c r="A248" s="5">
        <v>44345</v>
      </c>
      <c r="B248">
        <v>0.43486000000000002</v>
      </c>
      <c r="C248">
        <v>0.45677000000000001</v>
      </c>
      <c r="D248">
        <v>0.36402000000000001</v>
      </c>
      <c r="E248">
        <v>0.39243</v>
      </c>
      <c r="F248">
        <v>46561702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-0.38738544474393549</v>
      </c>
      <c r="Q248">
        <f t="shared" si="960"/>
        <v>-18037325.637304589</v>
      </c>
      <c r="R248">
        <f t="shared" si="961"/>
        <v>-491701002.263973</v>
      </c>
      <c r="S248">
        <f t="shared" si="962"/>
        <v>-4917.0100226397299</v>
      </c>
      <c r="T248">
        <f t="shared" si="963"/>
        <v>-4.9170100226397295</v>
      </c>
    </row>
    <row r="249" spans="1:20" x14ac:dyDescent="0.25">
      <c r="A249" s="5">
        <v>44344</v>
      </c>
      <c r="B249">
        <v>0.50156000000000001</v>
      </c>
      <c r="C249">
        <v>0.53315000000000001</v>
      </c>
      <c r="D249">
        <v>0.40414</v>
      </c>
      <c r="E249">
        <v>0.43530000000000002</v>
      </c>
      <c r="F249">
        <v>83162263.5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-0.51693667157584655</v>
      </c>
      <c r="Q249">
        <f t="shared" si="960"/>
        <v>-42989623.694403514</v>
      </c>
      <c r="R249">
        <f t="shared" si="961"/>
        <v>-473663676.62666839</v>
      </c>
      <c r="S249">
        <f t="shared" si="962"/>
        <v>-4736.6367662666844</v>
      </c>
      <c r="T249">
        <f t="shared" si="963"/>
        <v>-4.7366367662666846</v>
      </c>
    </row>
    <row r="250" spans="1:20" x14ac:dyDescent="0.25">
      <c r="A250" s="5">
        <v>44343</v>
      </c>
      <c r="B250">
        <v>0.55432999999999999</v>
      </c>
      <c r="C250">
        <v>0.67800000000000005</v>
      </c>
      <c r="D250">
        <v>0.49421999999999999</v>
      </c>
      <c r="E250">
        <v>0.50161</v>
      </c>
      <c r="F250">
        <v>151190067.5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-0.9195777560126237</v>
      </c>
      <c r="Q250">
        <f t="shared" si="960"/>
        <v>-139031023.00304711</v>
      </c>
      <c r="R250">
        <f t="shared" si="961"/>
        <v>-430674052.93226486</v>
      </c>
      <c r="S250">
        <f t="shared" si="962"/>
        <v>-4306.7405293226484</v>
      </c>
      <c r="T250">
        <f t="shared" si="963"/>
        <v>-4.3067405293226484</v>
      </c>
    </row>
    <row r="251" spans="1:20" x14ac:dyDescent="0.25">
      <c r="A251" s="5">
        <v>44342</v>
      </c>
      <c r="B251">
        <v>0.34098000000000001</v>
      </c>
      <c r="C251">
        <v>0.64300000000000002</v>
      </c>
      <c r="D251">
        <v>0.33196999999999999</v>
      </c>
      <c r="E251">
        <v>0.55296999999999996</v>
      </c>
      <c r="F251">
        <v>187799328.5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0.42108478281837736</v>
      </c>
      <c r="Q251">
        <f t="shared" si="960"/>
        <v>79079439.454859599</v>
      </c>
      <c r="R251">
        <f t="shared" si="961"/>
        <v>-291643029.92921776</v>
      </c>
      <c r="S251">
        <f t="shared" si="962"/>
        <v>-2916.4302992921776</v>
      </c>
      <c r="T251">
        <f t="shared" si="963"/>
        <v>-2.9164302992921773</v>
      </c>
    </row>
    <row r="252" spans="1:20" x14ac:dyDescent="0.25">
      <c r="A252" s="5">
        <v>44341</v>
      </c>
      <c r="B252">
        <v>0.31458000000000003</v>
      </c>
      <c r="C252">
        <v>0.35476999999999997</v>
      </c>
      <c r="D252">
        <v>0.27600000000000002</v>
      </c>
      <c r="E252">
        <v>0.34105999999999997</v>
      </c>
      <c r="F252">
        <v>37659867.799999997</v>
      </c>
      <c r="G252">
        <v>0</v>
      </c>
      <c r="L252" t="s">
        <v>8</v>
      </c>
      <c r="M252" t="s">
        <v>7</v>
      </c>
      <c r="N252" t="s">
        <v>8</v>
      </c>
      <c r="P252">
        <f t="shared" si="959"/>
        <v>0.65189793068427049</v>
      </c>
      <c r="Q252">
        <f t="shared" si="960"/>
        <v>24550389.888663188</v>
      </c>
      <c r="R252">
        <f t="shared" si="961"/>
        <v>-370722469.38407737</v>
      </c>
      <c r="S252">
        <f t="shared" si="962"/>
        <v>-3707.2246938407739</v>
      </c>
      <c r="T252">
        <f t="shared" si="963"/>
        <v>-3.7072246938407738</v>
      </c>
    </row>
    <row r="253" spans="1:20" x14ac:dyDescent="0.25">
      <c r="A253" s="5">
        <v>44340</v>
      </c>
      <c r="B253">
        <v>0.26679999999999998</v>
      </c>
      <c r="C253">
        <v>0.35</v>
      </c>
      <c r="D253">
        <v>0.26679999999999998</v>
      </c>
      <c r="E253">
        <v>0.31455</v>
      </c>
      <c r="F253">
        <v>30466765.800000001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0.14783653846153888</v>
      </c>
      <c r="Q253">
        <f t="shared" si="960"/>
        <v>4504101.1939903973</v>
      </c>
      <c r="R253">
        <f t="shared" si="961"/>
        <v>-395272859.27274054</v>
      </c>
      <c r="S253">
        <f t="shared" si="962"/>
        <v>-3952.7285927274056</v>
      </c>
      <c r="T253">
        <f t="shared" si="963"/>
        <v>-3.9527285927274054</v>
      </c>
    </row>
    <row r="254" spans="1:20" x14ac:dyDescent="0.25">
      <c r="A254" s="5">
        <v>44339</v>
      </c>
      <c r="B254">
        <v>0.30608999999999997</v>
      </c>
      <c r="C254">
        <v>0.31975999999999999</v>
      </c>
      <c r="D254">
        <v>0.20111000000000001</v>
      </c>
      <c r="E254">
        <v>0.26673999999999998</v>
      </c>
      <c r="F254">
        <v>32764485.699999999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0.10627897176569706</v>
      </c>
      <c r="Q254">
        <f t="shared" si="960"/>
        <v>3482175.8506278852</v>
      </c>
      <c r="R254">
        <f t="shared" si="961"/>
        <v>-399776960.46673095</v>
      </c>
      <c r="S254">
        <f t="shared" si="962"/>
        <v>-3997.7696046673095</v>
      </c>
      <c r="T254">
        <f t="shared" si="963"/>
        <v>-3.9977696046673095</v>
      </c>
    </row>
    <row r="255" spans="1:20" x14ac:dyDescent="0.25">
      <c r="A255" s="5">
        <v>44338</v>
      </c>
      <c r="B255">
        <v>0.34305000000000002</v>
      </c>
      <c r="C255">
        <v>0.35454999999999998</v>
      </c>
      <c r="D255">
        <v>0.29772999999999999</v>
      </c>
      <c r="E255">
        <v>0.30653999999999998</v>
      </c>
      <c r="F255">
        <v>24078442.100000001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-0.68989792326645594</v>
      </c>
      <c r="Q255">
        <f t="shared" si="960"/>
        <v>-16611667.200281603</v>
      </c>
      <c r="R255">
        <f t="shared" si="961"/>
        <v>-403259136.31735885</v>
      </c>
      <c r="S255">
        <f t="shared" si="962"/>
        <v>-4032.5913631735884</v>
      </c>
      <c r="T255">
        <f t="shared" si="963"/>
        <v>-4.0325913631735881</v>
      </c>
    </row>
    <row r="256" spans="1:20" x14ac:dyDescent="0.25">
      <c r="A256" s="5">
        <v>44337</v>
      </c>
      <c r="B256">
        <v>0.37836999999999998</v>
      </c>
      <c r="C256">
        <v>0.436</v>
      </c>
      <c r="D256">
        <v>0.30403000000000002</v>
      </c>
      <c r="E256">
        <v>0.34361999999999998</v>
      </c>
      <c r="F256">
        <v>44836688.100000001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-0.40001515495946099</v>
      </c>
      <c r="Q256">
        <f t="shared" si="960"/>
        <v>-17935354.738190521</v>
      </c>
      <c r="R256">
        <f t="shared" si="961"/>
        <v>-386647469.11707723</v>
      </c>
      <c r="S256">
        <f t="shared" si="962"/>
        <v>-3866.4746911707725</v>
      </c>
      <c r="T256">
        <f t="shared" si="963"/>
        <v>-3.8664746911707724</v>
      </c>
    </row>
    <row r="257" spans="1:20" x14ac:dyDescent="0.25">
      <c r="A257" s="5">
        <v>44336</v>
      </c>
      <c r="B257">
        <v>0.33672000000000002</v>
      </c>
      <c r="C257">
        <v>0.42845</v>
      </c>
      <c r="D257">
        <v>0.29532999999999998</v>
      </c>
      <c r="E257">
        <v>0.37867000000000001</v>
      </c>
      <c r="F257">
        <v>43584842.5</v>
      </c>
      <c r="G257">
        <v>0</v>
      </c>
      <c r="L257" t="s">
        <v>7</v>
      </c>
      <c r="M257" t="s">
        <v>7</v>
      </c>
      <c r="N257" t="s">
        <v>8</v>
      </c>
      <c r="P257">
        <f t="shared" si="959"/>
        <v>0.25210336538461559</v>
      </c>
      <c r="Q257">
        <f t="shared" si="960"/>
        <v>10987885.474008422</v>
      </c>
      <c r="R257">
        <f t="shared" si="961"/>
        <v>-368712114.3788867</v>
      </c>
      <c r="S257">
        <f t="shared" si="962"/>
        <v>-3687.1211437888669</v>
      </c>
      <c r="T257">
        <f t="shared" si="963"/>
        <v>-3.6871211437888669</v>
      </c>
    </row>
    <row r="258" spans="1:20" x14ac:dyDescent="0.25">
      <c r="A258" s="5">
        <v>44335</v>
      </c>
      <c r="B258">
        <v>0.56860999999999995</v>
      </c>
      <c r="C258">
        <v>0.60714000000000001</v>
      </c>
      <c r="D258">
        <v>0.23565</v>
      </c>
      <c r="E258">
        <v>0.33573999999999998</v>
      </c>
      <c r="F258">
        <v>88231826.299999997</v>
      </c>
      <c r="G258">
        <v>0</v>
      </c>
      <c r="L258" t="s">
        <v>8</v>
      </c>
      <c r="M258" t="s">
        <v>8</v>
      </c>
      <c r="N258" t="s">
        <v>7</v>
      </c>
      <c r="P258">
        <f t="shared" si="959"/>
        <v>-0.46114296481735728</v>
      </c>
      <c r="Q258">
        <f t="shared" si="960"/>
        <v>-40687485.971232079</v>
      </c>
      <c r="R258">
        <f t="shared" si="961"/>
        <v>-379699999.85289514</v>
      </c>
      <c r="S258">
        <f t="shared" si="962"/>
        <v>-3796.9999985289514</v>
      </c>
      <c r="T258">
        <f t="shared" si="963"/>
        <v>-3.7969999985289515</v>
      </c>
    </row>
    <row r="259" spans="1:20" x14ac:dyDescent="0.25">
      <c r="A259" s="5">
        <v>44334</v>
      </c>
      <c r="B259">
        <v>0.50702000000000003</v>
      </c>
      <c r="C259">
        <v>0.58298000000000005</v>
      </c>
      <c r="D259">
        <v>0.48687000000000002</v>
      </c>
      <c r="E259">
        <v>0.56859999999999999</v>
      </c>
      <c r="F259">
        <v>31727265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0.70075954635313586</v>
      </c>
      <c r="Q259">
        <f t="shared" si="960"/>
        <v>22233183.828425724</v>
      </c>
      <c r="R259">
        <f t="shared" si="961"/>
        <v>-339012513.88166308</v>
      </c>
      <c r="S259">
        <f t="shared" si="962"/>
        <v>-3390.1251388166306</v>
      </c>
      <c r="T259">
        <f t="shared" si="963"/>
        <v>-3.3901251388166305</v>
      </c>
    </row>
    <row r="260" spans="1:20" x14ac:dyDescent="0.25">
      <c r="A260" s="5">
        <v>44333</v>
      </c>
      <c r="B260">
        <v>0.53500999999999999</v>
      </c>
      <c r="C260">
        <v>0.53849999999999998</v>
      </c>
      <c r="D260">
        <v>0.47688999999999998</v>
      </c>
      <c r="E260">
        <v>0.50599000000000005</v>
      </c>
      <c r="F260">
        <v>27206484.5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-5.5348157766594019E-2</v>
      </c>
      <c r="Q260">
        <f t="shared" si="960"/>
        <v>-1505828.7963803948</v>
      </c>
      <c r="R260">
        <f t="shared" si="961"/>
        <v>-361245697.71008879</v>
      </c>
      <c r="S260">
        <f t="shared" si="962"/>
        <v>-3612.4569771008878</v>
      </c>
      <c r="T260">
        <f t="shared" si="963"/>
        <v>-3.6124569771008876</v>
      </c>
    </row>
    <row r="261" spans="1:20" x14ac:dyDescent="0.25">
      <c r="A261" s="5">
        <v>44332</v>
      </c>
      <c r="B261">
        <v>0.49612000000000001</v>
      </c>
      <c r="C261">
        <v>0.62799000000000005</v>
      </c>
      <c r="D261">
        <v>0.49291000000000001</v>
      </c>
      <c r="E261">
        <v>0.53483000000000003</v>
      </c>
      <c r="F261">
        <v>52119419.100000001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-0.37933076695291673</v>
      </c>
      <c r="Q261">
        <f t="shared" si="960"/>
        <v>-19770499.220343497</v>
      </c>
      <c r="R261">
        <f t="shared" si="961"/>
        <v>-359739868.91370839</v>
      </c>
      <c r="S261">
        <f t="shared" si="962"/>
        <v>-3597.3986891370837</v>
      </c>
      <c r="T261">
        <f t="shared" si="963"/>
        <v>-3.5973986891370835</v>
      </c>
    </row>
    <row r="262" spans="1:20" x14ac:dyDescent="0.25">
      <c r="A262" s="5">
        <v>44331</v>
      </c>
      <c r="B262">
        <v>0.53776000000000002</v>
      </c>
      <c r="C262">
        <v>0.55628</v>
      </c>
      <c r="D262">
        <v>0.48870999999999998</v>
      </c>
      <c r="E262">
        <v>0.49597999999999998</v>
      </c>
      <c r="F262">
        <v>17604635.600000001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-0.78481574663312126</v>
      </c>
      <c r="Q262">
        <f t="shared" ref="Q262:Q325" si="965">F262*P262</f>
        <v>-13816395.232618028</v>
      </c>
      <c r="R262">
        <f t="shared" ref="R262:R325" si="966">R263+Q262</f>
        <v>-339969369.69336492</v>
      </c>
      <c r="S262">
        <f t="shared" ref="S262:S325" si="967">R262/100000</f>
        <v>-3399.6936969336493</v>
      </c>
      <c r="T262">
        <f t="shared" ref="T262:T325" si="968">S262/1000</f>
        <v>-3.3996936969336495</v>
      </c>
    </row>
    <row r="263" spans="1:20" x14ac:dyDescent="0.25">
      <c r="A263" s="5">
        <v>44330</v>
      </c>
      <c r="B263">
        <v>0.48870999999999998</v>
      </c>
      <c r="C263">
        <v>0.57825000000000004</v>
      </c>
      <c r="D263">
        <v>0.48666999999999999</v>
      </c>
      <c r="E263">
        <v>0.53807000000000005</v>
      </c>
      <c r="F263">
        <v>27448854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0.12251583315134371</v>
      </c>
      <c r="Q263">
        <f t="shared" si="965"/>
        <v>3362919.2168595935</v>
      </c>
      <c r="R263">
        <f t="shared" si="966"/>
        <v>-326152974.46074688</v>
      </c>
      <c r="S263">
        <f t="shared" si="967"/>
        <v>-3261.5297446074687</v>
      </c>
      <c r="T263">
        <f t="shared" si="968"/>
        <v>-3.2615297446074689</v>
      </c>
    </row>
    <row r="264" spans="1:20" x14ac:dyDescent="0.25">
      <c r="A264" s="5">
        <v>44329</v>
      </c>
      <c r="B264">
        <v>0.47256999999999999</v>
      </c>
      <c r="C264">
        <v>0.51780999999999999</v>
      </c>
      <c r="D264">
        <v>0.44124000000000002</v>
      </c>
      <c r="E264">
        <v>0.48845</v>
      </c>
      <c r="F264">
        <v>31749785.899999999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0.23312002089591202</v>
      </c>
      <c r="Q264">
        <f t="shared" si="965"/>
        <v>7401510.752448733</v>
      </c>
      <c r="R264">
        <f t="shared" si="966"/>
        <v>-329515893.67760646</v>
      </c>
      <c r="S264">
        <f t="shared" si="967"/>
        <v>-3295.1589367760648</v>
      </c>
      <c r="T264">
        <f t="shared" si="968"/>
        <v>-3.295158936776065</v>
      </c>
    </row>
    <row r="265" spans="1:20" x14ac:dyDescent="0.25">
      <c r="A265" s="5">
        <v>44328</v>
      </c>
      <c r="B265">
        <v>0.56918999999999997</v>
      </c>
      <c r="C265">
        <v>0.61741000000000001</v>
      </c>
      <c r="D265">
        <v>0.46054</v>
      </c>
      <c r="E265">
        <v>0.47188000000000002</v>
      </c>
      <c r="F265">
        <v>37659320.5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-0.85542168674698771</v>
      </c>
      <c r="Q265">
        <f t="shared" si="965"/>
        <v>-32214599.463855412</v>
      </c>
      <c r="R265">
        <f t="shared" si="966"/>
        <v>-336917404.4300552</v>
      </c>
      <c r="S265">
        <f t="shared" si="967"/>
        <v>-3369.1740443005519</v>
      </c>
      <c r="T265">
        <f t="shared" si="968"/>
        <v>-3.3691740443005518</v>
      </c>
    </row>
    <row r="266" spans="1:20" x14ac:dyDescent="0.25">
      <c r="A266" s="5">
        <v>44327</v>
      </c>
      <c r="B266">
        <v>0.53586</v>
      </c>
      <c r="C266">
        <v>0.56920000000000004</v>
      </c>
      <c r="D266">
        <v>0.51585000000000003</v>
      </c>
      <c r="E266">
        <v>0.56852999999999998</v>
      </c>
      <c r="F266">
        <v>14669815.4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0.97488284910965106</v>
      </c>
      <c r="Q266">
        <f t="shared" si="965"/>
        <v>14301351.433064636</v>
      </c>
      <c r="R266">
        <f t="shared" si="966"/>
        <v>-304702804.96619982</v>
      </c>
      <c r="S266">
        <f t="shared" si="967"/>
        <v>-3047.028049661998</v>
      </c>
      <c r="T266">
        <f t="shared" si="968"/>
        <v>-3.0470280496619981</v>
      </c>
    </row>
    <row r="267" spans="1:20" x14ac:dyDescent="0.25">
      <c r="A267" s="5">
        <v>44326</v>
      </c>
      <c r="B267">
        <v>0.60187000000000002</v>
      </c>
      <c r="C267">
        <v>0.63102999999999998</v>
      </c>
      <c r="D267">
        <v>0.48635</v>
      </c>
      <c r="E267">
        <v>0.53500000000000003</v>
      </c>
      <c r="F267">
        <v>26470253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-0.32748133812551788</v>
      </c>
      <c r="Q267">
        <f t="shared" si="965"/>
        <v>-8668513.8729610033</v>
      </c>
      <c r="R267">
        <f t="shared" si="966"/>
        <v>-319004156.39926445</v>
      </c>
      <c r="S267">
        <f t="shared" si="967"/>
        <v>-3190.0415639926446</v>
      </c>
      <c r="T267">
        <f t="shared" si="968"/>
        <v>-3.1900415639926445</v>
      </c>
    </row>
    <row r="268" spans="1:20" x14ac:dyDescent="0.25">
      <c r="A268" s="5">
        <v>44325</v>
      </c>
      <c r="B268">
        <v>0.61470999999999998</v>
      </c>
      <c r="C268">
        <v>0.65680000000000005</v>
      </c>
      <c r="D268">
        <v>0.57899999999999996</v>
      </c>
      <c r="E268">
        <v>0.60187000000000002</v>
      </c>
      <c r="F268">
        <v>25297036.100000001</v>
      </c>
      <c r="G268">
        <v>0</v>
      </c>
      <c r="L268" t="s">
        <v>8</v>
      </c>
      <c r="M268" t="s">
        <v>7</v>
      </c>
      <c r="N268" t="s">
        <v>8</v>
      </c>
      <c r="P268">
        <f t="shared" si="964"/>
        <v>-0.41208226221079614</v>
      </c>
      <c r="Q268">
        <f t="shared" si="965"/>
        <v>-10424459.863316176</v>
      </c>
      <c r="R268">
        <f t="shared" si="966"/>
        <v>-310335642.52630347</v>
      </c>
      <c r="S268">
        <f t="shared" si="967"/>
        <v>-3103.3564252630349</v>
      </c>
      <c r="T268">
        <f t="shared" si="968"/>
        <v>-3.1033564252630348</v>
      </c>
    </row>
    <row r="269" spans="1:20" x14ac:dyDescent="0.25">
      <c r="A269" s="5">
        <v>44324</v>
      </c>
      <c r="B269">
        <v>0.60806000000000004</v>
      </c>
      <c r="C269">
        <v>0.63829999999999998</v>
      </c>
      <c r="D269">
        <v>0.6</v>
      </c>
      <c r="E269">
        <v>0.61500999999999995</v>
      </c>
      <c r="F269">
        <v>22890675.199999999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-0.21618798955613747</v>
      </c>
      <c r="Q269">
        <f t="shared" si="965"/>
        <v>-4948689.0510705346</v>
      </c>
      <c r="R269">
        <f t="shared" si="966"/>
        <v>-299911182.66298729</v>
      </c>
      <c r="S269">
        <f t="shared" si="967"/>
        <v>-2999.1118266298731</v>
      </c>
      <c r="T269">
        <f t="shared" si="968"/>
        <v>-2.9991118266298731</v>
      </c>
    </row>
    <row r="270" spans="1:20" x14ac:dyDescent="0.25">
      <c r="A270" s="5">
        <v>44323</v>
      </c>
      <c r="B270">
        <v>0.62514999999999998</v>
      </c>
      <c r="C270">
        <v>0.64132999999999996</v>
      </c>
      <c r="D270">
        <v>0.59</v>
      </c>
      <c r="E270">
        <v>0.60734999999999995</v>
      </c>
      <c r="F270">
        <v>28336206.300000001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-0.32398207675823182</v>
      </c>
      <c r="Q270">
        <f t="shared" si="965"/>
        <v>-9180422.9645236917</v>
      </c>
      <c r="R270">
        <f t="shared" si="966"/>
        <v>-294962493.61191678</v>
      </c>
      <c r="S270">
        <f t="shared" si="967"/>
        <v>-2949.6249361191676</v>
      </c>
      <c r="T270">
        <f t="shared" si="968"/>
        <v>-2.9496249361191675</v>
      </c>
    </row>
    <row r="271" spans="1:20" x14ac:dyDescent="0.25">
      <c r="A271" s="5">
        <v>44322</v>
      </c>
      <c r="B271">
        <v>0.61434999999999995</v>
      </c>
      <c r="C271">
        <v>0.69</v>
      </c>
      <c r="D271">
        <v>0.59309999999999996</v>
      </c>
      <c r="E271">
        <v>0.625</v>
      </c>
      <c r="F271">
        <v>67966895.200000003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-0.34158926728586081</v>
      </c>
      <c r="Q271">
        <f t="shared" si="965"/>
        <v>-23216761.931062892</v>
      </c>
      <c r="R271">
        <f t="shared" si="966"/>
        <v>-285782070.64739311</v>
      </c>
      <c r="S271">
        <f t="shared" si="967"/>
        <v>-2857.8207064739313</v>
      </c>
      <c r="T271">
        <f t="shared" si="968"/>
        <v>-2.8578207064739312</v>
      </c>
    </row>
    <row r="272" spans="1:20" x14ac:dyDescent="0.25">
      <c r="A272" s="5">
        <v>44321</v>
      </c>
      <c r="B272">
        <v>0.58706999999999998</v>
      </c>
      <c r="C272">
        <v>0.63153999999999999</v>
      </c>
      <c r="D272">
        <v>0.58228000000000002</v>
      </c>
      <c r="E272">
        <v>0.61407</v>
      </c>
      <c r="F272">
        <v>25944606.100000001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0.2907023954527001</v>
      </c>
      <c r="Q272">
        <f t="shared" si="965"/>
        <v>7542159.142346736</v>
      </c>
      <c r="R272">
        <f t="shared" si="966"/>
        <v>-262565308.71633023</v>
      </c>
      <c r="S272">
        <f t="shared" si="967"/>
        <v>-2625.6530871633022</v>
      </c>
      <c r="T272">
        <f t="shared" si="968"/>
        <v>-2.6256530871633021</v>
      </c>
    </row>
    <row r="273" spans="1:20" x14ac:dyDescent="0.25">
      <c r="A273" s="5">
        <v>44320</v>
      </c>
      <c r="B273">
        <v>0.66922000000000004</v>
      </c>
      <c r="C273">
        <v>0.66959000000000002</v>
      </c>
      <c r="D273">
        <v>0.58530000000000004</v>
      </c>
      <c r="E273">
        <v>0.58672000000000002</v>
      </c>
      <c r="F273">
        <v>31965450.399999999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-0.96630679795942631</v>
      </c>
      <c r="Q273">
        <f t="shared" si="965"/>
        <v>-30888432.021354862</v>
      </c>
      <c r="R273">
        <f t="shared" si="966"/>
        <v>-270107467.85867697</v>
      </c>
      <c r="S273">
        <f t="shared" si="967"/>
        <v>-2701.0746785867696</v>
      </c>
      <c r="T273">
        <f t="shared" si="968"/>
        <v>-2.7010746785867696</v>
      </c>
    </row>
    <row r="274" spans="1:20" x14ac:dyDescent="0.25">
      <c r="A274" s="5">
        <v>44319</v>
      </c>
      <c r="B274">
        <v>0.63471</v>
      </c>
      <c r="C274">
        <v>0.73950000000000005</v>
      </c>
      <c r="D274">
        <v>0.63392000000000004</v>
      </c>
      <c r="E274">
        <v>0.66798999999999997</v>
      </c>
      <c r="F274">
        <v>53599355.299999997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-0.35461261602576377</v>
      </c>
      <c r="Q274">
        <f t="shared" si="965"/>
        <v>-19007007.600227386</v>
      </c>
      <c r="R274">
        <f t="shared" si="966"/>
        <v>-239219035.83732209</v>
      </c>
      <c r="S274">
        <f t="shared" si="967"/>
        <v>-2392.190358373221</v>
      </c>
      <c r="T274">
        <f t="shared" si="968"/>
        <v>-2.3921903583732211</v>
      </c>
    </row>
    <row r="275" spans="1:20" x14ac:dyDescent="0.25">
      <c r="A275" s="5">
        <v>44318</v>
      </c>
      <c r="B275">
        <v>0.65742999999999996</v>
      </c>
      <c r="C275">
        <v>0.65802000000000005</v>
      </c>
      <c r="D275">
        <v>0.60421999999999998</v>
      </c>
      <c r="E275">
        <v>0.63473999999999997</v>
      </c>
      <c r="F275">
        <v>17736644.600000001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0.13457249070631791</v>
      </c>
      <c r="Q275">
        <f t="shared" si="965"/>
        <v>2386864.440594764</v>
      </c>
      <c r="R275">
        <f t="shared" si="966"/>
        <v>-220212028.2370947</v>
      </c>
      <c r="S275">
        <f t="shared" si="967"/>
        <v>-2202.1202823709468</v>
      </c>
      <c r="T275">
        <f t="shared" si="968"/>
        <v>-2.2021202823709469</v>
      </c>
    </row>
    <row r="276" spans="1:20" x14ac:dyDescent="0.25">
      <c r="A276" s="5">
        <v>44317</v>
      </c>
      <c r="B276">
        <v>0.66900999999999999</v>
      </c>
      <c r="C276">
        <v>0.68976999999999999</v>
      </c>
      <c r="D276">
        <v>0.62951000000000001</v>
      </c>
      <c r="E276">
        <v>0.65659999999999996</v>
      </c>
      <c r="F276">
        <v>30152889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-0.10089611682708409</v>
      </c>
      <c r="Q276">
        <f t="shared" si="965"/>
        <v>-3042309.4112180988</v>
      </c>
      <c r="R276">
        <f t="shared" si="966"/>
        <v>-222598892.67768946</v>
      </c>
      <c r="S276">
        <f t="shared" si="967"/>
        <v>-2225.9889267768945</v>
      </c>
      <c r="T276">
        <f t="shared" si="968"/>
        <v>-2.2259889267768944</v>
      </c>
    </row>
    <row r="277" spans="1:20" x14ac:dyDescent="0.25">
      <c r="A277" s="5">
        <v>44316</v>
      </c>
      <c r="B277">
        <v>0.67283000000000004</v>
      </c>
      <c r="C277">
        <v>0.75090999999999997</v>
      </c>
      <c r="D277">
        <v>0.64061999999999997</v>
      </c>
      <c r="E277">
        <v>0.66900999999999999</v>
      </c>
      <c r="F277">
        <v>67422790.400000006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-0.48517544655000405</v>
      </c>
      <c r="Q277">
        <f t="shared" si="965"/>
        <v>-32711882.439967331</v>
      </c>
      <c r="R277">
        <f t="shared" si="966"/>
        <v>-219556583.26647136</v>
      </c>
      <c r="S277">
        <f t="shared" si="967"/>
        <v>-2195.5658326647135</v>
      </c>
      <c r="T277">
        <f t="shared" si="968"/>
        <v>-2.1955658326647134</v>
      </c>
    </row>
    <row r="278" spans="1:20" x14ac:dyDescent="0.25">
      <c r="A278" s="5">
        <v>44315</v>
      </c>
      <c r="B278">
        <v>0.57311000000000001</v>
      </c>
      <c r="C278">
        <v>0.68542999999999998</v>
      </c>
      <c r="D278">
        <v>0.55427000000000004</v>
      </c>
      <c r="E278">
        <v>0.67283000000000004</v>
      </c>
      <c r="F278">
        <v>57030088.899999999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0.80786825251601169</v>
      </c>
      <c r="Q278">
        <f t="shared" si="965"/>
        <v>46072798.260475792</v>
      </c>
      <c r="R278">
        <f t="shared" si="966"/>
        <v>-186844700.82650402</v>
      </c>
      <c r="S278">
        <f t="shared" si="967"/>
        <v>-1868.4470082650403</v>
      </c>
      <c r="T278">
        <f t="shared" si="968"/>
        <v>-1.8684470082650402</v>
      </c>
    </row>
    <row r="279" spans="1:20" x14ac:dyDescent="0.25">
      <c r="A279" s="5">
        <v>44314</v>
      </c>
      <c r="B279">
        <v>0.62736999999999998</v>
      </c>
      <c r="C279">
        <v>0.65639000000000003</v>
      </c>
      <c r="D279">
        <v>0.54851000000000005</v>
      </c>
      <c r="E279">
        <v>0.57359000000000004</v>
      </c>
      <c r="F279">
        <v>31579280.399999999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-0.53503893214682985</v>
      </c>
      <c r="Q279">
        <f t="shared" si="965"/>
        <v>-16896144.463181313</v>
      </c>
      <c r="R279">
        <f t="shared" si="966"/>
        <v>-232917499.08697981</v>
      </c>
      <c r="S279">
        <f t="shared" si="967"/>
        <v>-2329.174990869798</v>
      </c>
      <c r="T279">
        <f t="shared" si="968"/>
        <v>-2.3291749908697978</v>
      </c>
    </row>
    <row r="280" spans="1:20" x14ac:dyDescent="0.25">
      <c r="A280" s="5">
        <v>44313</v>
      </c>
      <c r="B280">
        <v>0.50948000000000004</v>
      </c>
      <c r="C280">
        <v>0.63583000000000001</v>
      </c>
      <c r="D280">
        <v>0.50571999999999995</v>
      </c>
      <c r="E280">
        <v>0.62739999999999996</v>
      </c>
      <c r="F280">
        <v>37482421.200000003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0.87041733917454389</v>
      </c>
      <c r="Q280">
        <f t="shared" si="965"/>
        <v>32625349.326723516</v>
      </c>
      <c r="R280">
        <f t="shared" si="966"/>
        <v>-216021354.62379849</v>
      </c>
      <c r="S280">
        <f t="shared" si="967"/>
        <v>-2160.2135462379847</v>
      </c>
      <c r="T280">
        <f t="shared" si="968"/>
        <v>-2.1602135462379848</v>
      </c>
    </row>
    <row r="281" spans="1:20" x14ac:dyDescent="0.25">
      <c r="A281" s="5">
        <v>44312</v>
      </c>
      <c r="B281">
        <v>0.44157000000000002</v>
      </c>
      <c r="C281">
        <v>0.54874999999999996</v>
      </c>
      <c r="D281">
        <v>0.43725000000000003</v>
      </c>
      <c r="E281">
        <v>0.50948000000000004</v>
      </c>
      <c r="F281">
        <v>27195321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0.29560538116592039</v>
      </c>
      <c r="Q281">
        <f t="shared" si="965"/>
        <v>8039083.2301345589</v>
      </c>
      <c r="R281">
        <f t="shared" si="966"/>
        <v>-248646703.95052201</v>
      </c>
      <c r="S281">
        <f t="shared" si="967"/>
        <v>-2486.4670395052199</v>
      </c>
      <c r="T281">
        <f t="shared" si="968"/>
        <v>-2.4864670395052197</v>
      </c>
    </row>
    <row r="282" spans="1:20" x14ac:dyDescent="0.25">
      <c r="A282" s="5">
        <v>44311</v>
      </c>
      <c r="B282">
        <v>0.44962000000000002</v>
      </c>
      <c r="C282">
        <v>0.48</v>
      </c>
      <c r="D282">
        <v>0.40844000000000003</v>
      </c>
      <c r="E282">
        <v>0.44184000000000001</v>
      </c>
      <c r="F282">
        <v>13046894.300000001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-6.6517607602012155E-2</v>
      </c>
      <c r="Q282">
        <f t="shared" si="965"/>
        <v>-867848.19547232916</v>
      </c>
      <c r="R282">
        <f t="shared" si="966"/>
        <v>-256685787.18065655</v>
      </c>
      <c r="S282">
        <f t="shared" si="967"/>
        <v>-2566.8578718065655</v>
      </c>
      <c r="T282">
        <f t="shared" si="968"/>
        <v>-2.5668578718065653</v>
      </c>
    </row>
    <row r="283" spans="1:20" x14ac:dyDescent="0.25">
      <c r="A283" s="5">
        <v>44310</v>
      </c>
      <c r="B283">
        <v>0.48976999999999998</v>
      </c>
      <c r="C283">
        <v>0.49001</v>
      </c>
      <c r="D283">
        <v>0.44207000000000002</v>
      </c>
      <c r="E283">
        <v>0.44961000000000001</v>
      </c>
      <c r="F283">
        <v>15765218.1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-0.68544013350020883</v>
      </c>
      <c r="Q283">
        <f t="shared" si="965"/>
        <v>-10806113.199123908</v>
      </c>
      <c r="R283">
        <f t="shared" si="966"/>
        <v>-255817938.98518422</v>
      </c>
      <c r="S283">
        <f t="shared" si="967"/>
        <v>-2558.1793898518422</v>
      </c>
      <c r="T283">
        <f t="shared" si="968"/>
        <v>-2.5581793898518423</v>
      </c>
    </row>
    <row r="284" spans="1:20" x14ac:dyDescent="0.25">
      <c r="A284" s="5">
        <v>44309</v>
      </c>
      <c r="B284">
        <v>0.50510999999999995</v>
      </c>
      <c r="C284">
        <v>0.51480999999999999</v>
      </c>
      <c r="D284">
        <v>0.40466999999999997</v>
      </c>
      <c r="E284">
        <v>0.49004999999999999</v>
      </c>
      <c r="F284">
        <v>41660909.600000001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0.55039041220265117</v>
      </c>
      <c r="Q284">
        <f t="shared" si="965"/>
        <v>22929765.207481388</v>
      </c>
      <c r="R284">
        <f t="shared" si="966"/>
        <v>-245011825.7860603</v>
      </c>
      <c r="S284">
        <f t="shared" si="967"/>
        <v>-2450.1182578606031</v>
      </c>
      <c r="T284">
        <f t="shared" si="968"/>
        <v>-2.4501182578606029</v>
      </c>
    </row>
    <row r="285" spans="1:20" x14ac:dyDescent="0.25">
      <c r="A285" s="5">
        <v>44308</v>
      </c>
      <c r="B285">
        <v>0.54681000000000002</v>
      </c>
      <c r="C285">
        <v>0.60555999999999999</v>
      </c>
      <c r="D285">
        <v>0.48709999999999998</v>
      </c>
      <c r="E285">
        <v>0.50517000000000001</v>
      </c>
      <c r="F285">
        <v>30317068.199999999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-0.69491811581968543</v>
      </c>
      <c r="Q285">
        <f t="shared" si="965"/>
        <v>-21067879.910720903</v>
      </c>
      <c r="R285">
        <f t="shared" si="966"/>
        <v>-267941590.99354169</v>
      </c>
      <c r="S285">
        <f t="shared" si="967"/>
        <v>-2679.4159099354169</v>
      </c>
      <c r="T285">
        <f t="shared" si="968"/>
        <v>-2.6794159099354169</v>
      </c>
    </row>
    <row r="286" spans="1:20" x14ac:dyDescent="0.25">
      <c r="A286" s="5">
        <v>44307</v>
      </c>
      <c r="B286">
        <v>0.57279000000000002</v>
      </c>
      <c r="C286">
        <v>0.61</v>
      </c>
      <c r="D286">
        <v>0.54164000000000001</v>
      </c>
      <c r="E286">
        <v>0.54681000000000002</v>
      </c>
      <c r="F286">
        <v>22922581.300000001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-0.84874195435927413</v>
      </c>
      <c r="Q286">
        <f t="shared" si="965"/>
        <v>-19455356.451521352</v>
      </c>
      <c r="R286">
        <f t="shared" si="966"/>
        <v>-246873711.08282077</v>
      </c>
      <c r="S286">
        <f t="shared" si="967"/>
        <v>-2468.7371108282077</v>
      </c>
      <c r="T286">
        <f t="shared" si="968"/>
        <v>-2.4687371108282079</v>
      </c>
    </row>
    <row r="287" spans="1:20" x14ac:dyDescent="0.25">
      <c r="A287" s="5">
        <v>44306</v>
      </c>
      <c r="B287">
        <v>0.56672</v>
      </c>
      <c r="C287">
        <v>0.58903000000000005</v>
      </c>
      <c r="D287">
        <v>0.50241999999999998</v>
      </c>
      <c r="E287">
        <v>0.57286000000000004</v>
      </c>
      <c r="F287">
        <v>25326908.300000001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0.62660200900588836</v>
      </c>
      <c r="Q287">
        <f t="shared" si="965"/>
        <v>15869891.62268791</v>
      </c>
      <c r="R287">
        <f t="shared" si="966"/>
        <v>-227418354.63129941</v>
      </c>
      <c r="S287">
        <f t="shared" si="967"/>
        <v>-2274.1835463129942</v>
      </c>
      <c r="T287">
        <f t="shared" si="968"/>
        <v>-2.2741835463129942</v>
      </c>
    </row>
    <row r="288" spans="1:20" x14ac:dyDescent="0.25">
      <c r="A288" s="5">
        <v>44305</v>
      </c>
      <c r="B288">
        <v>0.65605999999999998</v>
      </c>
      <c r="C288">
        <v>0.67527000000000004</v>
      </c>
      <c r="D288">
        <v>0.55537999999999998</v>
      </c>
      <c r="E288">
        <v>0.56613000000000002</v>
      </c>
      <c r="F288">
        <v>35531000.200000003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-0.82066894653432254</v>
      </c>
      <c r="Q288">
        <f t="shared" si="965"/>
        <v>-29159188.503444806</v>
      </c>
      <c r="R288">
        <f t="shared" si="966"/>
        <v>-243288246.25398731</v>
      </c>
      <c r="S288">
        <f t="shared" si="967"/>
        <v>-2432.8824625398729</v>
      </c>
      <c r="T288">
        <f t="shared" si="968"/>
        <v>-2.4328824625398728</v>
      </c>
    </row>
    <row r="289" spans="1:20" x14ac:dyDescent="0.25">
      <c r="A289" s="5">
        <v>44304</v>
      </c>
      <c r="B289">
        <v>0.79098999999999997</v>
      </c>
      <c r="C289">
        <v>0.79969999999999997</v>
      </c>
      <c r="D289">
        <v>0.44253999999999999</v>
      </c>
      <c r="E289">
        <v>0.65598000000000001</v>
      </c>
      <c r="F289">
        <v>81822483.200000003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0.19520663008175626</v>
      </c>
      <c r="Q289">
        <f t="shared" si="965"/>
        <v>15972291.210393118</v>
      </c>
      <c r="R289">
        <f t="shared" si="966"/>
        <v>-214129057.75054249</v>
      </c>
      <c r="S289">
        <f t="shared" si="967"/>
        <v>-2141.2905775054251</v>
      </c>
      <c r="T289">
        <f t="shared" si="968"/>
        <v>-2.141290577505425</v>
      </c>
    </row>
    <row r="290" spans="1:20" x14ac:dyDescent="0.25">
      <c r="A290" s="5">
        <v>44303</v>
      </c>
      <c r="B290">
        <v>0.70640999999999998</v>
      </c>
      <c r="C290">
        <v>0.84789999999999999</v>
      </c>
      <c r="D290">
        <v>0.70616999999999996</v>
      </c>
      <c r="E290">
        <v>0.79100000000000004</v>
      </c>
      <c r="F290">
        <v>71965148.5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0.19706484160022661</v>
      </c>
      <c r="Q290">
        <f t="shared" si="965"/>
        <v>14181800.589889286</v>
      </c>
      <c r="R290">
        <f t="shared" si="966"/>
        <v>-230101348.96093562</v>
      </c>
      <c r="S290">
        <f t="shared" si="967"/>
        <v>-2301.0134896093564</v>
      </c>
      <c r="T290">
        <f t="shared" si="968"/>
        <v>-2.3010134896093564</v>
      </c>
    </row>
    <row r="291" spans="1:20" x14ac:dyDescent="0.25">
      <c r="A291" s="5">
        <v>44302</v>
      </c>
      <c r="B291">
        <v>0.70309999999999995</v>
      </c>
      <c r="C291">
        <v>0.73850000000000005</v>
      </c>
      <c r="D291">
        <v>0.66122000000000003</v>
      </c>
      <c r="E291">
        <v>0.70640999999999998</v>
      </c>
      <c r="F291">
        <v>33243344</v>
      </c>
      <c r="G291">
        <v>0</v>
      </c>
      <c r="L291" t="s">
        <v>8</v>
      </c>
      <c r="M291" t="s">
        <v>8</v>
      </c>
      <c r="N291" t="s">
        <v>7</v>
      </c>
      <c r="P291">
        <f t="shared" si="964"/>
        <v>0.16951345755693437</v>
      </c>
      <c r="Q291">
        <f t="shared" si="965"/>
        <v>5635194.1821945691</v>
      </c>
      <c r="R291">
        <f t="shared" si="966"/>
        <v>-244283149.55082491</v>
      </c>
      <c r="S291">
        <f t="shared" si="967"/>
        <v>-2442.8314955082492</v>
      </c>
      <c r="T291">
        <f t="shared" si="968"/>
        <v>-2.4428314955082491</v>
      </c>
    </row>
    <row r="292" spans="1:20" x14ac:dyDescent="0.25">
      <c r="A292" s="5">
        <v>44301</v>
      </c>
      <c r="B292">
        <v>0.68169999999999997</v>
      </c>
      <c r="C292">
        <v>0.72591000000000006</v>
      </c>
      <c r="D292">
        <v>0.66900999999999999</v>
      </c>
      <c r="E292">
        <v>0.70413000000000003</v>
      </c>
      <c r="F292">
        <v>21745393.800000001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0.23444639718804927</v>
      </c>
      <c r="Q292">
        <f t="shared" si="965"/>
        <v>5098129.2318453444</v>
      </c>
      <c r="R292">
        <f t="shared" si="966"/>
        <v>-249918343.73301947</v>
      </c>
      <c r="S292">
        <f t="shared" si="967"/>
        <v>-2499.1834373301949</v>
      </c>
      <c r="T292">
        <f t="shared" si="968"/>
        <v>-2.4991834373301951</v>
      </c>
    </row>
    <row r="293" spans="1:20" x14ac:dyDescent="0.25">
      <c r="A293" s="5">
        <v>44300</v>
      </c>
      <c r="B293">
        <v>0.69452999999999998</v>
      </c>
      <c r="C293">
        <v>0.74</v>
      </c>
      <c r="D293">
        <v>0.61265999999999998</v>
      </c>
      <c r="E293">
        <v>0.68111999999999995</v>
      </c>
      <c r="F293">
        <v>31878932.699999999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7.5231663263702855E-2</v>
      </c>
      <c r="Q293">
        <f t="shared" si="965"/>
        <v>2398305.1300926455</v>
      </c>
      <c r="R293">
        <f t="shared" si="966"/>
        <v>-255016472.96486482</v>
      </c>
      <c r="S293">
        <f t="shared" si="967"/>
        <v>-2550.1647296486481</v>
      </c>
      <c r="T293">
        <f t="shared" si="968"/>
        <v>-2.5501647296486483</v>
      </c>
    </row>
    <row r="294" spans="1:20" x14ac:dyDescent="0.25">
      <c r="A294" s="5">
        <v>44299</v>
      </c>
      <c r="B294">
        <v>0.67856000000000005</v>
      </c>
      <c r="C294">
        <v>0.73</v>
      </c>
      <c r="D294">
        <v>0.67066999999999999</v>
      </c>
      <c r="E294">
        <v>0.69352000000000003</v>
      </c>
      <c r="F294">
        <v>23729573.199999999</v>
      </c>
      <c r="G294">
        <v>0</v>
      </c>
      <c r="L294" t="s">
        <v>8</v>
      </c>
      <c r="M294" t="s">
        <v>8</v>
      </c>
      <c r="N294" t="s">
        <v>7</v>
      </c>
      <c r="P294">
        <f t="shared" si="964"/>
        <v>-0.22973200741614566</v>
      </c>
      <c r="Q294">
        <f t="shared" si="965"/>
        <v>-5451442.4863643711</v>
      </c>
      <c r="R294">
        <f t="shared" si="966"/>
        <v>-257414778.09495747</v>
      </c>
      <c r="S294">
        <f t="shared" si="967"/>
        <v>-2574.1477809495746</v>
      </c>
      <c r="T294">
        <f t="shared" si="968"/>
        <v>-2.5741477809495747</v>
      </c>
    </row>
    <row r="295" spans="1:20" x14ac:dyDescent="0.25">
      <c r="A295" s="5">
        <v>44298</v>
      </c>
      <c r="B295">
        <v>0.69640999999999997</v>
      </c>
      <c r="C295">
        <v>0.71199999999999997</v>
      </c>
      <c r="D295">
        <v>0.65642</v>
      </c>
      <c r="E295">
        <v>0.67856000000000005</v>
      </c>
      <c r="F295">
        <v>17194268.899999999</v>
      </c>
      <c r="G295">
        <v>0</v>
      </c>
      <c r="L295" t="s">
        <v>7</v>
      </c>
      <c r="M295" t="s">
        <v>8</v>
      </c>
      <c r="N295" t="s">
        <v>7</v>
      </c>
      <c r="P295">
        <f t="shared" si="964"/>
        <v>-0.20331054336091892</v>
      </c>
      <c r="Q295">
        <f t="shared" si="965"/>
        <v>-3495776.1527527492</v>
      </c>
      <c r="R295">
        <f t="shared" si="966"/>
        <v>-251963335.60859311</v>
      </c>
      <c r="S295">
        <f t="shared" si="967"/>
        <v>-2519.6333560859312</v>
      </c>
      <c r="T295">
        <f t="shared" si="968"/>
        <v>-2.5196333560859312</v>
      </c>
    </row>
    <row r="296" spans="1:20" x14ac:dyDescent="0.25">
      <c r="A296" s="5">
        <v>44297</v>
      </c>
      <c r="B296">
        <v>0.70572999999999997</v>
      </c>
      <c r="C296">
        <v>0.73424</v>
      </c>
      <c r="D296">
        <v>0.68300000000000005</v>
      </c>
      <c r="E296">
        <v>0.69626999999999994</v>
      </c>
      <c r="F296">
        <v>18420665.300000001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-0.48204527712724804</v>
      </c>
      <c r="Q296">
        <f t="shared" si="965"/>
        <v>-8879594.7094067819</v>
      </c>
      <c r="R296">
        <f t="shared" si="966"/>
        <v>-248467559.45584035</v>
      </c>
      <c r="S296">
        <f t="shared" si="967"/>
        <v>-2484.6755945584036</v>
      </c>
      <c r="T296">
        <f t="shared" si="968"/>
        <v>-2.4846755945584036</v>
      </c>
    </row>
    <row r="297" spans="1:20" x14ac:dyDescent="0.25">
      <c r="A297" s="5">
        <v>44296</v>
      </c>
      <c r="B297">
        <v>0.68159000000000003</v>
      </c>
      <c r="C297">
        <v>0.75143000000000004</v>
      </c>
      <c r="D297">
        <v>0.66249000000000002</v>
      </c>
      <c r="E297">
        <v>0.70538000000000001</v>
      </c>
      <c r="F297">
        <v>33081578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-3.552957049696482E-2</v>
      </c>
      <c r="Q297">
        <f t="shared" si="965"/>
        <v>-1175374.2577018405</v>
      </c>
      <c r="R297">
        <f t="shared" si="966"/>
        <v>-239587964.74643356</v>
      </c>
      <c r="S297">
        <f t="shared" si="967"/>
        <v>-2395.8796474643354</v>
      </c>
      <c r="T297">
        <f t="shared" si="968"/>
        <v>-2.3958796474643353</v>
      </c>
    </row>
    <row r="298" spans="1:20" x14ac:dyDescent="0.25">
      <c r="A298" s="5">
        <v>44295</v>
      </c>
      <c r="B298">
        <v>0.66879</v>
      </c>
      <c r="C298">
        <v>0.70331999999999995</v>
      </c>
      <c r="D298">
        <v>0.66100000000000003</v>
      </c>
      <c r="E298">
        <v>0.68101999999999996</v>
      </c>
      <c r="F298">
        <v>24115289.600000001</v>
      </c>
      <c r="G298">
        <v>0</v>
      </c>
      <c r="L298" t="s">
        <v>8</v>
      </c>
      <c r="M298" t="s">
        <v>7</v>
      </c>
      <c r="N298" t="s">
        <v>7</v>
      </c>
      <c r="P298">
        <f t="shared" si="964"/>
        <v>-5.3875236294897551E-2</v>
      </c>
      <c r="Q298">
        <f t="shared" si="965"/>
        <v>-1299216.9255198855</v>
      </c>
      <c r="R298">
        <f t="shared" si="966"/>
        <v>-238412590.48873171</v>
      </c>
      <c r="S298">
        <f t="shared" si="967"/>
        <v>-2384.1259048873171</v>
      </c>
      <c r="T298">
        <f t="shared" si="968"/>
        <v>-2.3841259048873171</v>
      </c>
    </row>
    <row r="299" spans="1:20" x14ac:dyDescent="0.25">
      <c r="A299" s="5">
        <v>44294</v>
      </c>
      <c r="B299">
        <v>0.62724999999999997</v>
      </c>
      <c r="C299">
        <v>0.6825</v>
      </c>
      <c r="D299">
        <v>0.62278999999999995</v>
      </c>
      <c r="E299">
        <v>0.66685000000000005</v>
      </c>
      <c r="F299">
        <v>18269895.699999999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0.47579969854295995</v>
      </c>
      <c r="Q299">
        <f t="shared" si="965"/>
        <v>8692810.8664713204</v>
      </c>
      <c r="R299">
        <f t="shared" si="966"/>
        <v>-237113373.56321183</v>
      </c>
      <c r="S299">
        <f t="shared" si="967"/>
        <v>-2371.1337356321183</v>
      </c>
      <c r="T299">
        <f t="shared" si="968"/>
        <v>-2.3711337356321183</v>
      </c>
    </row>
    <row r="300" spans="1:20" x14ac:dyDescent="0.25">
      <c r="A300" s="5">
        <v>44293</v>
      </c>
      <c r="B300">
        <v>0.70511999999999997</v>
      </c>
      <c r="C300">
        <v>0.71657000000000004</v>
      </c>
      <c r="D300">
        <v>0.6</v>
      </c>
      <c r="E300">
        <v>0.62761</v>
      </c>
      <c r="F300">
        <v>27026917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-0.52629321437762699</v>
      </c>
      <c r="Q300">
        <f t="shared" si="965"/>
        <v>-14224083.022647331</v>
      </c>
      <c r="R300">
        <f t="shared" si="966"/>
        <v>-245806184.42968315</v>
      </c>
      <c r="S300">
        <f t="shared" si="967"/>
        <v>-2458.0618442968316</v>
      </c>
      <c r="T300">
        <f t="shared" si="968"/>
        <v>-2.4580618442968318</v>
      </c>
    </row>
    <row r="301" spans="1:20" x14ac:dyDescent="0.25">
      <c r="A301" s="5">
        <v>44292</v>
      </c>
      <c r="B301">
        <v>0.72751999999999994</v>
      </c>
      <c r="C301">
        <v>0.74399999999999999</v>
      </c>
      <c r="D301">
        <v>0.67283000000000004</v>
      </c>
      <c r="E301">
        <v>0.70477000000000001</v>
      </c>
      <c r="F301">
        <v>19747627.800000001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-0.10243079949416922</v>
      </c>
      <c r="Q301">
        <f t="shared" si="965"/>
        <v>-2022765.3036672822</v>
      </c>
      <c r="R301">
        <f t="shared" si="966"/>
        <v>-231582101.40703583</v>
      </c>
      <c r="S301">
        <f t="shared" si="967"/>
        <v>-2315.8210140703582</v>
      </c>
      <c r="T301">
        <f t="shared" si="968"/>
        <v>-2.3158210140703583</v>
      </c>
    </row>
    <row r="302" spans="1:20" x14ac:dyDescent="0.25">
      <c r="A302" s="5">
        <v>44291</v>
      </c>
      <c r="B302">
        <v>0.70569999999999999</v>
      </c>
      <c r="C302">
        <v>0.77332999999999996</v>
      </c>
      <c r="D302">
        <v>0.65</v>
      </c>
      <c r="E302">
        <v>0.72765999999999997</v>
      </c>
      <c r="F302">
        <v>35766858.799999997</v>
      </c>
      <c r="G302">
        <v>0</v>
      </c>
      <c r="L302" t="s">
        <v>8</v>
      </c>
      <c r="M302" t="s">
        <v>7</v>
      </c>
      <c r="N302" t="s">
        <v>7</v>
      </c>
      <c r="P302">
        <f t="shared" si="964"/>
        <v>0.25938538879429157</v>
      </c>
      <c r="Q302">
        <f t="shared" si="965"/>
        <v>9277400.5757885277</v>
      </c>
      <c r="R302">
        <f t="shared" si="966"/>
        <v>-229559336.10336855</v>
      </c>
      <c r="S302">
        <f t="shared" si="967"/>
        <v>-2295.5933610336856</v>
      </c>
      <c r="T302">
        <f t="shared" si="968"/>
        <v>-2.2955933610336854</v>
      </c>
    </row>
    <row r="303" spans="1:20" x14ac:dyDescent="0.25">
      <c r="A303" s="5">
        <v>44290</v>
      </c>
      <c r="B303">
        <v>0.67201999999999995</v>
      </c>
      <c r="C303">
        <v>0.72853000000000001</v>
      </c>
      <c r="D303">
        <v>0.66405000000000003</v>
      </c>
      <c r="E303">
        <v>0.70443999999999996</v>
      </c>
      <c r="F303">
        <v>17064946.300000001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0.25279156327543228</v>
      </c>
      <c r="Q303">
        <f t="shared" si="965"/>
        <v>4313874.4523883043</v>
      </c>
      <c r="R303">
        <f t="shared" si="966"/>
        <v>-238836736.67915708</v>
      </c>
      <c r="S303">
        <f t="shared" si="967"/>
        <v>-2388.3673667915709</v>
      </c>
      <c r="T303">
        <f t="shared" si="968"/>
        <v>-2.388367366791571</v>
      </c>
    </row>
    <row r="304" spans="1:20" x14ac:dyDescent="0.25">
      <c r="A304" s="5">
        <v>44289</v>
      </c>
      <c r="B304">
        <v>0.74826000000000004</v>
      </c>
      <c r="C304">
        <v>0.75927999999999995</v>
      </c>
      <c r="D304">
        <v>0.66681000000000001</v>
      </c>
      <c r="E304">
        <v>0.67271000000000003</v>
      </c>
      <c r="F304">
        <v>29359970.5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-0.87239104574456539</v>
      </c>
      <c r="Q304">
        <f t="shared" si="965"/>
        <v>-25613375.36752459</v>
      </c>
      <c r="R304">
        <f t="shared" si="966"/>
        <v>-243150611.13154539</v>
      </c>
      <c r="S304">
        <f t="shared" si="967"/>
        <v>-2431.5061113154538</v>
      </c>
      <c r="T304">
        <f t="shared" si="968"/>
        <v>-2.4315061113154539</v>
      </c>
    </row>
    <row r="305" spans="1:20" x14ac:dyDescent="0.25">
      <c r="A305" s="5">
        <v>44288</v>
      </c>
      <c r="B305">
        <v>0.81615000000000004</v>
      </c>
      <c r="C305">
        <v>0.81867999999999996</v>
      </c>
      <c r="D305">
        <v>0.72831000000000001</v>
      </c>
      <c r="E305">
        <v>0.74765000000000004</v>
      </c>
      <c r="F305">
        <v>27522199.600000001</v>
      </c>
      <c r="G305">
        <v>0</v>
      </c>
      <c r="L305" t="s">
        <v>7</v>
      </c>
      <c r="M305" t="s">
        <v>7</v>
      </c>
      <c r="N305" t="s">
        <v>7</v>
      </c>
      <c r="P305">
        <f t="shared" si="964"/>
        <v>-0.57198185238464017</v>
      </c>
      <c r="Q305">
        <f t="shared" si="965"/>
        <v>-15742198.708907804</v>
      </c>
      <c r="R305">
        <f t="shared" si="966"/>
        <v>-217537235.7640208</v>
      </c>
      <c r="S305">
        <f t="shared" si="967"/>
        <v>-2175.3723576402081</v>
      </c>
      <c r="T305">
        <f t="shared" si="968"/>
        <v>-2.175372357640208</v>
      </c>
    </row>
    <row r="306" spans="1:20" x14ac:dyDescent="0.25">
      <c r="A306" s="5">
        <v>44287</v>
      </c>
      <c r="B306">
        <v>0.75017999999999996</v>
      </c>
      <c r="C306">
        <v>0.83</v>
      </c>
      <c r="D306">
        <v>0.71867999999999999</v>
      </c>
      <c r="E306">
        <v>0.81615000000000004</v>
      </c>
      <c r="F306">
        <v>40679279</v>
      </c>
      <c r="G306">
        <v>0</v>
      </c>
      <c r="L306" t="s">
        <v>8</v>
      </c>
      <c r="M306" t="s">
        <v>7</v>
      </c>
      <c r="N306" t="s">
        <v>7</v>
      </c>
      <c r="P306">
        <f t="shared" si="964"/>
        <v>0.75116780452748977</v>
      </c>
      <c r="Q306">
        <f t="shared" si="965"/>
        <v>30556964.696191218</v>
      </c>
      <c r="R306">
        <f t="shared" si="966"/>
        <v>-201795037.05511299</v>
      </c>
      <c r="S306">
        <f t="shared" si="967"/>
        <v>-2017.9503705511299</v>
      </c>
      <c r="T306">
        <f t="shared" si="968"/>
        <v>-2.0179503705511301</v>
      </c>
    </row>
    <row r="307" spans="1:20" x14ac:dyDescent="0.25">
      <c r="A307" s="5">
        <v>44286</v>
      </c>
      <c r="B307">
        <v>0.80164000000000002</v>
      </c>
      <c r="C307">
        <v>0.82203999999999999</v>
      </c>
      <c r="D307">
        <v>0.71499999999999997</v>
      </c>
      <c r="E307">
        <v>0.74944999999999995</v>
      </c>
      <c r="F307">
        <v>38878157.799999997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-0.35631539611360291</v>
      </c>
      <c r="Q307">
        <f t="shared" si="965"/>
        <v>-13852886.196674159</v>
      </c>
      <c r="R307">
        <f t="shared" si="966"/>
        <v>-232352001.75130421</v>
      </c>
      <c r="S307">
        <f t="shared" si="967"/>
        <v>-2323.5200175130421</v>
      </c>
      <c r="T307">
        <f t="shared" si="968"/>
        <v>-2.3235200175130419</v>
      </c>
    </row>
    <row r="308" spans="1:20" x14ac:dyDescent="0.25">
      <c r="A308" s="5">
        <v>44285</v>
      </c>
      <c r="B308">
        <v>0.84040999999999999</v>
      </c>
      <c r="C308">
        <v>0.85885</v>
      </c>
      <c r="D308">
        <v>0.75710999999999995</v>
      </c>
      <c r="E308">
        <v>0.80252000000000001</v>
      </c>
      <c r="F308">
        <v>107109825</v>
      </c>
      <c r="G308">
        <v>0</v>
      </c>
      <c r="L308" t="s">
        <v>7</v>
      </c>
      <c r="M308" t="s">
        <v>7</v>
      </c>
      <c r="N308" t="s">
        <v>8</v>
      </c>
      <c r="P308">
        <f t="shared" si="964"/>
        <v>-0.10733241596225598</v>
      </c>
      <c r="Q308">
        <f t="shared" si="965"/>
        <v>-11496356.290544445</v>
      </c>
      <c r="R308">
        <f t="shared" si="966"/>
        <v>-218499115.55463004</v>
      </c>
      <c r="S308">
        <f t="shared" si="967"/>
        <v>-2184.9911555463004</v>
      </c>
      <c r="T308">
        <f t="shared" si="968"/>
        <v>-2.1849911555463004</v>
      </c>
    </row>
    <row r="309" spans="1:20" x14ac:dyDescent="0.25">
      <c r="A309" s="5">
        <v>44284</v>
      </c>
      <c r="B309">
        <v>0.73492999999999997</v>
      </c>
      <c r="C309">
        <v>1.0724199999999999</v>
      </c>
      <c r="D309">
        <v>0.67022999999999999</v>
      </c>
      <c r="E309">
        <v>0.84126000000000001</v>
      </c>
      <c r="F309">
        <v>242106039.80000001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-0.14950645217434524</v>
      </c>
      <c r="Q309">
        <f t="shared" si="965"/>
        <v>-36196415.060478829</v>
      </c>
      <c r="R309">
        <f t="shared" si="966"/>
        <v>-207002759.26408559</v>
      </c>
      <c r="S309">
        <f t="shared" si="967"/>
        <v>-2070.0275926408558</v>
      </c>
      <c r="T309">
        <f t="shared" si="968"/>
        <v>-2.070027592640856</v>
      </c>
    </row>
    <row r="310" spans="1:20" x14ac:dyDescent="0.25">
      <c r="A310" s="5">
        <v>44283</v>
      </c>
      <c r="B310">
        <v>0.59116999999999997</v>
      </c>
      <c r="C310">
        <v>0.74134999999999995</v>
      </c>
      <c r="D310">
        <v>0.58206999999999998</v>
      </c>
      <c r="E310">
        <v>0.73492999999999997</v>
      </c>
      <c r="F310">
        <v>48531052.700000003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0.91938724259166271</v>
      </c>
      <c r="Q310">
        <f t="shared" si="965"/>
        <v>44618830.721923672</v>
      </c>
      <c r="R310">
        <f t="shared" si="966"/>
        <v>-170806344.20360675</v>
      </c>
      <c r="S310">
        <f t="shared" si="967"/>
        <v>-1708.0634420360675</v>
      </c>
      <c r="T310">
        <f t="shared" si="968"/>
        <v>-1.7080634420360674</v>
      </c>
    </row>
    <row r="311" spans="1:20" x14ac:dyDescent="0.25">
      <c r="A311" s="5">
        <v>44282</v>
      </c>
      <c r="B311">
        <v>0.58165</v>
      </c>
      <c r="C311">
        <v>0.64700000000000002</v>
      </c>
      <c r="D311">
        <v>0.57094</v>
      </c>
      <c r="E311">
        <v>0.59079999999999999</v>
      </c>
      <c r="F311">
        <v>34083258.399999999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-0.47778069944780477</v>
      </c>
      <c r="Q311">
        <f t="shared" si="965"/>
        <v>-16284323.037812266</v>
      </c>
      <c r="R311">
        <f t="shared" si="966"/>
        <v>-215425174.92553043</v>
      </c>
      <c r="S311">
        <f t="shared" si="967"/>
        <v>-2154.2517492553043</v>
      </c>
      <c r="T311">
        <f t="shared" si="968"/>
        <v>-2.1542517492553044</v>
      </c>
    </row>
    <row r="312" spans="1:20" x14ac:dyDescent="0.25">
      <c r="A312" s="5">
        <v>44281</v>
      </c>
      <c r="B312">
        <v>0.51749999999999996</v>
      </c>
      <c r="C312">
        <v>0.60887000000000002</v>
      </c>
      <c r="D312">
        <v>0.51683999999999997</v>
      </c>
      <c r="E312">
        <v>0.58126</v>
      </c>
      <c r="F312">
        <v>40328792.899999999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0.39997826795610114</v>
      </c>
      <c r="Q312">
        <f t="shared" si="965"/>
        <v>16130640.732902309</v>
      </c>
      <c r="R312">
        <f t="shared" si="966"/>
        <v>-199140851.88771817</v>
      </c>
      <c r="S312">
        <f t="shared" si="967"/>
        <v>-1991.4085188771817</v>
      </c>
      <c r="T312">
        <f t="shared" si="968"/>
        <v>-1.9914085188771817</v>
      </c>
    </row>
    <row r="313" spans="1:20" x14ac:dyDescent="0.25">
      <c r="A313" s="5">
        <v>44280</v>
      </c>
      <c r="B313">
        <v>0.57689999999999997</v>
      </c>
      <c r="C313">
        <v>0.60499999999999998</v>
      </c>
      <c r="D313">
        <v>0.51676</v>
      </c>
      <c r="E313">
        <v>0.51790000000000003</v>
      </c>
      <c r="F313">
        <v>31800523.399999999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-0.97416137805983616</v>
      </c>
      <c r="Q313">
        <f t="shared" si="965"/>
        <v>-30978841.698368065</v>
      </c>
      <c r="R313">
        <f t="shared" si="966"/>
        <v>-215271492.62062049</v>
      </c>
      <c r="S313">
        <f t="shared" si="967"/>
        <v>-2152.7149262062048</v>
      </c>
      <c r="T313">
        <f t="shared" si="968"/>
        <v>-2.1527149262062046</v>
      </c>
    </row>
    <row r="314" spans="1:20" x14ac:dyDescent="0.25">
      <c r="A314" s="5">
        <v>44279</v>
      </c>
      <c r="B314">
        <v>0.65654999999999997</v>
      </c>
      <c r="C314">
        <v>0.70099</v>
      </c>
      <c r="D314">
        <v>0.55056000000000005</v>
      </c>
      <c r="E314">
        <v>0.57689000000000001</v>
      </c>
      <c r="F314">
        <v>37208272.100000001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-0.649936847703251</v>
      </c>
      <c r="Q314">
        <f t="shared" si="965"/>
        <v>-24183027.077158824</v>
      </c>
      <c r="R314">
        <f t="shared" si="966"/>
        <v>-184292650.92225242</v>
      </c>
      <c r="S314">
        <f t="shared" si="967"/>
        <v>-1842.9265092225241</v>
      </c>
      <c r="T314">
        <f t="shared" si="968"/>
        <v>-1.8429265092225242</v>
      </c>
    </row>
    <row r="315" spans="1:20" x14ac:dyDescent="0.25">
      <c r="A315" s="5">
        <v>44278</v>
      </c>
      <c r="B315">
        <v>0.69362999999999997</v>
      </c>
      <c r="C315">
        <v>0.745</v>
      </c>
      <c r="D315">
        <v>0.63587000000000005</v>
      </c>
      <c r="E315">
        <v>0.65690999999999999</v>
      </c>
      <c r="F315">
        <v>54698310.799999997</v>
      </c>
      <c r="G315">
        <v>0</v>
      </c>
      <c r="L315" t="s">
        <v>8</v>
      </c>
      <c r="M315" t="s">
        <v>7</v>
      </c>
      <c r="N315" t="s">
        <v>7</v>
      </c>
      <c r="P315">
        <f t="shared" si="964"/>
        <v>-0.61440483826628867</v>
      </c>
      <c r="Q315">
        <f t="shared" si="965"/>
        <v>-33606906.800513186</v>
      </c>
      <c r="R315">
        <f t="shared" si="966"/>
        <v>-160109623.84509358</v>
      </c>
      <c r="S315">
        <f t="shared" si="967"/>
        <v>-1601.0962384509357</v>
      </c>
      <c r="T315">
        <f t="shared" si="968"/>
        <v>-1.6010962384509357</v>
      </c>
    </row>
    <row r="316" spans="1:20" x14ac:dyDescent="0.25">
      <c r="A316" s="5">
        <v>44277</v>
      </c>
      <c r="B316">
        <v>0.66091999999999995</v>
      </c>
      <c r="C316">
        <v>0.75670000000000004</v>
      </c>
      <c r="D316">
        <v>0.63175000000000003</v>
      </c>
      <c r="E316">
        <v>0.69332000000000005</v>
      </c>
      <c r="F316">
        <v>54192435.5</v>
      </c>
      <c r="G316">
        <v>0</v>
      </c>
      <c r="L316" t="s">
        <v>7</v>
      </c>
      <c r="M316" t="s">
        <v>8</v>
      </c>
      <c r="N316" t="s">
        <v>7</v>
      </c>
      <c r="P316">
        <f t="shared" si="964"/>
        <v>-1.4485794317726916E-2</v>
      </c>
      <c r="Q316">
        <f t="shared" si="965"/>
        <v>-785020.47422968235</v>
      </c>
      <c r="R316">
        <f t="shared" si="966"/>
        <v>-126502717.0445804</v>
      </c>
      <c r="S316">
        <f t="shared" si="967"/>
        <v>-1265.0271704458039</v>
      </c>
      <c r="T316">
        <f t="shared" si="968"/>
        <v>-1.2650271704458038</v>
      </c>
    </row>
    <row r="317" spans="1:20" x14ac:dyDescent="0.25">
      <c r="A317" s="5">
        <v>44276</v>
      </c>
      <c r="B317">
        <v>0.68393000000000004</v>
      </c>
      <c r="C317">
        <v>0.68393000000000004</v>
      </c>
      <c r="D317">
        <v>0.63756999999999997</v>
      </c>
      <c r="E317">
        <v>0.66083999999999998</v>
      </c>
      <c r="F317">
        <v>26508949.600000001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3.8826574633295452E-3</v>
      </c>
      <c r="Q317">
        <f t="shared" si="965"/>
        <v>102925.17100946677</v>
      </c>
      <c r="R317">
        <f t="shared" si="966"/>
        <v>-125717696.57035072</v>
      </c>
      <c r="S317">
        <f t="shared" si="967"/>
        <v>-1257.1769657035072</v>
      </c>
      <c r="T317">
        <f t="shared" si="968"/>
        <v>-1.2571769657035072</v>
      </c>
    </row>
    <row r="318" spans="1:20" x14ac:dyDescent="0.25">
      <c r="A318" s="5">
        <v>44275</v>
      </c>
      <c r="B318">
        <v>0.69359000000000004</v>
      </c>
      <c r="C318">
        <v>0.72614999999999996</v>
      </c>
      <c r="D318">
        <v>0.68332999999999999</v>
      </c>
      <c r="E318">
        <v>0.68391999999999997</v>
      </c>
      <c r="F318">
        <v>22791243.300000001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-0.97244278374591409</v>
      </c>
      <c r="Q318">
        <f t="shared" si="965"/>
        <v>-22163180.079682413</v>
      </c>
      <c r="R318">
        <f t="shared" si="966"/>
        <v>-125820621.74136019</v>
      </c>
      <c r="S318">
        <f t="shared" si="967"/>
        <v>-1258.206217413602</v>
      </c>
      <c r="T318">
        <f t="shared" si="968"/>
        <v>-1.2582062174136019</v>
      </c>
    </row>
    <row r="319" spans="1:20" x14ac:dyDescent="0.25">
      <c r="A319" s="5">
        <v>44274</v>
      </c>
      <c r="B319">
        <v>0.69138999999999995</v>
      </c>
      <c r="C319">
        <v>0.73304999999999998</v>
      </c>
      <c r="D319">
        <v>0.67950999999999995</v>
      </c>
      <c r="E319">
        <v>0.69325000000000003</v>
      </c>
      <c r="F319">
        <v>23729254.100000001</v>
      </c>
      <c r="G319">
        <v>0</v>
      </c>
      <c r="L319" t="s">
        <v>8</v>
      </c>
      <c r="M319" t="s">
        <v>7</v>
      </c>
      <c r="N319" t="s">
        <v>7</v>
      </c>
      <c r="P319">
        <f t="shared" si="964"/>
        <v>-0.48673888681359445</v>
      </c>
      <c r="Q319">
        <f t="shared" si="965"/>
        <v>-11549950.725550923</v>
      </c>
      <c r="R319">
        <f t="shared" si="966"/>
        <v>-103657441.66167778</v>
      </c>
      <c r="S319">
        <f t="shared" si="967"/>
        <v>-1036.5744166167779</v>
      </c>
      <c r="T319">
        <f t="shared" si="968"/>
        <v>-1.0365744166167778</v>
      </c>
    </row>
    <row r="320" spans="1:20" x14ac:dyDescent="0.25">
      <c r="A320" s="5">
        <v>44273</v>
      </c>
      <c r="B320">
        <v>0.72550999999999999</v>
      </c>
      <c r="C320">
        <v>0.75775000000000003</v>
      </c>
      <c r="D320">
        <v>0.67798000000000003</v>
      </c>
      <c r="E320">
        <v>0.69174000000000002</v>
      </c>
      <c r="F320">
        <v>35101129.899999999</v>
      </c>
      <c r="G320">
        <v>0</v>
      </c>
      <c r="L320" t="s">
        <v>7</v>
      </c>
      <c r="M320" t="s">
        <v>7</v>
      </c>
      <c r="N320" t="s">
        <v>7</v>
      </c>
      <c r="P320">
        <f t="shared" si="964"/>
        <v>-0.65500814842672705</v>
      </c>
      <c r="Q320">
        <f t="shared" si="965"/>
        <v>-22991526.103485025</v>
      </c>
      <c r="R320">
        <f t="shared" si="966"/>
        <v>-92107490.936126858</v>
      </c>
      <c r="S320">
        <f t="shared" si="967"/>
        <v>-921.07490936126862</v>
      </c>
      <c r="T320">
        <f t="shared" si="968"/>
        <v>-0.92107490936126868</v>
      </c>
    </row>
    <row r="321" spans="1:20" x14ac:dyDescent="0.25">
      <c r="A321" s="5">
        <v>44272</v>
      </c>
      <c r="B321">
        <v>0.69994999999999996</v>
      </c>
      <c r="C321">
        <v>0.77</v>
      </c>
      <c r="D321">
        <v>0.68215000000000003</v>
      </c>
      <c r="E321">
        <v>0.72372999999999998</v>
      </c>
      <c r="F321">
        <v>42805731.600000001</v>
      </c>
      <c r="G321">
        <v>0</v>
      </c>
      <c r="L321" t="s">
        <v>8</v>
      </c>
      <c r="M321" t="s">
        <v>7</v>
      </c>
      <c r="N321" t="s">
        <v>7</v>
      </c>
      <c r="P321">
        <f t="shared" si="964"/>
        <v>-5.3386454183267887E-2</v>
      </c>
      <c r="Q321">
        <f t="shared" si="965"/>
        <v>-2285246.2288446627</v>
      </c>
      <c r="R321">
        <f t="shared" si="966"/>
        <v>-69115964.832641825</v>
      </c>
      <c r="S321">
        <f t="shared" si="967"/>
        <v>-691.15964832641828</v>
      </c>
      <c r="T321">
        <f t="shared" si="968"/>
        <v>-0.6911596483264183</v>
      </c>
    </row>
    <row r="322" spans="1:20" x14ac:dyDescent="0.25">
      <c r="A322" s="5">
        <v>44271</v>
      </c>
      <c r="B322">
        <v>0.74477000000000004</v>
      </c>
      <c r="C322">
        <v>0.77800000000000002</v>
      </c>
      <c r="D322">
        <v>0.68133999999999995</v>
      </c>
      <c r="E322">
        <v>0.69913999999999998</v>
      </c>
      <c r="F322">
        <v>30296371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-0.63169873784398878</v>
      </c>
      <c r="Q322">
        <f t="shared" si="965"/>
        <v>-19138179.321953226</v>
      </c>
      <c r="R322">
        <f t="shared" si="966"/>
        <v>-66830718.603797168</v>
      </c>
      <c r="S322">
        <f t="shared" si="967"/>
        <v>-668.30718603797163</v>
      </c>
      <c r="T322">
        <f t="shared" si="968"/>
        <v>-0.66830718603797168</v>
      </c>
    </row>
    <row r="323" spans="1:20" x14ac:dyDescent="0.25">
      <c r="A323" s="5">
        <v>44270</v>
      </c>
      <c r="B323">
        <v>0.81376999999999999</v>
      </c>
      <c r="C323">
        <v>0.86604000000000003</v>
      </c>
      <c r="D323">
        <v>0.72109999999999996</v>
      </c>
      <c r="E323">
        <v>0.74173</v>
      </c>
      <c r="F323">
        <v>41138992.600000001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-0.71533048157858381</v>
      </c>
      <c r="Q323">
        <f t="shared" si="965"/>
        <v>-29427975.388215795</v>
      </c>
      <c r="R323">
        <f t="shared" si="966"/>
        <v>-47692539.281843938</v>
      </c>
      <c r="S323">
        <f t="shared" si="967"/>
        <v>-476.92539281843938</v>
      </c>
      <c r="T323">
        <f t="shared" si="968"/>
        <v>-0.47692539281843938</v>
      </c>
    </row>
    <row r="324" spans="1:20" x14ac:dyDescent="0.25">
      <c r="A324" s="5">
        <v>44269</v>
      </c>
      <c r="B324">
        <v>0.82733999999999996</v>
      </c>
      <c r="C324">
        <v>0.88</v>
      </c>
      <c r="D324">
        <v>0.76217999999999997</v>
      </c>
      <c r="E324">
        <v>0.8115</v>
      </c>
      <c r="F324">
        <v>71255356.299999997</v>
      </c>
      <c r="G324">
        <v>0</v>
      </c>
      <c r="L324" t="s">
        <v>7</v>
      </c>
      <c r="M324" t="s">
        <v>7</v>
      </c>
      <c r="N324" t="s">
        <v>7</v>
      </c>
      <c r="P324">
        <f t="shared" si="964"/>
        <v>-0.16279069767441834</v>
      </c>
      <c r="Q324">
        <f t="shared" si="965"/>
        <v>-11599709.16511626</v>
      </c>
      <c r="R324">
        <f t="shared" si="966"/>
        <v>-18264563.893628143</v>
      </c>
      <c r="S324">
        <f t="shared" si="967"/>
        <v>-182.64563893628141</v>
      </c>
      <c r="T324">
        <f t="shared" si="968"/>
        <v>-0.18264563893628141</v>
      </c>
    </row>
    <row r="325" spans="1:20" x14ac:dyDescent="0.25">
      <c r="A325" s="5">
        <v>44268</v>
      </c>
      <c r="B325">
        <v>0.88190999999999997</v>
      </c>
      <c r="C325">
        <v>0.99655000000000005</v>
      </c>
      <c r="D325">
        <v>0.80181000000000002</v>
      </c>
      <c r="E325">
        <v>0.82737000000000005</v>
      </c>
      <c r="F325">
        <v>113850156.40000001</v>
      </c>
      <c r="G325">
        <v>0</v>
      </c>
      <c r="L325" t="s">
        <v>7</v>
      </c>
      <c r="M325" t="s">
        <v>7</v>
      </c>
      <c r="N325" t="s">
        <v>7</v>
      </c>
      <c r="P325">
        <f t="shared" si="964"/>
        <v>-0.7374961487111017</v>
      </c>
      <c r="Q325">
        <f t="shared" si="965"/>
        <v>-83964051.875156596</v>
      </c>
      <c r="R325">
        <f t="shared" si="966"/>
        <v>-6664854.7285118848</v>
      </c>
      <c r="S325">
        <f t="shared" si="967"/>
        <v>-66.648547285118852</v>
      </c>
      <c r="T325">
        <f t="shared" si="968"/>
        <v>-6.6648547285118848E-2</v>
      </c>
    </row>
    <row r="326" spans="1:20" x14ac:dyDescent="0.25">
      <c r="A326" s="5">
        <v>44267</v>
      </c>
      <c r="B326">
        <v>0.78373000000000004</v>
      </c>
      <c r="C326">
        <v>1.2444299999999999</v>
      </c>
      <c r="D326">
        <v>0.78266000000000002</v>
      </c>
      <c r="E326">
        <v>0.88039999999999996</v>
      </c>
      <c r="F326">
        <v>431651057.89999998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-0.57667236936137056</v>
      </c>
      <c r="Q326">
        <f t="shared" ref="Q326:Q389" si="970">F326*P326</f>
        <v>-248921238.29653513</v>
      </c>
      <c r="R326">
        <f t="shared" ref="R326:R389" si="971">R327+Q326</f>
        <v>77299197.146644711</v>
      </c>
      <c r="S326">
        <f t="shared" ref="S326:S389" si="972">R326/100000</f>
        <v>772.99197146644713</v>
      </c>
      <c r="T326">
        <f t="shared" ref="T326:T389" si="973">S326/1000</f>
        <v>0.77299197146644716</v>
      </c>
    </row>
    <row r="327" spans="1:20" x14ac:dyDescent="0.25">
      <c r="A327" s="5">
        <v>44266</v>
      </c>
      <c r="B327">
        <v>0.52276</v>
      </c>
      <c r="C327">
        <v>0.87953999999999999</v>
      </c>
      <c r="D327">
        <v>0.50605999999999995</v>
      </c>
      <c r="E327">
        <v>0.78320000000000001</v>
      </c>
      <c r="F327">
        <v>263104183.19999999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0.48409553389739762</v>
      </c>
      <c r="Q327">
        <f t="shared" si="970"/>
        <v>127367560.0368427</v>
      </c>
      <c r="R327">
        <f t="shared" si="971"/>
        <v>326220435.44317985</v>
      </c>
      <c r="S327">
        <f t="shared" si="972"/>
        <v>3262.2043544317985</v>
      </c>
      <c r="T327">
        <f t="shared" si="973"/>
        <v>3.2622043544317987</v>
      </c>
    </row>
    <row r="328" spans="1:20" x14ac:dyDescent="0.25">
      <c r="A328" s="5">
        <v>44265</v>
      </c>
      <c r="B328">
        <v>0.55786999999999998</v>
      </c>
      <c r="C328">
        <v>0.66344999999999998</v>
      </c>
      <c r="D328">
        <v>0.5</v>
      </c>
      <c r="E328">
        <v>0.52193999999999996</v>
      </c>
      <c r="F328">
        <v>236541731.59999999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-0.73153869684918982</v>
      </c>
      <c r="Q328">
        <f t="shared" si="970"/>
        <v>-173039430.08511481</v>
      </c>
      <c r="R328">
        <f t="shared" si="971"/>
        <v>198852875.40633717</v>
      </c>
      <c r="S328">
        <f t="shared" si="972"/>
        <v>1988.5287540633717</v>
      </c>
      <c r="T328">
        <f t="shared" si="973"/>
        <v>1.9885287540633718</v>
      </c>
    </row>
    <row r="329" spans="1:20" x14ac:dyDescent="0.25">
      <c r="A329" s="5">
        <v>44264</v>
      </c>
      <c r="B329">
        <v>0.34876000000000001</v>
      </c>
      <c r="C329">
        <v>0.58399999999999996</v>
      </c>
      <c r="D329">
        <v>0.33699000000000001</v>
      </c>
      <c r="E329">
        <v>0.55705000000000005</v>
      </c>
      <c r="F329">
        <v>166877327.40000001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0.78179021092263534</v>
      </c>
      <c r="Q329">
        <f t="shared" si="970"/>
        <v>130463060.98625168</v>
      </c>
      <c r="R329">
        <f t="shared" si="971"/>
        <v>371892305.49145198</v>
      </c>
      <c r="S329">
        <f t="shared" si="972"/>
        <v>3718.92305491452</v>
      </c>
      <c r="T329">
        <f t="shared" si="973"/>
        <v>3.7189230549145198</v>
      </c>
    </row>
    <row r="330" spans="1:20" x14ac:dyDescent="0.25">
      <c r="A330" s="5">
        <v>44263</v>
      </c>
      <c r="B330">
        <v>0.31029000000000001</v>
      </c>
      <c r="C330">
        <v>0.35780000000000001</v>
      </c>
      <c r="D330">
        <v>0.28572999999999998</v>
      </c>
      <c r="E330">
        <v>0.34871999999999997</v>
      </c>
      <c r="F330">
        <v>30751457.5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0.74802275565422427</v>
      </c>
      <c r="Q330">
        <f t="shared" si="970"/>
        <v>23002789.979533762</v>
      </c>
      <c r="R330">
        <f t="shared" si="971"/>
        <v>241429244.50520027</v>
      </c>
      <c r="S330">
        <f t="shared" si="972"/>
        <v>2414.2924450520027</v>
      </c>
      <c r="T330">
        <f t="shared" si="973"/>
        <v>2.4142924450520025</v>
      </c>
    </row>
    <row r="331" spans="1:20" x14ac:dyDescent="0.25">
      <c r="A331" s="5">
        <v>44262</v>
      </c>
      <c r="B331">
        <v>0.29499999999999998</v>
      </c>
      <c r="C331">
        <v>0.315</v>
      </c>
      <c r="D331">
        <v>0.29499999999999998</v>
      </c>
      <c r="E331">
        <v>0.31029000000000001</v>
      </c>
      <c r="F331">
        <v>14601669.300000001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0.52900000000000125</v>
      </c>
      <c r="Q331">
        <f t="shared" si="970"/>
        <v>7724283.0597000187</v>
      </c>
      <c r="R331">
        <f t="shared" si="971"/>
        <v>218426454.52566651</v>
      </c>
      <c r="S331">
        <f t="shared" si="972"/>
        <v>2184.2645452566649</v>
      </c>
      <c r="T331">
        <f t="shared" si="973"/>
        <v>2.1842645452566649</v>
      </c>
    </row>
    <row r="332" spans="1:20" x14ac:dyDescent="0.25">
      <c r="A332" s="5">
        <v>44261</v>
      </c>
      <c r="B332">
        <v>0.31796999999999997</v>
      </c>
      <c r="C332">
        <v>0.33038000000000001</v>
      </c>
      <c r="D332">
        <v>0.29276999999999997</v>
      </c>
      <c r="E332">
        <v>0.29543999999999998</v>
      </c>
      <c r="F332">
        <v>22109932.600000001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-0.85801648497739946</v>
      </c>
      <c r="Q332">
        <f t="shared" si="970"/>
        <v>-18970686.652539216</v>
      </c>
      <c r="R332">
        <f t="shared" si="971"/>
        <v>210702171.46596649</v>
      </c>
      <c r="S332">
        <f t="shared" si="972"/>
        <v>2107.0217146596651</v>
      </c>
      <c r="T332">
        <f t="shared" si="973"/>
        <v>2.1070217146596653</v>
      </c>
    </row>
    <row r="333" spans="1:20" x14ac:dyDescent="0.25">
      <c r="A333" s="5">
        <v>44260</v>
      </c>
      <c r="B333">
        <v>0.29044999999999999</v>
      </c>
      <c r="C333">
        <v>0.32200000000000001</v>
      </c>
      <c r="D333">
        <v>0.26023000000000002</v>
      </c>
      <c r="E333">
        <v>0.31813999999999998</v>
      </c>
      <c r="F333">
        <v>37870014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0.87502023636069193</v>
      </c>
      <c r="Q333">
        <f t="shared" si="970"/>
        <v>33137028.601262711</v>
      </c>
      <c r="R333">
        <f t="shared" si="971"/>
        <v>229672858.11850572</v>
      </c>
      <c r="S333">
        <f t="shared" si="972"/>
        <v>2296.728581185057</v>
      </c>
      <c r="T333">
        <f t="shared" si="973"/>
        <v>2.2967285811850568</v>
      </c>
    </row>
    <row r="334" spans="1:20" x14ac:dyDescent="0.25">
      <c r="A334" s="5">
        <v>44259</v>
      </c>
      <c r="B334">
        <v>0.27204</v>
      </c>
      <c r="C334">
        <v>0.32884000000000002</v>
      </c>
      <c r="D334">
        <v>0.26578000000000002</v>
      </c>
      <c r="E334">
        <v>0.29047000000000001</v>
      </c>
      <c r="F334">
        <v>52048838.299999997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-0.21693625118934387</v>
      </c>
      <c r="Q334">
        <f t="shared" si="970"/>
        <v>-11291279.859562341</v>
      </c>
      <c r="R334">
        <f t="shared" si="971"/>
        <v>196535829.517243</v>
      </c>
      <c r="S334">
        <f t="shared" si="972"/>
        <v>1965.35829517243</v>
      </c>
      <c r="T334">
        <f t="shared" si="973"/>
        <v>1.96535829517243</v>
      </c>
    </row>
    <row r="335" spans="1:20" x14ac:dyDescent="0.25">
      <c r="A335" s="5">
        <v>44258</v>
      </c>
      <c r="B335">
        <v>0.28114</v>
      </c>
      <c r="C335">
        <v>0.29586000000000001</v>
      </c>
      <c r="D335">
        <v>0.26201999999999998</v>
      </c>
      <c r="E335">
        <v>0.27315</v>
      </c>
      <c r="F335">
        <v>32780570.600000001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-0.34219858156028271</v>
      </c>
      <c r="Q335">
        <f t="shared" si="970"/>
        <v>-11217464.762056706</v>
      </c>
      <c r="R335">
        <f t="shared" si="971"/>
        <v>207827109.37680534</v>
      </c>
      <c r="S335">
        <f t="shared" si="972"/>
        <v>2078.2710937680536</v>
      </c>
      <c r="T335">
        <f t="shared" si="973"/>
        <v>2.0782710937680537</v>
      </c>
    </row>
    <row r="336" spans="1:20" x14ac:dyDescent="0.25">
      <c r="A336" s="5">
        <v>44257</v>
      </c>
      <c r="B336">
        <v>0.24085999999999999</v>
      </c>
      <c r="C336">
        <v>0.28999999999999998</v>
      </c>
      <c r="D336">
        <v>0.22836999999999999</v>
      </c>
      <c r="E336">
        <v>0.28159000000000001</v>
      </c>
      <c r="F336">
        <v>38521472.799999997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0.72708096706149683</v>
      </c>
      <c r="Q336">
        <f t="shared" si="970"/>
        <v>28008229.696057145</v>
      </c>
      <c r="R336">
        <f t="shared" si="971"/>
        <v>219044574.13886204</v>
      </c>
      <c r="S336">
        <f t="shared" si="972"/>
        <v>2190.4457413886203</v>
      </c>
      <c r="T336">
        <f t="shared" si="973"/>
        <v>2.1904457413886202</v>
      </c>
    </row>
    <row r="337" spans="1:20" x14ac:dyDescent="0.25">
      <c r="A337" s="5">
        <v>44256</v>
      </c>
      <c r="B337">
        <v>0.20876</v>
      </c>
      <c r="C337">
        <v>0.25068000000000001</v>
      </c>
      <c r="D337">
        <v>0.20688000000000001</v>
      </c>
      <c r="E337">
        <v>0.24079</v>
      </c>
      <c r="F337">
        <v>26011851.699999999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0.54840182648401792</v>
      </c>
      <c r="Q337">
        <f t="shared" si="970"/>
        <v>14264946.982511407</v>
      </c>
      <c r="R337">
        <f t="shared" si="971"/>
        <v>191036344.4428049</v>
      </c>
      <c r="S337">
        <f t="shared" si="972"/>
        <v>1910.363444428049</v>
      </c>
      <c r="T337">
        <f t="shared" si="973"/>
        <v>1.9103634444280491</v>
      </c>
    </row>
    <row r="338" spans="1:20" x14ac:dyDescent="0.25">
      <c r="A338" s="5">
        <v>44255</v>
      </c>
      <c r="B338">
        <v>0.22717999999999999</v>
      </c>
      <c r="C338">
        <v>0.22864999999999999</v>
      </c>
      <c r="D338">
        <v>0.193</v>
      </c>
      <c r="E338">
        <v>0.20902000000000001</v>
      </c>
      <c r="F338">
        <v>13837061.5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-0.10126227208976089</v>
      </c>
      <c r="Q338">
        <f t="shared" si="970"/>
        <v>-1401172.286535755</v>
      </c>
      <c r="R338">
        <f t="shared" si="971"/>
        <v>176771397.4602935</v>
      </c>
      <c r="S338">
        <f t="shared" si="972"/>
        <v>1767.713974602935</v>
      </c>
      <c r="T338">
        <f t="shared" si="973"/>
        <v>1.7677139746029349</v>
      </c>
    </row>
    <row r="339" spans="1:20" x14ac:dyDescent="0.25">
      <c r="A339" s="5">
        <v>44254</v>
      </c>
      <c r="B339">
        <v>0.21515999999999999</v>
      </c>
      <c r="C339">
        <v>0.24582000000000001</v>
      </c>
      <c r="D339">
        <v>0.21476000000000001</v>
      </c>
      <c r="E339">
        <v>0.22741</v>
      </c>
      <c r="F339">
        <v>23126697.899999999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-0.18544752092723807</v>
      </c>
      <c r="Q339">
        <f t="shared" si="970"/>
        <v>-4288788.7927881628</v>
      </c>
      <c r="R339">
        <f t="shared" si="971"/>
        <v>178172569.74682927</v>
      </c>
      <c r="S339">
        <f t="shared" si="972"/>
        <v>1781.7256974682928</v>
      </c>
      <c r="T339">
        <f t="shared" si="973"/>
        <v>1.7817256974682927</v>
      </c>
    </row>
    <row r="340" spans="1:20" x14ac:dyDescent="0.25">
      <c r="A340" s="5">
        <v>44253</v>
      </c>
      <c r="B340">
        <v>0.21684</v>
      </c>
      <c r="C340">
        <v>0.24</v>
      </c>
      <c r="D340">
        <v>0.19278000000000001</v>
      </c>
      <c r="E340">
        <v>0.21496999999999999</v>
      </c>
      <c r="F340">
        <v>27058713.5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-6.0144006776789709E-2</v>
      </c>
      <c r="Q340">
        <f t="shared" si="970"/>
        <v>-1627419.4481152112</v>
      </c>
      <c r="R340">
        <f t="shared" si="971"/>
        <v>182461358.53961742</v>
      </c>
      <c r="S340">
        <f t="shared" si="972"/>
        <v>1824.6135853961741</v>
      </c>
      <c r="T340">
        <f t="shared" si="973"/>
        <v>1.824613585396174</v>
      </c>
    </row>
    <row r="341" spans="1:20" x14ac:dyDescent="0.25">
      <c r="A341" s="5">
        <v>44252</v>
      </c>
      <c r="B341">
        <v>0.23991000000000001</v>
      </c>
      <c r="C341">
        <v>0.255</v>
      </c>
      <c r="D341">
        <v>0.21368000000000001</v>
      </c>
      <c r="E341">
        <v>0.21684</v>
      </c>
      <c r="F341">
        <v>18361205.800000001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-0.84704743465634091</v>
      </c>
      <c r="Q341">
        <f t="shared" si="970"/>
        <v>-15552812.270087129</v>
      </c>
      <c r="R341">
        <f t="shared" si="971"/>
        <v>184088777.98773262</v>
      </c>
      <c r="S341">
        <f t="shared" si="972"/>
        <v>1840.8877798773262</v>
      </c>
      <c r="T341">
        <f t="shared" si="973"/>
        <v>1.8408877798773262</v>
      </c>
    </row>
    <row r="342" spans="1:20" x14ac:dyDescent="0.25">
      <c r="A342" s="5">
        <v>44251</v>
      </c>
      <c r="B342">
        <v>0.24581</v>
      </c>
      <c r="C342">
        <v>0.27733000000000002</v>
      </c>
      <c r="D342">
        <v>0.22528000000000001</v>
      </c>
      <c r="E342">
        <v>0.23985999999999999</v>
      </c>
      <c r="F342">
        <v>32137247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-0.43976945244956855</v>
      </c>
      <c r="Q342">
        <f t="shared" si="970"/>
        <v>-14132979.516426539</v>
      </c>
      <c r="R342">
        <f t="shared" si="971"/>
        <v>199641590.25781974</v>
      </c>
      <c r="S342">
        <f t="shared" si="972"/>
        <v>1996.4159025781973</v>
      </c>
      <c r="T342">
        <f t="shared" si="973"/>
        <v>1.9964159025781973</v>
      </c>
    </row>
    <row r="343" spans="1:20" x14ac:dyDescent="0.25">
      <c r="A343" s="5">
        <v>44250</v>
      </c>
      <c r="B343">
        <v>0.27304</v>
      </c>
      <c r="C343">
        <v>0.29324</v>
      </c>
      <c r="D343">
        <v>0.19001999999999999</v>
      </c>
      <c r="E343">
        <v>0.24611</v>
      </c>
      <c r="F343">
        <v>73524663.900000006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8.6804882774656034E-2</v>
      </c>
      <c r="Q343">
        <f t="shared" si="970"/>
        <v>6382299.8308854848</v>
      </c>
      <c r="R343">
        <f t="shared" si="971"/>
        <v>213774569.77424628</v>
      </c>
      <c r="S343">
        <f t="shared" si="972"/>
        <v>2137.7456977424627</v>
      </c>
      <c r="T343">
        <f t="shared" si="973"/>
        <v>2.1377456977424627</v>
      </c>
    </row>
    <row r="344" spans="1:20" x14ac:dyDescent="0.25">
      <c r="A344" s="5">
        <v>44249</v>
      </c>
      <c r="B344">
        <v>0.29844999999999999</v>
      </c>
      <c r="C344">
        <v>0.29965000000000003</v>
      </c>
      <c r="D344">
        <v>0.21818000000000001</v>
      </c>
      <c r="E344">
        <v>0.27212999999999998</v>
      </c>
      <c r="F344">
        <v>37723081.399999999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0.32441389468515919</v>
      </c>
      <c r="Q344">
        <f t="shared" si="970"/>
        <v>12237891.756499287</v>
      </c>
      <c r="R344">
        <f t="shared" si="971"/>
        <v>207392269.94336078</v>
      </c>
      <c r="S344">
        <f t="shared" si="972"/>
        <v>2073.9226994336077</v>
      </c>
      <c r="T344">
        <f t="shared" si="973"/>
        <v>2.0739226994336075</v>
      </c>
    </row>
    <row r="345" spans="1:20" x14ac:dyDescent="0.25">
      <c r="A345" s="5">
        <v>44248</v>
      </c>
      <c r="B345">
        <v>0.28570000000000001</v>
      </c>
      <c r="C345">
        <v>0.31731999999999999</v>
      </c>
      <c r="D345">
        <v>0.27777000000000002</v>
      </c>
      <c r="E345">
        <v>0.29796</v>
      </c>
      <c r="F345">
        <v>21551453.899999999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2.0986093552465182E-2</v>
      </c>
      <c r="Q345">
        <f t="shared" si="970"/>
        <v>452280.82773704058</v>
      </c>
      <c r="R345">
        <f t="shared" si="971"/>
        <v>195154378.18686149</v>
      </c>
      <c r="S345">
        <f t="shared" si="972"/>
        <v>1951.5437818686148</v>
      </c>
      <c r="T345">
        <f t="shared" si="973"/>
        <v>1.9515437818686148</v>
      </c>
    </row>
    <row r="346" spans="1:20" x14ac:dyDescent="0.25">
      <c r="A346" s="5">
        <v>44247</v>
      </c>
      <c r="B346">
        <v>0.32833000000000001</v>
      </c>
      <c r="C346">
        <v>0.33794999999999997</v>
      </c>
      <c r="D346">
        <v>0.26097999999999999</v>
      </c>
      <c r="E346">
        <v>0.28570000000000001</v>
      </c>
      <c r="F346">
        <v>38183427.700000003</v>
      </c>
      <c r="G346">
        <v>0</v>
      </c>
      <c r="L346" t="s">
        <v>8</v>
      </c>
      <c r="M346" t="s">
        <v>7</v>
      </c>
      <c r="N346" t="s">
        <v>8</v>
      </c>
      <c r="P346">
        <f t="shared" si="969"/>
        <v>-0.35767182018968363</v>
      </c>
      <c r="Q346">
        <f t="shared" si="970"/>
        <v>-13657136.086540187</v>
      </c>
      <c r="R346">
        <f t="shared" si="971"/>
        <v>194702097.35912445</v>
      </c>
      <c r="S346">
        <f t="shared" si="972"/>
        <v>1947.0209735912445</v>
      </c>
      <c r="T346">
        <f t="shared" si="973"/>
        <v>1.9470209735912445</v>
      </c>
    </row>
    <row r="347" spans="1:20" x14ac:dyDescent="0.25">
      <c r="A347" s="5">
        <v>44246</v>
      </c>
      <c r="B347">
        <v>0.30279</v>
      </c>
      <c r="C347">
        <v>0.33</v>
      </c>
      <c r="D347">
        <v>0.28179999999999999</v>
      </c>
      <c r="E347">
        <v>0.32819999999999999</v>
      </c>
      <c r="F347">
        <v>30680521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0.92531120331950112</v>
      </c>
      <c r="Q347">
        <f t="shared" si="970"/>
        <v>28389029.804979224</v>
      </c>
      <c r="R347">
        <f t="shared" si="971"/>
        <v>208359233.44566464</v>
      </c>
      <c r="S347">
        <f t="shared" si="972"/>
        <v>2083.5923344566463</v>
      </c>
      <c r="T347">
        <f t="shared" si="973"/>
        <v>2.0835923344566463</v>
      </c>
    </row>
    <row r="348" spans="1:20" x14ac:dyDescent="0.25">
      <c r="A348" s="5">
        <v>44245</v>
      </c>
      <c r="B348">
        <v>0.28964000000000001</v>
      </c>
      <c r="C348">
        <v>0.32273000000000002</v>
      </c>
      <c r="D348">
        <v>0.28199999999999997</v>
      </c>
      <c r="E348">
        <v>0.30309999999999998</v>
      </c>
      <c r="F348">
        <v>33272074.800000001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3.6091333169653073E-2</v>
      </c>
      <c r="Q348">
        <f t="shared" si="970"/>
        <v>1200833.5368524182</v>
      </c>
      <c r="R348">
        <f t="shared" si="971"/>
        <v>179970203.64068541</v>
      </c>
      <c r="S348">
        <f t="shared" si="972"/>
        <v>1799.7020364068542</v>
      </c>
      <c r="T348">
        <f t="shared" si="973"/>
        <v>1.7997020364068541</v>
      </c>
    </row>
    <row r="349" spans="1:20" x14ac:dyDescent="0.25">
      <c r="A349" s="5">
        <v>44244</v>
      </c>
      <c r="B349">
        <v>0.28167999999999999</v>
      </c>
      <c r="C349">
        <v>0.30714000000000002</v>
      </c>
      <c r="D349">
        <v>0.24970000000000001</v>
      </c>
      <c r="E349">
        <v>0.28958</v>
      </c>
      <c r="F349">
        <v>38356032.5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0.38857938718662904</v>
      </c>
      <c r="Q349">
        <f t="shared" si="970"/>
        <v>14904363.603760427</v>
      </c>
      <c r="R349">
        <f t="shared" si="971"/>
        <v>178769370.10383299</v>
      </c>
      <c r="S349">
        <f t="shared" si="972"/>
        <v>1787.6937010383299</v>
      </c>
      <c r="T349">
        <f t="shared" si="973"/>
        <v>1.7876937010383298</v>
      </c>
    </row>
    <row r="350" spans="1:20" x14ac:dyDescent="0.25">
      <c r="A350" s="5">
        <v>44243</v>
      </c>
      <c r="B350">
        <v>0.30769000000000002</v>
      </c>
      <c r="C350">
        <v>0.33001000000000003</v>
      </c>
      <c r="D350">
        <v>0.26982</v>
      </c>
      <c r="E350">
        <v>0.28116999999999998</v>
      </c>
      <c r="F350">
        <v>41801524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-0.62286094035554185</v>
      </c>
      <c r="Q350">
        <f t="shared" si="970"/>
        <v>-26036536.54693475</v>
      </c>
      <c r="R350">
        <f t="shared" si="971"/>
        <v>163865006.50007257</v>
      </c>
      <c r="S350">
        <f t="shared" si="972"/>
        <v>1638.6500650007256</v>
      </c>
      <c r="T350">
        <f t="shared" si="973"/>
        <v>1.6386500650007256</v>
      </c>
    </row>
    <row r="351" spans="1:20" x14ac:dyDescent="0.25">
      <c r="A351" s="5">
        <v>44242</v>
      </c>
      <c r="B351">
        <v>0.29465999999999998</v>
      </c>
      <c r="C351">
        <v>0.35463</v>
      </c>
      <c r="D351">
        <v>0.22778999999999999</v>
      </c>
      <c r="E351">
        <v>0.30781999999999998</v>
      </c>
      <c r="F351">
        <v>94017791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0.26190476190476164</v>
      </c>
      <c r="Q351">
        <f t="shared" si="970"/>
        <v>24623707.166666642</v>
      </c>
      <c r="R351">
        <f t="shared" si="971"/>
        <v>189901543.04700732</v>
      </c>
      <c r="S351">
        <f t="shared" si="972"/>
        <v>1899.0154304700732</v>
      </c>
      <c r="T351">
        <f t="shared" si="973"/>
        <v>1.8990154304700733</v>
      </c>
    </row>
    <row r="352" spans="1:20" x14ac:dyDescent="0.25">
      <c r="A352" s="5">
        <v>44241</v>
      </c>
      <c r="B352">
        <v>0.33482000000000001</v>
      </c>
      <c r="C352">
        <v>0.33790999999999999</v>
      </c>
      <c r="D352">
        <v>0.28536</v>
      </c>
      <c r="E352">
        <v>0.29437999999999998</v>
      </c>
      <c r="F352">
        <v>31854271.800000001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-0.65670789724072409</v>
      </c>
      <c r="Q352">
        <f t="shared" si="970"/>
        <v>-20918951.851912495</v>
      </c>
      <c r="R352">
        <f t="shared" si="971"/>
        <v>165277835.8803407</v>
      </c>
      <c r="S352">
        <f t="shared" si="972"/>
        <v>1652.7783588034069</v>
      </c>
      <c r="T352">
        <f t="shared" si="973"/>
        <v>1.6527783588034068</v>
      </c>
    </row>
    <row r="353" spans="1:20" x14ac:dyDescent="0.25">
      <c r="A353" s="5">
        <v>44240</v>
      </c>
      <c r="B353">
        <v>0.33078000000000002</v>
      </c>
      <c r="C353">
        <v>0.373</v>
      </c>
      <c r="D353">
        <v>0.30503999999999998</v>
      </c>
      <c r="E353">
        <v>0.33424999999999999</v>
      </c>
      <c r="F353">
        <v>67469142.099999994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-0.14037669217186566</v>
      </c>
      <c r="Q353">
        <f t="shared" si="970"/>
        <v>-9471094.9916715603</v>
      </c>
      <c r="R353">
        <f t="shared" si="971"/>
        <v>186196787.73225319</v>
      </c>
      <c r="S353">
        <f t="shared" si="972"/>
        <v>1861.9678773225319</v>
      </c>
      <c r="T353">
        <f t="shared" si="973"/>
        <v>1.8619678773225319</v>
      </c>
    </row>
    <row r="354" spans="1:20" x14ac:dyDescent="0.25">
      <c r="A354" s="5">
        <v>44239</v>
      </c>
      <c r="B354">
        <v>0.34636</v>
      </c>
      <c r="C354">
        <v>0.36</v>
      </c>
      <c r="D354">
        <v>0.29175000000000001</v>
      </c>
      <c r="E354">
        <v>0.33</v>
      </c>
      <c r="F354">
        <v>74073864.700000003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0.12087912087912143</v>
      </c>
      <c r="Q354">
        <f t="shared" si="970"/>
        <v>8953983.6450549867</v>
      </c>
      <c r="R354">
        <f t="shared" si="971"/>
        <v>195667882.72392476</v>
      </c>
      <c r="S354">
        <f t="shared" si="972"/>
        <v>1956.6788272392475</v>
      </c>
      <c r="T354">
        <f t="shared" si="973"/>
        <v>1.9566788272392475</v>
      </c>
    </row>
    <row r="355" spans="1:20" x14ac:dyDescent="0.25">
      <c r="A355" s="5">
        <v>44238</v>
      </c>
      <c r="B355">
        <v>0.22267999999999999</v>
      </c>
      <c r="C355">
        <v>0.4</v>
      </c>
      <c r="D355">
        <v>0.21454000000000001</v>
      </c>
      <c r="E355">
        <v>0.34538999999999997</v>
      </c>
      <c r="F355">
        <v>138094374.30000001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0.41108594845249602</v>
      </c>
      <c r="Q355">
        <f t="shared" si="970"/>
        <v>56768656.835069492</v>
      </c>
      <c r="R355">
        <f t="shared" si="971"/>
        <v>186713899.07886976</v>
      </c>
      <c r="S355">
        <f t="shared" si="972"/>
        <v>1867.1389907886976</v>
      </c>
      <c r="T355">
        <f t="shared" si="973"/>
        <v>1.8671389907886975</v>
      </c>
    </row>
    <row r="356" spans="1:20" x14ac:dyDescent="0.25">
      <c r="A356" s="5">
        <v>44237</v>
      </c>
      <c r="B356">
        <v>0.20524999999999999</v>
      </c>
      <c r="C356">
        <v>0.24471999999999999</v>
      </c>
      <c r="D356">
        <v>0.19819000000000001</v>
      </c>
      <c r="E356">
        <v>0.22267999999999999</v>
      </c>
      <c r="F356">
        <v>56361606.200000003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5.2654201590371388E-2</v>
      </c>
      <c r="Q356">
        <f t="shared" si="970"/>
        <v>2967675.3748119259</v>
      </c>
      <c r="R356">
        <f t="shared" si="971"/>
        <v>129945242.24380027</v>
      </c>
      <c r="S356">
        <f t="shared" si="972"/>
        <v>1299.4524224380027</v>
      </c>
      <c r="T356">
        <f t="shared" si="973"/>
        <v>1.2994524224380026</v>
      </c>
    </row>
    <row r="357" spans="1:20" x14ac:dyDescent="0.25">
      <c r="A357" s="5">
        <v>44236</v>
      </c>
      <c r="B357">
        <v>0.21052000000000001</v>
      </c>
      <c r="C357">
        <v>0.22888</v>
      </c>
      <c r="D357">
        <v>0.19746</v>
      </c>
      <c r="E357">
        <v>0.2049</v>
      </c>
      <c r="F357">
        <v>40802222.600000001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-0.52641629535327805</v>
      </c>
      <c r="Q357">
        <f t="shared" si="970"/>
        <v>-21478954.863271799</v>
      </c>
      <c r="R357">
        <f t="shared" si="971"/>
        <v>126977566.86898834</v>
      </c>
      <c r="S357">
        <f t="shared" si="972"/>
        <v>1269.7756686898833</v>
      </c>
      <c r="T357">
        <f t="shared" si="973"/>
        <v>1.2697756686898833</v>
      </c>
    </row>
    <row r="358" spans="1:20" x14ac:dyDescent="0.25">
      <c r="A358" s="5">
        <v>44235</v>
      </c>
      <c r="B358">
        <v>0.15975</v>
      </c>
      <c r="C358">
        <v>0.218</v>
      </c>
      <c r="D358">
        <v>0.15915000000000001</v>
      </c>
      <c r="E358">
        <v>0.21071999999999999</v>
      </c>
      <c r="F358">
        <v>70624200.799999997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0.75259133389974475</v>
      </c>
      <c r="Q358">
        <f t="shared" si="970"/>
        <v>53151161.485675417</v>
      </c>
      <c r="R358">
        <f t="shared" si="971"/>
        <v>148456521.73226014</v>
      </c>
      <c r="S358">
        <f t="shared" si="972"/>
        <v>1484.5652173226015</v>
      </c>
      <c r="T358">
        <f t="shared" si="973"/>
        <v>1.4845652173226014</v>
      </c>
    </row>
    <row r="359" spans="1:20" x14ac:dyDescent="0.25">
      <c r="A359" s="5">
        <v>44234</v>
      </c>
      <c r="B359">
        <v>0.15867999999999999</v>
      </c>
      <c r="C359">
        <v>0.16794999999999999</v>
      </c>
      <c r="D359">
        <v>0.14399999999999999</v>
      </c>
      <c r="E359">
        <v>0.16020000000000001</v>
      </c>
      <c r="F359">
        <v>51722349.299999997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0.35281837160751739</v>
      </c>
      <c r="Q359">
        <f t="shared" si="970"/>
        <v>18248595.055741217</v>
      </c>
      <c r="R359">
        <f t="shared" si="971"/>
        <v>95305360.246584728</v>
      </c>
      <c r="S359">
        <f t="shared" si="972"/>
        <v>953.05360246584723</v>
      </c>
      <c r="T359">
        <f t="shared" si="973"/>
        <v>0.95305360246584725</v>
      </c>
    </row>
    <row r="360" spans="1:20" x14ac:dyDescent="0.25">
      <c r="A360" s="5">
        <v>44233</v>
      </c>
      <c r="B360">
        <v>0.17119999999999999</v>
      </c>
      <c r="C360">
        <v>0.17410999999999999</v>
      </c>
      <c r="D360">
        <v>0.14680000000000001</v>
      </c>
      <c r="E360">
        <v>0.15873000000000001</v>
      </c>
      <c r="F360">
        <v>39799729.299999997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-0.12632735261808803</v>
      </c>
      <c r="Q360">
        <f t="shared" si="970"/>
        <v>-5027794.4373855498</v>
      </c>
      <c r="R360">
        <f t="shared" si="971"/>
        <v>77056765.190843508</v>
      </c>
      <c r="S360">
        <f t="shared" si="972"/>
        <v>770.5676519084351</v>
      </c>
      <c r="T360">
        <f t="shared" si="973"/>
        <v>0.77056765190843513</v>
      </c>
    </row>
    <row r="361" spans="1:20" x14ac:dyDescent="0.25">
      <c r="A361" s="5">
        <v>44232</v>
      </c>
      <c r="B361">
        <v>0.16225000000000001</v>
      </c>
      <c r="C361">
        <v>0.17609</v>
      </c>
      <c r="D361">
        <v>0.16</v>
      </c>
      <c r="E361">
        <v>0.17126</v>
      </c>
      <c r="F361">
        <v>32865755.899999999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0.39962709757613385</v>
      </c>
      <c r="Q361">
        <f t="shared" si="970"/>
        <v>13134046.639962696</v>
      </c>
      <c r="R361">
        <f t="shared" si="971"/>
        <v>82084559.628229052</v>
      </c>
      <c r="S361">
        <f t="shared" si="972"/>
        <v>820.84559628229056</v>
      </c>
      <c r="T361">
        <f t="shared" si="973"/>
        <v>0.82084559628229059</v>
      </c>
    </row>
    <row r="362" spans="1:20" x14ac:dyDescent="0.25">
      <c r="A362" s="5">
        <v>44231</v>
      </c>
      <c r="B362">
        <v>0.1585</v>
      </c>
      <c r="C362">
        <v>0.18190999999999999</v>
      </c>
      <c r="D362">
        <v>0.15459999999999999</v>
      </c>
      <c r="E362">
        <v>0.1623</v>
      </c>
      <c r="F362">
        <v>59093865.700000003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-0.43610399121200938</v>
      </c>
      <c r="Q362">
        <f t="shared" si="970"/>
        <v>-25771070.687916465</v>
      </c>
      <c r="R362">
        <f t="shared" si="971"/>
        <v>68950512.988266349</v>
      </c>
      <c r="S362">
        <f t="shared" si="972"/>
        <v>689.50512988266348</v>
      </c>
      <c r="T362">
        <f t="shared" si="973"/>
        <v>0.68950512988266344</v>
      </c>
    </row>
    <row r="363" spans="1:20" x14ac:dyDescent="0.25">
      <c r="A363" s="5">
        <v>44230</v>
      </c>
      <c r="B363">
        <v>0.14924000000000001</v>
      </c>
      <c r="C363">
        <v>0.15998999999999999</v>
      </c>
      <c r="D363">
        <v>0.14457</v>
      </c>
      <c r="E363">
        <v>0.1583</v>
      </c>
      <c r="F363">
        <v>28895556.899999999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0.78080415045395613</v>
      </c>
      <c r="Q363">
        <f t="shared" si="970"/>
        <v>22561770.757198449</v>
      </c>
      <c r="R363">
        <f t="shared" si="971"/>
        <v>94721583.676182821</v>
      </c>
      <c r="S363">
        <f t="shared" si="972"/>
        <v>947.2158367618282</v>
      </c>
      <c r="T363">
        <f t="shared" si="973"/>
        <v>0.94721583676182819</v>
      </c>
    </row>
    <row r="364" spans="1:20" x14ac:dyDescent="0.25">
      <c r="A364" s="5">
        <v>44229</v>
      </c>
      <c r="B364">
        <v>0.13769999999999999</v>
      </c>
      <c r="C364">
        <v>0.15412999999999999</v>
      </c>
      <c r="D364">
        <v>0.13200000000000001</v>
      </c>
      <c r="E364">
        <v>0.14927000000000001</v>
      </c>
      <c r="F364">
        <v>46659312.200000003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0.56077722548576781</v>
      </c>
      <c r="Q364">
        <f t="shared" si="970"/>
        <v>26165479.638590239</v>
      </c>
      <c r="R364">
        <f t="shared" si="971"/>
        <v>72159812.918984368</v>
      </c>
      <c r="S364">
        <f t="shared" si="972"/>
        <v>721.59812918984369</v>
      </c>
      <c r="T364">
        <f t="shared" si="973"/>
        <v>0.72159812918984367</v>
      </c>
    </row>
    <row r="365" spans="1:20" x14ac:dyDescent="0.25">
      <c r="A365" s="5">
        <v>44228</v>
      </c>
      <c r="B365">
        <v>0.13374</v>
      </c>
      <c r="C365">
        <v>0.14374000000000001</v>
      </c>
      <c r="D365">
        <v>0.12927</v>
      </c>
      <c r="E365">
        <v>0.13766999999999999</v>
      </c>
      <c r="F365">
        <v>37319480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0.16102280580511191</v>
      </c>
      <c r="Q365">
        <f t="shared" si="970"/>
        <v>6009287.3807877582</v>
      </c>
      <c r="R365">
        <f t="shared" si="971"/>
        <v>45994333.280394129</v>
      </c>
      <c r="S365">
        <f t="shared" si="972"/>
        <v>459.9433328039413</v>
      </c>
      <c r="T365">
        <f t="shared" si="973"/>
        <v>0.45994333280394128</v>
      </c>
    </row>
    <row r="366" spans="1:20" x14ac:dyDescent="0.25">
      <c r="A366" s="5">
        <v>44227</v>
      </c>
      <c r="B366">
        <v>0.13833999999999999</v>
      </c>
      <c r="C366">
        <v>0.14398</v>
      </c>
      <c r="D366">
        <v>0.1303</v>
      </c>
      <c r="E366">
        <v>0.13372999999999999</v>
      </c>
      <c r="F366">
        <v>31650332</v>
      </c>
      <c r="G366">
        <v>0</v>
      </c>
      <c r="L366" t="s">
        <v>8</v>
      </c>
      <c r="M366" t="s">
        <v>7</v>
      </c>
      <c r="N366" t="s">
        <v>8</v>
      </c>
      <c r="P366">
        <f t="shared" si="969"/>
        <v>-0.498538011695908</v>
      </c>
      <c r="Q366">
        <f t="shared" si="970"/>
        <v>-15778893.584795371</v>
      </c>
      <c r="R366">
        <f t="shared" si="971"/>
        <v>39985045.899606369</v>
      </c>
      <c r="S366">
        <f t="shared" si="972"/>
        <v>399.85045899606371</v>
      </c>
      <c r="T366">
        <f t="shared" si="973"/>
        <v>0.3998504589960637</v>
      </c>
    </row>
    <row r="367" spans="1:20" x14ac:dyDescent="0.25">
      <c r="A367" s="5">
        <v>44226</v>
      </c>
      <c r="B367">
        <v>0.13780999999999999</v>
      </c>
      <c r="C367">
        <v>0.14465</v>
      </c>
      <c r="D367">
        <v>0.126</v>
      </c>
      <c r="E367">
        <v>0.13833000000000001</v>
      </c>
      <c r="F367">
        <v>44428626.5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0.32225201072386139</v>
      </c>
      <c r="Q367">
        <f t="shared" si="970"/>
        <v>14317214.223324433</v>
      </c>
      <c r="R367">
        <f t="shared" si="971"/>
        <v>55763939.48440174</v>
      </c>
      <c r="S367">
        <f t="shared" si="972"/>
        <v>557.63939484401737</v>
      </c>
      <c r="T367">
        <f t="shared" si="973"/>
        <v>0.55763939484401737</v>
      </c>
    </row>
    <row r="368" spans="1:20" x14ac:dyDescent="0.25">
      <c r="A368" s="5">
        <v>44225</v>
      </c>
      <c r="B368">
        <v>0.13602</v>
      </c>
      <c r="C368">
        <v>0.13976</v>
      </c>
      <c r="D368">
        <v>0.12908</v>
      </c>
      <c r="E368">
        <v>0.13785</v>
      </c>
      <c r="F368">
        <v>49024830.5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0.64232209737827795</v>
      </c>
      <c r="Q368">
        <f t="shared" si="970"/>
        <v>31489731.95037457</v>
      </c>
      <c r="R368">
        <f t="shared" si="971"/>
        <v>41446725.261077307</v>
      </c>
      <c r="S368">
        <f t="shared" si="972"/>
        <v>414.46725261077307</v>
      </c>
      <c r="T368">
        <f t="shared" si="973"/>
        <v>0.41446725261077305</v>
      </c>
    </row>
    <row r="369" spans="1:20" x14ac:dyDescent="0.25">
      <c r="A369" s="5">
        <v>44224</v>
      </c>
      <c r="B369">
        <v>0.13070999999999999</v>
      </c>
      <c r="C369">
        <v>0.14779999999999999</v>
      </c>
      <c r="D369">
        <v>0.12783</v>
      </c>
      <c r="E369">
        <v>0.13608000000000001</v>
      </c>
      <c r="F369">
        <v>52754240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-0.17376064096144092</v>
      </c>
      <c r="Q369">
        <f t="shared" si="970"/>
        <v>-9166610.5558336843</v>
      </c>
      <c r="R369">
        <f t="shared" si="971"/>
        <v>9956993.3107027393</v>
      </c>
      <c r="S369">
        <f t="shared" si="972"/>
        <v>99.569933107027396</v>
      </c>
      <c r="T369">
        <f t="shared" si="973"/>
        <v>9.95699331070274E-2</v>
      </c>
    </row>
    <row r="370" spans="1:20" x14ac:dyDescent="0.25">
      <c r="A370" s="5">
        <v>44223</v>
      </c>
      <c r="B370">
        <v>0.15959000000000001</v>
      </c>
      <c r="C370">
        <v>0.16370000000000001</v>
      </c>
      <c r="D370">
        <v>0.12628</v>
      </c>
      <c r="E370">
        <v>0.13062000000000001</v>
      </c>
      <c r="F370">
        <v>85244875.599999994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-0.76803848209513581</v>
      </c>
      <c r="Q370">
        <f t="shared" si="970"/>
        <v>-65471344.862212673</v>
      </c>
      <c r="R370">
        <f t="shared" si="971"/>
        <v>19123603.866536424</v>
      </c>
      <c r="S370">
        <f t="shared" si="972"/>
        <v>191.23603866536425</v>
      </c>
      <c r="T370">
        <f t="shared" si="973"/>
        <v>0.19123603866536426</v>
      </c>
    </row>
    <row r="371" spans="1:20" x14ac:dyDescent="0.25">
      <c r="A371" s="5">
        <v>44222</v>
      </c>
      <c r="B371">
        <v>0.12903999999999999</v>
      </c>
      <c r="C371">
        <v>0.1699</v>
      </c>
      <c r="D371">
        <v>0.12509999999999999</v>
      </c>
      <c r="E371">
        <v>0.15959999999999999</v>
      </c>
      <c r="F371">
        <v>118602533.3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0.54017857142857129</v>
      </c>
      <c r="Q371">
        <f t="shared" si="970"/>
        <v>64066547.005803555</v>
      </c>
      <c r="R371">
        <f t="shared" si="971"/>
        <v>84594948.728749096</v>
      </c>
      <c r="S371">
        <f t="shared" si="972"/>
        <v>845.94948728749091</v>
      </c>
      <c r="T371">
        <f t="shared" si="973"/>
        <v>0.84594948728749086</v>
      </c>
    </row>
    <row r="372" spans="1:20" x14ac:dyDescent="0.25">
      <c r="A372" s="5">
        <v>44221</v>
      </c>
      <c r="B372">
        <v>0.13411999999999999</v>
      </c>
      <c r="C372">
        <v>0.13707</v>
      </c>
      <c r="D372">
        <v>0.12509999999999999</v>
      </c>
      <c r="E372">
        <v>0.12941</v>
      </c>
      <c r="F372">
        <v>40973243.600000001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-0.2798663324979106</v>
      </c>
      <c r="Q372">
        <f t="shared" si="970"/>
        <v>-11467031.416875487</v>
      </c>
      <c r="R372">
        <f t="shared" si="971"/>
        <v>20528401.722945534</v>
      </c>
      <c r="S372">
        <f t="shared" si="972"/>
        <v>205.28401722945534</v>
      </c>
      <c r="T372">
        <f t="shared" si="973"/>
        <v>0.20528401722945536</v>
      </c>
    </row>
    <row r="373" spans="1:20" x14ac:dyDescent="0.25">
      <c r="A373" s="5">
        <v>44220</v>
      </c>
      <c r="B373">
        <v>0.11797000000000001</v>
      </c>
      <c r="C373">
        <v>0.13961999999999999</v>
      </c>
      <c r="D373">
        <v>0.11704000000000001</v>
      </c>
      <c r="E373">
        <v>0.13397000000000001</v>
      </c>
      <c r="F373">
        <v>44309891.5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0.49955713020372089</v>
      </c>
      <c r="Q373">
        <f t="shared" si="970"/>
        <v>22135322.237378247</v>
      </c>
      <c r="R373">
        <f t="shared" si="971"/>
        <v>31995433.139821019</v>
      </c>
      <c r="S373">
        <f t="shared" si="972"/>
        <v>319.95433139821017</v>
      </c>
      <c r="T373">
        <f t="shared" si="973"/>
        <v>0.31995433139821017</v>
      </c>
    </row>
    <row r="374" spans="1:20" x14ac:dyDescent="0.25">
      <c r="A374" s="5">
        <v>44219</v>
      </c>
      <c r="B374">
        <v>0.11372</v>
      </c>
      <c r="C374">
        <v>0.125</v>
      </c>
      <c r="D374">
        <v>0.11123</v>
      </c>
      <c r="E374">
        <v>0.11826</v>
      </c>
      <c r="F374">
        <v>43210074.600000001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2.1060275962237647E-2</v>
      </c>
      <c r="Q374">
        <f t="shared" si="970"/>
        <v>910016.0954248755</v>
      </c>
      <c r="R374">
        <f t="shared" si="971"/>
        <v>9860110.9024427719</v>
      </c>
      <c r="S374">
        <f t="shared" si="972"/>
        <v>98.601109024427714</v>
      </c>
      <c r="T374">
        <f t="shared" si="973"/>
        <v>9.8601109024427716E-2</v>
      </c>
    </row>
    <row r="375" spans="1:20" x14ac:dyDescent="0.25">
      <c r="A375" s="5">
        <v>44218</v>
      </c>
      <c r="B375">
        <v>0.11624</v>
      </c>
      <c r="C375">
        <v>0.123</v>
      </c>
      <c r="D375">
        <v>9.0899999999999995E-2</v>
      </c>
      <c r="E375">
        <v>0.11391</v>
      </c>
      <c r="F375">
        <v>90739624.900000006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0.43364485981308409</v>
      </c>
      <c r="Q375">
        <f t="shared" si="970"/>
        <v>39348771.919252336</v>
      </c>
      <c r="R375">
        <f t="shared" si="971"/>
        <v>8950094.8070178963</v>
      </c>
      <c r="S375">
        <f t="shared" si="972"/>
        <v>89.500948070178964</v>
      </c>
      <c r="T375">
        <f t="shared" si="973"/>
        <v>8.9500948070178971E-2</v>
      </c>
    </row>
    <row r="376" spans="1:20" x14ac:dyDescent="0.25">
      <c r="A376" s="5">
        <v>44217</v>
      </c>
      <c r="B376">
        <v>0.13627</v>
      </c>
      <c r="C376">
        <v>0.1409</v>
      </c>
      <c r="D376">
        <v>0.11559999999999999</v>
      </c>
      <c r="E376">
        <v>0.11622</v>
      </c>
      <c r="F376">
        <v>49694269.200000003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-0.9509881422924894</v>
      </c>
      <c r="Q376">
        <f t="shared" si="970"/>
        <v>-47258660.749090873</v>
      </c>
      <c r="R376">
        <f t="shared" si="971"/>
        <v>-30398677.11223444</v>
      </c>
      <c r="S376">
        <f t="shared" si="972"/>
        <v>-303.98677112234441</v>
      </c>
      <c r="T376">
        <f t="shared" si="973"/>
        <v>-0.3039867711223444</v>
      </c>
    </row>
    <row r="377" spans="1:20" x14ac:dyDescent="0.25">
      <c r="A377" s="5">
        <v>44216</v>
      </c>
      <c r="B377">
        <v>0.14244000000000001</v>
      </c>
      <c r="C377">
        <v>0.14493</v>
      </c>
      <c r="D377">
        <v>0.12759000000000001</v>
      </c>
      <c r="E377">
        <v>0.13619999999999999</v>
      </c>
      <c r="F377">
        <v>47252567.100000001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-6.9204152249156157E-3</v>
      </c>
      <c r="Q377">
        <f t="shared" si="970"/>
        <v>-327007.38477518671</v>
      </c>
      <c r="R377">
        <f t="shared" si="971"/>
        <v>16859983.636856433</v>
      </c>
      <c r="S377">
        <f t="shared" si="972"/>
        <v>168.59983636856433</v>
      </c>
      <c r="T377">
        <f t="shared" si="973"/>
        <v>0.16859983636856432</v>
      </c>
    </row>
    <row r="378" spans="1:20" x14ac:dyDescent="0.25">
      <c r="A378" s="5">
        <v>44215</v>
      </c>
      <c r="B378">
        <v>0.14573</v>
      </c>
      <c r="C378">
        <v>0.16281000000000001</v>
      </c>
      <c r="D378">
        <v>0.14169999999999999</v>
      </c>
      <c r="E378">
        <v>0.14246</v>
      </c>
      <c r="F378">
        <v>41174584.899999999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-0.92799621032685831</v>
      </c>
      <c r="Q378">
        <f t="shared" si="970"/>
        <v>-38209858.748981483</v>
      </c>
      <c r="R378">
        <f t="shared" si="971"/>
        <v>17186991.021631621</v>
      </c>
      <c r="S378">
        <f t="shared" si="972"/>
        <v>171.86991021631621</v>
      </c>
      <c r="T378">
        <f t="shared" si="973"/>
        <v>0.1718699102163162</v>
      </c>
    </row>
    <row r="379" spans="1:20" x14ac:dyDescent="0.25">
      <c r="A379" s="5">
        <v>44214</v>
      </c>
      <c r="B379">
        <v>0.14013999999999999</v>
      </c>
      <c r="C379">
        <v>0.14995</v>
      </c>
      <c r="D379">
        <v>0.13231999999999999</v>
      </c>
      <c r="E379">
        <v>0.14571000000000001</v>
      </c>
      <c r="F379">
        <v>24538878.199999999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0.51900170164492432</v>
      </c>
      <c r="Q379">
        <f t="shared" si="970"/>
        <v>12735719.542257536</v>
      </c>
      <c r="R379">
        <f t="shared" si="971"/>
        <v>55396849.770613104</v>
      </c>
      <c r="S379">
        <f t="shared" si="972"/>
        <v>553.96849770613107</v>
      </c>
      <c r="T379">
        <f t="shared" si="973"/>
        <v>0.5539684977061311</v>
      </c>
    </row>
    <row r="380" spans="1:20" x14ac:dyDescent="0.25">
      <c r="A380" s="5">
        <v>44213</v>
      </c>
      <c r="B380">
        <v>0.13411000000000001</v>
      </c>
      <c r="C380">
        <v>0.14330000000000001</v>
      </c>
      <c r="D380">
        <v>0.12517</v>
      </c>
      <c r="E380">
        <v>0.13991000000000001</v>
      </c>
      <c r="F380">
        <v>26277086.399999999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0.62603419746276856</v>
      </c>
      <c r="Q380">
        <f t="shared" si="970"/>
        <v>16450354.696083829</v>
      </c>
      <c r="R380">
        <f t="shared" si="971"/>
        <v>42661130.228355572</v>
      </c>
      <c r="S380">
        <f t="shared" si="972"/>
        <v>426.61130228355574</v>
      </c>
      <c r="T380">
        <f t="shared" si="973"/>
        <v>0.42661130228355576</v>
      </c>
    </row>
    <row r="381" spans="1:20" x14ac:dyDescent="0.25">
      <c r="A381" s="5">
        <v>44212</v>
      </c>
      <c r="B381">
        <v>0.13346</v>
      </c>
      <c r="C381">
        <v>0.155</v>
      </c>
      <c r="D381">
        <v>0.12565999999999999</v>
      </c>
      <c r="E381">
        <v>0.13413</v>
      </c>
      <c r="F381">
        <v>34451017.600000001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-0.4226312201772322</v>
      </c>
      <c r="Q381">
        <f t="shared" si="970"/>
        <v>-14560075.604635302</v>
      </c>
      <c r="R381">
        <f t="shared" si="971"/>
        <v>26210775.532271739</v>
      </c>
      <c r="S381">
        <f t="shared" si="972"/>
        <v>262.10775532271737</v>
      </c>
      <c r="T381">
        <f t="shared" si="973"/>
        <v>0.26210775532271735</v>
      </c>
    </row>
    <row r="382" spans="1:20" x14ac:dyDescent="0.25">
      <c r="A382" s="5">
        <v>44211</v>
      </c>
      <c r="B382">
        <v>0.12825</v>
      </c>
      <c r="C382">
        <v>0.14668999999999999</v>
      </c>
      <c r="D382">
        <v>0.11965000000000001</v>
      </c>
      <c r="E382">
        <v>0.13303999999999999</v>
      </c>
      <c r="F382">
        <v>53297550.899999999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-9.615384615385001E-3</v>
      </c>
      <c r="Q382">
        <f t="shared" si="970"/>
        <v>-512476.45096155902</v>
      </c>
      <c r="R382">
        <f t="shared" si="971"/>
        <v>40770851.136907041</v>
      </c>
      <c r="S382">
        <f t="shared" si="972"/>
        <v>407.70851136907044</v>
      </c>
      <c r="T382">
        <f t="shared" si="973"/>
        <v>0.40770851136907044</v>
      </c>
    </row>
    <row r="383" spans="1:20" x14ac:dyDescent="0.25">
      <c r="A383" s="5">
        <v>44210</v>
      </c>
      <c r="B383">
        <v>0.11196</v>
      </c>
      <c r="C383">
        <v>0.129</v>
      </c>
      <c r="D383">
        <v>0.10688</v>
      </c>
      <c r="E383">
        <v>0.12825</v>
      </c>
      <c r="F383">
        <v>48406505.799999997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0.9321880650994574</v>
      </c>
      <c r="Q383">
        <f t="shared" si="970"/>
        <v>45123966.979927659</v>
      </c>
      <c r="R383">
        <f t="shared" si="971"/>
        <v>41283327.587868601</v>
      </c>
      <c r="S383">
        <f t="shared" si="972"/>
        <v>412.83327587868604</v>
      </c>
      <c r="T383">
        <f t="shared" si="973"/>
        <v>0.41283327587868601</v>
      </c>
    </row>
    <row r="384" spans="1:20" x14ac:dyDescent="0.25">
      <c r="A384" s="5">
        <v>44209</v>
      </c>
      <c r="B384">
        <v>0.10063999999999999</v>
      </c>
      <c r="C384">
        <v>0.11862</v>
      </c>
      <c r="D384">
        <v>9.9659999999999999E-2</v>
      </c>
      <c r="E384">
        <v>0.11183999999999999</v>
      </c>
      <c r="F384">
        <v>37971165.700000003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0.28481012658227778</v>
      </c>
      <c r="Q384">
        <f t="shared" si="970"/>
        <v>10814572.509493645</v>
      </c>
      <c r="R384">
        <f t="shared" si="971"/>
        <v>-3840639.3920590598</v>
      </c>
      <c r="S384">
        <f t="shared" si="972"/>
        <v>-38.406393920590595</v>
      </c>
      <c r="T384">
        <f t="shared" si="973"/>
        <v>-3.8406393920590594E-2</v>
      </c>
    </row>
    <row r="385" spans="1:20" x14ac:dyDescent="0.25">
      <c r="A385" s="5">
        <v>44208</v>
      </c>
      <c r="B385">
        <v>9.7479999999999997E-2</v>
      </c>
      <c r="C385">
        <v>0.1067</v>
      </c>
      <c r="D385">
        <v>9.3429999999999999E-2</v>
      </c>
      <c r="E385">
        <v>0.10106999999999999</v>
      </c>
      <c r="F385">
        <v>38088781.600000001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0.15146948003014193</v>
      </c>
      <c r="Q385">
        <f t="shared" si="970"/>
        <v>5769287.9439336378</v>
      </c>
      <c r="R385">
        <f t="shared" si="971"/>
        <v>-14655211.901552705</v>
      </c>
      <c r="S385">
        <f t="shared" si="972"/>
        <v>-146.55211901552704</v>
      </c>
      <c r="T385">
        <f t="shared" si="973"/>
        <v>-0.14655211901552703</v>
      </c>
    </row>
    <row r="386" spans="1:20" x14ac:dyDescent="0.25">
      <c r="A386" s="5">
        <v>44207</v>
      </c>
      <c r="B386">
        <v>0.10224</v>
      </c>
      <c r="C386">
        <v>0.10333000000000001</v>
      </c>
      <c r="D386">
        <v>8.6800000000000002E-2</v>
      </c>
      <c r="E386">
        <v>9.7739999999999994E-2</v>
      </c>
      <c r="F386">
        <v>128020310.3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0.32365396249243672</v>
      </c>
      <c r="Q386">
        <f t="shared" si="970"/>
        <v>41434280.708106309</v>
      </c>
      <c r="R386">
        <f t="shared" si="971"/>
        <v>-20424499.845486343</v>
      </c>
      <c r="S386">
        <f t="shared" si="972"/>
        <v>-204.24499845486343</v>
      </c>
      <c r="T386">
        <f t="shared" si="973"/>
        <v>-0.20424499845486344</v>
      </c>
    </row>
    <row r="387" spans="1:20" x14ac:dyDescent="0.25">
      <c r="A387" s="5">
        <v>44206</v>
      </c>
      <c r="B387">
        <v>0.10997</v>
      </c>
      <c r="C387">
        <v>0.125</v>
      </c>
      <c r="D387">
        <v>9.4960000000000003E-2</v>
      </c>
      <c r="E387">
        <v>0.10221</v>
      </c>
      <c r="F387">
        <v>91228164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-0.51731025299600575</v>
      </c>
      <c r="Q387">
        <f t="shared" si="970"/>
        <v>-47193264.599201106</v>
      </c>
      <c r="R387">
        <f t="shared" si="971"/>
        <v>-61858780.553592652</v>
      </c>
      <c r="S387">
        <f t="shared" si="972"/>
        <v>-618.58780553592658</v>
      </c>
      <c r="T387">
        <f t="shared" si="973"/>
        <v>-0.61858780553592663</v>
      </c>
    </row>
    <row r="388" spans="1:20" x14ac:dyDescent="0.25">
      <c r="A388" s="5">
        <v>44205</v>
      </c>
      <c r="B388">
        <v>0.10945000000000001</v>
      </c>
      <c r="C388">
        <v>0.11385000000000001</v>
      </c>
      <c r="D388">
        <v>0.10598</v>
      </c>
      <c r="E388">
        <v>0.11008</v>
      </c>
      <c r="F388">
        <v>29586257.800000001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4.1931385006351081E-2</v>
      </c>
      <c r="Q388">
        <f t="shared" si="970"/>
        <v>1240592.7667089577</v>
      </c>
      <c r="R388">
        <f t="shared" si="971"/>
        <v>-14665515.954391545</v>
      </c>
      <c r="S388">
        <f t="shared" si="972"/>
        <v>-146.65515954391546</v>
      </c>
      <c r="T388">
        <f t="shared" si="973"/>
        <v>-0.14665515954391545</v>
      </c>
    </row>
    <row r="389" spans="1:20" x14ac:dyDescent="0.25">
      <c r="A389" s="5">
        <v>44204</v>
      </c>
      <c r="B389">
        <v>0.11269999999999999</v>
      </c>
      <c r="C389">
        <v>0.11884</v>
      </c>
      <c r="D389">
        <v>9.7019999999999995E-2</v>
      </c>
      <c r="E389">
        <v>0.10936</v>
      </c>
      <c r="F389">
        <v>46214206.200000003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0.13107241063244732</v>
      </c>
      <c r="Q389">
        <f t="shared" si="970"/>
        <v>6057407.4120989935</v>
      </c>
      <c r="R389">
        <f t="shared" si="971"/>
        <v>-15906108.721100502</v>
      </c>
      <c r="S389">
        <f t="shared" si="972"/>
        <v>-159.06108721100503</v>
      </c>
      <c r="T389">
        <f t="shared" si="973"/>
        <v>-0.15906108721100504</v>
      </c>
    </row>
    <row r="390" spans="1:20" x14ac:dyDescent="0.25">
      <c r="A390" s="5">
        <v>44203</v>
      </c>
      <c r="B390">
        <v>0.112</v>
      </c>
      <c r="C390">
        <v>0.12203</v>
      </c>
      <c r="D390">
        <v>0.1045</v>
      </c>
      <c r="E390">
        <v>0.11235000000000001</v>
      </c>
      <c r="F390">
        <v>39266166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-0.10439247005133964</v>
      </c>
      <c r="Q390">
        <f t="shared" ref="Q390:Q453" si="975">F390*P390</f>
        <v>-4099092.0581859308</v>
      </c>
      <c r="R390">
        <f t="shared" ref="R390:R453" si="976">R391+Q390</f>
        <v>-21963516.133199494</v>
      </c>
      <c r="S390">
        <f t="shared" ref="S390:S453" si="977">R390/100000</f>
        <v>-219.63516133199494</v>
      </c>
      <c r="T390">
        <f t="shared" ref="T390:T453" si="978">S390/1000</f>
        <v>-0.21963516133199493</v>
      </c>
    </row>
    <row r="391" spans="1:20" x14ac:dyDescent="0.25">
      <c r="A391" s="5">
        <v>44202</v>
      </c>
      <c r="B391">
        <v>0.11119999999999999</v>
      </c>
      <c r="C391">
        <v>0.11612</v>
      </c>
      <c r="D391">
        <v>0.10344</v>
      </c>
      <c r="E391">
        <v>0.11199000000000001</v>
      </c>
      <c r="F391">
        <v>47367497.100000001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0.34858044164037921</v>
      </c>
      <c r="Q391">
        <f t="shared" si="975"/>
        <v>16511383.058517382</v>
      </c>
      <c r="R391">
        <f t="shared" si="976"/>
        <v>-17864424.075013563</v>
      </c>
      <c r="S391">
        <f t="shared" si="977"/>
        <v>-178.64424075013562</v>
      </c>
      <c r="T391">
        <f t="shared" si="978"/>
        <v>-0.17864424075013563</v>
      </c>
    </row>
    <row r="392" spans="1:20" x14ac:dyDescent="0.25">
      <c r="A392" s="5">
        <v>44201</v>
      </c>
      <c r="B392">
        <v>9.4039999999999999E-2</v>
      </c>
      <c r="C392">
        <v>0.11321000000000001</v>
      </c>
      <c r="D392">
        <v>8.5690000000000002E-2</v>
      </c>
      <c r="E392">
        <v>0.11089</v>
      </c>
      <c r="F392">
        <v>86306686.700000003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0.83139534883720911</v>
      </c>
      <c r="Q392">
        <f t="shared" si="975"/>
        <v>71754977.895930216</v>
      </c>
      <c r="R392">
        <f t="shared" si="976"/>
        <v>-34375807.133530945</v>
      </c>
      <c r="S392">
        <f t="shared" si="977"/>
        <v>-343.75807133530947</v>
      </c>
      <c r="T392">
        <f t="shared" si="978"/>
        <v>-0.34375807133530945</v>
      </c>
    </row>
    <row r="393" spans="1:20" x14ac:dyDescent="0.25">
      <c r="A393" s="5">
        <v>44200</v>
      </c>
      <c r="B393">
        <v>8.6559999999999998E-2</v>
      </c>
      <c r="C393">
        <v>9.4969999999999999E-2</v>
      </c>
      <c r="D393">
        <v>8.0500000000000002E-2</v>
      </c>
      <c r="E393">
        <v>9.4009999999999996E-2</v>
      </c>
      <c r="F393">
        <v>54088783.100000001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0.86731167933655806</v>
      </c>
      <c r="Q393">
        <f t="shared" si="975"/>
        <v>46911833.303731844</v>
      </c>
      <c r="R393">
        <f t="shared" si="976"/>
        <v>-106130785.02946116</v>
      </c>
      <c r="S393">
        <f t="shared" si="977"/>
        <v>-1061.3078502946116</v>
      </c>
      <c r="T393">
        <f t="shared" si="978"/>
        <v>-1.0613078502946116</v>
      </c>
    </row>
    <row r="394" spans="1:20" x14ac:dyDescent="0.25">
      <c r="A394" s="5">
        <v>44199</v>
      </c>
      <c r="B394">
        <v>7.671E-2</v>
      </c>
      <c r="C394">
        <v>9.0620000000000006E-2</v>
      </c>
      <c r="D394">
        <v>7.6520000000000005E-2</v>
      </c>
      <c r="E394">
        <v>8.6559999999999998E-2</v>
      </c>
      <c r="F394">
        <v>43222259.299999997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0.42411347517730386</v>
      </c>
      <c r="Q394">
        <f t="shared" si="975"/>
        <v>18331142.596737541</v>
      </c>
      <c r="R394">
        <f t="shared" si="976"/>
        <v>-153042618.333193</v>
      </c>
      <c r="S394">
        <f t="shared" si="977"/>
        <v>-1530.4261833319301</v>
      </c>
      <c r="T394">
        <f t="shared" si="978"/>
        <v>-1.5304261833319301</v>
      </c>
    </row>
    <row r="395" spans="1:20" x14ac:dyDescent="0.25">
      <c r="A395" s="5">
        <v>44198</v>
      </c>
      <c r="B395">
        <v>8.0060000000000006E-2</v>
      </c>
      <c r="C395">
        <v>8.0390000000000003E-2</v>
      </c>
      <c r="D395">
        <v>7.4700000000000003E-2</v>
      </c>
      <c r="E395">
        <v>7.6590000000000005E-2</v>
      </c>
      <c r="F395">
        <v>34859290.5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-0.33567662565905004</v>
      </c>
      <c r="Q395">
        <f t="shared" si="975"/>
        <v>-11701449.007908579</v>
      </c>
      <c r="R395">
        <f t="shared" si="976"/>
        <v>-171373760.92993054</v>
      </c>
      <c r="S395">
        <f t="shared" si="977"/>
        <v>-1713.7376092993054</v>
      </c>
      <c r="T395">
        <f t="shared" si="978"/>
        <v>-1.7137376092993053</v>
      </c>
    </row>
    <row r="396" spans="1:20" x14ac:dyDescent="0.25">
      <c r="A396" s="5">
        <v>44197</v>
      </c>
      <c r="B396">
        <v>7.8789999999999999E-2</v>
      </c>
      <c r="C396">
        <v>8.4000000000000005E-2</v>
      </c>
      <c r="D396">
        <v>7.4270000000000003E-2</v>
      </c>
      <c r="E396">
        <v>7.9969999999999999E-2</v>
      </c>
      <c r="F396">
        <v>34381732.799999997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0.17163412127440808</v>
      </c>
      <c r="Q396">
        <f t="shared" si="975"/>
        <v>5901078.497019494</v>
      </c>
      <c r="R396">
        <f t="shared" si="976"/>
        <v>-159672311.92202196</v>
      </c>
      <c r="S396">
        <f t="shared" si="977"/>
        <v>-1596.7231192202196</v>
      </c>
      <c r="T396">
        <f t="shared" si="978"/>
        <v>-1.5967231192202196</v>
      </c>
    </row>
    <row r="397" spans="1:20" x14ac:dyDescent="0.25">
      <c r="A397" s="5">
        <v>44196</v>
      </c>
      <c r="B397">
        <v>7.7259999999999995E-2</v>
      </c>
      <c r="C397">
        <v>8.0890000000000004E-2</v>
      </c>
      <c r="D397">
        <v>7.3370000000000005E-2</v>
      </c>
      <c r="E397">
        <v>7.8780000000000003E-2</v>
      </c>
      <c r="F397">
        <v>18959780.800000001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0.43882978723404226</v>
      </c>
      <c r="Q397">
        <f t="shared" si="975"/>
        <v>8320116.57446808</v>
      </c>
      <c r="R397">
        <f t="shared" si="976"/>
        <v>-165573390.41904145</v>
      </c>
      <c r="S397">
        <f t="shared" si="977"/>
        <v>-1655.7339041904145</v>
      </c>
      <c r="T397">
        <f t="shared" si="978"/>
        <v>-1.6557339041904144</v>
      </c>
    </row>
    <row r="398" spans="1:20" x14ac:dyDescent="0.25">
      <c r="A398" s="5">
        <v>44195</v>
      </c>
      <c r="B398">
        <v>8.0579999999999999E-2</v>
      </c>
      <c r="C398">
        <v>8.1210000000000004E-2</v>
      </c>
      <c r="D398">
        <v>7.4999999999999997E-2</v>
      </c>
      <c r="E398">
        <v>7.7259999999999995E-2</v>
      </c>
      <c r="F398">
        <v>23502979</v>
      </c>
      <c r="G398">
        <v>0</v>
      </c>
      <c r="L398" t="s">
        <v>8</v>
      </c>
      <c r="M398" t="s">
        <v>7</v>
      </c>
      <c r="N398" t="s">
        <v>8</v>
      </c>
      <c r="P398">
        <f t="shared" si="974"/>
        <v>-0.27214170692431705</v>
      </c>
      <c r="Q398">
        <f t="shared" si="975"/>
        <v>-6396140.8228663784</v>
      </c>
      <c r="R398">
        <f t="shared" si="976"/>
        <v>-173893506.99350953</v>
      </c>
      <c r="S398">
        <f t="shared" si="977"/>
        <v>-1738.9350699350953</v>
      </c>
      <c r="T398">
        <f t="shared" si="978"/>
        <v>-1.7389350699350952</v>
      </c>
    </row>
    <row r="399" spans="1:20" x14ac:dyDescent="0.25">
      <c r="A399" s="5">
        <v>44194</v>
      </c>
      <c r="B399">
        <v>8.7389999999999995E-2</v>
      </c>
      <c r="C399">
        <v>9.2789999999999997E-2</v>
      </c>
      <c r="D399">
        <v>7.4679999999999996E-2</v>
      </c>
      <c r="E399">
        <v>8.0310000000000006E-2</v>
      </c>
      <c r="F399">
        <v>54290784.700000003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-0.37824406405300831</v>
      </c>
      <c r="Q399">
        <f t="shared" si="975"/>
        <v>-20535167.045554884</v>
      </c>
      <c r="R399">
        <f t="shared" si="976"/>
        <v>-167497366.17064315</v>
      </c>
      <c r="S399">
        <f t="shared" si="977"/>
        <v>-1674.9736617064316</v>
      </c>
      <c r="T399">
        <f t="shared" si="978"/>
        <v>-1.6749736617064317</v>
      </c>
    </row>
    <row r="400" spans="1:20" x14ac:dyDescent="0.25">
      <c r="A400" s="5">
        <v>44193</v>
      </c>
      <c r="B400">
        <v>8.9539999999999995E-2</v>
      </c>
      <c r="C400">
        <v>9.5500000000000002E-2</v>
      </c>
      <c r="D400">
        <v>8.6099999999999996E-2</v>
      </c>
      <c r="E400">
        <v>8.7309999999999999E-2</v>
      </c>
      <c r="F400">
        <v>27799022.899999999</v>
      </c>
      <c r="G400">
        <v>0</v>
      </c>
      <c r="L400" t="s">
        <v>7</v>
      </c>
      <c r="M400" t="s">
        <v>8</v>
      </c>
      <c r="N400" t="s">
        <v>8</v>
      </c>
      <c r="P400">
        <f t="shared" si="974"/>
        <v>-0.74255319148936128</v>
      </c>
      <c r="Q400">
        <f t="shared" si="975"/>
        <v>-20642253.174680836</v>
      </c>
      <c r="R400">
        <f t="shared" si="976"/>
        <v>-146962199.12508827</v>
      </c>
      <c r="S400">
        <f t="shared" si="977"/>
        <v>-1469.6219912508827</v>
      </c>
      <c r="T400">
        <f t="shared" si="978"/>
        <v>-1.4696219912508828</v>
      </c>
    </row>
    <row r="401" spans="1:20" x14ac:dyDescent="0.25">
      <c r="A401" s="5">
        <v>44192</v>
      </c>
      <c r="B401">
        <v>9.103E-2</v>
      </c>
      <c r="C401">
        <v>9.7449999999999995E-2</v>
      </c>
      <c r="D401">
        <v>8.523E-2</v>
      </c>
      <c r="E401">
        <v>8.9429999999999996E-2</v>
      </c>
      <c r="F401">
        <v>64534830.299999997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-0.31260229132569606</v>
      </c>
      <c r="Q401">
        <f t="shared" si="975"/>
        <v>-20173735.822094955</v>
      </c>
      <c r="R401">
        <f t="shared" si="976"/>
        <v>-126319945.95040745</v>
      </c>
      <c r="S401">
        <f t="shared" si="977"/>
        <v>-1263.1994595040744</v>
      </c>
      <c r="T401">
        <f t="shared" si="978"/>
        <v>-1.2631994595040743</v>
      </c>
    </row>
    <row r="402" spans="1:20" x14ac:dyDescent="0.25">
      <c r="A402" s="5">
        <v>44191</v>
      </c>
      <c r="B402">
        <v>8.9929999999999996E-2</v>
      </c>
      <c r="C402">
        <v>9.5570000000000002E-2</v>
      </c>
      <c r="D402">
        <v>8.0990000000000006E-2</v>
      </c>
      <c r="E402">
        <v>9.103E-2</v>
      </c>
      <c r="F402">
        <v>45508965.700000003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0.37722908093278412</v>
      </c>
      <c r="Q402">
        <f t="shared" si="975"/>
        <v>17167305.305212598</v>
      </c>
      <c r="R402">
        <f t="shared" si="976"/>
        <v>-106146210.12831248</v>
      </c>
      <c r="S402">
        <f t="shared" si="977"/>
        <v>-1061.4621012831249</v>
      </c>
      <c r="T402">
        <f t="shared" si="978"/>
        <v>-1.0614621012831249</v>
      </c>
    </row>
    <row r="403" spans="1:20" x14ac:dyDescent="0.25">
      <c r="A403" s="5">
        <v>44190</v>
      </c>
      <c r="B403">
        <v>8.1500000000000003E-2</v>
      </c>
      <c r="C403">
        <v>9.2200000000000004E-2</v>
      </c>
      <c r="D403">
        <v>7.5249999999999997E-2</v>
      </c>
      <c r="E403">
        <v>8.9880000000000002E-2</v>
      </c>
      <c r="F403">
        <v>64037394.799999997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0.726253687315634</v>
      </c>
      <c r="Q403">
        <f t="shared" si="975"/>
        <v>46507394.099587001</v>
      </c>
      <c r="R403">
        <f t="shared" si="976"/>
        <v>-123313515.43352509</v>
      </c>
      <c r="S403">
        <f t="shared" si="977"/>
        <v>-1233.1351543352509</v>
      </c>
      <c r="T403">
        <f t="shared" si="978"/>
        <v>-1.2331351543352509</v>
      </c>
    </row>
    <row r="404" spans="1:20" x14ac:dyDescent="0.25">
      <c r="A404" s="5">
        <v>44189</v>
      </c>
      <c r="B404">
        <v>6.7549999999999999E-2</v>
      </c>
      <c r="C404">
        <v>8.2430000000000003E-2</v>
      </c>
      <c r="D404">
        <v>6.5409999999999996E-2</v>
      </c>
      <c r="E404">
        <v>8.1570000000000004E-2</v>
      </c>
      <c r="F404">
        <v>97200359.099999994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0.89894242068155117</v>
      </c>
      <c r="Q404">
        <f t="shared" si="975"/>
        <v>87377526.100470036</v>
      </c>
      <c r="R404">
        <f t="shared" si="976"/>
        <v>-169820909.53311208</v>
      </c>
      <c r="S404">
        <f t="shared" si="977"/>
        <v>-1698.2090953311208</v>
      </c>
      <c r="T404">
        <f t="shared" si="978"/>
        <v>-1.6982090953311209</v>
      </c>
    </row>
    <row r="405" spans="1:20" x14ac:dyDescent="0.25">
      <c r="A405" s="5">
        <v>44188</v>
      </c>
      <c r="B405">
        <v>9.4780000000000003E-2</v>
      </c>
      <c r="C405">
        <v>9.4869999999999996E-2</v>
      </c>
      <c r="D405">
        <v>5.8799999999999998E-2</v>
      </c>
      <c r="E405">
        <v>6.787E-2</v>
      </c>
      <c r="F405">
        <v>90401794.700000003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-0.49708899362350972</v>
      </c>
      <c r="Q405">
        <f t="shared" si="975"/>
        <v>-44937737.149182133</v>
      </c>
      <c r="R405">
        <f t="shared" si="976"/>
        <v>-257198435.63358212</v>
      </c>
      <c r="S405">
        <f t="shared" si="977"/>
        <v>-2571.9843563358213</v>
      </c>
      <c r="T405">
        <f t="shared" si="978"/>
        <v>-2.5719843563358213</v>
      </c>
    </row>
    <row r="406" spans="1:20" x14ac:dyDescent="0.25">
      <c r="A406" s="5">
        <v>44187</v>
      </c>
      <c r="B406">
        <v>9.8909999999999998E-2</v>
      </c>
      <c r="C406">
        <v>0.10038999999999999</v>
      </c>
      <c r="D406">
        <v>0.09</v>
      </c>
      <c r="E406">
        <v>9.4409999999999994E-2</v>
      </c>
      <c r="F406">
        <v>46573277.899999999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-0.15110683349374424</v>
      </c>
      <c r="Q406">
        <f t="shared" si="975"/>
        <v>-7037540.5488931779</v>
      </c>
      <c r="R406">
        <f t="shared" si="976"/>
        <v>-212260698.48439997</v>
      </c>
      <c r="S406">
        <f t="shared" si="977"/>
        <v>-2122.6069848439997</v>
      </c>
      <c r="T406">
        <f t="shared" si="978"/>
        <v>-2.1226069848439999</v>
      </c>
    </row>
    <row r="407" spans="1:20" x14ac:dyDescent="0.25">
      <c r="A407" s="5">
        <v>44186</v>
      </c>
      <c r="B407">
        <v>0.10653</v>
      </c>
      <c r="C407">
        <v>0.11463</v>
      </c>
      <c r="D407">
        <v>9.4E-2</v>
      </c>
      <c r="E407">
        <v>9.8909999999999998E-2</v>
      </c>
      <c r="F407">
        <v>61191647.899999999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-0.52399418322830837</v>
      </c>
      <c r="Q407">
        <f t="shared" si="975"/>
        <v>-32064067.56175473</v>
      </c>
      <c r="R407">
        <f t="shared" si="976"/>
        <v>-205223157.93550679</v>
      </c>
      <c r="S407">
        <f t="shared" si="977"/>
        <v>-2052.2315793550679</v>
      </c>
      <c r="T407">
        <f t="shared" si="978"/>
        <v>-2.0522315793550678</v>
      </c>
    </row>
    <row r="408" spans="1:20" x14ac:dyDescent="0.25">
      <c r="A408" s="5">
        <v>44185</v>
      </c>
      <c r="B408">
        <v>0.12042</v>
      </c>
      <c r="C408">
        <v>0.13295999999999999</v>
      </c>
      <c r="D408">
        <v>0.104</v>
      </c>
      <c r="E408">
        <v>0.10682</v>
      </c>
      <c r="F408">
        <v>123997331.5</v>
      </c>
      <c r="G408">
        <v>0</v>
      </c>
      <c r="L408" t="s">
        <v>8</v>
      </c>
      <c r="M408" t="s">
        <v>7</v>
      </c>
      <c r="N408" t="s">
        <v>7</v>
      </c>
      <c r="P408">
        <f t="shared" si="974"/>
        <v>-0.80524861878453013</v>
      </c>
      <c r="Q408">
        <f t="shared" si="975"/>
        <v>-99848679.923342511</v>
      </c>
      <c r="R408">
        <f t="shared" si="976"/>
        <v>-173159090.37375206</v>
      </c>
      <c r="S408">
        <f t="shared" si="977"/>
        <v>-1731.5909037375206</v>
      </c>
      <c r="T408">
        <f t="shared" si="978"/>
        <v>-1.7315909037375206</v>
      </c>
    </row>
    <row r="409" spans="1:20" x14ac:dyDescent="0.25">
      <c r="A409" s="5">
        <v>44184</v>
      </c>
      <c r="B409">
        <v>0.10664</v>
      </c>
      <c r="C409">
        <v>0.13164000000000001</v>
      </c>
      <c r="D409">
        <v>0.10211000000000001</v>
      </c>
      <c r="E409">
        <v>0.12042</v>
      </c>
      <c r="F409">
        <v>109415179.7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0.24009481882830969</v>
      </c>
      <c r="Q409">
        <f t="shared" si="975"/>
        <v>26270017.747138448</v>
      </c>
      <c r="R409">
        <f t="shared" si="976"/>
        <v>-73310410.450409532</v>
      </c>
      <c r="S409">
        <f t="shared" si="977"/>
        <v>-733.10410450409529</v>
      </c>
      <c r="T409">
        <f t="shared" si="978"/>
        <v>-0.73310410450409524</v>
      </c>
    </row>
    <row r="410" spans="1:20" x14ac:dyDescent="0.25">
      <c r="A410" s="5">
        <v>44183</v>
      </c>
      <c r="B410">
        <v>9.9000000000000005E-2</v>
      </c>
      <c r="C410">
        <v>0.10800999999999999</v>
      </c>
      <c r="D410">
        <v>9.2439999999999994E-2</v>
      </c>
      <c r="E410">
        <v>0.10624</v>
      </c>
      <c r="F410">
        <v>68532245.799999997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0.77263969171483704</v>
      </c>
      <c r="Q410">
        <f t="shared" si="975"/>
        <v>52950733.267437436</v>
      </c>
      <c r="R410">
        <f t="shared" si="976"/>
        <v>-99580428.197547972</v>
      </c>
      <c r="S410">
        <f t="shared" si="977"/>
        <v>-995.80428197547974</v>
      </c>
      <c r="T410">
        <f t="shared" si="978"/>
        <v>-0.99580428197547977</v>
      </c>
    </row>
    <row r="411" spans="1:20" x14ac:dyDescent="0.25">
      <c r="A411" s="5">
        <v>44182</v>
      </c>
      <c r="B411">
        <v>0.11277</v>
      </c>
      <c r="C411">
        <v>0.115</v>
      </c>
      <c r="D411">
        <v>9.6210000000000004E-2</v>
      </c>
      <c r="E411">
        <v>9.9049999999999999E-2</v>
      </c>
      <c r="F411">
        <v>66875203.600000001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-0.69771154869611551</v>
      </c>
      <c r="Q411">
        <f t="shared" si="975"/>
        <v>-46659601.873124041</v>
      </c>
      <c r="R411">
        <f t="shared" si="976"/>
        <v>-152531161.4649854</v>
      </c>
      <c r="S411">
        <f t="shared" si="977"/>
        <v>-1525.3116146498539</v>
      </c>
      <c r="T411">
        <f t="shared" si="978"/>
        <v>-1.525311614649854</v>
      </c>
    </row>
    <row r="412" spans="1:20" x14ac:dyDescent="0.25">
      <c r="A412" s="5">
        <v>44181</v>
      </c>
      <c r="B412">
        <v>0.11641</v>
      </c>
      <c r="C412">
        <v>0.11899999999999999</v>
      </c>
      <c r="D412">
        <v>0.10715</v>
      </c>
      <c r="E412">
        <v>0.11278000000000001</v>
      </c>
      <c r="F412">
        <v>61058522.399999999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-4.9789029535863248E-2</v>
      </c>
      <c r="Q412">
        <f t="shared" si="975"/>
        <v>-3040044.5751897679</v>
      </c>
      <c r="R412">
        <f t="shared" si="976"/>
        <v>-105871559.59186137</v>
      </c>
      <c r="S412">
        <f t="shared" si="977"/>
        <v>-1058.7155959186136</v>
      </c>
      <c r="T412">
        <f t="shared" si="978"/>
        <v>-1.0587155959186136</v>
      </c>
    </row>
    <row r="413" spans="1:20" x14ac:dyDescent="0.25">
      <c r="A413" s="5">
        <v>44180</v>
      </c>
      <c r="B413">
        <v>0.11532000000000001</v>
      </c>
      <c r="C413">
        <v>0.1235</v>
      </c>
      <c r="D413">
        <v>0.11305999999999999</v>
      </c>
      <c r="E413">
        <v>0.11662</v>
      </c>
      <c r="F413">
        <v>59356351.5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-0.3180076628352479</v>
      </c>
      <c r="Q413">
        <f t="shared" si="975"/>
        <v>-18875774.614942461</v>
      </c>
      <c r="R413">
        <f t="shared" si="976"/>
        <v>-102831515.0166716</v>
      </c>
      <c r="S413">
        <f t="shared" si="977"/>
        <v>-1028.315150166716</v>
      </c>
      <c r="T413">
        <f t="shared" si="978"/>
        <v>-1.028315150166716</v>
      </c>
    </row>
    <row r="414" spans="1:20" x14ac:dyDescent="0.25">
      <c r="A414" s="5">
        <v>44179</v>
      </c>
      <c r="B414">
        <v>0.11815000000000001</v>
      </c>
      <c r="C414">
        <v>0.12016</v>
      </c>
      <c r="D414">
        <v>0.11005</v>
      </c>
      <c r="E414">
        <v>0.11561</v>
      </c>
      <c r="F414">
        <v>56995728.299999997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9.9901088031652832E-2</v>
      </c>
      <c r="Q414">
        <f t="shared" si="975"/>
        <v>5693935.2703264663</v>
      </c>
      <c r="R414">
        <f t="shared" si="976"/>
        <v>-83955740.401729137</v>
      </c>
      <c r="S414">
        <f t="shared" si="977"/>
        <v>-839.55740401729133</v>
      </c>
      <c r="T414">
        <f t="shared" si="978"/>
        <v>-0.83955740401729129</v>
      </c>
    </row>
    <row r="415" spans="1:20" x14ac:dyDescent="0.25">
      <c r="A415" s="5">
        <v>44178</v>
      </c>
      <c r="B415">
        <v>0.12288</v>
      </c>
      <c r="C415">
        <v>0.12665999999999999</v>
      </c>
      <c r="D415">
        <v>0.11552999999999999</v>
      </c>
      <c r="E415">
        <v>0.11815000000000001</v>
      </c>
      <c r="F415">
        <v>62555234.799999997</v>
      </c>
      <c r="G415">
        <v>0</v>
      </c>
      <c r="L415" t="s">
        <v>7</v>
      </c>
      <c r="M415" t="s">
        <v>7</v>
      </c>
      <c r="N415" t="s">
        <v>8</v>
      </c>
      <c r="P415">
        <f t="shared" si="974"/>
        <v>-0.52920035938903665</v>
      </c>
      <c r="Q415">
        <f t="shared" si="975"/>
        <v>-33104252.737825569</v>
      </c>
      <c r="R415">
        <f t="shared" si="976"/>
        <v>-89649675.672055602</v>
      </c>
      <c r="S415">
        <f t="shared" si="977"/>
        <v>-896.49675672055605</v>
      </c>
      <c r="T415">
        <f t="shared" si="978"/>
        <v>-0.89649675672055607</v>
      </c>
    </row>
    <row r="416" spans="1:20" x14ac:dyDescent="0.25">
      <c r="A416" s="5">
        <v>44177</v>
      </c>
      <c r="B416">
        <v>0.11534999999999999</v>
      </c>
      <c r="C416">
        <v>0.13134000000000001</v>
      </c>
      <c r="D416">
        <v>0.11511</v>
      </c>
      <c r="E416">
        <v>0.12288</v>
      </c>
      <c r="F416">
        <v>80736013.400000006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-4.2513863216266774E-2</v>
      </c>
      <c r="Q416">
        <f t="shared" si="975"/>
        <v>-3432399.8303142819</v>
      </c>
      <c r="R416">
        <f t="shared" si="976"/>
        <v>-56545422.93423003</v>
      </c>
      <c r="S416">
        <f t="shared" si="977"/>
        <v>-565.45422934230032</v>
      </c>
      <c r="T416">
        <f t="shared" si="978"/>
        <v>-0.56545422934230027</v>
      </c>
    </row>
    <row r="417" spans="1:20" x14ac:dyDescent="0.25">
      <c r="A417" s="5">
        <v>44176</v>
      </c>
      <c r="B417">
        <v>0.12436</v>
      </c>
      <c r="C417">
        <v>0.12640000000000001</v>
      </c>
      <c r="D417">
        <v>0.11354</v>
      </c>
      <c r="E417">
        <v>0.1153</v>
      </c>
      <c r="F417">
        <v>107349760.7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-0.72628304821150913</v>
      </c>
      <c r="Q417">
        <f t="shared" si="975"/>
        <v>-77966311.425972074</v>
      </c>
      <c r="R417">
        <f t="shared" si="976"/>
        <v>-53113023.103915751</v>
      </c>
      <c r="S417">
        <f t="shared" si="977"/>
        <v>-531.13023103915748</v>
      </c>
      <c r="T417">
        <f t="shared" si="978"/>
        <v>-0.53113023103915746</v>
      </c>
    </row>
    <row r="418" spans="1:20" x14ac:dyDescent="0.25">
      <c r="A418" s="5">
        <v>44175</v>
      </c>
      <c r="B418">
        <v>0.13764000000000001</v>
      </c>
      <c r="C418">
        <v>0.15</v>
      </c>
      <c r="D418">
        <v>0.123</v>
      </c>
      <c r="E418">
        <v>0.12436</v>
      </c>
      <c r="F418">
        <v>166793403.80000001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-0.8992592592592592</v>
      </c>
      <c r="Q418">
        <f t="shared" si="975"/>
        <v>-149990512.75051853</v>
      </c>
      <c r="R418">
        <f t="shared" si="976"/>
        <v>24853288.322056323</v>
      </c>
      <c r="S418">
        <f t="shared" si="977"/>
        <v>248.53288322056324</v>
      </c>
      <c r="T418">
        <f t="shared" si="978"/>
        <v>0.24853288322056324</v>
      </c>
    </row>
    <row r="419" spans="1:20" x14ac:dyDescent="0.25">
      <c r="A419" s="5">
        <v>44174</v>
      </c>
      <c r="B419">
        <v>0.12342</v>
      </c>
      <c r="C419">
        <v>0.14499999999999999</v>
      </c>
      <c r="D419">
        <v>0.11018</v>
      </c>
      <c r="E419">
        <v>0.13764999999999999</v>
      </c>
      <c r="F419">
        <v>216468152.5</v>
      </c>
      <c r="G419">
        <v>0</v>
      </c>
      <c r="L419" t="s">
        <v>8</v>
      </c>
      <c r="M419" t="s">
        <v>8</v>
      </c>
      <c r="N419" t="s">
        <v>7</v>
      </c>
      <c r="P419">
        <f t="shared" si="974"/>
        <v>0.57782883400344642</v>
      </c>
      <c r="Q419">
        <f t="shared" si="975"/>
        <v>125081540.15795523</v>
      </c>
      <c r="R419">
        <f t="shared" si="976"/>
        <v>174843801.07257485</v>
      </c>
      <c r="S419">
        <f t="shared" si="977"/>
        <v>1748.4380107257484</v>
      </c>
      <c r="T419">
        <f t="shared" si="978"/>
        <v>1.7484380107257484</v>
      </c>
    </row>
    <row r="420" spans="1:20" x14ac:dyDescent="0.25">
      <c r="A420" s="5">
        <v>44173</v>
      </c>
      <c r="B420">
        <v>0.11959</v>
      </c>
      <c r="C420">
        <v>0.13750999999999999</v>
      </c>
      <c r="D420">
        <v>0.10718</v>
      </c>
      <c r="E420">
        <v>0.12343</v>
      </c>
      <c r="F420">
        <v>192783547.69999999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7.1546323771843237E-2</v>
      </c>
      <c r="Q420">
        <f t="shared" si="975"/>
        <v>13792954.121628784</v>
      </c>
      <c r="R420">
        <f t="shared" si="976"/>
        <v>49762260.914619632</v>
      </c>
      <c r="S420">
        <f t="shared" si="977"/>
        <v>497.62260914619634</v>
      </c>
      <c r="T420">
        <f t="shared" si="978"/>
        <v>0.49762260914619633</v>
      </c>
    </row>
    <row r="421" spans="1:20" x14ac:dyDescent="0.25">
      <c r="A421" s="5">
        <v>44172</v>
      </c>
      <c r="B421">
        <v>0.11559</v>
      </c>
      <c r="C421">
        <v>0.13757</v>
      </c>
      <c r="D421">
        <v>0.11037</v>
      </c>
      <c r="E421">
        <v>0.11921</v>
      </c>
      <c r="F421">
        <v>134387122.69999999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-0.35</v>
      </c>
      <c r="Q421">
        <f t="shared" si="975"/>
        <v>-47035492.944999993</v>
      </c>
      <c r="R421">
        <f t="shared" si="976"/>
        <v>35969306.792990848</v>
      </c>
      <c r="S421">
        <f t="shared" si="977"/>
        <v>359.69306792990847</v>
      </c>
      <c r="T421">
        <f t="shared" si="978"/>
        <v>0.35969306792990846</v>
      </c>
    </row>
    <row r="422" spans="1:20" x14ac:dyDescent="0.25">
      <c r="A422" s="5">
        <v>44171</v>
      </c>
      <c r="B422">
        <v>0.13866999999999999</v>
      </c>
      <c r="C422">
        <v>0.15013000000000001</v>
      </c>
      <c r="D422">
        <v>0.10888</v>
      </c>
      <c r="E422">
        <v>0.11541999999999999</v>
      </c>
      <c r="F422">
        <v>103551117.5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-0.68290909090909147</v>
      </c>
      <c r="Q422">
        <f t="shared" si="975"/>
        <v>-70715999.514545515</v>
      </c>
      <c r="R422">
        <f t="shared" si="976"/>
        <v>83004799.737990841</v>
      </c>
      <c r="S422">
        <f t="shared" si="977"/>
        <v>830.04799737990845</v>
      </c>
      <c r="T422">
        <f t="shared" si="978"/>
        <v>0.83004799737990842</v>
      </c>
    </row>
    <row r="423" spans="1:20" x14ac:dyDescent="0.25">
      <c r="A423" s="5">
        <v>44170</v>
      </c>
      <c r="B423">
        <v>0.14879000000000001</v>
      </c>
      <c r="C423">
        <v>0.157</v>
      </c>
      <c r="D423">
        <v>0.11952</v>
      </c>
      <c r="E423">
        <v>0.13900000000000001</v>
      </c>
      <c r="F423">
        <v>198892539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3.9487726787620678E-2</v>
      </c>
      <c r="Q423">
        <f t="shared" si="975"/>
        <v>7853814.2401281903</v>
      </c>
      <c r="R423">
        <f t="shared" si="976"/>
        <v>153720799.25253636</v>
      </c>
      <c r="S423">
        <f t="shared" si="977"/>
        <v>1537.2079925253636</v>
      </c>
      <c r="T423">
        <f t="shared" si="978"/>
        <v>1.5372079925253637</v>
      </c>
    </row>
    <row r="424" spans="1:20" x14ac:dyDescent="0.25">
      <c r="A424" s="5">
        <v>44169</v>
      </c>
      <c r="B424">
        <v>9.9250000000000005E-2</v>
      </c>
      <c r="C424">
        <v>0.16389999999999999</v>
      </c>
      <c r="D424">
        <v>9.8830000000000001E-2</v>
      </c>
      <c r="E424">
        <v>0.14799999999999999</v>
      </c>
      <c r="F424">
        <v>253469365.19999999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0.51129552789303823</v>
      </c>
      <c r="Q424">
        <f t="shared" si="975"/>
        <v>129597752.88464728</v>
      </c>
      <c r="R424">
        <f t="shared" si="976"/>
        <v>145866985.01240817</v>
      </c>
      <c r="S424">
        <f t="shared" si="977"/>
        <v>1458.6698501240817</v>
      </c>
      <c r="T424">
        <f t="shared" si="978"/>
        <v>1.4586698501240816</v>
      </c>
    </row>
    <row r="425" spans="1:20" x14ac:dyDescent="0.25">
      <c r="A425" s="5">
        <v>44168</v>
      </c>
      <c r="B425">
        <v>8.1500000000000003E-2</v>
      </c>
      <c r="C425">
        <v>0.11008999999999999</v>
      </c>
      <c r="D425">
        <v>7.8689999999999996E-2</v>
      </c>
      <c r="E425">
        <v>9.8900000000000002E-2</v>
      </c>
      <c r="F425">
        <v>130851320.59999999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0.28726114649681578</v>
      </c>
      <c r="Q425">
        <f t="shared" si="975"/>
        <v>37588500.376178406</v>
      </c>
      <c r="R425">
        <f t="shared" si="976"/>
        <v>16269232.12776088</v>
      </c>
      <c r="S425">
        <f t="shared" si="977"/>
        <v>162.69232127760878</v>
      </c>
      <c r="T425">
        <f t="shared" si="978"/>
        <v>0.16269232127760877</v>
      </c>
    </row>
    <row r="426" spans="1:20" x14ac:dyDescent="0.25">
      <c r="A426" s="5">
        <v>44167</v>
      </c>
      <c r="B426">
        <v>7.1889999999999996E-2</v>
      </c>
      <c r="C426">
        <v>8.2000000000000003E-2</v>
      </c>
      <c r="D426">
        <v>6.93E-2</v>
      </c>
      <c r="E426">
        <v>8.1479999999999997E-2</v>
      </c>
      <c r="F426">
        <v>53294347.299999997</v>
      </c>
      <c r="G426">
        <v>0</v>
      </c>
      <c r="L426" t="s">
        <v>7</v>
      </c>
      <c r="M426" t="s">
        <v>7</v>
      </c>
      <c r="N426" t="s">
        <v>7</v>
      </c>
      <c r="P426">
        <f t="shared" si="974"/>
        <v>0.91811023622047139</v>
      </c>
      <c r="Q426">
        <f t="shared" si="975"/>
        <v>48930085.788818836</v>
      </c>
      <c r="R426">
        <f t="shared" si="976"/>
        <v>-21319268.248417526</v>
      </c>
      <c r="S426">
        <f t="shared" si="977"/>
        <v>-213.19268248417526</v>
      </c>
      <c r="T426">
        <f t="shared" si="978"/>
        <v>-0.21319268248417528</v>
      </c>
    </row>
    <row r="427" spans="1:20" x14ac:dyDescent="0.25">
      <c r="A427" s="5">
        <v>44166</v>
      </c>
      <c r="B427">
        <v>0.03</v>
      </c>
      <c r="C427">
        <v>0.14000000000000001</v>
      </c>
      <c r="D427">
        <v>0.03</v>
      </c>
      <c r="E427">
        <v>7.2230000000000003E-2</v>
      </c>
      <c r="F427">
        <v>302561822.39999998</v>
      </c>
      <c r="G427">
        <v>0</v>
      </c>
      <c r="P427">
        <f t="shared" si="974"/>
        <v>-0.23218181818181821</v>
      </c>
      <c r="Q427">
        <f t="shared" si="975"/>
        <v>-70249354.037236363</v>
      </c>
      <c r="R427">
        <f t="shared" si="976"/>
        <v>-70249354.037236363</v>
      </c>
      <c r="S427">
        <f t="shared" si="977"/>
        <v>-702.49354037236367</v>
      </c>
      <c r="T427">
        <f t="shared" si="978"/>
        <v>-0.70249354037236367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HZ695" sqref="HZ69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$A$694</v>
      </c>
      <c r="D111" s="1" t="str">
        <f>ADDRESS(C121-1,D121,1,1)</f>
        <v>$HZ$694</v>
      </c>
      <c r="E111"/>
    </row>
    <row r="112" spans="1:5" x14ac:dyDescent="0.25">
      <c r="A112" s="7">
        <v>12164.144957890772</v>
      </c>
      <c r="C112" s="1" t="str">
        <f>ADDRESS(C121,1,1,1)</f>
        <v>$A$695</v>
      </c>
      <c r="D112" s="1" t="str">
        <f>ADDRESS(C121,D121-1,1,1)</f>
        <v>$HY$695</v>
      </c>
      <c r="E112"/>
    </row>
    <row r="113" spans="1:5" x14ac:dyDescent="0.25">
      <c r="A113" s="7">
        <v>11925.63231165762</v>
      </c>
      <c r="C113" s="1" t="str">
        <f>ADDRESS(C121+1,1,1,1)</f>
        <v>$A$696</v>
      </c>
      <c r="D113" s="1" t="str">
        <f>ADDRESS(C121-1,D121+1,1,1)</f>
        <v>$IA$694</v>
      </c>
    </row>
    <row r="114" spans="1:5" x14ac:dyDescent="0.25">
      <c r="A114" s="7">
        <v>11691.796383978059</v>
      </c>
      <c r="C114" s="1" t="str">
        <f>ADDRESS(C121,D121,1,1)</f>
        <v>$HZ$695</v>
      </c>
      <c r="D114" s="1" t="str">
        <f>ADDRESS(C121+1,D121+1,1,1)</f>
        <v>$IA$696</v>
      </c>
    </row>
    <row r="115" spans="1:5" x14ac:dyDescent="0.25">
      <c r="A115" s="7">
        <v>11462.545474488292</v>
      </c>
      <c r="C115" s="1" t="str">
        <f>ADDRESS(C121+1,D121,1,1)</f>
        <v>$HZ$696</v>
      </c>
    </row>
    <row r="116" spans="1:5" x14ac:dyDescent="0.25">
      <c r="A116" s="7">
        <v>11237.789680870874</v>
      </c>
      <c r="C116" s="1">
        <f>C117-1</f>
        <v>694</v>
      </c>
    </row>
    <row r="117" spans="1:5" x14ac:dyDescent="0.25">
      <c r="A117" s="7">
        <v>11017.440863598895</v>
      </c>
      <c r="C117" s="1">
        <f>C121</f>
        <v>695</v>
      </c>
      <c r="D117" s="1">
        <f>D121</f>
        <v>234</v>
      </c>
    </row>
    <row r="118" spans="1:5" x14ac:dyDescent="0.25">
      <c r="A118" s="7">
        <v>10801.412611371465</v>
      </c>
      <c r="C118" s="1">
        <f>C117+1</f>
        <v>696</v>
      </c>
      <c r="D118" s="1">
        <f>D117+1</f>
        <v>235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695</v>
      </c>
      <c r="D121" s="19">
        <v>234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R695</v>
      </c>
      <c r="D123" s="1" t="str">
        <f>"C"&amp;D121</f>
        <v>C234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0.1178098084100765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9" x14ac:dyDescent="0.25">
      <c r="A561" s="7">
        <v>1.6734181143540252</v>
      </c>
      <c r="B561"/>
      <c r="C561"/>
      <c r="D561"/>
      <c r="E561"/>
    </row>
    <row r="562" spans="1:59" x14ac:dyDescent="0.25">
      <c r="A562" s="7">
        <v>1.6406059944647307</v>
      </c>
      <c r="B562"/>
      <c r="C562"/>
      <c r="D562"/>
      <c r="E562"/>
    </row>
    <row r="563" spans="1:59" x14ac:dyDescent="0.25">
      <c r="A563" s="7">
        <v>1.6084372494752261</v>
      </c>
      <c r="B563"/>
      <c r="C563"/>
      <c r="D563"/>
      <c r="E563"/>
    </row>
    <row r="564" spans="1:59" x14ac:dyDescent="0.25">
      <c r="A564" s="7">
        <v>1.5768992641913981</v>
      </c>
      <c r="B564"/>
      <c r="C564"/>
      <c r="D564"/>
      <c r="E564"/>
    </row>
    <row r="565" spans="1:59" x14ac:dyDescent="0.25">
      <c r="A565" s="7">
        <v>1.5459796707758806</v>
      </c>
      <c r="B565"/>
      <c r="C565"/>
      <c r="D565"/>
      <c r="E565"/>
    </row>
    <row r="566" spans="1:59" x14ac:dyDescent="0.25">
      <c r="A566" s="7">
        <v>1.5156663438979221</v>
      </c>
      <c r="B566"/>
      <c r="C566"/>
      <c r="D566"/>
      <c r="E566"/>
    </row>
    <row r="567" spans="1:59" x14ac:dyDescent="0.25">
      <c r="A567" s="7">
        <v>1.4859473959783549</v>
      </c>
      <c r="B567"/>
      <c r="C567"/>
      <c r="D567"/>
      <c r="E567"/>
    </row>
    <row r="568" spans="1:59" x14ac:dyDescent="0.25">
      <c r="A568" s="7">
        <v>1.4568111725277988</v>
      </c>
      <c r="B568"/>
      <c r="C568"/>
      <c r="D568"/>
      <c r="E568"/>
    </row>
    <row r="569" spans="1:59" x14ac:dyDescent="0.25">
      <c r="A569" s="7">
        <v>1.4282462475762734</v>
      </c>
      <c r="B569"/>
      <c r="C569"/>
      <c r="D569"/>
      <c r="E569"/>
    </row>
    <row r="570" spans="1:59" x14ac:dyDescent="0.25">
      <c r="A570" s="7">
        <v>1.4002414191924248</v>
      </c>
      <c r="B570"/>
      <c r="C570"/>
      <c r="D570"/>
      <c r="E570"/>
    </row>
    <row r="571" spans="1:59" x14ac:dyDescent="0.25">
      <c r="A571" s="7">
        <v>1.3727857050906125</v>
      </c>
      <c r="B571"/>
      <c r="C571"/>
      <c r="D571"/>
      <c r="E571"/>
    </row>
    <row r="572" spans="1:59" x14ac:dyDescent="0.25">
      <c r="A572" s="7">
        <v>1.3458683383241299</v>
      </c>
      <c r="B572"/>
      <c r="C572"/>
      <c r="D572"/>
      <c r="E572"/>
    </row>
    <row r="573" spans="1:59" x14ac:dyDescent="0.25">
      <c r="A573" s="7">
        <v>1.3194787630628724</v>
      </c>
      <c r="B573"/>
      <c r="C573"/>
      <c r="D573"/>
      <c r="E573"/>
    </row>
    <row r="574" spans="1:59" x14ac:dyDescent="0.25">
      <c r="A574" s="7">
        <v>1.2936066304537963</v>
      </c>
      <c r="B574"/>
      <c r="C574"/>
      <c r="D574"/>
      <c r="E574"/>
    </row>
    <row r="575" spans="1:59" x14ac:dyDescent="0.25">
      <c r="A575" s="7">
        <v>1.2682417945625455</v>
      </c>
      <c r="B575"/>
      <c r="C575"/>
      <c r="D575"/>
      <c r="E575"/>
    </row>
    <row r="576" spans="1:59" x14ac:dyDescent="0.25">
      <c r="A576" s="7">
        <v>1.2433743083946525</v>
      </c>
      <c r="B576"/>
      <c r="C576"/>
      <c r="D576"/>
      <c r="E576"/>
      <c r="BG576" s="27" t="s">
        <v>8</v>
      </c>
    </row>
    <row r="577" spans="1:68" x14ac:dyDescent="0.25">
      <c r="A577" s="7">
        <v>1.2189944199947573</v>
      </c>
      <c r="B577"/>
      <c r="C577"/>
      <c r="D577"/>
      <c r="E577"/>
      <c r="BG577" s="27" t="s">
        <v>8</v>
      </c>
      <c r="BH577" s="27" t="s">
        <v>7</v>
      </c>
    </row>
    <row r="578" spans="1:68" x14ac:dyDescent="0.25">
      <c r="A578" s="7">
        <v>1.1950925686223111</v>
      </c>
      <c r="B578"/>
      <c r="C578"/>
      <c r="D578"/>
      <c r="E578"/>
      <c r="BG578" s="27" t="s">
        <v>8</v>
      </c>
      <c r="BH578" s="27" t="s">
        <v>7</v>
      </c>
    </row>
    <row r="579" spans="1:68" x14ac:dyDescent="0.25">
      <c r="A579" s="7">
        <v>1.1716593810022657</v>
      </c>
      <c r="B579"/>
      <c r="C579"/>
      <c r="D579"/>
      <c r="E579"/>
      <c r="BG579" s="27" t="s">
        <v>8</v>
      </c>
      <c r="BH579" s="27" t="s">
        <v>7</v>
      </c>
    </row>
    <row r="580" spans="1:68" x14ac:dyDescent="0.25">
      <c r="A580" s="7">
        <v>1.14868566764928</v>
      </c>
      <c r="B580"/>
      <c r="C580"/>
      <c r="D580"/>
      <c r="E580"/>
      <c r="BG580" s="27" t="s">
        <v>8</v>
      </c>
      <c r="BH580" s="27" t="s">
        <v>7</v>
      </c>
    </row>
    <row r="581" spans="1:68" x14ac:dyDescent="0.25">
      <c r="A581" s="7">
        <v>1.1261624192640001</v>
      </c>
      <c r="B581"/>
      <c r="C581"/>
      <c r="D581"/>
      <c r="E581"/>
      <c r="BG581" s="27" t="s">
        <v>8</v>
      </c>
      <c r="BH581" s="27" t="s">
        <v>7</v>
      </c>
    </row>
    <row r="582" spans="1:68" x14ac:dyDescent="0.25">
      <c r="A582" s="7">
        <v>1.1040808032</v>
      </c>
      <c r="B582"/>
      <c r="C582"/>
      <c r="D582"/>
      <c r="E582"/>
      <c r="BG582" s="27" t="s">
        <v>8</v>
      </c>
      <c r="BH582" s="27" t="s">
        <v>7</v>
      </c>
    </row>
    <row r="583" spans="1:68" x14ac:dyDescent="0.25">
      <c r="A583" s="7">
        <v>1.08243216</v>
      </c>
      <c r="B583"/>
      <c r="C583"/>
      <c r="D583"/>
      <c r="E583"/>
      <c r="BG583" s="27" t="s">
        <v>8</v>
      </c>
      <c r="BH583" s="27" t="s">
        <v>7</v>
      </c>
    </row>
    <row r="584" spans="1:68" x14ac:dyDescent="0.25">
      <c r="A584" s="7">
        <v>1.0612079999999999</v>
      </c>
      <c r="B584"/>
      <c r="C584"/>
      <c r="D584"/>
      <c r="E584"/>
      <c r="BG584" s="27" t="s">
        <v>8</v>
      </c>
      <c r="BH584" s="27" t="s">
        <v>7</v>
      </c>
      <c r="BO584" s="27" t="s">
        <v>8</v>
      </c>
    </row>
    <row r="585" spans="1:68" x14ac:dyDescent="0.25">
      <c r="A585" s="7">
        <v>1.0404</v>
      </c>
      <c r="B585"/>
      <c r="C585"/>
      <c r="D585"/>
      <c r="E585"/>
      <c r="BG585" s="27" t="s">
        <v>8</v>
      </c>
      <c r="BH585" s="27" t="s">
        <v>7</v>
      </c>
      <c r="BO585" s="27" t="s">
        <v>8</v>
      </c>
      <c r="BP585" s="27" t="s">
        <v>7</v>
      </c>
    </row>
    <row r="586" spans="1:68" x14ac:dyDescent="0.25">
      <c r="A586" s="7">
        <v>1.02</v>
      </c>
      <c r="B586"/>
      <c r="C586"/>
      <c r="D586"/>
      <c r="E586"/>
      <c r="BG586" s="27" t="s">
        <v>8</v>
      </c>
      <c r="BH586" s="27" t="s">
        <v>7</v>
      </c>
      <c r="BO586" s="27" t="s">
        <v>8</v>
      </c>
      <c r="BP586" s="27" t="s">
        <v>7</v>
      </c>
    </row>
    <row r="587" spans="1:68" x14ac:dyDescent="0.25">
      <c r="A587" s="7">
        <v>1</v>
      </c>
      <c r="B587"/>
      <c r="C587"/>
      <c r="D587"/>
      <c r="E587" s="29" t="s">
        <v>8</v>
      </c>
      <c r="BG587" s="27" t="s">
        <v>8</v>
      </c>
      <c r="BH587" s="27" t="s">
        <v>7</v>
      </c>
      <c r="BO587" s="27" t="s">
        <v>8</v>
      </c>
      <c r="BP587" s="27" t="s">
        <v>7</v>
      </c>
    </row>
    <row r="588" spans="1:68" x14ac:dyDescent="0.25">
      <c r="A588" s="7">
        <v>0.98039215686274506</v>
      </c>
      <c r="B588"/>
      <c r="C588"/>
      <c r="D588"/>
      <c r="E588"/>
      <c r="F588" s="27" t="s">
        <v>7</v>
      </c>
      <c r="BG588" s="27" t="s">
        <v>8</v>
      </c>
      <c r="BH588" s="27" t="s">
        <v>7</v>
      </c>
      <c r="BO588" s="27" t="s">
        <v>8</v>
      </c>
      <c r="BP588" s="27" t="s">
        <v>7</v>
      </c>
    </row>
    <row r="589" spans="1:68" x14ac:dyDescent="0.25">
      <c r="A589" s="7">
        <v>0.96116878123798544</v>
      </c>
      <c r="B589"/>
      <c r="C589"/>
      <c r="D589"/>
      <c r="E589"/>
      <c r="F589" s="27" t="s">
        <v>7</v>
      </c>
      <c r="BG589" s="27" t="s">
        <v>8</v>
      </c>
      <c r="BH589" s="27" t="s">
        <v>7</v>
      </c>
      <c r="BO589" s="27" t="s">
        <v>8</v>
      </c>
      <c r="BP589" s="27" t="s">
        <v>7</v>
      </c>
    </row>
    <row r="590" spans="1:68" x14ac:dyDescent="0.25">
      <c r="A590" s="7">
        <v>0.94232233454704462</v>
      </c>
      <c r="B590"/>
      <c r="C590"/>
      <c r="D590"/>
      <c r="E590"/>
      <c r="F590" s="27" t="s">
        <v>7</v>
      </c>
      <c r="BG590" s="27" t="s">
        <v>8</v>
      </c>
      <c r="BH590" s="27" t="s">
        <v>7</v>
      </c>
      <c r="BO590" s="27" t="s">
        <v>8</v>
      </c>
      <c r="BP590" s="27" t="s">
        <v>7</v>
      </c>
    </row>
    <row r="591" spans="1:68" x14ac:dyDescent="0.25">
      <c r="A591" s="7">
        <v>0.92384542602651432</v>
      </c>
      <c r="B591"/>
      <c r="C591"/>
      <c r="D591"/>
      <c r="E591"/>
      <c r="F591" s="27" t="s">
        <v>7</v>
      </c>
      <c r="BG591" s="27" t="s">
        <v>8</v>
      </c>
      <c r="BH591" s="27" t="s">
        <v>7</v>
      </c>
      <c r="BO591" s="27" t="s">
        <v>8</v>
      </c>
      <c r="BP591" s="27" t="s">
        <v>7</v>
      </c>
    </row>
    <row r="592" spans="1:68" x14ac:dyDescent="0.25">
      <c r="A592" s="7">
        <v>0.90573080982991594</v>
      </c>
      <c r="B592"/>
      <c r="C592"/>
      <c r="D592"/>
      <c r="E592"/>
      <c r="F592" s="27" t="s">
        <v>7</v>
      </c>
      <c r="BG592" s="27" t="s">
        <v>8</v>
      </c>
      <c r="BH592" s="27" t="s">
        <v>7</v>
      </c>
      <c r="BO592" s="27" t="s">
        <v>8</v>
      </c>
      <c r="BP592" s="27" t="s">
        <v>7</v>
      </c>
    </row>
    <row r="593" spans="1:104" x14ac:dyDescent="0.25">
      <c r="A593" s="7">
        <v>0.8879713821861922</v>
      </c>
      <c r="B593"/>
      <c r="C593"/>
      <c r="D593"/>
      <c r="E593"/>
      <c r="F593" s="27" t="s">
        <v>7</v>
      </c>
      <c r="BG593" s="27" t="s">
        <v>8</v>
      </c>
      <c r="BH593" s="27" t="s">
        <v>7</v>
      </c>
      <c r="BO593" s="27" t="s">
        <v>8</v>
      </c>
      <c r="BP593" s="27" t="s">
        <v>7</v>
      </c>
    </row>
    <row r="594" spans="1:104" x14ac:dyDescent="0.25">
      <c r="A594" s="7">
        <v>0.87056017861391399</v>
      </c>
      <c r="B594"/>
      <c r="C594"/>
      <c r="D594"/>
      <c r="E594"/>
      <c r="F594" s="27" t="s">
        <v>7</v>
      </c>
      <c r="BG594" s="27" t="s">
        <v>8</v>
      </c>
      <c r="BH594" s="27" t="s">
        <v>7</v>
      </c>
      <c r="BO594" s="27" t="s">
        <v>8</v>
      </c>
      <c r="BP594" s="27" t="s">
        <v>7</v>
      </c>
    </row>
    <row r="595" spans="1:104" x14ac:dyDescent="0.25">
      <c r="A595" s="7">
        <v>0.85349037119011173</v>
      </c>
      <c r="B595"/>
      <c r="C595"/>
      <c r="D595"/>
      <c r="E595"/>
      <c r="F595" s="27" t="s">
        <v>7</v>
      </c>
      <c r="BG595" s="27" t="s">
        <v>8</v>
      </c>
      <c r="BH595" s="27" t="s">
        <v>7</v>
      </c>
      <c r="BO595" s="27" t="s">
        <v>8</v>
      </c>
      <c r="BP595" s="27" t="s">
        <v>7</v>
      </c>
    </row>
    <row r="596" spans="1:104" x14ac:dyDescent="0.25">
      <c r="A596" s="7">
        <v>0.83675526587265858</v>
      </c>
      <c r="B596"/>
      <c r="C596"/>
      <c r="D596"/>
      <c r="E596"/>
      <c r="F596" s="27" t="s">
        <v>7</v>
      </c>
      <c r="BG596" s="27" t="s">
        <v>8</v>
      </c>
      <c r="BH596" s="27" t="s">
        <v>7</v>
      </c>
      <c r="BO596" s="27" t="s">
        <v>8</v>
      </c>
      <c r="BP596" s="27" t="s">
        <v>7</v>
      </c>
      <c r="BY596" s="27" t="s">
        <v>8</v>
      </c>
    </row>
    <row r="597" spans="1:104" x14ac:dyDescent="0.25">
      <c r="A597" s="7">
        <v>0.82034829987515545</v>
      </c>
      <c r="B597"/>
      <c r="C597"/>
      <c r="D597"/>
      <c r="E597"/>
      <c r="F597" s="27" t="s">
        <v>7</v>
      </c>
      <c r="BG597" s="27" t="s">
        <v>8</v>
      </c>
      <c r="BH597" s="27" t="s">
        <v>7</v>
      </c>
      <c r="BO597" s="27" t="s">
        <v>8</v>
      </c>
      <c r="BP597" s="27" t="s">
        <v>7</v>
      </c>
      <c r="BQ597" s="27" t="s">
        <v>8</v>
      </c>
      <c r="BY597" s="27" t="s">
        <v>8</v>
      </c>
      <c r="BZ597" s="27" t="s">
        <v>7</v>
      </c>
    </row>
    <row r="598" spans="1:104" x14ac:dyDescent="0.25">
      <c r="A598" s="7">
        <v>0.80426303909328967</v>
      </c>
      <c r="B598"/>
      <c r="C598"/>
      <c r="D598"/>
      <c r="E598"/>
      <c r="F598" s="27" t="s">
        <v>7</v>
      </c>
      <c r="BG598" s="27" t="s">
        <v>8</v>
      </c>
      <c r="BH598" s="27" t="s">
        <v>7</v>
      </c>
      <c r="BO598" s="27" t="s">
        <v>8</v>
      </c>
      <c r="BP598" s="27" t="s">
        <v>7</v>
      </c>
      <c r="BQ598" s="27" t="s">
        <v>8</v>
      </c>
      <c r="BR598" s="27" t="s">
        <v>7</v>
      </c>
      <c r="BY598" s="27" t="s">
        <v>8</v>
      </c>
      <c r="BZ598" s="27" t="s">
        <v>7</v>
      </c>
    </row>
    <row r="599" spans="1:104" x14ac:dyDescent="0.25">
      <c r="A599" s="7">
        <v>0.78849317558165644</v>
      </c>
      <c r="B599"/>
      <c r="C599"/>
      <c r="D599"/>
      <c r="E599"/>
      <c r="F599" s="27" t="s">
        <v>7</v>
      </c>
      <c r="BG599" s="27" t="s">
        <v>8</v>
      </c>
      <c r="BH599" s="27" t="s">
        <v>7</v>
      </c>
      <c r="BO599" s="27" t="s">
        <v>8</v>
      </c>
      <c r="BP599" s="27" t="s">
        <v>7</v>
      </c>
      <c r="BQ599" s="27" t="s">
        <v>8</v>
      </c>
      <c r="BR599" s="27" t="s">
        <v>7</v>
      </c>
      <c r="BY599" s="27" t="s">
        <v>8</v>
      </c>
      <c r="BZ599" s="27" t="s">
        <v>7</v>
      </c>
    </row>
    <row r="600" spans="1:104" x14ac:dyDescent="0.25">
      <c r="A600" s="7">
        <v>0.77303252508005538</v>
      </c>
      <c r="B600"/>
      <c r="C600"/>
      <c r="D600"/>
      <c r="E600"/>
      <c r="F600" s="27" t="s">
        <v>7</v>
      </c>
      <c r="BG600" s="27" t="s">
        <v>8</v>
      </c>
      <c r="BH600" s="27" t="s">
        <v>7</v>
      </c>
      <c r="BO600" s="27" t="s">
        <v>8</v>
      </c>
      <c r="BP600" s="27" t="s">
        <v>7</v>
      </c>
      <c r="BQ600" s="27" t="s">
        <v>8</v>
      </c>
      <c r="BR600" s="27" t="s">
        <v>7</v>
      </c>
      <c r="BS600" s="27" t="s">
        <v>8</v>
      </c>
      <c r="BY600" s="27" t="s">
        <v>8</v>
      </c>
      <c r="BZ600" s="27" t="s">
        <v>7</v>
      </c>
    </row>
    <row r="601" spans="1:104" x14ac:dyDescent="0.25">
      <c r="A601" s="7">
        <v>0.75787502458828959</v>
      </c>
      <c r="B601"/>
      <c r="C601"/>
      <c r="D601"/>
      <c r="E601"/>
      <c r="F601" s="27" t="s">
        <v>7</v>
      </c>
      <c r="BG601" s="27" t="s">
        <v>8</v>
      </c>
      <c r="BH601" s="27" t="s">
        <v>7</v>
      </c>
      <c r="BI601" s="27" t="s">
        <v>8</v>
      </c>
      <c r="BO601" s="27" t="s">
        <v>8</v>
      </c>
      <c r="BP601" s="27" t="s">
        <v>7</v>
      </c>
      <c r="BQ601" s="27" t="s">
        <v>8</v>
      </c>
      <c r="BR601" s="27" t="s">
        <v>7</v>
      </c>
      <c r="BS601" s="27" t="s">
        <v>8</v>
      </c>
      <c r="BT601" s="27" t="s">
        <v>7</v>
      </c>
      <c r="BY601" s="27" t="s">
        <v>8</v>
      </c>
      <c r="BZ601" s="27" t="s">
        <v>7</v>
      </c>
    </row>
    <row r="602" spans="1:104" x14ac:dyDescent="0.25">
      <c r="A602" s="7">
        <v>0.74301472998851925</v>
      </c>
      <c r="B602"/>
      <c r="C602"/>
      <c r="D602"/>
      <c r="E602"/>
      <c r="F602" s="27" t="s">
        <v>7</v>
      </c>
      <c r="BG602" s="27" t="s">
        <v>8</v>
      </c>
      <c r="BH602" s="27" t="s">
        <v>7</v>
      </c>
      <c r="BI602" s="27" t="s">
        <v>8</v>
      </c>
      <c r="BJ602" s="27" t="s">
        <v>7</v>
      </c>
      <c r="BM602" s="27" t="s">
        <v>8</v>
      </c>
      <c r="BO602" s="27" t="s">
        <v>8</v>
      </c>
      <c r="BP602" s="27" t="s">
        <v>7</v>
      </c>
      <c r="BQ602" s="27" t="s">
        <v>8</v>
      </c>
      <c r="BR602" s="27" t="s">
        <v>7</v>
      </c>
      <c r="BS602" s="27" t="s">
        <v>8</v>
      </c>
      <c r="BT602" s="27" t="s">
        <v>7</v>
      </c>
      <c r="BU602" s="27" t="s">
        <v>8</v>
      </c>
      <c r="BY602" s="27" t="s">
        <v>8</v>
      </c>
      <c r="BZ602" s="27" t="s">
        <v>7</v>
      </c>
      <c r="CG602" s="27" t="s">
        <v>8</v>
      </c>
    </row>
    <row r="603" spans="1:104" x14ac:dyDescent="0.25">
      <c r="A603" s="7">
        <v>0.72844581371423456</v>
      </c>
      <c r="B603"/>
      <c r="C603"/>
      <c r="D603"/>
      <c r="E603"/>
      <c r="F603" s="27" t="s">
        <v>7</v>
      </c>
      <c r="BG603" s="27" t="s">
        <v>8</v>
      </c>
      <c r="BH603" s="27" t="s">
        <v>7</v>
      </c>
      <c r="BI603" s="27" t="s">
        <v>8</v>
      </c>
      <c r="BJ603" s="27" t="s">
        <v>7</v>
      </c>
      <c r="BK603" s="27" t="s">
        <v>8</v>
      </c>
      <c r="BM603" s="27" t="s">
        <v>8</v>
      </c>
      <c r="BN603" s="27" t="s">
        <v>7</v>
      </c>
      <c r="BO603" s="27" t="s">
        <v>8</v>
      </c>
      <c r="BP603" s="27" t="s">
        <v>7</v>
      </c>
      <c r="BR603" s="27" t="s">
        <v>7</v>
      </c>
      <c r="BS603" s="27" t="s">
        <v>8</v>
      </c>
      <c r="BT603" s="27" t="s">
        <v>7</v>
      </c>
      <c r="BU603" s="27" t="s">
        <v>8</v>
      </c>
      <c r="BV603" s="27" t="s">
        <v>7</v>
      </c>
      <c r="BW603" s="27" t="s">
        <v>8</v>
      </c>
      <c r="BY603" s="27" t="s">
        <v>8</v>
      </c>
      <c r="BZ603" s="27" t="s">
        <v>7</v>
      </c>
      <c r="CG603" s="27" t="s">
        <v>8</v>
      </c>
      <c r="CH603" s="27" t="s">
        <v>7</v>
      </c>
      <c r="CI603" s="27" t="s">
        <v>8</v>
      </c>
    </row>
    <row r="604" spans="1:104" x14ac:dyDescent="0.25">
      <c r="A604" s="7">
        <v>0.71416256246493581</v>
      </c>
      <c r="B604"/>
      <c r="C604"/>
      <c r="D604"/>
      <c r="E604"/>
      <c r="F604" s="27" t="s">
        <v>7</v>
      </c>
      <c r="BG604" s="27" t="s">
        <v>8</v>
      </c>
      <c r="BH604" s="27" t="s">
        <v>7</v>
      </c>
      <c r="BI604" s="27" t="s">
        <v>8</v>
      </c>
      <c r="BJ604" s="27" t="s">
        <v>7</v>
      </c>
      <c r="BK604" s="27" t="s">
        <v>8</v>
      </c>
      <c r="BL604" s="27" t="s">
        <v>7</v>
      </c>
      <c r="BM604" s="27" t="s">
        <v>8</v>
      </c>
      <c r="BN604" s="27" t="s">
        <v>7</v>
      </c>
      <c r="BO604" s="27" t="s">
        <v>8</v>
      </c>
      <c r="BR604" s="27" t="s">
        <v>7</v>
      </c>
      <c r="BS604" s="27" t="s">
        <v>8</v>
      </c>
      <c r="BT604" s="27" t="s">
        <v>7</v>
      </c>
      <c r="BU604" s="27" t="s">
        <v>8</v>
      </c>
      <c r="BV604" s="27" t="s">
        <v>7</v>
      </c>
      <c r="BW604" s="27" t="s">
        <v>8</v>
      </c>
      <c r="BX604" s="27" t="s">
        <v>7</v>
      </c>
      <c r="BY604" s="27" t="s">
        <v>8</v>
      </c>
      <c r="BZ604" s="27" t="s">
        <v>7</v>
      </c>
      <c r="CG604" s="27" t="s">
        <v>8</v>
      </c>
      <c r="CH604" s="27" t="s">
        <v>7</v>
      </c>
      <c r="CI604" s="27" t="s">
        <v>8</v>
      </c>
      <c r="CJ604" s="27" t="s">
        <v>7</v>
      </c>
    </row>
    <row r="605" spans="1:104" x14ac:dyDescent="0.25">
      <c r="A605" s="7">
        <v>0.7001593749656233</v>
      </c>
      <c r="B605"/>
      <c r="C605"/>
      <c r="D605"/>
      <c r="E605"/>
      <c r="F605" s="27" t="s">
        <v>7</v>
      </c>
      <c r="BG605" s="27" t="s">
        <v>8</v>
      </c>
      <c r="BH605" s="27" t="s">
        <v>7</v>
      </c>
      <c r="BI605" s="27" t="s">
        <v>8</v>
      </c>
      <c r="BJ605" s="27" t="s">
        <v>7</v>
      </c>
      <c r="BK605" s="27" t="s">
        <v>8</v>
      </c>
      <c r="BL605" s="27" t="s">
        <v>7</v>
      </c>
      <c r="BM605" s="27" t="s">
        <v>8</v>
      </c>
      <c r="BN605" s="27" t="s">
        <v>7</v>
      </c>
      <c r="BO605" s="27" t="s">
        <v>8</v>
      </c>
      <c r="BR605" s="27" t="s">
        <v>7</v>
      </c>
      <c r="BS605" s="27" t="s">
        <v>8</v>
      </c>
      <c r="BT605" s="27" t="s">
        <v>7</v>
      </c>
      <c r="BU605" s="27" t="s">
        <v>8</v>
      </c>
      <c r="BV605" s="27" t="s">
        <v>7</v>
      </c>
      <c r="BW605" s="27" t="s">
        <v>8</v>
      </c>
      <c r="BX605" s="27" t="s">
        <v>7</v>
      </c>
      <c r="BY605" s="27" t="s">
        <v>8</v>
      </c>
      <c r="BZ605" s="27" t="s">
        <v>7</v>
      </c>
      <c r="CG605" s="27" t="s">
        <v>8</v>
      </c>
      <c r="CH605" s="27" t="s">
        <v>7</v>
      </c>
      <c r="CI605" s="27" t="s">
        <v>8</v>
      </c>
      <c r="CJ605" s="27" t="s">
        <v>7</v>
      </c>
    </row>
    <row r="606" spans="1:104" x14ac:dyDescent="0.25">
      <c r="A606" s="7">
        <v>0.68643075977021883</v>
      </c>
      <c r="B606"/>
      <c r="C606"/>
      <c r="D606"/>
      <c r="E606"/>
      <c r="F606" s="27" t="s">
        <v>7</v>
      </c>
      <c r="BG606" s="27" t="s">
        <v>8</v>
      </c>
      <c r="BH606" s="27" t="s">
        <v>7</v>
      </c>
      <c r="BJ606" s="27" t="s">
        <v>7</v>
      </c>
      <c r="BL606" s="27" t="s">
        <v>7</v>
      </c>
      <c r="BM606" s="27" t="s">
        <v>8</v>
      </c>
      <c r="BN606" s="27" t="s">
        <v>7</v>
      </c>
      <c r="BO606" s="27" t="s">
        <v>8</v>
      </c>
      <c r="BR606" s="27" t="s">
        <v>7</v>
      </c>
      <c r="BS606" s="27" t="s">
        <v>8</v>
      </c>
      <c r="BT606" s="27" t="s">
        <v>7</v>
      </c>
      <c r="BU606" s="27" t="s">
        <v>8</v>
      </c>
      <c r="BV606" s="27" t="s">
        <v>7</v>
      </c>
      <c r="BW606" s="27" t="s">
        <v>8</v>
      </c>
      <c r="BX606" s="27" t="s">
        <v>7</v>
      </c>
      <c r="BY606" s="27" t="s">
        <v>8</v>
      </c>
      <c r="BZ606" s="27" t="s">
        <v>7</v>
      </c>
      <c r="CG606" s="27" t="s">
        <v>8</v>
      </c>
      <c r="CH606" s="27" t="s">
        <v>7</v>
      </c>
      <c r="CI606" s="27" t="s">
        <v>8</v>
      </c>
      <c r="CJ606" s="27" t="s">
        <v>7</v>
      </c>
      <c r="CK606" s="27" t="s">
        <v>8</v>
      </c>
    </row>
    <row r="607" spans="1:104" x14ac:dyDescent="0.25">
      <c r="A607" s="7">
        <v>0.67297133310805768</v>
      </c>
      <c r="B607"/>
      <c r="C607"/>
      <c r="D607"/>
      <c r="E607"/>
      <c r="F607" s="27" t="s">
        <v>7</v>
      </c>
      <c r="BG607" s="27" t="s">
        <v>8</v>
      </c>
      <c r="BL607" s="27" t="s">
        <v>7</v>
      </c>
      <c r="BM607" s="27" t="s">
        <v>8</v>
      </c>
      <c r="BN607" s="27" t="s">
        <v>7</v>
      </c>
      <c r="BO607" s="27" t="s">
        <v>8</v>
      </c>
      <c r="BR607" s="27" t="s">
        <v>7</v>
      </c>
      <c r="BT607" s="27" t="s">
        <v>7</v>
      </c>
      <c r="BU607" s="27" t="s">
        <v>8</v>
      </c>
      <c r="BV607" s="27" t="s">
        <v>7</v>
      </c>
      <c r="BW607" s="27" t="s">
        <v>8</v>
      </c>
      <c r="BX607" s="27" t="s">
        <v>7</v>
      </c>
      <c r="BY607" s="27" t="s">
        <v>8</v>
      </c>
      <c r="BZ607" s="27" t="s">
        <v>7</v>
      </c>
      <c r="CA607" s="27" t="s">
        <v>8</v>
      </c>
      <c r="CG607" s="27" t="s">
        <v>8</v>
      </c>
      <c r="CH607" s="27" t="s">
        <v>7</v>
      </c>
      <c r="CI607" s="27" t="s">
        <v>8</v>
      </c>
      <c r="CJ607" s="27" t="s">
        <v>7</v>
      </c>
      <c r="CK607" s="27" t="s">
        <v>8</v>
      </c>
      <c r="CL607" s="27" t="s">
        <v>7</v>
      </c>
      <c r="CY607" s="27" t="s">
        <v>8</v>
      </c>
    </row>
    <row r="608" spans="1:104" x14ac:dyDescent="0.25">
      <c r="A608" s="7">
        <v>0.65977581677260566</v>
      </c>
      <c r="B608"/>
      <c r="C608"/>
      <c r="D608"/>
      <c r="E608"/>
      <c r="F608" s="27" t="s">
        <v>7</v>
      </c>
      <c r="BG608" s="27" t="s">
        <v>8</v>
      </c>
      <c r="BL608" s="27" t="s">
        <v>7</v>
      </c>
      <c r="BM608" s="27" t="s">
        <v>8</v>
      </c>
      <c r="BN608" s="27" t="s">
        <v>7</v>
      </c>
      <c r="BO608" s="27" t="s">
        <v>8</v>
      </c>
      <c r="BT608" s="27" t="s">
        <v>7</v>
      </c>
      <c r="BU608" s="27" t="s">
        <v>8</v>
      </c>
      <c r="BV608" s="27" t="s">
        <v>7</v>
      </c>
      <c r="BX608" s="27" t="s">
        <v>7</v>
      </c>
      <c r="BY608" s="27" t="s">
        <v>8</v>
      </c>
      <c r="BZ608" s="27" t="s">
        <v>7</v>
      </c>
      <c r="CA608" s="27" t="s">
        <v>8</v>
      </c>
      <c r="CB608" s="27" t="s">
        <v>7</v>
      </c>
      <c r="CG608" s="27" t="s">
        <v>8</v>
      </c>
      <c r="CH608" s="27" t="s">
        <v>7</v>
      </c>
      <c r="CI608" s="27" t="s">
        <v>8</v>
      </c>
      <c r="CJ608" s="27" t="s">
        <v>7</v>
      </c>
      <c r="CK608" s="27" t="s">
        <v>8</v>
      </c>
      <c r="CL608" s="27" t="s">
        <v>7</v>
      </c>
      <c r="CY608" s="27" t="s">
        <v>8</v>
      </c>
      <c r="CZ608" s="27" t="s">
        <v>7</v>
      </c>
    </row>
    <row r="609" spans="1:173" x14ac:dyDescent="0.25">
      <c r="A609" s="7">
        <v>0.64683903605157422</v>
      </c>
      <c r="B609"/>
      <c r="C609"/>
      <c r="D609"/>
      <c r="E609"/>
      <c r="F609" s="27" t="s">
        <v>7</v>
      </c>
      <c r="BG609" s="27" t="s">
        <v>8</v>
      </c>
      <c r="BL609" s="27" t="s">
        <v>7</v>
      </c>
      <c r="BM609" s="27" t="s">
        <v>8</v>
      </c>
      <c r="BN609" s="27" t="s">
        <v>7</v>
      </c>
      <c r="BO609" s="27" t="s">
        <v>8</v>
      </c>
      <c r="BT609" s="27" t="s">
        <v>7</v>
      </c>
      <c r="BU609" s="27" t="s">
        <v>8</v>
      </c>
      <c r="BX609" s="27" t="s">
        <v>7</v>
      </c>
      <c r="BY609" s="27" t="s">
        <v>8</v>
      </c>
      <c r="BZ609" s="27" t="s">
        <v>7</v>
      </c>
      <c r="CA609" s="27" t="s">
        <v>8</v>
      </c>
      <c r="CB609" s="27" t="s">
        <v>7</v>
      </c>
      <c r="CG609" s="27" t="s">
        <v>8</v>
      </c>
      <c r="CH609" s="27" t="s">
        <v>7</v>
      </c>
      <c r="CI609" s="27" t="s">
        <v>8</v>
      </c>
      <c r="CJ609" s="27" t="s">
        <v>7</v>
      </c>
      <c r="CK609" s="27" t="s">
        <v>8</v>
      </c>
      <c r="CL609" s="27" t="s">
        <v>7</v>
      </c>
      <c r="CM609" s="27" t="s">
        <v>8</v>
      </c>
      <c r="CY609" s="27" t="s">
        <v>8</v>
      </c>
      <c r="CZ609" s="27" t="s">
        <v>7</v>
      </c>
    </row>
    <row r="610" spans="1:173" x14ac:dyDescent="0.25">
      <c r="A610" s="7">
        <v>0.63415591769762181</v>
      </c>
      <c r="B610"/>
      <c r="C610"/>
      <c r="D610"/>
      <c r="E610"/>
      <c r="F610" s="27" t="s">
        <v>7</v>
      </c>
      <c r="BG610" s="27" t="s">
        <v>8</v>
      </c>
      <c r="BL610" s="27" t="s">
        <v>7</v>
      </c>
      <c r="BN610" s="27" t="s">
        <v>7</v>
      </c>
      <c r="BO610" s="27" t="s">
        <v>8</v>
      </c>
      <c r="BT610" s="27" t="s">
        <v>7</v>
      </c>
      <c r="BU610" s="27" t="s">
        <v>8</v>
      </c>
      <c r="BX610" s="27" t="s">
        <v>7</v>
      </c>
      <c r="BY610" s="27" t="s">
        <v>8</v>
      </c>
      <c r="BZ610" s="27" t="s">
        <v>7</v>
      </c>
      <c r="CA610" s="27" t="s">
        <v>8</v>
      </c>
      <c r="CB610" s="27" t="s">
        <v>7</v>
      </c>
      <c r="CG610" s="27" t="s">
        <v>8</v>
      </c>
      <c r="CH610" s="27" t="s">
        <v>7</v>
      </c>
      <c r="CI610" s="27" t="s">
        <v>8</v>
      </c>
      <c r="CJ610" s="27" t="s">
        <v>7</v>
      </c>
      <c r="CK610" s="27" t="s">
        <v>8</v>
      </c>
      <c r="CL610" s="27" t="s">
        <v>7</v>
      </c>
      <c r="CM610" s="27" t="s">
        <v>8</v>
      </c>
      <c r="CN610" s="27" t="s">
        <v>7</v>
      </c>
      <c r="CY610" s="27" t="s">
        <v>8</v>
      </c>
      <c r="CZ610" s="27" t="s">
        <v>7</v>
      </c>
    </row>
    <row r="611" spans="1:173" x14ac:dyDescent="0.25">
      <c r="A611" s="7">
        <v>0.62172148793884496</v>
      </c>
      <c r="B611"/>
      <c r="C611"/>
      <c r="D611"/>
      <c r="E611"/>
      <c r="F611" s="27" t="s">
        <v>7</v>
      </c>
      <c r="BG611" s="27" t="s">
        <v>8</v>
      </c>
      <c r="BN611" s="27" t="s">
        <v>7</v>
      </c>
      <c r="BO611" s="27" t="s">
        <v>8</v>
      </c>
      <c r="BT611" s="27" t="s">
        <v>7</v>
      </c>
      <c r="BU611" s="27" t="s">
        <v>8</v>
      </c>
      <c r="BX611" s="27" t="s">
        <v>7</v>
      </c>
      <c r="BZ611" s="27" t="s">
        <v>7</v>
      </c>
      <c r="CA611" s="27" t="s">
        <v>8</v>
      </c>
      <c r="CB611" s="27" t="s">
        <v>7</v>
      </c>
      <c r="CG611" s="27" t="s">
        <v>8</v>
      </c>
      <c r="CH611" s="27" t="s">
        <v>7</v>
      </c>
      <c r="CI611" s="27" t="s">
        <v>8</v>
      </c>
      <c r="CJ611" s="27" t="s">
        <v>7</v>
      </c>
      <c r="CK611" s="27" t="s">
        <v>8</v>
      </c>
      <c r="CL611" s="27" t="s">
        <v>7</v>
      </c>
      <c r="CM611" s="27" t="s">
        <v>8</v>
      </c>
      <c r="CN611" s="27" t="s">
        <v>7</v>
      </c>
      <c r="CS611" s="27" t="s">
        <v>8</v>
      </c>
      <c r="CY611" s="27" t="s">
        <v>8</v>
      </c>
      <c r="CZ611" s="27" t="s">
        <v>7</v>
      </c>
    </row>
    <row r="612" spans="1:173" x14ac:dyDescent="0.25">
      <c r="A612" s="7">
        <v>0.60953087052827937</v>
      </c>
      <c r="B612"/>
      <c r="C612"/>
      <c r="D612"/>
      <c r="E612"/>
      <c r="F612" s="27" t="s">
        <v>7</v>
      </c>
      <c r="BG612" s="27" t="s">
        <v>8</v>
      </c>
      <c r="BN612" s="27" t="s">
        <v>7</v>
      </c>
      <c r="BO612" s="27" t="s">
        <v>8</v>
      </c>
      <c r="BT612" s="27" t="s">
        <v>7</v>
      </c>
      <c r="BZ612" s="27" t="s">
        <v>7</v>
      </c>
      <c r="CA612" s="27" t="s">
        <v>8</v>
      </c>
      <c r="CB612" s="27" t="s">
        <v>7</v>
      </c>
      <c r="CC612" s="27" t="s">
        <v>8</v>
      </c>
      <c r="CG612" s="27" t="s">
        <v>8</v>
      </c>
      <c r="CH612" s="27" t="s">
        <v>7</v>
      </c>
      <c r="CJ612" s="27" t="s">
        <v>7</v>
      </c>
      <c r="CK612" s="27" t="s">
        <v>8</v>
      </c>
      <c r="CL612" s="27" t="s">
        <v>7</v>
      </c>
      <c r="CM612" s="27" t="s">
        <v>8</v>
      </c>
      <c r="CN612" s="27" t="s">
        <v>7</v>
      </c>
      <c r="CO612" s="27" t="s">
        <v>8</v>
      </c>
      <c r="CS612" s="27" t="s">
        <v>8</v>
      </c>
      <c r="CT612" s="27" t="s">
        <v>7</v>
      </c>
      <c r="CY612" s="27" t="s">
        <v>8</v>
      </c>
      <c r="CZ612" s="27" t="s">
        <v>7</v>
      </c>
    </row>
    <row r="613" spans="1:173" x14ac:dyDescent="0.25">
      <c r="A613" s="7">
        <v>0.59757928483164646</v>
      </c>
      <c r="B613"/>
      <c r="C613"/>
      <c r="D613"/>
      <c r="E613"/>
      <c r="F613" s="27" t="s">
        <v>7</v>
      </c>
      <c r="BG613" s="27" t="s">
        <v>8</v>
      </c>
      <c r="BN613" s="27" t="s">
        <v>7</v>
      </c>
      <c r="BO613" s="27" t="s">
        <v>8</v>
      </c>
      <c r="BZ613" s="27" t="s">
        <v>7</v>
      </c>
      <c r="CA613" s="27" t="s">
        <v>8</v>
      </c>
      <c r="CB613" s="27" t="s">
        <v>7</v>
      </c>
      <c r="CC613" s="27" t="s">
        <v>8</v>
      </c>
      <c r="CD613" s="27" t="s">
        <v>7</v>
      </c>
      <c r="CG613" s="27" t="s">
        <v>8</v>
      </c>
      <c r="CJ613" s="27" t="s">
        <v>7</v>
      </c>
      <c r="CK613" s="27" t="s">
        <v>8</v>
      </c>
      <c r="CL613" s="27" t="s">
        <v>7</v>
      </c>
      <c r="CN613" s="27" t="s">
        <v>7</v>
      </c>
      <c r="CO613" s="27" t="s">
        <v>8</v>
      </c>
      <c r="CP613" s="27" t="s">
        <v>7</v>
      </c>
      <c r="CS613" s="27" t="s">
        <v>8</v>
      </c>
      <c r="CT613" s="27" t="s">
        <v>7</v>
      </c>
      <c r="CU613" s="27" t="s">
        <v>8</v>
      </c>
      <c r="CY613" s="27" t="s">
        <v>8</v>
      </c>
      <c r="CZ613" s="27" t="s">
        <v>7</v>
      </c>
    </row>
    <row r="614" spans="1:173" x14ac:dyDescent="0.25">
      <c r="A614" s="7">
        <v>0.58586204395259456</v>
      </c>
      <c r="B614"/>
      <c r="C614"/>
      <c r="D614"/>
      <c r="E614"/>
      <c r="F614" s="27" t="s">
        <v>7</v>
      </c>
      <c r="BG614" s="27" t="s">
        <v>8</v>
      </c>
      <c r="BN614" s="27" t="s">
        <v>7</v>
      </c>
      <c r="BO614" s="27" t="s">
        <v>8</v>
      </c>
      <c r="BZ614" s="27" t="s">
        <v>7</v>
      </c>
      <c r="CA614" s="27" t="s">
        <v>8</v>
      </c>
      <c r="CB614" s="27" t="s">
        <v>7</v>
      </c>
      <c r="CC614" s="27" t="s">
        <v>8</v>
      </c>
      <c r="CD614" s="27" t="s">
        <v>7</v>
      </c>
      <c r="CG614" s="27" t="s">
        <v>8</v>
      </c>
      <c r="CJ614" s="27" t="s">
        <v>7</v>
      </c>
      <c r="CN614" s="27" t="s">
        <v>7</v>
      </c>
      <c r="CO614" s="27" t="s">
        <v>8</v>
      </c>
      <c r="CP614" s="27" t="s">
        <v>7</v>
      </c>
      <c r="CS614" s="27" t="s">
        <v>8</v>
      </c>
      <c r="CT614" s="27" t="s">
        <v>7</v>
      </c>
      <c r="CU614" s="27" t="s">
        <v>8</v>
      </c>
      <c r="CV614" s="27" t="s">
        <v>7</v>
      </c>
      <c r="CY614" s="27" t="s">
        <v>8</v>
      </c>
      <c r="CZ614" s="27" t="s">
        <v>7</v>
      </c>
    </row>
    <row r="615" spans="1:173" x14ac:dyDescent="0.25">
      <c r="A615" s="7">
        <v>0.57437455289470052</v>
      </c>
      <c r="B615"/>
      <c r="C615"/>
      <c r="D615"/>
      <c r="E615"/>
      <c r="F615" s="27" t="s">
        <v>7</v>
      </c>
      <c r="BG615" s="27" t="s">
        <v>8</v>
      </c>
      <c r="BN615" s="27" t="s">
        <v>7</v>
      </c>
      <c r="BO615" s="27" t="s">
        <v>8</v>
      </c>
      <c r="BZ615" s="27" t="s">
        <v>7</v>
      </c>
      <c r="CA615" s="27" t="s">
        <v>8</v>
      </c>
      <c r="CB615" s="27" t="s">
        <v>7</v>
      </c>
      <c r="CC615" s="27" t="s">
        <v>8</v>
      </c>
      <c r="CD615" s="27" t="s">
        <v>7</v>
      </c>
      <c r="CG615" s="27" t="s">
        <v>8</v>
      </c>
      <c r="CN615" s="27" t="s">
        <v>7</v>
      </c>
      <c r="CO615" s="27" t="s">
        <v>8</v>
      </c>
      <c r="CP615" s="27" t="s">
        <v>7</v>
      </c>
      <c r="CQ615" s="27" t="s">
        <v>8</v>
      </c>
      <c r="CS615" s="27" t="s">
        <v>8</v>
      </c>
      <c r="CT615" s="27" t="s">
        <v>7</v>
      </c>
      <c r="CU615" s="27" t="s">
        <v>8</v>
      </c>
      <c r="CV615" s="27" t="s">
        <v>7</v>
      </c>
      <c r="CY615" s="27" t="s">
        <v>8</v>
      </c>
      <c r="CZ615" s="27" t="s">
        <v>7</v>
      </c>
    </row>
    <row r="616" spans="1:173" x14ac:dyDescent="0.25">
      <c r="A616" s="7">
        <v>0.56311230675951029</v>
      </c>
      <c r="B616"/>
      <c r="C616"/>
      <c r="D616"/>
      <c r="E616"/>
      <c r="F616" s="27" t="s">
        <v>7</v>
      </c>
      <c r="BG616" s="27" t="s">
        <v>8</v>
      </c>
      <c r="BN616" s="27" t="s">
        <v>7</v>
      </c>
      <c r="BO616" s="27" t="s">
        <v>8</v>
      </c>
      <c r="BZ616" s="27" t="s">
        <v>7</v>
      </c>
      <c r="CA616" s="27" t="s">
        <v>8</v>
      </c>
      <c r="CB616" s="27" t="s">
        <v>7</v>
      </c>
      <c r="CC616" s="27" t="s">
        <v>8</v>
      </c>
      <c r="CD616" s="27" t="s">
        <v>7</v>
      </c>
      <c r="CG616" s="27" t="s">
        <v>8</v>
      </c>
      <c r="CN616" s="27" t="s">
        <v>7</v>
      </c>
      <c r="CO616" s="27" t="s">
        <v>8</v>
      </c>
      <c r="CP616" s="27" t="s">
        <v>7</v>
      </c>
      <c r="CQ616" s="27" t="s">
        <v>8</v>
      </c>
      <c r="CR616" s="27" t="s">
        <v>7</v>
      </c>
      <c r="CS616" s="27" t="s">
        <v>8</v>
      </c>
      <c r="CT616" s="27" t="s">
        <v>7</v>
      </c>
      <c r="CU616" s="27" t="s">
        <v>8</v>
      </c>
      <c r="CV616" s="27" t="s">
        <v>7</v>
      </c>
      <c r="CY616" s="27" t="s">
        <v>8</v>
      </c>
      <c r="CZ616" s="27" t="s">
        <v>7</v>
      </c>
    </row>
    <row r="617" spans="1:173" x14ac:dyDescent="0.25">
      <c r="A617" s="7">
        <v>0.55207088897991208</v>
      </c>
      <c r="B617"/>
      <c r="C617"/>
      <c r="D617"/>
      <c r="E617"/>
      <c r="F617" s="27" t="s">
        <v>7</v>
      </c>
      <c r="BG617" s="27" t="s">
        <v>8</v>
      </c>
      <c r="BN617" s="27" t="s">
        <v>7</v>
      </c>
      <c r="BO617" s="27" t="s">
        <v>8</v>
      </c>
      <c r="BZ617" s="27" t="s">
        <v>7</v>
      </c>
      <c r="CA617" s="27" t="s">
        <v>8</v>
      </c>
      <c r="CB617" s="27" t="s">
        <v>7</v>
      </c>
      <c r="CC617" s="27" t="s">
        <v>8</v>
      </c>
      <c r="CD617" s="27" t="s">
        <v>7</v>
      </c>
      <c r="CG617" s="27" t="s">
        <v>8</v>
      </c>
      <c r="CN617" s="27" t="s">
        <v>7</v>
      </c>
      <c r="CO617" s="27" t="s">
        <v>8</v>
      </c>
      <c r="CP617" s="27" t="s">
        <v>7</v>
      </c>
      <c r="CQ617" s="27" t="s">
        <v>8</v>
      </c>
      <c r="CR617" s="27" t="s">
        <v>7</v>
      </c>
      <c r="CS617" s="27" t="s">
        <v>8</v>
      </c>
      <c r="CT617" s="27" t="s">
        <v>7</v>
      </c>
      <c r="CU617" s="27" t="s">
        <v>8</v>
      </c>
      <c r="CV617" s="27" t="s">
        <v>7</v>
      </c>
      <c r="CY617" s="27" t="s">
        <v>8</v>
      </c>
      <c r="CZ617" s="27" t="s">
        <v>7</v>
      </c>
    </row>
    <row r="618" spans="1:173" x14ac:dyDescent="0.25">
      <c r="A618" s="7">
        <v>0.54124596958814908</v>
      </c>
      <c r="B618"/>
      <c r="C618"/>
      <c r="D618"/>
      <c r="E618"/>
      <c r="F618" s="27" t="s">
        <v>7</v>
      </c>
      <c r="BG618" s="27" t="s">
        <v>8</v>
      </c>
      <c r="BN618" s="27" t="s">
        <v>7</v>
      </c>
      <c r="BO618" s="27" t="s">
        <v>8</v>
      </c>
      <c r="BZ618" s="27" t="s">
        <v>7</v>
      </c>
      <c r="CA618" s="27" t="s">
        <v>8</v>
      </c>
      <c r="CB618" s="27" t="s">
        <v>7</v>
      </c>
      <c r="CC618" s="27" t="s">
        <v>8</v>
      </c>
      <c r="CD618" s="27" t="s">
        <v>7</v>
      </c>
      <c r="CG618" s="27" t="s">
        <v>8</v>
      </c>
      <c r="CN618" s="27" t="s">
        <v>7</v>
      </c>
      <c r="CO618" s="27" t="s">
        <v>8</v>
      </c>
      <c r="CP618" s="27" t="s">
        <v>7</v>
      </c>
      <c r="CQ618" s="27" t="s">
        <v>8</v>
      </c>
      <c r="CR618" s="27" t="s">
        <v>7</v>
      </c>
      <c r="CS618" s="27" t="s">
        <v>8</v>
      </c>
      <c r="CT618" s="27" t="s">
        <v>7</v>
      </c>
      <c r="CU618" s="27" t="s">
        <v>8</v>
      </c>
      <c r="CV618" s="27" t="s">
        <v>7</v>
      </c>
      <c r="CY618" s="27" t="s">
        <v>8</v>
      </c>
      <c r="CZ618" s="27" t="s">
        <v>7</v>
      </c>
    </row>
    <row r="619" spans="1:173" x14ac:dyDescent="0.25">
      <c r="A619" s="7">
        <v>0.53063330351779314</v>
      </c>
      <c r="B619"/>
      <c r="C619"/>
      <c r="D619"/>
      <c r="E619"/>
      <c r="F619" s="27" t="s">
        <v>7</v>
      </c>
      <c r="BG619" s="27" t="s">
        <v>8</v>
      </c>
      <c r="BN619" s="27" t="s">
        <v>7</v>
      </c>
      <c r="BO619" s="27" t="s">
        <v>8</v>
      </c>
      <c r="BZ619" s="27" t="s">
        <v>7</v>
      </c>
      <c r="CA619" s="27" t="s">
        <v>8</v>
      </c>
      <c r="CB619" s="27" t="s">
        <v>7</v>
      </c>
      <c r="CC619" s="27" t="s">
        <v>8</v>
      </c>
      <c r="CD619" s="27" t="s">
        <v>7</v>
      </c>
      <c r="CG619" s="27" t="s">
        <v>8</v>
      </c>
      <c r="CN619" s="27" t="s">
        <v>7</v>
      </c>
      <c r="CO619" s="27" t="s">
        <v>8</v>
      </c>
      <c r="CP619" s="27" t="s">
        <v>7</v>
      </c>
      <c r="CQ619" s="27" t="s">
        <v>8</v>
      </c>
      <c r="CR619" s="27" t="s">
        <v>7</v>
      </c>
      <c r="CS619" s="27" t="s">
        <v>8</v>
      </c>
      <c r="CT619" s="27" t="s">
        <v>7</v>
      </c>
      <c r="CU619" s="27" t="s">
        <v>8</v>
      </c>
      <c r="CV619" s="27" t="s">
        <v>7</v>
      </c>
      <c r="CY619" s="27" t="s">
        <v>8</v>
      </c>
      <c r="CZ619" s="27" t="s">
        <v>7</v>
      </c>
    </row>
    <row r="620" spans="1:173" x14ac:dyDescent="0.25">
      <c r="A620" s="7">
        <v>0.52022872893901284</v>
      </c>
      <c r="B620"/>
      <c r="C620"/>
      <c r="D620"/>
      <c r="E620"/>
      <c r="F620" s="27" t="s">
        <v>7</v>
      </c>
      <c r="BG620" s="27" t="s">
        <v>8</v>
      </c>
      <c r="BN620" s="27" t="s">
        <v>7</v>
      </c>
      <c r="BZ620" s="27" t="s">
        <v>7</v>
      </c>
      <c r="CA620" s="27" t="s">
        <v>8</v>
      </c>
      <c r="CB620" s="27" t="s">
        <v>7</v>
      </c>
      <c r="CC620" s="27" t="s">
        <v>8</v>
      </c>
      <c r="CD620" s="27" t="s">
        <v>7</v>
      </c>
      <c r="CG620" s="27" t="s">
        <v>8</v>
      </c>
      <c r="CN620" s="27" t="s">
        <v>7</v>
      </c>
      <c r="CO620" s="27" t="s">
        <v>8</v>
      </c>
      <c r="CP620" s="27" t="s">
        <v>7</v>
      </c>
      <c r="CQ620" s="27" t="s">
        <v>8</v>
      </c>
      <c r="CR620" s="27" t="s">
        <v>7</v>
      </c>
      <c r="CS620" s="27" t="s">
        <v>8</v>
      </c>
      <c r="CT620" s="27" t="s">
        <v>7</v>
      </c>
      <c r="CU620" s="27" t="s">
        <v>8</v>
      </c>
      <c r="CV620" s="27" t="s">
        <v>7</v>
      </c>
      <c r="CY620" s="27" t="s">
        <v>8</v>
      </c>
      <c r="CZ620" s="27" t="s">
        <v>7</v>
      </c>
    </row>
    <row r="621" spans="1:173" x14ac:dyDescent="0.25">
      <c r="A621" s="7">
        <v>0.51002816562648323</v>
      </c>
      <c r="B621"/>
      <c r="C621"/>
      <c r="D621"/>
      <c r="E621"/>
      <c r="F621" s="27" t="s">
        <v>7</v>
      </c>
      <c r="BG621" s="27" t="s">
        <v>8</v>
      </c>
      <c r="BZ621" s="27" t="s">
        <v>7</v>
      </c>
      <c r="CA621" s="27" t="s">
        <v>8</v>
      </c>
      <c r="CB621" s="27" t="s">
        <v>7</v>
      </c>
      <c r="CD621" s="27" t="s">
        <v>7</v>
      </c>
      <c r="CG621" s="27" t="s">
        <v>8</v>
      </c>
      <c r="CN621" s="27" t="s">
        <v>7</v>
      </c>
      <c r="CO621" s="27" t="s">
        <v>8</v>
      </c>
      <c r="CP621" s="27" t="s">
        <v>7</v>
      </c>
      <c r="CQ621" s="27" t="s">
        <v>8</v>
      </c>
      <c r="CR621" s="27" t="s">
        <v>7</v>
      </c>
      <c r="CS621" s="27" t="s">
        <v>8</v>
      </c>
      <c r="CT621" s="27" t="s">
        <v>7</v>
      </c>
      <c r="CU621" s="27" t="s">
        <v>8</v>
      </c>
      <c r="CV621" s="27" t="s">
        <v>7</v>
      </c>
      <c r="CY621" s="27" t="s">
        <v>8</v>
      </c>
      <c r="CZ621" s="27" t="s">
        <v>7</v>
      </c>
    </row>
    <row r="622" spans="1:173" x14ac:dyDescent="0.25">
      <c r="A622" s="7">
        <v>0.50002761335929735</v>
      </c>
      <c r="B622"/>
      <c r="C622"/>
      <c r="D622"/>
      <c r="E622"/>
      <c r="F622" s="27" t="s">
        <v>7</v>
      </c>
      <c r="BG622" s="27" t="s">
        <v>8</v>
      </c>
      <c r="BZ622" s="27" t="s">
        <v>7</v>
      </c>
      <c r="CA622" s="27" t="s">
        <v>8</v>
      </c>
      <c r="CD622" s="27" t="s">
        <v>7</v>
      </c>
      <c r="CG622" s="27" t="s">
        <v>8</v>
      </c>
      <c r="CN622" s="27" t="s">
        <v>7</v>
      </c>
      <c r="CO622" s="27" t="s">
        <v>8</v>
      </c>
      <c r="CP622" s="27" t="s">
        <v>7</v>
      </c>
      <c r="CQ622" s="27" t="s">
        <v>8</v>
      </c>
      <c r="CR622" s="27" t="s">
        <v>7</v>
      </c>
      <c r="CS622" s="27" t="s">
        <v>8</v>
      </c>
      <c r="CT622" s="27" t="s">
        <v>7</v>
      </c>
      <c r="CU622" s="27" t="s">
        <v>8</v>
      </c>
      <c r="CV622" s="27" t="s">
        <v>7</v>
      </c>
      <c r="CY622" s="27" t="s">
        <v>8</v>
      </c>
      <c r="CZ622" s="27" t="s">
        <v>7</v>
      </c>
      <c r="DA622" s="27" t="s">
        <v>8</v>
      </c>
      <c r="FE622" s="27" t="s">
        <v>8</v>
      </c>
    </row>
    <row r="623" spans="1:173" x14ac:dyDescent="0.25">
      <c r="A623" s="7">
        <v>0.49022315035225228</v>
      </c>
      <c r="B623"/>
      <c r="C623"/>
      <c r="D623"/>
      <c r="E623"/>
      <c r="F623" s="27" t="s">
        <v>7</v>
      </c>
      <c r="BG623" s="27" t="s">
        <v>8</v>
      </c>
      <c r="BZ623" s="27" t="s">
        <v>7</v>
      </c>
      <c r="CA623" s="27" t="s">
        <v>8</v>
      </c>
      <c r="CD623" s="27" t="s">
        <v>7</v>
      </c>
      <c r="CG623" s="27" t="s">
        <v>8</v>
      </c>
      <c r="CN623" s="27" t="s">
        <v>7</v>
      </c>
      <c r="CP623" s="27" t="s">
        <v>7</v>
      </c>
      <c r="CQ623" s="27" t="s">
        <v>8</v>
      </c>
      <c r="CR623" s="27" t="s">
        <v>7</v>
      </c>
      <c r="CT623" s="27" t="s">
        <v>7</v>
      </c>
      <c r="CU623" s="27" t="s">
        <v>8</v>
      </c>
      <c r="CV623" s="27" t="s">
        <v>7</v>
      </c>
      <c r="CY623" s="27" t="s">
        <v>8</v>
      </c>
      <c r="CZ623" s="27" t="s">
        <v>7</v>
      </c>
      <c r="DA623" s="27" t="s">
        <v>8</v>
      </c>
      <c r="DB623" s="27" t="s">
        <v>7</v>
      </c>
      <c r="FE623" s="27" t="s">
        <v>8</v>
      </c>
      <c r="FF623" s="27" t="s">
        <v>7</v>
      </c>
    </row>
    <row r="624" spans="1:173" x14ac:dyDescent="0.25">
      <c r="A624" s="7">
        <v>0.48061093171789437</v>
      </c>
      <c r="B624"/>
      <c r="C624"/>
      <c r="D624"/>
      <c r="E624"/>
      <c r="F624" s="27" t="s">
        <v>7</v>
      </c>
      <c r="BG624" s="27" t="s">
        <v>8</v>
      </c>
      <c r="BZ624" s="27" t="s">
        <v>7</v>
      </c>
      <c r="CA624" s="27" t="s">
        <v>8</v>
      </c>
      <c r="CD624" s="27" t="s">
        <v>7</v>
      </c>
      <c r="CE624" s="27" t="s">
        <v>8</v>
      </c>
      <c r="CG624" s="27" t="s">
        <v>8</v>
      </c>
      <c r="CP624" s="27" t="s">
        <v>7</v>
      </c>
      <c r="CQ624" s="27" t="s">
        <v>8</v>
      </c>
      <c r="CT624" s="27" t="s">
        <v>7</v>
      </c>
      <c r="CV624" s="27" t="s">
        <v>7</v>
      </c>
      <c r="CY624" s="27" t="s">
        <v>8</v>
      </c>
      <c r="CZ624" s="27" t="s">
        <v>7</v>
      </c>
      <c r="DA624" s="27" t="s">
        <v>8</v>
      </c>
      <c r="DB624" s="27" t="s">
        <v>7</v>
      </c>
      <c r="FE624" s="27" t="s">
        <v>8</v>
      </c>
      <c r="FF624" s="27" t="s">
        <v>7</v>
      </c>
      <c r="FQ624" s="27" t="s">
        <v>8</v>
      </c>
    </row>
    <row r="625" spans="1:202" x14ac:dyDescent="0.25">
      <c r="A625" s="7">
        <v>0.47118718795871994</v>
      </c>
      <c r="B625"/>
      <c r="C625"/>
      <c r="D625"/>
      <c r="E625"/>
      <c r="F625" s="27" t="s">
        <v>7</v>
      </c>
      <c r="BG625" s="27" t="s">
        <v>8</v>
      </c>
      <c r="BZ625" s="27" t="s">
        <v>7</v>
      </c>
      <c r="CA625" s="27" t="s">
        <v>8</v>
      </c>
      <c r="CD625" s="27" t="s">
        <v>7</v>
      </c>
      <c r="CE625" s="27" t="s">
        <v>8</v>
      </c>
      <c r="CF625" s="27" t="s">
        <v>7</v>
      </c>
      <c r="CG625" s="27" t="s">
        <v>8</v>
      </c>
      <c r="CP625" s="27" t="s">
        <v>7</v>
      </c>
      <c r="CQ625" s="27" t="s">
        <v>8</v>
      </c>
      <c r="CV625" s="27" t="s">
        <v>7</v>
      </c>
      <c r="CY625" s="27" t="s">
        <v>8</v>
      </c>
      <c r="CZ625" s="27" t="s">
        <v>7</v>
      </c>
      <c r="DA625" s="27" t="s">
        <v>8</v>
      </c>
      <c r="DB625" s="27" t="s">
        <v>7</v>
      </c>
      <c r="FE625" s="27" t="s">
        <v>8</v>
      </c>
      <c r="FF625" s="27" t="s">
        <v>7</v>
      </c>
      <c r="FQ625" s="27" t="s">
        <v>8</v>
      </c>
      <c r="FR625" s="27" t="s">
        <v>7</v>
      </c>
    </row>
    <row r="626" spans="1:202" x14ac:dyDescent="0.25">
      <c r="A626" s="7">
        <v>0.46194822348894116</v>
      </c>
      <c r="B626"/>
      <c r="C626"/>
      <c r="D626"/>
      <c r="E626"/>
      <c r="F626" s="27" t="s">
        <v>7</v>
      </c>
      <c r="BG626" s="27" t="s">
        <v>8</v>
      </c>
      <c r="BZ626" s="27" t="s">
        <v>7</v>
      </c>
      <c r="CA626" s="27" t="s">
        <v>8</v>
      </c>
      <c r="CD626" s="27" t="s">
        <v>7</v>
      </c>
      <c r="CE626" s="27" t="s">
        <v>8</v>
      </c>
      <c r="CF626" s="27" t="s">
        <v>7</v>
      </c>
      <c r="CG626" s="27" t="s">
        <v>8</v>
      </c>
      <c r="CP626" s="27" t="s">
        <v>7</v>
      </c>
      <c r="CQ626" s="27" t="s">
        <v>8</v>
      </c>
      <c r="CV626" s="27" t="s">
        <v>7</v>
      </c>
      <c r="CY626" s="27" t="s">
        <v>8</v>
      </c>
      <c r="CZ626" s="27" t="s">
        <v>7</v>
      </c>
      <c r="DA626" s="27" t="s">
        <v>8</v>
      </c>
      <c r="DB626" s="27" t="s">
        <v>7</v>
      </c>
      <c r="DC626" s="27" t="s">
        <v>8</v>
      </c>
      <c r="FE626" s="27" t="s">
        <v>8</v>
      </c>
      <c r="FF626" s="27" t="s">
        <v>7</v>
      </c>
      <c r="FQ626" s="27" t="s">
        <v>8</v>
      </c>
      <c r="FR626" s="27" t="s">
        <v>7</v>
      </c>
    </row>
    <row r="627" spans="1:202" x14ac:dyDescent="0.25">
      <c r="A627" s="7">
        <v>0.45289041518523643</v>
      </c>
      <c r="B627"/>
      <c r="C627"/>
      <c r="D627"/>
      <c r="E627"/>
      <c r="F627" s="27" t="s">
        <v>7</v>
      </c>
      <c r="BG627" s="27" t="s">
        <v>8</v>
      </c>
      <c r="BZ627" s="27" t="s">
        <v>7</v>
      </c>
      <c r="CA627" s="27" t="s">
        <v>8</v>
      </c>
      <c r="CD627" s="27" t="s">
        <v>7</v>
      </c>
      <c r="CE627" s="27" t="s">
        <v>8</v>
      </c>
      <c r="CF627" s="27" t="s">
        <v>7</v>
      </c>
      <c r="CG627" s="27" t="s">
        <v>8</v>
      </c>
      <c r="CP627" s="27" t="s">
        <v>7</v>
      </c>
      <c r="CQ627" s="27" t="s">
        <v>8</v>
      </c>
      <c r="CV627" s="27" t="s">
        <v>7</v>
      </c>
      <c r="CY627" s="27" t="s">
        <v>8</v>
      </c>
      <c r="CZ627" s="27" t="s">
        <v>7</v>
      </c>
      <c r="DA627" s="27" t="s">
        <v>8</v>
      </c>
      <c r="DB627" s="27" t="s">
        <v>7</v>
      </c>
      <c r="DC627" s="27" t="s">
        <v>8</v>
      </c>
      <c r="DD627" s="27" t="s">
        <v>7</v>
      </c>
      <c r="FE627" s="27" t="s">
        <v>8</v>
      </c>
      <c r="FF627" s="27" t="s">
        <v>7</v>
      </c>
      <c r="FQ627" s="27" t="s">
        <v>8</v>
      </c>
      <c r="FR627" s="27" t="s">
        <v>7</v>
      </c>
    </row>
    <row r="628" spans="1:202" x14ac:dyDescent="0.25">
      <c r="A628" s="7">
        <v>0.44401021096591808</v>
      </c>
      <c r="B628"/>
      <c r="C628"/>
      <c r="D628"/>
      <c r="E628"/>
      <c r="F628" s="27" t="s">
        <v>7</v>
      </c>
      <c r="BG628" s="27" t="s">
        <v>8</v>
      </c>
      <c r="BZ628" s="27" t="s">
        <v>7</v>
      </c>
      <c r="CD628" s="27" t="s">
        <v>7</v>
      </c>
      <c r="CE628" s="27" t="s">
        <v>8</v>
      </c>
      <c r="CF628" s="27" t="s">
        <v>7</v>
      </c>
      <c r="CG628" s="27" t="s">
        <v>8</v>
      </c>
      <c r="CP628" s="27" t="s">
        <v>7</v>
      </c>
      <c r="CV628" s="27" t="s">
        <v>7</v>
      </c>
      <c r="CY628" s="27" t="s">
        <v>8</v>
      </c>
      <c r="CZ628" s="27" t="s">
        <v>7</v>
      </c>
      <c r="DA628" s="27" t="s">
        <v>8</v>
      </c>
      <c r="DB628" s="27" t="s">
        <v>7</v>
      </c>
      <c r="DC628" s="27" t="s">
        <v>8</v>
      </c>
      <c r="DD628" s="27" t="s">
        <v>7</v>
      </c>
      <c r="FE628" s="27" t="s">
        <v>8</v>
      </c>
      <c r="FF628" s="27" t="s">
        <v>7</v>
      </c>
      <c r="FQ628" s="27" t="s">
        <v>8</v>
      </c>
      <c r="FR628" s="27" t="s">
        <v>7</v>
      </c>
    </row>
    <row r="629" spans="1:202" x14ac:dyDescent="0.25">
      <c r="A629" s="7">
        <v>0.4353041283979589</v>
      </c>
      <c r="B629"/>
      <c r="C629"/>
      <c r="D629"/>
      <c r="E629"/>
      <c r="F629" s="27" t="s">
        <v>7</v>
      </c>
      <c r="BG629" s="27" t="s">
        <v>8</v>
      </c>
      <c r="CD629" s="27" t="s">
        <v>7</v>
      </c>
      <c r="CE629" s="27" t="s">
        <v>8</v>
      </c>
      <c r="CF629" s="27" t="s">
        <v>7</v>
      </c>
      <c r="CG629" s="27" t="s">
        <v>8</v>
      </c>
      <c r="CV629" s="27" t="s">
        <v>7</v>
      </c>
      <c r="CW629" s="27" t="s">
        <v>8</v>
      </c>
      <c r="CY629" s="27" t="s">
        <v>8</v>
      </c>
      <c r="CZ629" s="27" t="s">
        <v>7</v>
      </c>
      <c r="DA629" s="27" t="s">
        <v>8</v>
      </c>
      <c r="DB629" s="27" t="s">
        <v>7</v>
      </c>
      <c r="DC629" s="27" t="s">
        <v>8</v>
      </c>
      <c r="DD629" s="27" t="s">
        <v>7</v>
      </c>
      <c r="FA629" s="27" t="s">
        <v>8</v>
      </c>
      <c r="FE629" s="27" t="s">
        <v>8</v>
      </c>
      <c r="FF629" s="27" t="s">
        <v>7</v>
      </c>
      <c r="FQ629" s="27" t="s">
        <v>8</v>
      </c>
      <c r="FR629" s="27" t="s">
        <v>7</v>
      </c>
      <c r="FY629" s="27" t="s">
        <v>8</v>
      </c>
    </row>
    <row r="630" spans="1:202" x14ac:dyDescent="0.25">
      <c r="A630" s="7">
        <v>0.4267687533313323</v>
      </c>
      <c r="B630"/>
      <c r="C630"/>
      <c r="D630"/>
      <c r="E630"/>
      <c r="F630" s="27" t="s">
        <v>7</v>
      </c>
      <c r="BG630" s="27" t="s">
        <v>8</v>
      </c>
      <c r="CD630" s="27" t="s">
        <v>7</v>
      </c>
      <c r="CE630" s="27" t="s">
        <v>8</v>
      </c>
      <c r="CF630" s="27" t="s">
        <v>7</v>
      </c>
      <c r="CG630" s="27" t="s">
        <v>8</v>
      </c>
      <c r="CV630" s="27" t="s">
        <v>7</v>
      </c>
      <c r="CW630" s="27" t="s">
        <v>8</v>
      </c>
      <c r="CX630" s="27" t="s">
        <v>7</v>
      </c>
      <c r="CY630" s="27" t="s">
        <v>8</v>
      </c>
      <c r="CZ630" s="27" t="s">
        <v>7</v>
      </c>
      <c r="DA630" s="27" t="s">
        <v>8</v>
      </c>
      <c r="DB630" s="27" t="s">
        <v>7</v>
      </c>
      <c r="DC630" s="27" t="s">
        <v>8</v>
      </c>
      <c r="DD630" s="27" t="s">
        <v>7</v>
      </c>
      <c r="EW630" s="27" t="s">
        <v>8</v>
      </c>
      <c r="EY630" s="27" t="s">
        <v>8</v>
      </c>
      <c r="FA630" s="27" t="s">
        <v>8</v>
      </c>
      <c r="FB630" s="27" t="s">
        <v>7</v>
      </c>
      <c r="FE630" s="27" t="s">
        <v>8</v>
      </c>
      <c r="FF630" s="27" t="s">
        <v>7</v>
      </c>
      <c r="FQ630" s="27" t="s">
        <v>8</v>
      </c>
      <c r="FR630" s="27" t="s">
        <v>7</v>
      </c>
      <c r="FY630" s="27" t="s">
        <v>8</v>
      </c>
      <c r="FZ630" s="27" t="s">
        <v>7</v>
      </c>
      <c r="GQ630" s="27" t="s">
        <v>8</v>
      </c>
    </row>
    <row r="631" spans="1:202" x14ac:dyDescent="0.25">
      <c r="A631" s="7">
        <v>0.41840073856012971</v>
      </c>
      <c r="B631"/>
      <c r="C631"/>
      <c r="D631"/>
      <c r="E631"/>
      <c r="F631" s="27" t="s">
        <v>7</v>
      </c>
      <c r="BG631" s="27" t="s">
        <v>8</v>
      </c>
      <c r="CD631" s="27" t="s">
        <v>7</v>
      </c>
      <c r="CE631" s="27" t="s">
        <v>8</v>
      </c>
      <c r="CF631" s="27" t="s">
        <v>7</v>
      </c>
      <c r="CG631" s="27" t="s">
        <v>8</v>
      </c>
      <c r="CV631" s="27" t="s">
        <v>7</v>
      </c>
      <c r="CW631" s="27" t="s">
        <v>8</v>
      </c>
      <c r="CX631" s="27" t="s">
        <v>7</v>
      </c>
      <c r="CY631" s="27" t="s">
        <v>8</v>
      </c>
      <c r="CZ631" s="27" t="s">
        <v>7</v>
      </c>
      <c r="DA631" s="27" t="s">
        <v>8</v>
      </c>
      <c r="DB631" s="27" t="s">
        <v>7</v>
      </c>
      <c r="DC631" s="27" t="s">
        <v>8</v>
      </c>
      <c r="DD631" s="27" t="s">
        <v>7</v>
      </c>
      <c r="EW631" s="27" t="s">
        <v>8</v>
      </c>
      <c r="EX631" s="27" t="s">
        <v>7</v>
      </c>
      <c r="EY631" s="27" t="s">
        <v>8</v>
      </c>
      <c r="EZ631" s="27" t="s">
        <v>7</v>
      </c>
      <c r="FA631" s="27" t="s">
        <v>8</v>
      </c>
      <c r="FB631" s="27" t="s">
        <v>7</v>
      </c>
      <c r="FE631" s="27" t="s">
        <v>8</v>
      </c>
      <c r="FF631" s="27" t="s">
        <v>7</v>
      </c>
      <c r="FQ631" s="27" t="s">
        <v>8</v>
      </c>
      <c r="FR631" s="27" t="s">
        <v>7</v>
      </c>
      <c r="FY631" s="27" t="s">
        <v>8</v>
      </c>
      <c r="FZ631" s="27" t="s">
        <v>7</v>
      </c>
      <c r="GQ631" s="27" t="s">
        <v>8</v>
      </c>
      <c r="GR631" s="27" t="s">
        <v>7</v>
      </c>
    </row>
    <row r="632" spans="1:202" x14ac:dyDescent="0.25">
      <c r="A632" s="7">
        <v>0.41019680250993112</v>
      </c>
      <c r="B632"/>
      <c r="C632"/>
      <c r="D632"/>
      <c r="E632"/>
      <c r="F632" s="27" t="s">
        <v>7</v>
      </c>
      <c r="BG632" s="27" t="s">
        <v>8</v>
      </c>
      <c r="CD632" s="27" t="s">
        <v>7</v>
      </c>
      <c r="CF632" s="27" t="s">
        <v>7</v>
      </c>
      <c r="CV632" s="27" t="s">
        <v>7</v>
      </c>
      <c r="CW632" s="27" t="s">
        <v>8</v>
      </c>
      <c r="CX632" s="27" t="s">
        <v>7</v>
      </c>
      <c r="CY632" s="27" t="s">
        <v>8</v>
      </c>
      <c r="CZ632" s="27" t="s">
        <v>7</v>
      </c>
      <c r="DA632" s="27" t="s">
        <v>8</v>
      </c>
      <c r="DB632" s="27" t="s">
        <v>7</v>
      </c>
      <c r="DD632" s="27" t="s">
        <v>7</v>
      </c>
      <c r="DE632" s="27" t="s">
        <v>8</v>
      </c>
      <c r="EW632" s="27" t="s">
        <v>8</v>
      </c>
      <c r="EX632" s="27" t="s">
        <v>7</v>
      </c>
      <c r="EY632" s="27" t="s">
        <v>8</v>
      </c>
      <c r="EZ632" s="27" t="s">
        <v>7</v>
      </c>
      <c r="FA632" s="27" t="s">
        <v>8</v>
      </c>
      <c r="FB632" s="27" t="s">
        <v>7</v>
      </c>
      <c r="FC632" s="27" t="s">
        <v>8</v>
      </c>
      <c r="FE632" s="27" t="s">
        <v>8</v>
      </c>
      <c r="FF632" s="27" t="s">
        <v>7</v>
      </c>
      <c r="FQ632" s="27" t="s">
        <v>8</v>
      </c>
      <c r="FR632" s="27" t="s">
        <v>7</v>
      </c>
      <c r="FY632" s="27" t="s">
        <v>8</v>
      </c>
      <c r="FZ632" s="27" t="s">
        <v>7</v>
      </c>
      <c r="GQ632" s="27" t="s">
        <v>8</v>
      </c>
      <c r="GR632" s="27" t="s">
        <v>7</v>
      </c>
    </row>
    <row r="633" spans="1:202" x14ac:dyDescent="0.25">
      <c r="A633" s="7">
        <v>0.40215372795091286</v>
      </c>
      <c r="B633"/>
      <c r="C633"/>
      <c r="D633"/>
      <c r="E633"/>
      <c r="F633" s="27" t="s">
        <v>7</v>
      </c>
      <c r="BG633" s="27" t="s">
        <v>8</v>
      </c>
      <c r="CV633" s="27" t="s">
        <v>7</v>
      </c>
      <c r="CW633" s="27" t="s">
        <v>8</v>
      </c>
      <c r="CX633" s="27" t="s">
        <v>7</v>
      </c>
      <c r="CY633" s="27" t="s">
        <v>8</v>
      </c>
      <c r="CZ633" s="27" t="s">
        <v>7</v>
      </c>
      <c r="DA633" s="27" t="s">
        <v>8</v>
      </c>
      <c r="DD633" s="27" t="s">
        <v>7</v>
      </c>
      <c r="DE633" s="27" t="s">
        <v>8</v>
      </c>
      <c r="DF633" s="27" t="s">
        <v>7</v>
      </c>
      <c r="EW633" s="27" t="s">
        <v>8</v>
      </c>
      <c r="EX633" s="27" t="s">
        <v>7</v>
      </c>
      <c r="EY633" s="27" t="s">
        <v>8</v>
      </c>
      <c r="EZ633" s="27" t="s">
        <v>7</v>
      </c>
      <c r="FA633" s="27" t="s">
        <v>8</v>
      </c>
      <c r="FB633" s="27" t="s">
        <v>7</v>
      </c>
      <c r="FC633" s="27" t="s">
        <v>8</v>
      </c>
      <c r="FD633" s="27" t="s">
        <v>7</v>
      </c>
      <c r="FE633" s="27" t="s">
        <v>8</v>
      </c>
      <c r="FF633" s="27" t="s">
        <v>7</v>
      </c>
      <c r="FQ633" s="27" t="s">
        <v>8</v>
      </c>
      <c r="FR633" s="27" t="s">
        <v>7</v>
      </c>
      <c r="FY633" s="27" t="s">
        <v>8</v>
      </c>
      <c r="FZ633" s="27" t="s">
        <v>7</v>
      </c>
      <c r="GE633" s="27" t="s">
        <v>8</v>
      </c>
      <c r="GQ633" s="27" t="s">
        <v>8</v>
      </c>
      <c r="GR633" s="27" t="s">
        <v>7</v>
      </c>
    </row>
    <row r="634" spans="1:202" x14ac:dyDescent="0.25">
      <c r="A634" s="7">
        <v>0.39426836073618904</v>
      </c>
      <c r="B634"/>
      <c r="C634"/>
      <c r="D634"/>
      <c r="E634"/>
      <c r="F634" s="27" t="s">
        <v>7</v>
      </c>
      <c r="AQ634" s="27" t="s">
        <v>8</v>
      </c>
      <c r="BG634" s="27" t="s">
        <v>8</v>
      </c>
      <c r="CV634" s="27" t="s">
        <v>7</v>
      </c>
      <c r="CW634" s="27" t="s">
        <v>8</v>
      </c>
      <c r="CX634" s="27" t="s">
        <v>7</v>
      </c>
      <c r="CY634" s="27" t="s">
        <v>8</v>
      </c>
      <c r="CZ634" s="27" t="s">
        <v>7</v>
      </c>
      <c r="DA634" s="27" t="s">
        <v>8</v>
      </c>
      <c r="DD634" s="27" t="s">
        <v>7</v>
      </c>
      <c r="DE634" s="27" t="s">
        <v>8</v>
      </c>
      <c r="DF634" s="27" t="s">
        <v>7</v>
      </c>
      <c r="EW634" s="27" t="s">
        <v>8</v>
      </c>
      <c r="EX634" s="27" t="s">
        <v>7</v>
      </c>
      <c r="EY634" s="27" t="s">
        <v>8</v>
      </c>
      <c r="EZ634" s="27" t="s">
        <v>7</v>
      </c>
      <c r="FA634" s="27" t="s">
        <v>8</v>
      </c>
      <c r="FB634" s="27" t="s">
        <v>7</v>
      </c>
      <c r="FC634" s="27" t="s">
        <v>8</v>
      </c>
      <c r="FD634" s="27" t="s">
        <v>7</v>
      </c>
      <c r="FE634" s="27" t="s">
        <v>8</v>
      </c>
      <c r="FF634" s="27" t="s">
        <v>7</v>
      </c>
      <c r="FQ634" s="27" t="s">
        <v>8</v>
      </c>
      <c r="FR634" s="27" t="s">
        <v>7</v>
      </c>
      <c r="FY634" s="27" t="s">
        <v>8</v>
      </c>
      <c r="FZ634" s="27" t="s">
        <v>7</v>
      </c>
      <c r="GE634" s="27" t="s">
        <v>8</v>
      </c>
      <c r="GF634" s="27" t="s">
        <v>7</v>
      </c>
      <c r="GQ634" s="27" t="s">
        <v>8</v>
      </c>
      <c r="GR634" s="27" t="s">
        <v>7</v>
      </c>
    </row>
    <row r="635" spans="1:202" x14ac:dyDescent="0.25">
      <c r="A635" s="7">
        <v>0.38653760856489122</v>
      </c>
      <c r="B635"/>
      <c r="C635"/>
      <c r="D635"/>
      <c r="E635"/>
      <c r="F635" s="27" t="s">
        <v>7</v>
      </c>
      <c r="AQ635" s="27" t="s">
        <v>8</v>
      </c>
      <c r="AR635" s="27" t="s">
        <v>7</v>
      </c>
      <c r="BG635" s="27" t="s">
        <v>8</v>
      </c>
      <c r="CV635" s="27" t="s">
        <v>7</v>
      </c>
      <c r="CW635" s="27" t="s">
        <v>8</v>
      </c>
      <c r="CX635" s="27" t="s">
        <v>7</v>
      </c>
      <c r="CY635" s="27" t="s">
        <v>8</v>
      </c>
      <c r="CZ635" s="27" t="s">
        <v>7</v>
      </c>
      <c r="DA635" s="27" t="s">
        <v>8</v>
      </c>
      <c r="DD635" s="27" t="s">
        <v>7</v>
      </c>
      <c r="DE635" s="27" t="s">
        <v>8</v>
      </c>
      <c r="DF635" s="27" t="s">
        <v>7</v>
      </c>
      <c r="EW635" s="27" t="s">
        <v>8</v>
      </c>
      <c r="EX635" s="27" t="s">
        <v>7</v>
      </c>
      <c r="EY635" s="27" t="s">
        <v>8</v>
      </c>
      <c r="EZ635" s="27" t="s">
        <v>7</v>
      </c>
      <c r="FA635" s="27" t="s">
        <v>8</v>
      </c>
      <c r="FB635" s="27" t="s">
        <v>7</v>
      </c>
      <c r="FC635" s="27" t="s">
        <v>8</v>
      </c>
      <c r="FD635" s="27" t="s">
        <v>7</v>
      </c>
      <c r="FE635" s="27" t="s">
        <v>8</v>
      </c>
      <c r="FF635" s="27" t="s">
        <v>7</v>
      </c>
      <c r="FQ635" s="27" t="s">
        <v>8</v>
      </c>
      <c r="FR635" s="27" t="s">
        <v>7</v>
      </c>
      <c r="FY635" s="27" t="s">
        <v>8</v>
      </c>
      <c r="FZ635" s="27" t="s">
        <v>7</v>
      </c>
      <c r="GA635" s="27" t="s">
        <v>8</v>
      </c>
      <c r="GC635" s="27" t="s">
        <v>8</v>
      </c>
      <c r="GE635" s="27" t="s">
        <v>8</v>
      </c>
      <c r="GF635" s="27" t="s">
        <v>7</v>
      </c>
      <c r="GG635" s="27" t="s">
        <v>8</v>
      </c>
      <c r="GI635" s="27" t="s">
        <v>8</v>
      </c>
      <c r="GQ635" s="27" t="s">
        <v>8</v>
      </c>
      <c r="GR635" s="27" t="s">
        <v>7</v>
      </c>
    </row>
    <row r="636" spans="1:202" x14ac:dyDescent="0.25">
      <c r="A636" s="7">
        <v>0.37895843976950117</v>
      </c>
      <c r="B636"/>
      <c r="C636"/>
      <c r="D636"/>
      <c r="E636"/>
      <c r="F636" s="27" t="s">
        <v>7</v>
      </c>
      <c r="AQ636" s="27" t="s">
        <v>8</v>
      </c>
      <c r="AR636" s="27" t="s">
        <v>7</v>
      </c>
      <c r="BG636" s="27" t="s">
        <v>8</v>
      </c>
      <c r="CV636" s="27" t="s">
        <v>7</v>
      </c>
      <c r="CW636" s="27" t="s">
        <v>8</v>
      </c>
      <c r="CX636" s="27" t="s">
        <v>7</v>
      </c>
      <c r="CY636" s="27" t="s">
        <v>8</v>
      </c>
      <c r="CZ636" s="27" t="s">
        <v>7</v>
      </c>
      <c r="DA636" s="27" t="s">
        <v>8</v>
      </c>
      <c r="DD636" s="27" t="s">
        <v>7</v>
      </c>
      <c r="DE636" s="27" t="s">
        <v>8</v>
      </c>
      <c r="DF636" s="27" t="s">
        <v>7</v>
      </c>
      <c r="ES636" s="27" t="s">
        <v>8</v>
      </c>
      <c r="EW636" s="27" t="s">
        <v>8</v>
      </c>
      <c r="EX636" s="27" t="s">
        <v>7</v>
      </c>
      <c r="EZ636" s="27" t="s">
        <v>7</v>
      </c>
      <c r="FA636" s="27" t="s">
        <v>8</v>
      </c>
      <c r="FB636" s="27" t="s">
        <v>7</v>
      </c>
      <c r="FC636" s="27" t="s">
        <v>8</v>
      </c>
      <c r="FD636" s="27" t="s">
        <v>7</v>
      </c>
      <c r="FE636" s="27" t="s">
        <v>8</v>
      </c>
      <c r="FF636" s="27" t="s">
        <v>7</v>
      </c>
      <c r="FQ636" s="27" t="s">
        <v>8</v>
      </c>
      <c r="FR636" s="27" t="s">
        <v>7</v>
      </c>
      <c r="FS636" s="27" t="s">
        <v>8</v>
      </c>
      <c r="FY636" s="27" t="s">
        <v>8</v>
      </c>
      <c r="FZ636" s="27" t="s">
        <v>7</v>
      </c>
      <c r="GA636" s="27" t="s">
        <v>8</v>
      </c>
      <c r="GB636" s="27" t="s">
        <v>7</v>
      </c>
      <c r="GC636" s="27" t="s">
        <v>8</v>
      </c>
      <c r="GD636" s="27" t="s">
        <v>7</v>
      </c>
      <c r="GE636" s="27" t="s">
        <v>8</v>
      </c>
      <c r="GF636" s="27" t="s">
        <v>7</v>
      </c>
      <c r="GG636" s="27" t="s">
        <v>8</v>
      </c>
      <c r="GH636" s="27" t="s">
        <v>7</v>
      </c>
      <c r="GI636" s="27" t="s">
        <v>8</v>
      </c>
      <c r="GJ636" s="27" t="s">
        <v>7</v>
      </c>
      <c r="GM636" s="27" t="s">
        <v>8</v>
      </c>
      <c r="GO636" s="27" t="s">
        <v>8</v>
      </c>
      <c r="GQ636" s="27" t="s">
        <v>8</v>
      </c>
      <c r="GR636" s="27" t="s">
        <v>7</v>
      </c>
    </row>
    <row r="637" spans="1:202" x14ac:dyDescent="0.25">
      <c r="A637" s="7">
        <v>0.37152788212696197</v>
      </c>
      <c r="B637"/>
      <c r="C637"/>
      <c r="D637"/>
      <c r="E637"/>
      <c r="F637" s="27" t="s">
        <v>7</v>
      </c>
      <c r="AQ637" s="27" t="s">
        <v>8</v>
      </c>
      <c r="AR637" s="27" t="s">
        <v>7</v>
      </c>
      <c r="AS637" s="27" t="s">
        <v>8</v>
      </c>
      <c r="BG637" s="27" t="s">
        <v>8</v>
      </c>
      <c r="CV637" s="27" t="s">
        <v>7</v>
      </c>
      <c r="CW637" s="27" t="s">
        <v>8</v>
      </c>
      <c r="CX637" s="27" t="s">
        <v>7</v>
      </c>
      <c r="CY637" s="27" t="s">
        <v>8</v>
      </c>
      <c r="CZ637" s="27" t="s">
        <v>7</v>
      </c>
      <c r="DA637" s="27" t="s">
        <v>8</v>
      </c>
      <c r="DD637" s="27" t="s">
        <v>7</v>
      </c>
      <c r="DE637" s="27" t="s">
        <v>8</v>
      </c>
      <c r="DF637" s="27" t="s">
        <v>7</v>
      </c>
      <c r="EO637" s="27" t="s">
        <v>8</v>
      </c>
      <c r="ES637" s="27" t="s">
        <v>8</v>
      </c>
      <c r="ET637" s="27" t="s">
        <v>7</v>
      </c>
      <c r="EW637" s="27" t="s">
        <v>8</v>
      </c>
      <c r="EZ637" s="27" t="s">
        <v>7</v>
      </c>
      <c r="FB637" s="27" t="s">
        <v>7</v>
      </c>
      <c r="FC637" s="27" t="s">
        <v>8</v>
      </c>
      <c r="FD637" s="27" t="s">
        <v>7</v>
      </c>
      <c r="FE637" s="27" t="s">
        <v>8</v>
      </c>
      <c r="FF637" s="27" t="s">
        <v>7</v>
      </c>
      <c r="FQ637" s="27" t="s">
        <v>8</v>
      </c>
      <c r="FR637" s="27" t="s">
        <v>7</v>
      </c>
      <c r="FS637" s="27" t="s">
        <v>8</v>
      </c>
      <c r="FT637" s="27" t="s">
        <v>7</v>
      </c>
      <c r="FU637" s="27" t="s">
        <v>8</v>
      </c>
      <c r="FY637" s="27" t="s">
        <v>8</v>
      </c>
      <c r="FZ637" s="27" t="s">
        <v>7</v>
      </c>
      <c r="GA637" s="27" t="s">
        <v>8</v>
      </c>
      <c r="GB637" s="27" t="s">
        <v>7</v>
      </c>
      <c r="GC637" s="27" t="s">
        <v>8</v>
      </c>
      <c r="GD637" s="27" t="s">
        <v>7</v>
      </c>
      <c r="GE637" s="27" t="s">
        <v>8</v>
      </c>
      <c r="GF637" s="27" t="s">
        <v>7</v>
      </c>
      <c r="GG637" s="27" t="s">
        <v>8</v>
      </c>
      <c r="GH637" s="27" t="s">
        <v>7</v>
      </c>
      <c r="GI637" s="27" t="s">
        <v>8</v>
      </c>
      <c r="GJ637" s="27" t="s">
        <v>7</v>
      </c>
      <c r="GM637" s="27" t="s">
        <v>8</v>
      </c>
      <c r="GN637" s="27" t="s">
        <v>7</v>
      </c>
      <c r="GO637" s="27" t="s">
        <v>8</v>
      </c>
      <c r="GP637" s="27" t="s">
        <v>7</v>
      </c>
      <c r="GQ637" s="27" t="s">
        <v>8</v>
      </c>
      <c r="GR637" s="27" t="s">
        <v>7</v>
      </c>
      <c r="GS637" s="27" t="s">
        <v>8</v>
      </c>
    </row>
    <row r="638" spans="1:202" x14ac:dyDescent="0.25">
      <c r="A638" s="7">
        <v>0.36424302169310002</v>
      </c>
      <c r="B638"/>
      <c r="C638"/>
      <c r="D638"/>
      <c r="E638"/>
      <c r="F638" s="27" t="s">
        <v>7</v>
      </c>
      <c r="AQ638" s="27" t="s">
        <v>8</v>
      </c>
      <c r="AR638" s="27" t="s">
        <v>7</v>
      </c>
      <c r="AS638" s="27" t="s">
        <v>8</v>
      </c>
      <c r="AT638" s="27" t="s">
        <v>7</v>
      </c>
      <c r="BG638" s="27" t="s">
        <v>8</v>
      </c>
      <c r="CV638" s="27" t="s">
        <v>7</v>
      </c>
      <c r="CW638" s="27" t="s">
        <v>8</v>
      </c>
      <c r="CX638" s="27" t="s">
        <v>7</v>
      </c>
      <c r="CY638" s="27" t="s">
        <v>8</v>
      </c>
      <c r="CZ638" s="27" t="s">
        <v>7</v>
      </c>
      <c r="DA638" s="27" t="s">
        <v>8</v>
      </c>
      <c r="DD638" s="27" t="s">
        <v>7</v>
      </c>
      <c r="DE638" s="27" t="s">
        <v>8</v>
      </c>
      <c r="DF638" s="27" t="s">
        <v>7</v>
      </c>
      <c r="EM638" s="27" t="s">
        <v>8</v>
      </c>
      <c r="EO638" s="27" t="s">
        <v>8</v>
      </c>
      <c r="EP638" s="27" t="s">
        <v>7</v>
      </c>
      <c r="ES638" s="27" t="s">
        <v>8</v>
      </c>
      <c r="ET638" s="27" t="s">
        <v>7</v>
      </c>
      <c r="EW638" s="27" t="s">
        <v>8</v>
      </c>
      <c r="FB638" s="27" t="s">
        <v>7</v>
      </c>
      <c r="FC638" s="27" t="s">
        <v>8</v>
      </c>
      <c r="FD638" s="27" t="s">
        <v>7</v>
      </c>
      <c r="FE638" s="27" t="s">
        <v>8</v>
      </c>
      <c r="FF638" s="27" t="s">
        <v>7</v>
      </c>
      <c r="FM638" s="27" t="s">
        <v>8</v>
      </c>
      <c r="FQ638" s="27" t="s">
        <v>8</v>
      </c>
      <c r="FR638" s="27" t="s">
        <v>7</v>
      </c>
      <c r="FS638" s="27" t="s">
        <v>8</v>
      </c>
      <c r="FT638" s="27" t="s">
        <v>7</v>
      </c>
      <c r="FU638" s="27" t="s">
        <v>8</v>
      </c>
      <c r="FV638" s="27" t="s">
        <v>7</v>
      </c>
      <c r="FY638" s="27" t="s">
        <v>8</v>
      </c>
      <c r="FZ638" s="27" t="s">
        <v>7</v>
      </c>
      <c r="GA638" s="27" t="s">
        <v>8</v>
      </c>
      <c r="GB638" s="27" t="s">
        <v>7</v>
      </c>
      <c r="GC638" s="27" t="s">
        <v>8</v>
      </c>
      <c r="GD638" s="27" t="s">
        <v>7</v>
      </c>
      <c r="GE638" s="27" t="s">
        <v>8</v>
      </c>
      <c r="GF638" s="27" t="s">
        <v>7</v>
      </c>
      <c r="GG638" s="27" t="s">
        <v>8</v>
      </c>
      <c r="GH638" s="27" t="s">
        <v>7</v>
      </c>
      <c r="GI638" s="27" t="s">
        <v>8</v>
      </c>
      <c r="GJ638" s="27" t="s">
        <v>7</v>
      </c>
      <c r="GM638" s="27" t="s">
        <v>8</v>
      </c>
      <c r="GN638" s="27" t="s">
        <v>7</v>
      </c>
      <c r="GO638" s="27" t="s">
        <v>8</v>
      </c>
      <c r="GP638" s="27" t="s">
        <v>7</v>
      </c>
      <c r="GQ638" s="27" t="s">
        <v>8</v>
      </c>
      <c r="GR638" s="27" t="s">
        <v>7</v>
      </c>
      <c r="GS638" s="27" t="s">
        <v>8</v>
      </c>
      <c r="GT638" s="27" t="s">
        <v>7</v>
      </c>
    </row>
    <row r="639" spans="1:202" x14ac:dyDescent="0.25">
      <c r="A639" s="7">
        <v>0.35710100165990194</v>
      </c>
      <c r="B639"/>
      <c r="C639"/>
      <c r="D639"/>
      <c r="E639"/>
      <c r="F639" s="27" t="s">
        <v>7</v>
      </c>
      <c r="AQ639" s="27" t="s">
        <v>8</v>
      </c>
      <c r="AR639" s="27" t="s">
        <v>7</v>
      </c>
      <c r="AS639" s="27" t="s">
        <v>8</v>
      </c>
      <c r="AT639" s="27" t="s">
        <v>7</v>
      </c>
      <c r="BG639" s="27" t="s">
        <v>8</v>
      </c>
      <c r="CV639" s="27" t="s">
        <v>7</v>
      </c>
      <c r="CW639" s="27" t="s">
        <v>8</v>
      </c>
      <c r="CX639" s="27" t="s">
        <v>7</v>
      </c>
      <c r="CY639" s="27" t="s">
        <v>8</v>
      </c>
      <c r="CZ639" s="27" t="s">
        <v>7</v>
      </c>
      <c r="DD639" s="27" t="s">
        <v>7</v>
      </c>
      <c r="DE639" s="27" t="s">
        <v>8</v>
      </c>
      <c r="DF639" s="27" t="s">
        <v>7</v>
      </c>
      <c r="EM639" s="27" t="s">
        <v>8</v>
      </c>
      <c r="EN639" s="27" t="s">
        <v>7</v>
      </c>
      <c r="EO639" s="27" t="s">
        <v>8</v>
      </c>
      <c r="EP639" s="27" t="s">
        <v>7</v>
      </c>
      <c r="ES639" s="27" t="s">
        <v>8</v>
      </c>
      <c r="ET639" s="27" t="s">
        <v>7</v>
      </c>
      <c r="EW639" s="27" t="s">
        <v>8</v>
      </c>
      <c r="FB639" s="27" t="s">
        <v>7</v>
      </c>
      <c r="FC639" s="27" t="s">
        <v>8</v>
      </c>
      <c r="FD639" s="27" t="s">
        <v>7</v>
      </c>
      <c r="FE639" s="27" t="s">
        <v>8</v>
      </c>
      <c r="FF639" s="27" t="s">
        <v>7</v>
      </c>
      <c r="FM639" s="27" t="s">
        <v>8</v>
      </c>
      <c r="FN639" s="27" t="s">
        <v>7</v>
      </c>
      <c r="FQ639" s="27" t="s">
        <v>8</v>
      </c>
      <c r="FR639" s="27" t="s">
        <v>7</v>
      </c>
      <c r="FS639" s="27" t="s">
        <v>8</v>
      </c>
      <c r="FT639" s="27" t="s">
        <v>7</v>
      </c>
      <c r="FU639" s="27" t="s">
        <v>8</v>
      </c>
      <c r="FV639" s="27" t="s">
        <v>7</v>
      </c>
      <c r="FY639" s="27" t="s">
        <v>8</v>
      </c>
      <c r="FZ639" s="27" t="s">
        <v>7</v>
      </c>
      <c r="GA639" s="27" t="s">
        <v>8</v>
      </c>
      <c r="GB639" s="27" t="s">
        <v>7</v>
      </c>
      <c r="GD639" s="27" t="s">
        <v>7</v>
      </c>
      <c r="GF639" s="27" t="s">
        <v>7</v>
      </c>
      <c r="GG639" s="27" t="s">
        <v>8</v>
      </c>
      <c r="GH639" s="27" t="s">
        <v>7</v>
      </c>
      <c r="GI639" s="27" t="s">
        <v>8</v>
      </c>
      <c r="GJ639" s="27" t="s">
        <v>7</v>
      </c>
      <c r="GM639" s="27" t="s">
        <v>8</v>
      </c>
      <c r="GN639" s="27" t="s">
        <v>7</v>
      </c>
      <c r="GO639" s="27" t="s">
        <v>8</v>
      </c>
      <c r="GP639" s="27" t="s">
        <v>7</v>
      </c>
      <c r="GR639" s="27" t="s">
        <v>7</v>
      </c>
      <c r="GS639" s="27" t="s">
        <v>8</v>
      </c>
      <c r="GT639" s="27" t="s">
        <v>7</v>
      </c>
    </row>
    <row r="640" spans="1:202" x14ac:dyDescent="0.25">
      <c r="A640" s="7">
        <v>0.35009902123519804</v>
      </c>
      <c r="B640"/>
      <c r="C640"/>
      <c r="D640"/>
      <c r="E640"/>
      <c r="F640" s="27" t="s">
        <v>7</v>
      </c>
      <c r="AQ640" s="27" t="s">
        <v>8</v>
      </c>
      <c r="AR640" s="27" t="s">
        <v>7</v>
      </c>
      <c r="AS640" s="27" t="s">
        <v>8</v>
      </c>
      <c r="AT640" s="27" t="s">
        <v>7</v>
      </c>
      <c r="BG640" s="27" t="s">
        <v>8</v>
      </c>
      <c r="CV640" s="27" t="s">
        <v>7</v>
      </c>
      <c r="CW640" s="27" t="s">
        <v>8</v>
      </c>
      <c r="CX640" s="27" t="s">
        <v>7</v>
      </c>
      <c r="CY640" s="27" t="s">
        <v>8</v>
      </c>
      <c r="DD640" s="27" t="s">
        <v>7</v>
      </c>
      <c r="DF640" s="27" t="s">
        <v>7</v>
      </c>
      <c r="EM640" s="27" t="s">
        <v>8</v>
      </c>
      <c r="EN640" s="27" t="s">
        <v>7</v>
      </c>
      <c r="EO640" s="27" t="s">
        <v>8</v>
      </c>
      <c r="EP640" s="27" t="s">
        <v>7</v>
      </c>
      <c r="ES640" s="27" t="s">
        <v>8</v>
      </c>
      <c r="ET640" s="27" t="s">
        <v>7</v>
      </c>
      <c r="EU640" s="27" t="s">
        <v>8</v>
      </c>
      <c r="EW640" s="27" t="s">
        <v>8</v>
      </c>
      <c r="FB640" s="27" t="s">
        <v>7</v>
      </c>
      <c r="FC640" s="27" t="s">
        <v>8</v>
      </c>
      <c r="FD640" s="27" t="s">
        <v>7</v>
      </c>
      <c r="FE640" s="27" t="s">
        <v>8</v>
      </c>
      <c r="FF640" s="27" t="s">
        <v>7</v>
      </c>
      <c r="FG640" s="27" t="s">
        <v>8</v>
      </c>
      <c r="FM640" s="27" t="s">
        <v>8</v>
      </c>
      <c r="FN640" s="27" t="s">
        <v>7</v>
      </c>
      <c r="FO640" s="27" t="s">
        <v>8</v>
      </c>
      <c r="FQ640" s="27" t="s">
        <v>8</v>
      </c>
      <c r="FR640" s="27" t="s">
        <v>7</v>
      </c>
      <c r="FS640" s="27" t="s">
        <v>8</v>
      </c>
      <c r="FT640" s="27" t="s">
        <v>7</v>
      </c>
      <c r="FU640" s="27" t="s">
        <v>8</v>
      </c>
      <c r="FV640" s="27" t="s">
        <v>7</v>
      </c>
      <c r="FY640" s="27" t="s">
        <v>8</v>
      </c>
      <c r="FZ640" s="27" t="s">
        <v>7</v>
      </c>
      <c r="GA640" s="27" t="s">
        <v>8</v>
      </c>
      <c r="GF640" s="27" t="s">
        <v>7</v>
      </c>
      <c r="GG640" s="27" t="s">
        <v>8</v>
      </c>
      <c r="GH640" s="27" t="s">
        <v>7</v>
      </c>
      <c r="GJ640" s="27" t="s">
        <v>7</v>
      </c>
      <c r="GM640" s="27" t="s">
        <v>8</v>
      </c>
      <c r="GN640" s="27" t="s">
        <v>7</v>
      </c>
      <c r="GO640" s="27" t="s">
        <v>8</v>
      </c>
      <c r="GR640" s="27" t="s">
        <v>7</v>
      </c>
      <c r="GS640" s="27" t="s">
        <v>8</v>
      </c>
      <c r="GT640" s="27" t="s">
        <v>7</v>
      </c>
    </row>
    <row r="641" spans="1:220" x14ac:dyDescent="0.25">
      <c r="A641" s="7">
        <v>0.34323433454431179</v>
      </c>
      <c r="B641"/>
      <c r="C641"/>
      <c r="D641"/>
      <c r="E641"/>
      <c r="F641" s="27" t="s">
        <v>7</v>
      </c>
      <c r="AQ641" s="27" t="s">
        <v>8</v>
      </c>
      <c r="AR641" s="27" t="s">
        <v>7</v>
      </c>
      <c r="AS641" s="27" t="s">
        <v>8</v>
      </c>
      <c r="AT641" s="27" t="s">
        <v>7</v>
      </c>
      <c r="BG641" s="27" t="s">
        <v>8</v>
      </c>
      <c r="CV641" s="27" t="s">
        <v>7</v>
      </c>
      <c r="CW641" s="27" t="s">
        <v>8</v>
      </c>
      <c r="CX641" s="27" t="s">
        <v>7</v>
      </c>
      <c r="CY641" s="27" t="s">
        <v>8</v>
      </c>
      <c r="DF641" s="27" t="s">
        <v>7</v>
      </c>
      <c r="DG641" s="27" t="s">
        <v>8</v>
      </c>
      <c r="EM641" s="27" t="s">
        <v>8</v>
      </c>
      <c r="EN641" s="27" t="s">
        <v>7</v>
      </c>
      <c r="EO641" s="27" t="s">
        <v>8</v>
      </c>
      <c r="EP641" s="27" t="s">
        <v>7</v>
      </c>
      <c r="EQ641" s="27" t="s">
        <v>8</v>
      </c>
      <c r="ES641" s="27" t="s">
        <v>8</v>
      </c>
      <c r="ET641" s="27" t="s">
        <v>7</v>
      </c>
      <c r="EU641" s="27" t="s">
        <v>8</v>
      </c>
      <c r="EV641" s="27" t="s">
        <v>7</v>
      </c>
      <c r="EW641" s="27" t="s">
        <v>8</v>
      </c>
      <c r="FB641" s="27" t="s">
        <v>7</v>
      </c>
      <c r="FC641" s="27" t="s">
        <v>8</v>
      </c>
      <c r="FD641" s="27" t="s">
        <v>7</v>
      </c>
      <c r="FE641" s="27" t="s">
        <v>8</v>
      </c>
      <c r="FF641" s="27" t="s">
        <v>7</v>
      </c>
      <c r="FG641" s="27" t="s">
        <v>8</v>
      </c>
      <c r="FH641" s="27" t="s">
        <v>7</v>
      </c>
      <c r="FM641" s="27" t="s">
        <v>8</v>
      </c>
      <c r="FN641" s="27" t="s">
        <v>7</v>
      </c>
      <c r="FO641" s="27" t="s">
        <v>8</v>
      </c>
      <c r="FP641" s="27" t="s">
        <v>7</v>
      </c>
      <c r="FQ641" s="27" t="s">
        <v>8</v>
      </c>
      <c r="FR641" s="27" t="s">
        <v>7</v>
      </c>
      <c r="FS641" s="27" t="s">
        <v>8</v>
      </c>
      <c r="FT641" s="27" t="s">
        <v>7</v>
      </c>
      <c r="FU641" s="27" t="s">
        <v>8</v>
      </c>
      <c r="FV641" s="27" t="s">
        <v>7</v>
      </c>
      <c r="FW641" s="27" t="s">
        <v>8</v>
      </c>
      <c r="FY641" s="27" t="s">
        <v>8</v>
      </c>
      <c r="FZ641" s="27" t="s">
        <v>7</v>
      </c>
      <c r="GA641" s="27" t="s">
        <v>8</v>
      </c>
      <c r="GF641" s="27" t="s">
        <v>7</v>
      </c>
      <c r="GG641" s="27" t="s">
        <v>8</v>
      </c>
      <c r="GJ641" s="27" t="s">
        <v>7</v>
      </c>
      <c r="GM641" s="27" t="s">
        <v>8</v>
      </c>
      <c r="GN641" s="27" t="s">
        <v>7</v>
      </c>
      <c r="GO641" s="27" t="s">
        <v>8</v>
      </c>
      <c r="GR641" s="27" t="s">
        <v>7</v>
      </c>
      <c r="GS641" s="27" t="s">
        <v>8</v>
      </c>
      <c r="GT641" s="27" t="s">
        <v>7</v>
      </c>
    </row>
    <row r="642" spans="1:220" x14ac:dyDescent="0.25">
      <c r="A642" s="7">
        <v>0.33650424955324681</v>
      </c>
      <c r="B642"/>
      <c r="C642"/>
      <c r="D642"/>
      <c r="E642"/>
      <c r="F642" s="27" t="s">
        <v>7</v>
      </c>
      <c r="AQ642" s="27" t="s">
        <v>8</v>
      </c>
      <c r="AR642" s="27" t="s">
        <v>7</v>
      </c>
      <c r="AS642" s="27" t="s">
        <v>8</v>
      </c>
      <c r="AT642" s="27" t="s">
        <v>7</v>
      </c>
      <c r="AW642" s="27" t="s">
        <v>8</v>
      </c>
      <c r="BG642" s="27" t="s">
        <v>8</v>
      </c>
      <c r="CV642" s="27" t="s">
        <v>7</v>
      </c>
      <c r="CW642" s="27" t="s">
        <v>8</v>
      </c>
      <c r="CX642" s="27" t="s">
        <v>7</v>
      </c>
      <c r="CY642" s="27" t="s">
        <v>8</v>
      </c>
      <c r="DF642" s="27" t="s">
        <v>7</v>
      </c>
      <c r="DG642" s="27" t="s">
        <v>8</v>
      </c>
      <c r="DH642" s="27" t="s">
        <v>7</v>
      </c>
      <c r="EM642" s="27" t="s">
        <v>8</v>
      </c>
      <c r="EN642" s="27" t="s">
        <v>7</v>
      </c>
      <c r="EO642" s="27" t="s">
        <v>8</v>
      </c>
      <c r="EP642" s="27" t="s">
        <v>7</v>
      </c>
      <c r="EQ642" s="27" t="s">
        <v>8</v>
      </c>
      <c r="ER642" s="27" t="s">
        <v>7</v>
      </c>
      <c r="ES642" s="27" t="s">
        <v>8</v>
      </c>
      <c r="ET642" s="27" t="s">
        <v>7</v>
      </c>
      <c r="EU642" s="27" t="s">
        <v>8</v>
      </c>
      <c r="EV642" s="27" t="s">
        <v>7</v>
      </c>
      <c r="EW642" s="27" t="s">
        <v>8</v>
      </c>
      <c r="FB642" s="27" t="s">
        <v>7</v>
      </c>
      <c r="FC642" s="27" t="s">
        <v>8</v>
      </c>
      <c r="FD642" s="27" t="s">
        <v>7</v>
      </c>
      <c r="FF642" s="27" t="s">
        <v>7</v>
      </c>
      <c r="FG642" s="27" t="s">
        <v>8</v>
      </c>
      <c r="FH642" s="27" t="s">
        <v>7</v>
      </c>
      <c r="FM642" s="27" t="s">
        <v>8</v>
      </c>
      <c r="FN642" s="27" t="s">
        <v>7</v>
      </c>
      <c r="FO642" s="27" t="s">
        <v>8</v>
      </c>
      <c r="FP642" s="27" t="s">
        <v>7</v>
      </c>
      <c r="FQ642" s="27" t="s">
        <v>8</v>
      </c>
      <c r="FR642" s="27" t="s">
        <v>7</v>
      </c>
      <c r="FT642" s="27" t="s">
        <v>7</v>
      </c>
      <c r="FV642" s="27" t="s">
        <v>7</v>
      </c>
      <c r="FW642" s="27" t="s">
        <v>8</v>
      </c>
      <c r="FX642" s="27" t="s">
        <v>7</v>
      </c>
      <c r="FY642" s="27" t="s">
        <v>8</v>
      </c>
      <c r="FZ642" s="27" t="s">
        <v>7</v>
      </c>
      <c r="GA642" s="27" t="s">
        <v>8</v>
      </c>
      <c r="GF642" s="27" t="s">
        <v>7</v>
      </c>
      <c r="GG642" s="27" t="s">
        <v>8</v>
      </c>
      <c r="GJ642" s="27" t="s">
        <v>7</v>
      </c>
      <c r="GM642" s="27" t="s">
        <v>8</v>
      </c>
      <c r="GN642" s="27" t="s">
        <v>7</v>
      </c>
      <c r="GO642" s="27" t="s">
        <v>8</v>
      </c>
      <c r="GR642" s="27" t="s">
        <v>7</v>
      </c>
      <c r="GS642" s="27" t="s">
        <v>8</v>
      </c>
      <c r="GT642" s="27" t="s">
        <v>7</v>
      </c>
      <c r="GU642" s="27" t="s">
        <v>8</v>
      </c>
    </row>
    <row r="643" spans="1:220" x14ac:dyDescent="0.25">
      <c r="A643" s="7">
        <v>0.3299061270129871</v>
      </c>
      <c r="B643"/>
      <c r="C643"/>
      <c r="D643"/>
      <c r="E643"/>
      <c r="F643" s="27" t="s">
        <v>7</v>
      </c>
      <c r="AQ643" s="27" t="s">
        <v>8</v>
      </c>
      <c r="AR643" s="27" t="s">
        <v>7</v>
      </c>
      <c r="AS643" s="27" t="s">
        <v>8</v>
      </c>
      <c r="AT643" s="27" t="s">
        <v>7</v>
      </c>
      <c r="AU643" s="27" t="s">
        <v>8</v>
      </c>
      <c r="AW643" s="27" t="s">
        <v>8</v>
      </c>
      <c r="AX643" s="27" t="s">
        <v>7</v>
      </c>
      <c r="BE643" s="27" t="s">
        <v>8</v>
      </c>
      <c r="BG643" s="27" t="s">
        <v>8</v>
      </c>
      <c r="CV643" s="27" t="s">
        <v>7</v>
      </c>
      <c r="CW643" s="27" t="s">
        <v>8</v>
      </c>
      <c r="CX643" s="27" t="s">
        <v>7</v>
      </c>
      <c r="CY643" s="27" t="s">
        <v>8</v>
      </c>
      <c r="DF643" s="27" t="s">
        <v>7</v>
      </c>
      <c r="DG643" s="27" t="s">
        <v>8</v>
      </c>
      <c r="DH643" s="27" t="s">
        <v>7</v>
      </c>
      <c r="DI643" s="27" t="s">
        <v>8</v>
      </c>
      <c r="EK643" s="27" t="s">
        <v>8</v>
      </c>
      <c r="EM643" s="27" t="s">
        <v>8</v>
      </c>
      <c r="EN643" s="27" t="s">
        <v>7</v>
      </c>
      <c r="EO643" s="27" t="s">
        <v>8</v>
      </c>
      <c r="EP643" s="27" t="s">
        <v>7</v>
      </c>
      <c r="EQ643" s="27" t="s">
        <v>8</v>
      </c>
      <c r="ER643" s="27" t="s">
        <v>7</v>
      </c>
      <c r="ES643" s="27" t="s">
        <v>8</v>
      </c>
      <c r="ET643" s="27" t="s">
        <v>7</v>
      </c>
      <c r="EU643" s="27" t="s">
        <v>8</v>
      </c>
      <c r="EV643" s="27" t="s">
        <v>7</v>
      </c>
      <c r="EW643" s="27" t="s">
        <v>8</v>
      </c>
      <c r="FB643" s="27" t="s">
        <v>7</v>
      </c>
      <c r="FC643" s="27" t="s">
        <v>8</v>
      </c>
      <c r="FF643" s="27" t="s">
        <v>7</v>
      </c>
      <c r="FG643" s="27" t="s">
        <v>8</v>
      </c>
      <c r="FH643" s="27" t="s">
        <v>7</v>
      </c>
      <c r="FM643" s="27" t="s">
        <v>8</v>
      </c>
      <c r="FN643" s="27" t="s">
        <v>7</v>
      </c>
      <c r="FO643" s="27" t="s">
        <v>8</v>
      </c>
      <c r="FP643" s="27" t="s">
        <v>7</v>
      </c>
      <c r="FQ643" s="27" t="s">
        <v>8</v>
      </c>
      <c r="FV643" s="27" t="s">
        <v>7</v>
      </c>
      <c r="FW643" s="27" t="s">
        <v>8</v>
      </c>
      <c r="FX643" s="27" t="s">
        <v>7</v>
      </c>
      <c r="FY643" s="27" t="s">
        <v>8</v>
      </c>
      <c r="FZ643" s="27" t="s">
        <v>7</v>
      </c>
      <c r="GA643" s="27" t="s">
        <v>8</v>
      </c>
      <c r="GF643" s="27" t="s">
        <v>7</v>
      </c>
      <c r="GG643" s="27" t="s">
        <v>8</v>
      </c>
      <c r="GJ643" s="27" t="s">
        <v>7</v>
      </c>
      <c r="GK643" s="27" t="s">
        <v>8</v>
      </c>
      <c r="GM643" s="27" t="s">
        <v>8</v>
      </c>
      <c r="GN643" s="27" t="s">
        <v>7</v>
      </c>
      <c r="GR643" s="27" t="s">
        <v>7</v>
      </c>
      <c r="GS643" s="27" t="s">
        <v>8</v>
      </c>
      <c r="GT643" s="27" t="s">
        <v>7</v>
      </c>
      <c r="GU643" s="27" t="s">
        <v>8</v>
      </c>
      <c r="GV643" s="27" t="s">
        <v>7</v>
      </c>
    </row>
    <row r="644" spans="1:220" x14ac:dyDescent="0.25">
      <c r="A644" s="7">
        <v>0.32343737942449713</v>
      </c>
      <c r="B644"/>
      <c r="C644"/>
      <c r="D644"/>
      <c r="E644"/>
      <c r="F644" s="27" t="s">
        <v>7</v>
      </c>
      <c r="AQ644" s="27" t="s">
        <v>8</v>
      </c>
      <c r="AR644" s="27" t="s">
        <v>7</v>
      </c>
      <c r="AS644" s="27" t="s">
        <v>8</v>
      </c>
      <c r="AT644" s="27" t="s">
        <v>7</v>
      </c>
      <c r="AU644" s="27" t="s">
        <v>8</v>
      </c>
      <c r="AV644" s="27" t="s">
        <v>7</v>
      </c>
      <c r="AW644" s="27" t="s">
        <v>8</v>
      </c>
      <c r="AX644" s="27" t="s">
        <v>7</v>
      </c>
      <c r="BC644" s="27" t="s">
        <v>8</v>
      </c>
      <c r="BE644" s="27" t="s">
        <v>8</v>
      </c>
      <c r="BF644" s="27" t="s">
        <v>7</v>
      </c>
      <c r="BG644" s="27" t="s">
        <v>8</v>
      </c>
      <c r="CV644" s="27" t="s">
        <v>7</v>
      </c>
      <c r="CW644" s="27" t="s">
        <v>8</v>
      </c>
      <c r="CX644" s="27" t="s">
        <v>7</v>
      </c>
      <c r="CY644" s="27" t="s">
        <v>8</v>
      </c>
      <c r="DF644" s="27" t="s">
        <v>7</v>
      </c>
      <c r="DG644" s="27" t="s">
        <v>8</v>
      </c>
      <c r="DH644" s="27" t="s">
        <v>7</v>
      </c>
      <c r="DI644" s="27" t="s">
        <v>8</v>
      </c>
      <c r="DJ644" s="27" t="s">
        <v>7</v>
      </c>
      <c r="DK644" s="27" t="s">
        <v>8</v>
      </c>
      <c r="EI644" s="27" t="s">
        <v>8</v>
      </c>
      <c r="EK644" s="27" t="s">
        <v>8</v>
      </c>
      <c r="EL644" s="27" t="s">
        <v>7</v>
      </c>
      <c r="EM644" s="27" t="s">
        <v>8</v>
      </c>
      <c r="EN644" s="27" t="s">
        <v>7</v>
      </c>
      <c r="EP644" s="27" t="s">
        <v>7</v>
      </c>
      <c r="EQ644" s="27" t="s">
        <v>8</v>
      </c>
      <c r="ER644" s="27" t="s">
        <v>7</v>
      </c>
      <c r="ET644" s="27" t="s">
        <v>7</v>
      </c>
      <c r="EU644" s="27" t="s">
        <v>8</v>
      </c>
      <c r="EV644" s="27" t="s">
        <v>7</v>
      </c>
      <c r="EW644" s="27" t="s">
        <v>8</v>
      </c>
      <c r="FB644" s="27" t="s">
        <v>7</v>
      </c>
      <c r="FC644" s="27" t="s">
        <v>8</v>
      </c>
      <c r="FF644" s="27" t="s">
        <v>7</v>
      </c>
      <c r="FG644" s="27" t="s">
        <v>8</v>
      </c>
      <c r="FH644" s="27" t="s">
        <v>7</v>
      </c>
      <c r="FI644" s="27" t="s">
        <v>8</v>
      </c>
      <c r="FM644" s="27" t="s">
        <v>8</v>
      </c>
      <c r="FN644" s="27" t="s">
        <v>7</v>
      </c>
      <c r="FP644" s="27" t="s">
        <v>7</v>
      </c>
      <c r="FQ644" s="27" t="s">
        <v>8</v>
      </c>
      <c r="FV644" s="27" t="s">
        <v>7</v>
      </c>
      <c r="FX644" s="27" t="s">
        <v>7</v>
      </c>
      <c r="FY644" s="27" t="s">
        <v>8</v>
      </c>
      <c r="FZ644" s="27" t="s">
        <v>7</v>
      </c>
      <c r="GF644" s="27" t="s">
        <v>7</v>
      </c>
      <c r="GJ644" s="27" t="s">
        <v>7</v>
      </c>
      <c r="GK644" s="27" t="s">
        <v>8</v>
      </c>
      <c r="GL644" s="27" t="s">
        <v>7</v>
      </c>
      <c r="GM644" s="27" t="s">
        <v>8</v>
      </c>
      <c r="GR644" s="27" t="s">
        <v>7</v>
      </c>
      <c r="GT644" s="27" t="s">
        <v>7</v>
      </c>
      <c r="GU644" s="27" t="s">
        <v>8</v>
      </c>
      <c r="GV644" s="27" t="s">
        <v>7</v>
      </c>
    </row>
    <row r="645" spans="1:220" x14ac:dyDescent="0.25">
      <c r="A645" s="7">
        <v>0.31709547002401678</v>
      </c>
      <c r="B645"/>
      <c r="C645"/>
      <c r="D645"/>
      <c r="E645"/>
      <c r="F645" s="27" t="s">
        <v>7</v>
      </c>
      <c r="AQ645" s="27" t="s">
        <v>8</v>
      </c>
      <c r="AR645" s="27" t="s">
        <v>7</v>
      </c>
      <c r="AS645" s="27" t="s">
        <v>8</v>
      </c>
      <c r="AT645" s="27" t="s">
        <v>7</v>
      </c>
      <c r="AU645" s="27" t="s">
        <v>8</v>
      </c>
      <c r="AV645" s="27" t="s">
        <v>7</v>
      </c>
      <c r="AW645" s="27" t="s">
        <v>8</v>
      </c>
      <c r="AX645" s="27" t="s">
        <v>7</v>
      </c>
      <c r="BC645" s="27" t="s">
        <v>8</v>
      </c>
      <c r="BD645" s="27" t="s">
        <v>7</v>
      </c>
      <c r="BE645" s="27" t="s">
        <v>8</v>
      </c>
      <c r="BF645" s="27" t="s">
        <v>7</v>
      </c>
      <c r="BG645" s="27" t="s">
        <v>8</v>
      </c>
      <c r="CV645" s="27" t="s">
        <v>7</v>
      </c>
      <c r="CW645" s="27" t="s">
        <v>8</v>
      </c>
      <c r="CX645" s="27" t="s">
        <v>7</v>
      </c>
      <c r="CY645" s="27" t="s">
        <v>8</v>
      </c>
      <c r="DF645" s="27" t="s">
        <v>7</v>
      </c>
      <c r="DG645" s="27" t="s">
        <v>8</v>
      </c>
      <c r="DH645" s="27" t="s">
        <v>7</v>
      </c>
      <c r="DI645" s="27" t="s">
        <v>8</v>
      </c>
      <c r="DJ645" s="27" t="s">
        <v>7</v>
      </c>
      <c r="DK645" s="27" t="s">
        <v>8</v>
      </c>
      <c r="DL645" s="27" t="s">
        <v>7</v>
      </c>
      <c r="EI645" s="27" t="s">
        <v>8</v>
      </c>
      <c r="EJ645" s="27" t="s">
        <v>7</v>
      </c>
      <c r="EK645" s="27" t="s">
        <v>8</v>
      </c>
      <c r="EL645" s="27" t="s">
        <v>7</v>
      </c>
      <c r="EM645" s="27" t="s">
        <v>8</v>
      </c>
      <c r="EP645" s="27" t="s">
        <v>7</v>
      </c>
      <c r="EQ645" s="27" t="s">
        <v>8</v>
      </c>
      <c r="ET645" s="27" t="s">
        <v>7</v>
      </c>
      <c r="EV645" s="27" t="s">
        <v>7</v>
      </c>
      <c r="EW645" s="27" t="s">
        <v>8</v>
      </c>
      <c r="FB645" s="27" t="s">
        <v>7</v>
      </c>
      <c r="FC645" s="27" t="s">
        <v>8</v>
      </c>
      <c r="FF645" s="27" t="s">
        <v>7</v>
      </c>
      <c r="FG645" s="27" t="s">
        <v>8</v>
      </c>
      <c r="FH645" s="27" t="s">
        <v>7</v>
      </c>
      <c r="FI645" s="27" t="s">
        <v>8</v>
      </c>
      <c r="FJ645" s="27" t="s">
        <v>7</v>
      </c>
      <c r="FK645" s="27" t="s">
        <v>8</v>
      </c>
      <c r="FM645" s="27" t="s">
        <v>8</v>
      </c>
      <c r="FP645" s="27" t="s">
        <v>7</v>
      </c>
      <c r="FQ645" s="27" t="s">
        <v>8</v>
      </c>
      <c r="FX645" s="27" t="s">
        <v>7</v>
      </c>
      <c r="FY645" s="27" t="s">
        <v>8</v>
      </c>
      <c r="GJ645" s="27" t="s">
        <v>7</v>
      </c>
      <c r="GK645" s="27" t="s">
        <v>8</v>
      </c>
      <c r="GL645" s="27" t="s">
        <v>7</v>
      </c>
      <c r="GM645" s="27" t="s">
        <v>8</v>
      </c>
      <c r="GT645" s="27" t="s">
        <v>7</v>
      </c>
      <c r="GU645" s="27" t="s">
        <v>8</v>
      </c>
      <c r="GV645" s="27" t="s">
        <v>7</v>
      </c>
    </row>
    <row r="646" spans="1:220" x14ac:dyDescent="0.25">
      <c r="A646" s="7">
        <v>0.31087791178825175</v>
      </c>
      <c r="B646"/>
      <c r="C646"/>
      <c r="D646"/>
      <c r="E646"/>
      <c r="F646" s="27" t="s">
        <v>7</v>
      </c>
      <c r="AQ646" s="27" t="s">
        <v>8</v>
      </c>
      <c r="AR646" s="27" t="s">
        <v>7</v>
      </c>
      <c r="AS646" s="27" t="s">
        <v>8</v>
      </c>
      <c r="AT646" s="27" t="s">
        <v>7</v>
      </c>
      <c r="AU646" s="27" t="s">
        <v>8</v>
      </c>
      <c r="AV646" s="27" t="s">
        <v>7</v>
      </c>
      <c r="AW646" s="27" t="s">
        <v>8</v>
      </c>
      <c r="AX646" s="27" t="s">
        <v>7</v>
      </c>
      <c r="BC646" s="27" t="s">
        <v>8</v>
      </c>
      <c r="BD646" s="27" t="s">
        <v>7</v>
      </c>
      <c r="BE646" s="27" t="s">
        <v>8</v>
      </c>
      <c r="BF646" s="27" t="s">
        <v>7</v>
      </c>
      <c r="BG646" s="27" t="s">
        <v>8</v>
      </c>
      <c r="CV646" s="27" t="s">
        <v>7</v>
      </c>
      <c r="CW646" s="27" t="s">
        <v>8</v>
      </c>
      <c r="CX646" s="27" t="s">
        <v>7</v>
      </c>
      <c r="CY646" s="27" t="s">
        <v>8</v>
      </c>
      <c r="DF646" s="27" t="s">
        <v>7</v>
      </c>
      <c r="DG646" s="27" t="s">
        <v>8</v>
      </c>
      <c r="DH646" s="27" t="s">
        <v>7</v>
      </c>
      <c r="DI646" s="27" t="s">
        <v>8</v>
      </c>
      <c r="DJ646" s="27" t="s">
        <v>7</v>
      </c>
      <c r="DK646" s="27" t="s">
        <v>8</v>
      </c>
      <c r="DL646" s="27" t="s">
        <v>7</v>
      </c>
      <c r="EI646" s="27" t="s">
        <v>8</v>
      </c>
      <c r="EJ646" s="27" t="s">
        <v>7</v>
      </c>
      <c r="EK646" s="27" t="s">
        <v>8</v>
      </c>
      <c r="EL646" s="27" t="s">
        <v>7</v>
      </c>
      <c r="EM646" s="27" t="s">
        <v>8</v>
      </c>
      <c r="EP646" s="27" t="s">
        <v>7</v>
      </c>
      <c r="EQ646" s="27" t="s">
        <v>8</v>
      </c>
      <c r="EV646" s="27" t="s">
        <v>7</v>
      </c>
      <c r="EW646" s="27" t="s">
        <v>8</v>
      </c>
      <c r="FB646" s="27" t="s">
        <v>7</v>
      </c>
      <c r="FF646" s="27" t="s">
        <v>7</v>
      </c>
      <c r="FG646" s="27" t="s">
        <v>8</v>
      </c>
      <c r="FH646" s="27" t="s">
        <v>7</v>
      </c>
      <c r="FI646" s="27" t="s">
        <v>8</v>
      </c>
      <c r="FJ646" s="27" t="s">
        <v>7</v>
      </c>
      <c r="FK646" s="27" t="s">
        <v>8</v>
      </c>
      <c r="FL646" s="27" t="s">
        <v>7</v>
      </c>
      <c r="FM646" s="27" t="s">
        <v>8</v>
      </c>
      <c r="FP646" s="27" t="s">
        <v>7</v>
      </c>
      <c r="FQ646" s="27" t="s">
        <v>8</v>
      </c>
      <c r="FX646" s="27" t="s">
        <v>7</v>
      </c>
      <c r="FY646" s="27" t="s">
        <v>8</v>
      </c>
      <c r="GJ646" s="27" t="s">
        <v>7</v>
      </c>
      <c r="GK646" s="27" t="s">
        <v>8</v>
      </c>
      <c r="GL646" s="27" t="s">
        <v>7</v>
      </c>
      <c r="GT646" s="27" t="s">
        <v>7</v>
      </c>
      <c r="GV646" s="27" t="s">
        <v>7</v>
      </c>
    </row>
    <row r="647" spans="1:220" x14ac:dyDescent="0.25">
      <c r="A647" s="7">
        <v>0.30478226645907036</v>
      </c>
      <c r="B647"/>
      <c r="C647"/>
      <c r="D647"/>
      <c r="E647"/>
      <c r="F647" s="27" t="s">
        <v>7</v>
      </c>
      <c r="AQ647" s="27" t="s">
        <v>8</v>
      </c>
      <c r="AR647" s="27" t="s">
        <v>7</v>
      </c>
      <c r="AS647" s="27" t="s">
        <v>8</v>
      </c>
      <c r="AT647" s="27" t="s">
        <v>7</v>
      </c>
      <c r="AU647" s="27" t="s">
        <v>8</v>
      </c>
      <c r="AV647" s="27" t="s">
        <v>7</v>
      </c>
      <c r="AW647" s="27" t="s">
        <v>8</v>
      </c>
      <c r="AX647" s="27" t="s">
        <v>7</v>
      </c>
      <c r="BC647" s="27" t="s">
        <v>8</v>
      </c>
      <c r="BD647" s="27" t="s">
        <v>7</v>
      </c>
      <c r="BE647" s="27" t="s">
        <v>8</v>
      </c>
      <c r="BF647" s="27" t="s">
        <v>7</v>
      </c>
      <c r="BG647" s="27" t="s">
        <v>8</v>
      </c>
      <c r="CV647" s="27" t="s">
        <v>7</v>
      </c>
      <c r="CW647" s="27" t="s">
        <v>8</v>
      </c>
      <c r="CX647" s="27" t="s">
        <v>7</v>
      </c>
      <c r="CY647" s="27" t="s">
        <v>8</v>
      </c>
      <c r="DF647" s="27" t="s">
        <v>7</v>
      </c>
      <c r="DG647" s="27" t="s">
        <v>8</v>
      </c>
      <c r="DH647" s="27" t="s">
        <v>7</v>
      </c>
      <c r="DI647" s="27" t="s">
        <v>8</v>
      </c>
      <c r="DJ647" s="27" t="s">
        <v>7</v>
      </c>
      <c r="DK647" s="27" t="s">
        <v>8</v>
      </c>
      <c r="DL647" s="27" t="s">
        <v>7</v>
      </c>
      <c r="EI647" s="27" t="s">
        <v>8</v>
      </c>
      <c r="EJ647" s="27" t="s">
        <v>7</v>
      </c>
      <c r="EK647" s="27" t="s">
        <v>8</v>
      </c>
      <c r="EL647" s="27" t="s">
        <v>7</v>
      </c>
      <c r="EM647" s="27" t="s">
        <v>8</v>
      </c>
      <c r="EP647" s="27" t="s">
        <v>7</v>
      </c>
      <c r="EQ647" s="27" t="s">
        <v>8</v>
      </c>
      <c r="EV647" s="27" t="s">
        <v>7</v>
      </c>
      <c r="FF647" s="27" t="s">
        <v>7</v>
      </c>
      <c r="FG647" s="27" t="s">
        <v>8</v>
      </c>
      <c r="FH647" s="27" t="s">
        <v>7</v>
      </c>
      <c r="FI647" s="27" t="s">
        <v>8</v>
      </c>
      <c r="FJ647" s="27" t="s">
        <v>7</v>
      </c>
      <c r="FK647" s="27" t="s">
        <v>8</v>
      </c>
      <c r="FL647" s="27" t="s">
        <v>7</v>
      </c>
      <c r="FM647" s="27" t="s">
        <v>8</v>
      </c>
      <c r="FP647" s="27" t="s">
        <v>7</v>
      </c>
      <c r="FQ647" s="27" t="s">
        <v>8</v>
      </c>
      <c r="FX647" s="27" t="s">
        <v>7</v>
      </c>
      <c r="FY647" s="27" t="s">
        <v>8</v>
      </c>
      <c r="GJ647" s="27" t="s">
        <v>7</v>
      </c>
      <c r="GV647" s="27" t="s">
        <v>7</v>
      </c>
    </row>
    <row r="648" spans="1:220" x14ac:dyDescent="0.25">
      <c r="A648" s="7">
        <v>0.29880614358732388</v>
      </c>
      <c r="B648"/>
      <c r="C648"/>
      <c r="D648"/>
      <c r="E648"/>
      <c r="F648" s="27" t="s">
        <v>7</v>
      </c>
      <c r="AQ648" s="27" t="s">
        <v>8</v>
      </c>
      <c r="AR648" s="27" t="s">
        <v>7</v>
      </c>
      <c r="AS648" s="27" t="s">
        <v>8</v>
      </c>
      <c r="AT648" s="27" t="s">
        <v>7</v>
      </c>
      <c r="AU648" s="27" t="s">
        <v>8</v>
      </c>
      <c r="AV648" s="27" t="s">
        <v>7</v>
      </c>
      <c r="AW648" s="27" t="s">
        <v>8</v>
      </c>
      <c r="AX648" s="27" t="s">
        <v>7</v>
      </c>
      <c r="BC648" s="27" t="s">
        <v>8</v>
      </c>
      <c r="BD648" s="27" t="s">
        <v>7</v>
      </c>
      <c r="BE648" s="27" t="s">
        <v>8</v>
      </c>
      <c r="BF648" s="27" t="s">
        <v>7</v>
      </c>
      <c r="BG648" s="27" t="s">
        <v>8</v>
      </c>
      <c r="CV648" s="27" t="s">
        <v>7</v>
      </c>
      <c r="CX648" s="27" t="s">
        <v>7</v>
      </c>
      <c r="CY648" s="27" t="s">
        <v>8</v>
      </c>
      <c r="DF648" s="27" t="s">
        <v>7</v>
      </c>
      <c r="DG648" s="27" t="s">
        <v>8</v>
      </c>
      <c r="DH648" s="27" t="s">
        <v>7</v>
      </c>
      <c r="DI648" s="27" t="s">
        <v>8</v>
      </c>
      <c r="DJ648" s="27" t="s">
        <v>7</v>
      </c>
      <c r="DK648" s="27" t="s">
        <v>8</v>
      </c>
      <c r="DL648" s="27" t="s">
        <v>7</v>
      </c>
      <c r="EI648" s="27" t="s">
        <v>8</v>
      </c>
      <c r="EJ648" s="27" t="s">
        <v>7</v>
      </c>
      <c r="EK648" s="27" t="s">
        <v>8</v>
      </c>
      <c r="EL648" s="27" t="s">
        <v>7</v>
      </c>
      <c r="EM648" s="27" t="s">
        <v>8</v>
      </c>
      <c r="EP648" s="27" t="s">
        <v>7</v>
      </c>
      <c r="EQ648" s="27" t="s">
        <v>8</v>
      </c>
      <c r="FF648" s="27" t="s">
        <v>7</v>
      </c>
      <c r="FH648" s="27" t="s">
        <v>7</v>
      </c>
      <c r="FJ648" s="27" t="s">
        <v>7</v>
      </c>
      <c r="FK648" s="27" t="s">
        <v>8</v>
      </c>
      <c r="FL648" s="27" t="s">
        <v>7</v>
      </c>
      <c r="FM648" s="27" t="s">
        <v>8</v>
      </c>
      <c r="FP648" s="27" t="s">
        <v>7</v>
      </c>
      <c r="FQ648" s="27" t="s">
        <v>8</v>
      </c>
      <c r="FX648" s="27" t="s">
        <v>7</v>
      </c>
      <c r="FY648" s="27" t="s">
        <v>8</v>
      </c>
      <c r="GV648" s="27" t="s">
        <v>7</v>
      </c>
    </row>
    <row r="649" spans="1:220" x14ac:dyDescent="0.25">
      <c r="A649" s="7">
        <v>0.2929471995954156</v>
      </c>
      <c r="B649"/>
      <c r="C649"/>
      <c r="D649"/>
      <c r="E649"/>
      <c r="F649" s="27" t="s">
        <v>7</v>
      </c>
      <c r="AQ649" s="27" t="s">
        <v>8</v>
      </c>
      <c r="AR649" s="27" t="s">
        <v>7</v>
      </c>
      <c r="AT649" s="27" t="s">
        <v>7</v>
      </c>
      <c r="AU649" s="27" t="s">
        <v>8</v>
      </c>
      <c r="AV649" s="27" t="s">
        <v>7</v>
      </c>
      <c r="AW649" s="27" t="s">
        <v>8</v>
      </c>
      <c r="AX649" s="27" t="s">
        <v>7</v>
      </c>
      <c r="BC649" s="27" t="s">
        <v>8</v>
      </c>
      <c r="BD649" s="27" t="s">
        <v>7</v>
      </c>
      <c r="BE649" s="27" t="s">
        <v>8</v>
      </c>
      <c r="BF649" s="27" t="s">
        <v>7</v>
      </c>
      <c r="BG649" s="27" t="s">
        <v>8</v>
      </c>
      <c r="CX649" s="27" t="s">
        <v>7</v>
      </c>
      <c r="CY649" s="27" t="s">
        <v>8</v>
      </c>
      <c r="DF649" s="27" t="s">
        <v>7</v>
      </c>
      <c r="DH649" s="27" t="s">
        <v>7</v>
      </c>
      <c r="DI649" s="27" t="s">
        <v>8</v>
      </c>
      <c r="DJ649" s="27" t="s">
        <v>7</v>
      </c>
      <c r="DK649" s="27" t="s">
        <v>8</v>
      </c>
      <c r="DL649" s="27" t="s">
        <v>7</v>
      </c>
      <c r="EG649" s="27" t="s">
        <v>8</v>
      </c>
      <c r="EI649" s="27" t="s">
        <v>8</v>
      </c>
      <c r="EJ649" s="27" t="s">
        <v>7</v>
      </c>
      <c r="EK649" s="27" t="s">
        <v>8</v>
      </c>
      <c r="EL649" s="27" t="s">
        <v>7</v>
      </c>
      <c r="EM649" s="27" t="s">
        <v>8</v>
      </c>
      <c r="EP649" s="27" t="s">
        <v>7</v>
      </c>
      <c r="FJ649" s="27" t="s">
        <v>7</v>
      </c>
      <c r="FK649" s="27" t="s">
        <v>8</v>
      </c>
      <c r="FL649" s="27" t="s">
        <v>7</v>
      </c>
      <c r="FM649" s="27" t="s">
        <v>8</v>
      </c>
      <c r="FP649" s="27" t="s">
        <v>7</v>
      </c>
      <c r="FQ649" s="27" t="s">
        <v>8</v>
      </c>
      <c r="FX649" s="27" t="s">
        <v>7</v>
      </c>
      <c r="FY649" s="27" t="s">
        <v>8</v>
      </c>
      <c r="GV649" s="27" t="s">
        <v>7</v>
      </c>
    </row>
    <row r="650" spans="1:220" x14ac:dyDescent="0.25">
      <c r="A650" s="7">
        <v>0.28720313685825055</v>
      </c>
      <c r="B650"/>
      <c r="C650"/>
      <c r="D650"/>
      <c r="E650"/>
      <c r="F650" s="27" t="s">
        <v>7</v>
      </c>
      <c r="AQ650" s="27" t="s">
        <v>8</v>
      </c>
      <c r="AT650" s="27" t="s">
        <v>7</v>
      </c>
      <c r="AU650" s="27" t="s">
        <v>8</v>
      </c>
      <c r="AV650" s="27" t="s">
        <v>7</v>
      </c>
      <c r="AW650" s="27" t="s">
        <v>8</v>
      </c>
      <c r="AX650" s="27" t="s">
        <v>7</v>
      </c>
      <c r="BC650" s="27" t="s">
        <v>8</v>
      </c>
      <c r="BD650" s="27" t="s">
        <v>7</v>
      </c>
      <c r="BE650" s="27" t="s">
        <v>8</v>
      </c>
      <c r="BF650" s="27" t="s">
        <v>7</v>
      </c>
      <c r="CX650" s="27" t="s">
        <v>7</v>
      </c>
      <c r="CY650" s="27" t="s">
        <v>8</v>
      </c>
      <c r="DH650" s="27" t="s">
        <v>7</v>
      </c>
      <c r="DI650" s="27" t="s">
        <v>8</v>
      </c>
      <c r="DJ650" s="27" t="s">
        <v>7</v>
      </c>
      <c r="DL650" s="27" t="s">
        <v>7</v>
      </c>
      <c r="EG650" s="27" t="s">
        <v>8</v>
      </c>
      <c r="EH650" s="27" t="s">
        <v>7</v>
      </c>
      <c r="EI650" s="27" t="s">
        <v>8</v>
      </c>
      <c r="EJ650" s="27" t="s">
        <v>7</v>
      </c>
      <c r="EK650" s="27" t="s">
        <v>8</v>
      </c>
      <c r="EL650" s="27" t="s">
        <v>7</v>
      </c>
      <c r="EM650" s="27" t="s">
        <v>8</v>
      </c>
      <c r="FJ650" s="27" t="s">
        <v>7</v>
      </c>
      <c r="FK650" s="27" t="s">
        <v>8</v>
      </c>
      <c r="FL650" s="27" t="s">
        <v>7</v>
      </c>
      <c r="FM650" s="27" t="s">
        <v>8</v>
      </c>
      <c r="FP650" s="27" t="s">
        <v>7</v>
      </c>
      <c r="FQ650" s="27" t="s">
        <v>8</v>
      </c>
      <c r="FX650" s="27" t="s">
        <v>7</v>
      </c>
      <c r="FY650" s="27" t="s">
        <v>8</v>
      </c>
      <c r="GV650" s="27" t="s">
        <v>7</v>
      </c>
    </row>
    <row r="651" spans="1:220" x14ac:dyDescent="0.25">
      <c r="A651" s="7">
        <v>0.28157170280220645</v>
      </c>
      <c r="B651"/>
      <c r="C651"/>
      <c r="D651"/>
      <c r="E651"/>
      <c r="F651" s="27" t="s">
        <v>7</v>
      </c>
      <c r="AQ651" s="27" t="s">
        <v>8</v>
      </c>
      <c r="AT651" s="27" t="s">
        <v>7</v>
      </c>
      <c r="AU651" s="27" t="s">
        <v>8</v>
      </c>
      <c r="AV651" s="27" t="s">
        <v>7</v>
      </c>
      <c r="AW651" s="27" t="s">
        <v>8</v>
      </c>
      <c r="AX651" s="27" t="s">
        <v>7</v>
      </c>
      <c r="BC651" s="27" t="s">
        <v>8</v>
      </c>
      <c r="BD651" s="27" t="s">
        <v>7</v>
      </c>
      <c r="BE651" s="27" t="s">
        <v>8</v>
      </c>
      <c r="CX651" s="27" t="s">
        <v>7</v>
      </c>
      <c r="CY651" s="27" t="s">
        <v>8</v>
      </c>
      <c r="DH651" s="27" t="s">
        <v>7</v>
      </c>
      <c r="DI651" s="27" t="s">
        <v>8</v>
      </c>
      <c r="DL651" s="27" t="s">
        <v>7</v>
      </c>
      <c r="EG651" s="27" t="s">
        <v>8</v>
      </c>
      <c r="EH651" s="27" t="s">
        <v>7</v>
      </c>
      <c r="EI651" s="27" t="s">
        <v>8</v>
      </c>
      <c r="EJ651" s="27" t="s">
        <v>7</v>
      </c>
      <c r="EK651" s="27" t="s">
        <v>8</v>
      </c>
      <c r="EL651" s="27" t="s">
        <v>7</v>
      </c>
      <c r="FJ651" s="27" t="s">
        <v>7</v>
      </c>
      <c r="FK651" s="27" t="s">
        <v>8</v>
      </c>
      <c r="FL651" s="27" t="s">
        <v>7</v>
      </c>
      <c r="FM651" s="27" t="s">
        <v>8</v>
      </c>
      <c r="FP651" s="27" t="s">
        <v>7</v>
      </c>
      <c r="FX651" s="27" t="s">
        <v>7</v>
      </c>
      <c r="FY651" s="27" t="s">
        <v>8</v>
      </c>
      <c r="GV651" s="27" t="s">
        <v>7</v>
      </c>
    </row>
    <row r="652" spans="1:220" x14ac:dyDescent="0.25">
      <c r="A652" s="7">
        <v>0.27605068902177105</v>
      </c>
      <c r="B652"/>
      <c r="C652"/>
      <c r="D652"/>
      <c r="E652"/>
      <c r="F652" s="27" t="s">
        <v>7</v>
      </c>
      <c r="AQ652" s="27" t="s">
        <v>8</v>
      </c>
      <c r="AT652" s="27" t="s">
        <v>7</v>
      </c>
      <c r="AU652" s="27" t="s">
        <v>8</v>
      </c>
      <c r="AV652" s="27" t="s">
        <v>7</v>
      </c>
      <c r="AW652" s="27" t="s">
        <v>8</v>
      </c>
      <c r="AX652" s="27" t="s">
        <v>7</v>
      </c>
      <c r="AY652" s="27" t="s">
        <v>8</v>
      </c>
      <c r="BC652" s="27" t="s">
        <v>8</v>
      </c>
      <c r="BD652" s="27" t="s">
        <v>7</v>
      </c>
      <c r="BE652" s="27" t="s">
        <v>8</v>
      </c>
      <c r="CX652" s="27" t="s">
        <v>7</v>
      </c>
      <c r="CY652" s="27" t="s">
        <v>8</v>
      </c>
      <c r="DH652" s="27" t="s">
        <v>7</v>
      </c>
      <c r="DI652" s="27" t="s">
        <v>8</v>
      </c>
      <c r="DL652" s="27" t="s">
        <v>7</v>
      </c>
      <c r="EE652" s="27" t="s">
        <v>8</v>
      </c>
      <c r="EG652" s="27" t="s">
        <v>8</v>
      </c>
      <c r="EH652" s="27" t="s">
        <v>7</v>
      </c>
      <c r="EI652" s="27" t="s">
        <v>8</v>
      </c>
      <c r="EJ652" s="27" t="s">
        <v>7</v>
      </c>
      <c r="EK652" s="27" t="s">
        <v>8</v>
      </c>
      <c r="FJ652" s="27" t="s">
        <v>7</v>
      </c>
      <c r="FL652" s="27" t="s">
        <v>7</v>
      </c>
      <c r="FM652" s="27" t="s">
        <v>8</v>
      </c>
      <c r="FX652" s="27" t="s">
        <v>7</v>
      </c>
      <c r="GV652" s="27" t="s">
        <v>7</v>
      </c>
    </row>
    <row r="653" spans="1:220" x14ac:dyDescent="0.25">
      <c r="A653" s="7">
        <v>0.27063793041350104</v>
      </c>
      <c r="B653"/>
      <c r="C653"/>
      <c r="D653"/>
      <c r="E653"/>
      <c r="F653" s="27" t="s">
        <v>7</v>
      </c>
      <c r="AQ653" s="27" t="s">
        <v>8</v>
      </c>
      <c r="AT653" s="27" t="s">
        <v>7</v>
      </c>
      <c r="AU653" s="27" t="s">
        <v>8</v>
      </c>
      <c r="AV653" s="27" t="s">
        <v>7</v>
      </c>
      <c r="AW653" s="27" t="s">
        <v>8</v>
      </c>
      <c r="AX653" s="27" t="s">
        <v>7</v>
      </c>
      <c r="AY653" s="27" t="s">
        <v>8</v>
      </c>
      <c r="AZ653" s="27" t="s">
        <v>7</v>
      </c>
      <c r="BC653" s="27" t="s">
        <v>8</v>
      </c>
      <c r="BD653" s="27" t="s">
        <v>7</v>
      </c>
      <c r="BE653" s="27" t="s">
        <v>8</v>
      </c>
      <c r="CX653" s="27" t="s">
        <v>7</v>
      </c>
      <c r="CY653" s="27" t="s">
        <v>8</v>
      </c>
      <c r="DH653" s="27" t="s">
        <v>7</v>
      </c>
      <c r="DL653" s="27" t="s">
        <v>7</v>
      </c>
      <c r="DS653" s="27" t="s">
        <v>8</v>
      </c>
      <c r="EE653" s="27" t="s">
        <v>8</v>
      </c>
      <c r="EF653" s="27" t="s">
        <v>7</v>
      </c>
      <c r="EG653" s="27" t="s">
        <v>8</v>
      </c>
      <c r="EH653" s="27" t="s">
        <v>7</v>
      </c>
      <c r="EI653" s="27" t="s">
        <v>8</v>
      </c>
      <c r="EJ653" s="27" t="s">
        <v>7</v>
      </c>
      <c r="FL653" s="27" t="s">
        <v>7</v>
      </c>
      <c r="FM653" s="27" t="s">
        <v>8</v>
      </c>
      <c r="GV653" s="27" t="s">
        <v>7</v>
      </c>
      <c r="GW653" s="27" t="s">
        <v>8</v>
      </c>
    </row>
    <row r="654" spans="1:220" x14ac:dyDescent="0.25">
      <c r="A654" s="7">
        <v>0.26533130432696184</v>
      </c>
      <c r="B654"/>
      <c r="C654"/>
      <c r="D654"/>
      <c r="E654"/>
      <c r="F654" s="27" t="s">
        <v>7</v>
      </c>
      <c r="AQ654" s="27" t="s">
        <v>8</v>
      </c>
      <c r="AT654" s="27" t="s">
        <v>7</v>
      </c>
      <c r="AU654" s="27" t="s">
        <v>8</v>
      </c>
      <c r="AV654" s="27" t="s">
        <v>7</v>
      </c>
      <c r="AW654" s="27" t="s">
        <v>8</v>
      </c>
      <c r="AX654" s="27" t="s">
        <v>7</v>
      </c>
      <c r="AY654" s="27" t="s">
        <v>8</v>
      </c>
      <c r="AZ654" s="27" t="s">
        <v>7</v>
      </c>
      <c r="BC654" s="27" t="s">
        <v>8</v>
      </c>
      <c r="BD654" s="27" t="s">
        <v>7</v>
      </c>
      <c r="CX654" s="27" t="s">
        <v>7</v>
      </c>
      <c r="CY654" s="27" t="s">
        <v>8</v>
      </c>
      <c r="DL654" s="27" t="s">
        <v>7</v>
      </c>
      <c r="DS654" s="27" t="s">
        <v>8</v>
      </c>
      <c r="DT654" s="27" t="s">
        <v>7</v>
      </c>
      <c r="EE654" s="27" t="s">
        <v>8</v>
      </c>
      <c r="EF654" s="27" t="s">
        <v>7</v>
      </c>
      <c r="EG654" s="27" t="s">
        <v>8</v>
      </c>
      <c r="EH654" s="27" t="s">
        <v>7</v>
      </c>
      <c r="EI654" s="27" t="s">
        <v>8</v>
      </c>
      <c r="FL654" s="27" t="s">
        <v>7</v>
      </c>
      <c r="GV654" s="27" t="s">
        <v>7</v>
      </c>
      <c r="GW654" s="27" t="s">
        <v>8</v>
      </c>
      <c r="GX654" s="27" t="s">
        <v>7</v>
      </c>
    </row>
    <row r="655" spans="1:220" x14ac:dyDescent="0.25">
      <c r="A655" s="7">
        <v>0.26012872973231554</v>
      </c>
      <c r="B655"/>
      <c r="C655"/>
      <c r="D655"/>
      <c r="E655"/>
      <c r="F655" s="27" t="s">
        <v>7</v>
      </c>
      <c r="AQ655" s="27" t="s">
        <v>8</v>
      </c>
      <c r="AT655" s="27" t="s">
        <v>7</v>
      </c>
      <c r="AU655" s="27" t="s">
        <v>8</v>
      </c>
      <c r="AV655" s="27" t="s">
        <v>7</v>
      </c>
      <c r="AW655" s="27" t="s">
        <v>8</v>
      </c>
      <c r="AX655" s="27" t="s">
        <v>7</v>
      </c>
      <c r="AY655" s="27" t="s">
        <v>8</v>
      </c>
      <c r="AZ655" s="27" t="s">
        <v>7</v>
      </c>
      <c r="BC655" s="27" t="s">
        <v>8</v>
      </c>
      <c r="CX655" s="27" t="s">
        <v>7</v>
      </c>
      <c r="CY655" s="27" t="s">
        <v>8</v>
      </c>
      <c r="DL655" s="27" t="s">
        <v>7</v>
      </c>
      <c r="DO655" s="27" t="s">
        <v>8</v>
      </c>
      <c r="DS655" s="27" t="s">
        <v>8</v>
      </c>
      <c r="DT655" s="27" t="s">
        <v>7</v>
      </c>
      <c r="EE655" s="27" t="s">
        <v>8</v>
      </c>
      <c r="EF655" s="27" t="s">
        <v>7</v>
      </c>
      <c r="EG655" s="27" t="s">
        <v>8</v>
      </c>
      <c r="EH655" s="27" t="s">
        <v>7</v>
      </c>
      <c r="EI655" s="27" t="s">
        <v>8</v>
      </c>
      <c r="GV655" s="27" t="s">
        <v>7</v>
      </c>
      <c r="GW655" s="27" t="s">
        <v>8</v>
      </c>
      <c r="GX655" s="27" t="s">
        <v>7</v>
      </c>
      <c r="HK655" s="27" t="s">
        <v>8</v>
      </c>
    </row>
    <row r="656" spans="1:220" x14ac:dyDescent="0.25">
      <c r="A656" s="7">
        <v>0.25502816640423093</v>
      </c>
      <c r="B656"/>
      <c r="C656"/>
      <c r="D656"/>
      <c r="E656"/>
      <c r="F656" s="27" t="s">
        <v>7</v>
      </c>
      <c r="AQ656" s="27" t="s">
        <v>8</v>
      </c>
      <c r="AT656" s="27" t="s">
        <v>7</v>
      </c>
      <c r="AU656" s="27" t="s">
        <v>8</v>
      </c>
      <c r="AV656" s="27" t="s">
        <v>7</v>
      </c>
      <c r="AW656" s="27" t="s">
        <v>8</v>
      </c>
      <c r="AX656" s="27" t="s">
        <v>7</v>
      </c>
      <c r="AY656" s="27" t="s">
        <v>8</v>
      </c>
      <c r="AZ656" s="27" t="s">
        <v>7</v>
      </c>
      <c r="BC656" s="27" t="s">
        <v>8</v>
      </c>
      <c r="CX656" s="27" t="s">
        <v>7</v>
      </c>
      <c r="CY656" s="27" t="s">
        <v>8</v>
      </c>
      <c r="DL656" s="27" t="s">
        <v>7</v>
      </c>
      <c r="DO656" s="27" t="s">
        <v>8</v>
      </c>
      <c r="DP656" s="27" t="s">
        <v>7</v>
      </c>
      <c r="DS656" s="27" t="s">
        <v>8</v>
      </c>
      <c r="DT656" s="27" t="s">
        <v>7</v>
      </c>
      <c r="EC656" s="27" t="s">
        <v>8</v>
      </c>
      <c r="EE656" s="27" t="s">
        <v>8</v>
      </c>
      <c r="EF656" s="27" t="s">
        <v>7</v>
      </c>
      <c r="EG656" s="27" t="s">
        <v>8</v>
      </c>
      <c r="EH656" s="27" t="s">
        <v>7</v>
      </c>
      <c r="GV656" s="27" t="s">
        <v>7</v>
      </c>
      <c r="GW656" s="27" t="s">
        <v>8</v>
      </c>
      <c r="GX656" s="27" t="s">
        <v>7</v>
      </c>
      <c r="HK656" s="27" t="s">
        <v>8</v>
      </c>
      <c r="HL656" s="27" t="s">
        <v>7</v>
      </c>
    </row>
    <row r="657" spans="1:227" x14ac:dyDescent="0.25">
      <c r="A657" s="7">
        <v>0.25002761412179503</v>
      </c>
      <c r="B657"/>
      <c r="C657"/>
      <c r="D657"/>
      <c r="E657"/>
      <c r="F657" s="27" t="s">
        <v>7</v>
      </c>
      <c r="AQ657" s="27" t="s">
        <v>8</v>
      </c>
      <c r="AT657" s="27" t="s">
        <v>7</v>
      </c>
      <c r="AU657" s="27" t="s">
        <v>8</v>
      </c>
      <c r="AV657" s="27" t="s">
        <v>7</v>
      </c>
      <c r="AX657" s="27" t="s">
        <v>7</v>
      </c>
      <c r="AY657" s="27" t="s">
        <v>8</v>
      </c>
      <c r="AZ657" s="27" t="s">
        <v>7</v>
      </c>
      <c r="BC657" s="27" t="s">
        <v>8</v>
      </c>
      <c r="CX657" s="27" t="s">
        <v>7</v>
      </c>
      <c r="CY657" s="27" t="s">
        <v>8</v>
      </c>
      <c r="DL657" s="27" t="s">
        <v>7</v>
      </c>
      <c r="DO657" s="27" t="s">
        <v>8</v>
      </c>
      <c r="DP657" s="27" t="s">
        <v>7</v>
      </c>
      <c r="DS657" s="27" t="s">
        <v>8</v>
      </c>
      <c r="DT657" s="27" t="s">
        <v>7</v>
      </c>
      <c r="EC657" s="27" t="s">
        <v>8</v>
      </c>
      <c r="ED657" s="27" t="s">
        <v>7</v>
      </c>
      <c r="EE657" s="27" t="s">
        <v>8</v>
      </c>
      <c r="EF657" s="27" t="s">
        <v>7</v>
      </c>
      <c r="EG657" s="27" t="s">
        <v>8</v>
      </c>
      <c r="GV657" s="27" t="s">
        <v>7</v>
      </c>
      <c r="GW657" s="27" t="s">
        <v>8</v>
      </c>
      <c r="GX657" s="27" t="s">
        <v>7</v>
      </c>
      <c r="HK657" s="27" t="s">
        <v>8</v>
      </c>
      <c r="HL657" s="27" t="s">
        <v>7</v>
      </c>
    </row>
    <row r="658" spans="1:227" x14ac:dyDescent="0.25">
      <c r="A658" s="7">
        <v>0.24512511188411276</v>
      </c>
      <c r="B658"/>
      <c r="C658"/>
      <c r="D658"/>
      <c r="E658"/>
      <c r="F658" s="27" t="s">
        <v>7</v>
      </c>
      <c r="AQ658" s="27" t="s">
        <v>8</v>
      </c>
      <c r="AT658" s="27" t="s">
        <v>7</v>
      </c>
      <c r="AU658" s="27" t="s">
        <v>8</v>
      </c>
      <c r="AX658" s="27" t="s">
        <v>7</v>
      </c>
      <c r="AY658" s="27" t="s">
        <v>8</v>
      </c>
      <c r="AZ658" s="27" t="s">
        <v>7</v>
      </c>
      <c r="BA658" s="27" t="s">
        <v>8</v>
      </c>
      <c r="BC658" s="27" t="s">
        <v>8</v>
      </c>
      <c r="CX658" s="27" t="s">
        <v>7</v>
      </c>
      <c r="CY658" s="27" t="s">
        <v>8</v>
      </c>
      <c r="DL658" s="27" t="s">
        <v>7</v>
      </c>
      <c r="DM658" s="27" t="s">
        <v>8</v>
      </c>
      <c r="DO658" s="27" t="s">
        <v>8</v>
      </c>
      <c r="DP658" s="27" t="s">
        <v>7</v>
      </c>
      <c r="DS658" s="27" t="s">
        <v>8</v>
      </c>
      <c r="DT658" s="27" t="s">
        <v>7</v>
      </c>
      <c r="DU658" s="27" t="s">
        <v>8</v>
      </c>
      <c r="EC658" s="27" t="s">
        <v>8</v>
      </c>
      <c r="ED658" s="27" t="s">
        <v>7</v>
      </c>
      <c r="EE658" s="27" t="s">
        <v>8</v>
      </c>
      <c r="EF658" s="27" t="s">
        <v>7</v>
      </c>
      <c r="EG658" s="27" t="s">
        <v>8</v>
      </c>
      <c r="GV658" s="27" t="s">
        <v>7</v>
      </c>
      <c r="GW658" s="27" t="s">
        <v>8</v>
      </c>
      <c r="GX658" s="27" t="s">
        <v>7</v>
      </c>
      <c r="GY658" s="27" t="s">
        <v>8</v>
      </c>
      <c r="HK658" s="27" t="s">
        <v>8</v>
      </c>
      <c r="HL658" s="27" t="s">
        <v>7</v>
      </c>
    </row>
    <row r="659" spans="1:227" x14ac:dyDescent="0.25">
      <c r="A659" s="7">
        <v>0.24031873714128701</v>
      </c>
      <c r="B659"/>
      <c r="C659"/>
      <c r="D659"/>
      <c r="E659"/>
      <c r="F659" s="27" t="s">
        <v>7</v>
      </c>
      <c r="AQ659" s="27" t="s">
        <v>8</v>
      </c>
      <c r="AT659" s="27" t="s">
        <v>7</v>
      </c>
      <c r="AU659" s="27" t="s">
        <v>8</v>
      </c>
      <c r="AX659" s="27" t="s">
        <v>7</v>
      </c>
      <c r="AY659" s="27" t="s">
        <v>8</v>
      </c>
      <c r="AZ659" s="27" t="s">
        <v>7</v>
      </c>
      <c r="BA659" s="27" t="s">
        <v>8</v>
      </c>
      <c r="BB659" s="27" t="s">
        <v>7</v>
      </c>
      <c r="BC659" s="27" t="s">
        <v>8</v>
      </c>
      <c r="CX659" s="27" t="s">
        <v>7</v>
      </c>
      <c r="CY659" s="27" t="s">
        <v>8</v>
      </c>
      <c r="DL659" s="27" t="s">
        <v>7</v>
      </c>
      <c r="DM659" s="27" t="s">
        <v>8</v>
      </c>
      <c r="DN659" s="27" t="s">
        <v>7</v>
      </c>
      <c r="DO659" s="27" t="s">
        <v>8</v>
      </c>
      <c r="DP659" s="27" t="s">
        <v>7</v>
      </c>
      <c r="DS659" s="27" t="s">
        <v>8</v>
      </c>
      <c r="DT659" s="27" t="s">
        <v>7</v>
      </c>
      <c r="DU659" s="27" t="s">
        <v>8</v>
      </c>
      <c r="DV659" s="27" t="s">
        <v>7</v>
      </c>
      <c r="EC659" s="27" t="s">
        <v>8</v>
      </c>
      <c r="ED659" s="27" t="s">
        <v>7</v>
      </c>
      <c r="EE659" s="27" t="s">
        <v>8</v>
      </c>
      <c r="EF659" s="27" t="s">
        <v>7</v>
      </c>
      <c r="GV659" s="27" t="s">
        <v>7</v>
      </c>
      <c r="GW659" s="27" t="s">
        <v>8</v>
      </c>
      <c r="GX659" s="27" t="s">
        <v>7</v>
      </c>
      <c r="GY659" s="27" t="s">
        <v>8</v>
      </c>
      <c r="GZ659" s="27" t="s">
        <v>7</v>
      </c>
      <c r="HA659" s="27" t="s">
        <v>8</v>
      </c>
      <c r="HK659" s="27" t="s">
        <v>8</v>
      </c>
      <c r="HL659" s="27" t="s">
        <v>7</v>
      </c>
    </row>
    <row r="660" spans="1:227" x14ac:dyDescent="0.25">
      <c r="A660" s="7">
        <v>0.23560660504047748</v>
      </c>
      <c r="B660"/>
      <c r="C660"/>
      <c r="D660"/>
      <c r="E660"/>
      <c r="F660" s="27" t="s">
        <v>7</v>
      </c>
      <c r="AQ660" s="27" t="s">
        <v>8</v>
      </c>
      <c r="AT660" s="27" t="s">
        <v>7</v>
      </c>
      <c r="AU660" s="27" t="s">
        <v>8</v>
      </c>
      <c r="AX660" s="27" t="s">
        <v>7</v>
      </c>
      <c r="AY660" s="27" t="s">
        <v>8</v>
      </c>
      <c r="AZ660" s="27" t="s">
        <v>7</v>
      </c>
      <c r="BA660" s="27" t="s">
        <v>8</v>
      </c>
      <c r="BB660" s="27" t="s">
        <v>7</v>
      </c>
      <c r="BC660" s="27" t="s">
        <v>8</v>
      </c>
      <c r="CX660" s="27" t="s">
        <v>7</v>
      </c>
      <c r="CY660" s="27" t="s">
        <v>8</v>
      </c>
      <c r="DL660" s="27" t="s">
        <v>7</v>
      </c>
      <c r="DM660" s="27" t="s">
        <v>8</v>
      </c>
      <c r="DN660" s="27" t="s">
        <v>7</v>
      </c>
      <c r="DO660" s="27" t="s">
        <v>8</v>
      </c>
      <c r="DP660" s="27" t="s">
        <v>7</v>
      </c>
      <c r="DQ660" s="27" t="s">
        <v>8</v>
      </c>
      <c r="DS660" s="27" t="s">
        <v>8</v>
      </c>
      <c r="DT660" s="27" t="s">
        <v>7</v>
      </c>
      <c r="DU660" s="27" t="s">
        <v>8</v>
      </c>
      <c r="DV660" s="27" t="s">
        <v>7</v>
      </c>
      <c r="EC660" s="27" t="s">
        <v>8</v>
      </c>
      <c r="ED660" s="27" t="s">
        <v>7</v>
      </c>
      <c r="EE660" s="27" t="s">
        <v>8</v>
      </c>
      <c r="GV660" s="27" t="s">
        <v>7</v>
      </c>
      <c r="GW660" s="27" t="s">
        <v>8</v>
      </c>
      <c r="GX660" s="27" t="s">
        <v>7</v>
      </c>
      <c r="GY660" s="27" t="s">
        <v>8</v>
      </c>
      <c r="GZ660" s="27" t="s">
        <v>7</v>
      </c>
      <c r="HA660" s="27" t="s">
        <v>8</v>
      </c>
      <c r="HB660" s="27" t="s">
        <v>7</v>
      </c>
      <c r="HI660" s="27" t="s">
        <v>8</v>
      </c>
      <c r="HK660" s="27" t="s">
        <v>8</v>
      </c>
      <c r="HL660" s="27" t="s">
        <v>7</v>
      </c>
    </row>
    <row r="661" spans="1:227" x14ac:dyDescent="0.25">
      <c r="A661" s="7">
        <v>0.23098686768674265</v>
      </c>
      <c r="B661"/>
      <c r="C661"/>
      <c r="D661"/>
      <c r="E661"/>
      <c r="F661" s="27" t="s">
        <v>7</v>
      </c>
      <c r="AQ661" s="27" t="s">
        <v>8</v>
      </c>
      <c r="AT661" s="27" t="s">
        <v>7</v>
      </c>
      <c r="AX661" s="27" t="s">
        <v>7</v>
      </c>
      <c r="AY661" s="27" t="s">
        <v>8</v>
      </c>
      <c r="AZ661" s="27" t="s">
        <v>7</v>
      </c>
      <c r="BA661" s="27" t="s">
        <v>8</v>
      </c>
      <c r="BB661" s="27" t="s">
        <v>7</v>
      </c>
      <c r="BC661" s="27" t="s">
        <v>8</v>
      </c>
      <c r="CX661" s="27" t="s">
        <v>7</v>
      </c>
      <c r="CY661" s="27" t="s">
        <v>8</v>
      </c>
      <c r="DL661" s="27" t="s">
        <v>7</v>
      </c>
      <c r="DM661" s="27" t="s">
        <v>8</v>
      </c>
      <c r="DN661" s="27" t="s">
        <v>7</v>
      </c>
      <c r="DO661" s="27" t="s">
        <v>8</v>
      </c>
      <c r="DP661" s="27" t="s">
        <v>7</v>
      </c>
      <c r="DQ661" s="27" t="s">
        <v>8</v>
      </c>
      <c r="DR661" s="27" t="s">
        <v>7</v>
      </c>
      <c r="DS661" s="27" t="s">
        <v>8</v>
      </c>
      <c r="DT661" s="27" t="s">
        <v>7</v>
      </c>
      <c r="DU661" s="27" t="s">
        <v>8</v>
      </c>
      <c r="DV661" s="27" t="s">
        <v>7</v>
      </c>
      <c r="DW661" s="27" t="s">
        <v>8</v>
      </c>
      <c r="EC661" s="27" t="s">
        <v>8</v>
      </c>
      <c r="ED661" s="27" t="s">
        <v>7</v>
      </c>
      <c r="EE661" s="27" t="s">
        <v>8</v>
      </c>
      <c r="GV661" s="27" t="s">
        <v>7</v>
      </c>
      <c r="GW661" s="27" t="s">
        <v>8</v>
      </c>
      <c r="GX661" s="27" t="s">
        <v>7</v>
      </c>
      <c r="GY661" s="27" t="s">
        <v>8</v>
      </c>
      <c r="GZ661" s="27" t="s">
        <v>7</v>
      </c>
      <c r="HA661" s="27" t="s">
        <v>8</v>
      </c>
      <c r="HB661" s="27" t="s">
        <v>7</v>
      </c>
      <c r="HI661" s="27" t="s">
        <v>8</v>
      </c>
      <c r="HJ661" s="27" t="s">
        <v>7</v>
      </c>
      <c r="HK661" s="27" t="s">
        <v>8</v>
      </c>
      <c r="HL661" s="27" t="s">
        <v>7</v>
      </c>
    </row>
    <row r="662" spans="1:227" x14ac:dyDescent="0.25">
      <c r="A662" s="7">
        <v>0.22645771341837515</v>
      </c>
      <c r="B662"/>
      <c r="C662"/>
      <c r="D662"/>
      <c r="E662"/>
      <c r="F662" s="27" t="s">
        <v>7</v>
      </c>
      <c r="AQ662" s="27" t="s">
        <v>8</v>
      </c>
      <c r="AX662" s="27" t="s">
        <v>7</v>
      </c>
      <c r="AY662" s="27" t="s">
        <v>8</v>
      </c>
      <c r="AZ662" s="27" t="s">
        <v>7</v>
      </c>
      <c r="BA662" s="27" t="s">
        <v>8</v>
      </c>
      <c r="BB662" s="27" t="s">
        <v>7</v>
      </c>
      <c r="BC662" s="27" t="s">
        <v>8</v>
      </c>
      <c r="CX662" s="27" t="s">
        <v>7</v>
      </c>
      <c r="CY662" s="27" t="s">
        <v>8</v>
      </c>
      <c r="DL662" s="27" t="s">
        <v>7</v>
      </c>
      <c r="DM662" s="27" t="s">
        <v>8</v>
      </c>
      <c r="DN662" s="27" t="s">
        <v>7</v>
      </c>
      <c r="DO662" s="27" t="s">
        <v>8</v>
      </c>
      <c r="DP662" s="27" t="s">
        <v>7</v>
      </c>
      <c r="DQ662" s="27" t="s">
        <v>8</v>
      </c>
      <c r="DR662" s="27" t="s">
        <v>7</v>
      </c>
      <c r="DS662" s="27" t="s">
        <v>8</v>
      </c>
      <c r="DT662" s="27" t="s">
        <v>7</v>
      </c>
      <c r="DU662" s="27" t="s">
        <v>8</v>
      </c>
      <c r="DV662" s="27" t="s">
        <v>7</v>
      </c>
      <c r="DW662" s="27" t="s">
        <v>8</v>
      </c>
      <c r="DX662" s="27" t="s">
        <v>7</v>
      </c>
      <c r="EC662" s="27" t="s">
        <v>8</v>
      </c>
      <c r="ED662" s="27" t="s">
        <v>7</v>
      </c>
      <c r="EE662" s="27" t="s">
        <v>8</v>
      </c>
      <c r="GV662" s="27" t="s">
        <v>7</v>
      </c>
      <c r="GW662" s="27" t="s">
        <v>8</v>
      </c>
      <c r="GX662" s="27" t="s">
        <v>7</v>
      </c>
      <c r="GY662" s="27" t="s">
        <v>8</v>
      </c>
      <c r="GZ662" s="27" t="s">
        <v>7</v>
      </c>
      <c r="HA662" s="27" t="s">
        <v>8</v>
      </c>
      <c r="HB662" s="27" t="s">
        <v>7</v>
      </c>
      <c r="HI662" s="27" t="s">
        <v>8</v>
      </c>
      <c r="HJ662" s="27" t="s">
        <v>7</v>
      </c>
      <c r="HK662" s="27" t="s">
        <v>8</v>
      </c>
      <c r="HL662" s="27" t="s">
        <v>7</v>
      </c>
    </row>
    <row r="663" spans="1:227" x14ac:dyDescent="0.25">
      <c r="A663" s="7">
        <v>0.22201736609644623</v>
      </c>
      <c r="B663"/>
      <c r="C663"/>
      <c r="D663"/>
      <c r="E663"/>
      <c r="F663" s="27" t="s">
        <v>7</v>
      </c>
      <c r="AQ663" s="27" t="s">
        <v>8</v>
      </c>
      <c r="AX663" s="27" t="s">
        <v>7</v>
      </c>
      <c r="AY663" s="27" t="s">
        <v>8</v>
      </c>
      <c r="AZ663" s="27" t="s">
        <v>7</v>
      </c>
      <c r="BA663" s="27" t="s">
        <v>8</v>
      </c>
      <c r="BB663" s="27" t="s">
        <v>7</v>
      </c>
      <c r="BC663" s="27" t="s">
        <v>8</v>
      </c>
      <c r="CX663" s="27" t="s">
        <v>7</v>
      </c>
      <c r="CY663" s="27" t="s">
        <v>8</v>
      </c>
      <c r="DL663" s="27" t="s">
        <v>7</v>
      </c>
      <c r="DM663" s="27" t="s">
        <v>8</v>
      </c>
      <c r="DN663" s="27" t="s">
        <v>7</v>
      </c>
      <c r="DO663" s="27" t="s">
        <v>8</v>
      </c>
      <c r="DP663" s="27" t="s">
        <v>7</v>
      </c>
      <c r="DQ663" s="27" t="s">
        <v>8</v>
      </c>
      <c r="DR663" s="27" t="s">
        <v>7</v>
      </c>
      <c r="DT663" s="27" t="s">
        <v>7</v>
      </c>
      <c r="DV663" s="27" t="s">
        <v>7</v>
      </c>
      <c r="DW663" s="27" t="s">
        <v>8</v>
      </c>
      <c r="DX663" s="27" t="s">
        <v>7</v>
      </c>
      <c r="EC663" s="27" t="s">
        <v>8</v>
      </c>
      <c r="ED663" s="27" t="s">
        <v>7</v>
      </c>
      <c r="EE663" s="27" t="s">
        <v>8</v>
      </c>
      <c r="GV663" s="27" t="s">
        <v>7</v>
      </c>
      <c r="GW663" s="27" t="s">
        <v>8</v>
      </c>
      <c r="GX663" s="27" t="s">
        <v>7</v>
      </c>
      <c r="GY663" s="27" t="s">
        <v>8</v>
      </c>
      <c r="GZ663" s="27" t="s">
        <v>7</v>
      </c>
      <c r="HA663" s="27" t="s">
        <v>8</v>
      </c>
      <c r="HB663" s="27" t="s">
        <v>7</v>
      </c>
      <c r="HC663" s="27" t="s">
        <v>8</v>
      </c>
      <c r="HE663" s="27" t="s">
        <v>8</v>
      </c>
      <c r="HI663" s="27" t="s">
        <v>8</v>
      </c>
      <c r="HJ663" s="27" t="s">
        <v>7</v>
      </c>
      <c r="HK663" s="27" t="s">
        <v>8</v>
      </c>
      <c r="HL663" s="27" t="s">
        <v>7</v>
      </c>
    </row>
    <row r="664" spans="1:227" x14ac:dyDescent="0.25">
      <c r="A664" s="7">
        <v>0.21766408440828061</v>
      </c>
      <c r="B664"/>
      <c r="C664"/>
      <c r="D664"/>
      <c r="E664"/>
      <c r="F664" s="27" t="s">
        <v>7</v>
      </c>
      <c r="AQ664" s="27" t="s">
        <v>8</v>
      </c>
      <c r="AX664" s="27" t="s">
        <v>7</v>
      </c>
      <c r="AY664" s="27" t="s">
        <v>8</v>
      </c>
      <c r="AZ664" s="27" t="s">
        <v>7</v>
      </c>
      <c r="BA664" s="27" t="s">
        <v>8</v>
      </c>
      <c r="BB664" s="27" t="s">
        <v>7</v>
      </c>
      <c r="BC664" s="27" t="s">
        <v>8</v>
      </c>
      <c r="CX664" s="27" t="s">
        <v>7</v>
      </c>
      <c r="CY664" s="27" t="s">
        <v>8</v>
      </c>
      <c r="DL664" s="27" t="s">
        <v>7</v>
      </c>
      <c r="DM664" s="27" t="s">
        <v>8</v>
      </c>
      <c r="DN664" s="27" t="s">
        <v>7</v>
      </c>
      <c r="DO664" s="27" t="s">
        <v>8</v>
      </c>
      <c r="DP664" s="27" t="s">
        <v>7</v>
      </c>
      <c r="DQ664" s="27" t="s">
        <v>8</v>
      </c>
      <c r="DV664" s="27" t="s">
        <v>7</v>
      </c>
      <c r="DW664" s="27" t="s">
        <v>8</v>
      </c>
      <c r="DX664" s="27" t="s">
        <v>7</v>
      </c>
      <c r="DY664" s="27" t="s">
        <v>8</v>
      </c>
      <c r="EC664" s="27" t="s">
        <v>8</v>
      </c>
      <c r="ED664" s="27" t="s">
        <v>7</v>
      </c>
      <c r="GV664" s="27" t="s">
        <v>7</v>
      </c>
      <c r="GW664" s="27" t="s">
        <v>8</v>
      </c>
      <c r="GX664" s="27" t="s">
        <v>7</v>
      </c>
      <c r="GY664" s="27" t="s">
        <v>8</v>
      </c>
      <c r="GZ664" s="27" t="s">
        <v>7</v>
      </c>
      <c r="HA664" s="27" t="s">
        <v>8</v>
      </c>
      <c r="HB664" s="27" t="s">
        <v>7</v>
      </c>
      <c r="HC664" s="27" t="s">
        <v>8</v>
      </c>
      <c r="HD664" s="27" t="s">
        <v>7</v>
      </c>
      <c r="HE664" s="27" t="s">
        <v>8</v>
      </c>
      <c r="HF664" s="27" t="s">
        <v>7</v>
      </c>
      <c r="HI664" s="27" t="s">
        <v>8</v>
      </c>
      <c r="HJ664" s="27" t="s">
        <v>7</v>
      </c>
      <c r="HL664" s="27" t="s">
        <v>7</v>
      </c>
    </row>
    <row r="665" spans="1:227" x14ac:dyDescent="0.25">
      <c r="A665" s="7">
        <v>0.21339616118458882</v>
      </c>
      <c r="B665"/>
      <c r="C665"/>
      <c r="D665"/>
      <c r="E665"/>
      <c r="F665" s="27" t="s">
        <v>7</v>
      </c>
      <c r="AQ665" s="27" t="s">
        <v>8</v>
      </c>
      <c r="AX665" s="27" t="s">
        <v>7</v>
      </c>
      <c r="AY665" s="27" t="s">
        <v>8</v>
      </c>
      <c r="AZ665" s="27" t="s">
        <v>7</v>
      </c>
      <c r="BA665" s="27" t="s">
        <v>8</v>
      </c>
      <c r="BB665" s="27" t="s">
        <v>7</v>
      </c>
      <c r="BC665" s="27" t="s">
        <v>8</v>
      </c>
      <c r="CX665" s="27" t="s">
        <v>7</v>
      </c>
      <c r="CY665" s="27" t="s">
        <v>8</v>
      </c>
      <c r="DL665" s="27" t="s">
        <v>7</v>
      </c>
      <c r="DM665" s="27" t="s">
        <v>8</v>
      </c>
      <c r="DN665" s="27" t="s">
        <v>7</v>
      </c>
      <c r="DO665" s="27" t="s">
        <v>8</v>
      </c>
      <c r="DP665" s="27" t="s">
        <v>7</v>
      </c>
      <c r="DV665" s="27" t="s">
        <v>7</v>
      </c>
      <c r="DW665" s="27" t="s">
        <v>8</v>
      </c>
      <c r="DX665" s="27" t="s">
        <v>7</v>
      </c>
      <c r="DY665" s="27" t="s">
        <v>8</v>
      </c>
      <c r="DZ665" s="27" t="s">
        <v>7</v>
      </c>
      <c r="EA665" s="27" t="s">
        <v>8</v>
      </c>
      <c r="EC665" s="27" t="s">
        <v>8</v>
      </c>
      <c r="GV665" s="27" t="s">
        <v>7</v>
      </c>
      <c r="GW665" s="27" t="s">
        <v>8</v>
      </c>
      <c r="GX665" s="27" t="s">
        <v>7</v>
      </c>
      <c r="GZ665" s="27" t="s">
        <v>7</v>
      </c>
      <c r="HB665" s="27" t="s">
        <v>7</v>
      </c>
      <c r="HC665" s="27" t="s">
        <v>8</v>
      </c>
      <c r="HD665" s="27" t="s">
        <v>7</v>
      </c>
      <c r="HE665" s="27" t="s">
        <v>8</v>
      </c>
      <c r="HF665" s="27" t="s">
        <v>7</v>
      </c>
      <c r="HI665" s="27" t="s">
        <v>8</v>
      </c>
      <c r="HL665" s="27" t="s">
        <v>7</v>
      </c>
      <c r="HM665" s="27" t="s">
        <v>8</v>
      </c>
    </row>
    <row r="666" spans="1:227" x14ac:dyDescent="0.25">
      <c r="A666" s="7">
        <v>0.20921192272998904</v>
      </c>
      <c r="B666"/>
      <c r="C666"/>
      <c r="D666"/>
      <c r="E666"/>
      <c r="F666" s="27" t="s">
        <v>7</v>
      </c>
      <c r="AQ666" s="27" t="s">
        <v>8</v>
      </c>
      <c r="AX666" s="27" t="s">
        <v>7</v>
      </c>
      <c r="AY666" s="27" t="s">
        <v>8</v>
      </c>
      <c r="AZ666" s="27" t="s">
        <v>7</v>
      </c>
      <c r="BA666" s="27" t="s">
        <v>8</v>
      </c>
      <c r="BB666" s="27" t="s">
        <v>7</v>
      </c>
      <c r="BC666" s="27" t="s">
        <v>8</v>
      </c>
      <c r="CX666" s="27" t="s">
        <v>7</v>
      </c>
      <c r="CY666" s="27" t="s">
        <v>8</v>
      </c>
      <c r="DL666" s="27" t="s">
        <v>7</v>
      </c>
      <c r="DM666" s="27" t="s">
        <v>8</v>
      </c>
      <c r="DN666" s="27" t="s">
        <v>7</v>
      </c>
      <c r="DO666" s="27" t="s">
        <v>8</v>
      </c>
      <c r="DV666" s="27" t="s">
        <v>7</v>
      </c>
      <c r="DX666" s="27" t="s">
        <v>7</v>
      </c>
      <c r="DY666" s="27" t="s">
        <v>8</v>
      </c>
      <c r="DZ666" s="27" t="s">
        <v>7</v>
      </c>
      <c r="EA666" s="27" t="s">
        <v>8</v>
      </c>
      <c r="EB666" s="27" t="s">
        <v>7</v>
      </c>
      <c r="EC666" s="27" t="s">
        <v>8</v>
      </c>
      <c r="GV666" s="27" t="s">
        <v>7</v>
      </c>
      <c r="GW666" s="27" t="s">
        <v>8</v>
      </c>
      <c r="HB666" s="27" t="s">
        <v>7</v>
      </c>
      <c r="HC666" s="27" t="s">
        <v>8</v>
      </c>
      <c r="HD666" s="27" t="s">
        <v>7</v>
      </c>
      <c r="HE666" s="27" t="s">
        <v>8</v>
      </c>
      <c r="HF666" s="27" t="s">
        <v>7</v>
      </c>
      <c r="HI666" s="27" t="s">
        <v>8</v>
      </c>
      <c r="HL666" s="27" t="s">
        <v>7</v>
      </c>
      <c r="HM666" s="27" t="s">
        <v>8</v>
      </c>
      <c r="HN666" s="27" t="s">
        <v>7</v>
      </c>
    </row>
    <row r="667" spans="1:227" x14ac:dyDescent="0.25">
      <c r="A667" s="7">
        <v>0.20510972816665593</v>
      </c>
      <c r="B667"/>
      <c r="C667"/>
      <c r="D667"/>
      <c r="E667"/>
      <c r="F667" s="27" t="s">
        <v>7</v>
      </c>
      <c r="AQ667" s="27" t="s">
        <v>8</v>
      </c>
      <c r="AX667" s="27" t="s">
        <v>7</v>
      </c>
      <c r="AY667" s="27" t="s">
        <v>8</v>
      </c>
      <c r="AZ667" s="27" t="s">
        <v>7</v>
      </c>
      <c r="BA667" s="27" t="s">
        <v>8</v>
      </c>
      <c r="BB667" s="27" t="s">
        <v>7</v>
      </c>
      <c r="BC667" s="27" t="s">
        <v>8</v>
      </c>
      <c r="CX667" s="27" t="s">
        <v>7</v>
      </c>
      <c r="DL667" s="27" t="s">
        <v>7</v>
      </c>
      <c r="DM667" s="27" t="s">
        <v>8</v>
      </c>
      <c r="DN667" s="27" t="s">
        <v>7</v>
      </c>
      <c r="DO667" s="27" t="s">
        <v>8</v>
      </c>
      <c r="DX667" s="27" t="s">
        <v>7</v>
      </c>
      <c r="DY667" s="27" t="s">
        <v>8</v>
      </c>
      <c r="DZ667" s="27" t="s">
        <v>7</v>
      </c>
      <c r="EA667" s="27" t="s">
        <v>8</v>
      </c>
      <c r="EB667" s="27" t="s">
        <v>7</v>
      </c>
      <c r="EC667" s="27" t="s">
        <v>8</v>
      </c>
      <c r="GV667" s="27" t="s">
        <v>7</v>
      </c>
      <c r="GW667" s="27" t="s">
        <v>8</v>
      </c>
      <c r="HB667" s="27" t="s">
        <v>7</v>
      </c>
      <c r="HC667" s="27" t="s">
        <v>8</v>
      </c>
      <c r="HD667" s="27" t="s">
        <v>7</v>
      </c>
      <c r="HE667" s="27" t="s">
        <v>8</v>
      </c>
      <c r="HF667" s="27" t="s">
        <v>7</v>
      </c>
      <c r="HI667" s="27" t="s">
        <v>8</v>
      </c>
      <c r="HL667" s="27" t="s">
        <v>7</v>
      </c>
      <c r="HM667" s="27" t="s">
        <v>8</v>
      </c>
      <c r="HN667" s="27" t="s">
        <v>7</v>
      </c>
    </row>
    <row r="668" spans="1:227" x14ac:dyDescent="0.25">
      <c r="A668" s="7">
        <v>0.20108796879083912</v>
      </c>
      <c r="B668"/>
      <c r="C668"/>
      <c r="D668"/>
      <c r="E668"/>
      <c r="F668" s="27" t="s">
        <v>7</v>
      </c>
      <c r="AQ668" s="27" t="s">
        <v>8</v>
      </c>
      <c r="AX668" s="27" t="s">
        <v>7</v>
      </c>
      <c r="AY668" s="27" t="s">
        <v>8</v>
      </c>
      <c r="AZ668" s="27" t="s">
        <v>7</v>
      </c>
      <c r="BA668" s="27" t="s">
        <v>8</v>
      </c>
      <c r="BB668" s="27" t="s">
        <v>7</v>
      </c>
      <c r="BC668" s="27" t="s">
        <v>8</v>
      </c>
      <c r="DL668" s="27" t="s">
        <v>7</v>
      </c>
      <c r="DM668" s="27" t="s">
        <v>8</v>
      </c>
      <c r="DN668" s="27" t="s">
        <v>7</v>
      </c>
      <c r="DO668" s="27" t="s">
        <v>8</v>
      </c>
      <c r="DX668" s="27" t="s">
        <v>7</v>
      </c>
      <c r="DY668" s="27" t="s">
        <v>8</v>
      </c>
      <c r="DZ668" s="27" t="s">
        <v>7</v>
      </c>
      <c r="EA668" s="27" t="s">
        <v>8</v>
      </c>
      <c r="EB668" s="27" t="s">
        <v>7</v>
      </c>
      <c r="EC668" s="27" t="s">
        <v>8</v>
      </c>
      <c r="GV668" s="27" t="s">
        <v>7</v>
      </c>
      <c r="GW668" s="27" t="s">
        <v>8</v>
      </c>
      <c r="HB668" s="27" t="s">
        <v>7</v>
      </c>
      <c r="HD668" s="27" t="s">
        <v>7</v>
      </c>
      <c r="HE668" s="27" t="s">
        <v>8</v>
      </c>
      <c r="HF668" s="27" t="s">
        <v>7</v>
      </c>
      <c r="HG668" s="27" t="s">
        <v>8</v>
      </c>
      <c r="HI668" s="27" t="s">
        <v>8</v>
      </c>
      <c r="HL668" s="27" t="s">
        <v>7</v>
      </c>
      <c r="HM668" s="27" t="s">
        <v>8</v>
      </c>
      <c r="HN668" s="27" t="s">
        <v>7</v>
      </c>
    </row>
    <row r="669" spans="1:227" x14ac:dyDescent="0.25">
      <c r="A669" s="7">
        <v>0.19714506744199917</v>
      </c>
      <c r="B669"/>
      <c r="C669"/>
      <c r="D669"/>
      <c r="E669"/>
      <c r="F669" s="27" t="s">
        <v>7</v>
      </c>
      <c r="AQ669" s="27" t="s">
        <v>8</v>
      </c>
      <c r="AX669" s="27" t="s">
        <v>7</v>
      </c>
      <c r="AY669" s="27" t="s">
        <v>8</v>
      </c>
      <c r="AZ669" s="27" t="s">
        <v>7</v>
      </c>
      <c r="BA669" s="27" t="s">
        <v>8</v>
      </c>
      <c r="BB669" s="27" t="s">
        <v>7</v>
      </c>
      <c r="BC669" s="27" t="s">
        <v>8</v>
      </c>
      <c r="DL669" s="27" t="s">
        <v>7</v>
      </c>
      <c r="DM669" s="27" t="s">
        <v>8</v>
      </c>
      <c r="DN669" s="27" t="s">
        <v>7</v>
      </c>
      <c r="DO669" s="27" t="s">
        <v>8</v>
      </c>
      <c r="DX669" s="27" t="s">
        <v>7</v>
      </c>
      <c r="DY669" s="27" t="s">
        <v>8</v>
      </c>
      <c r="DZ669" s="27" t="s">
        <v>7</v>
      </c>
      <c r="EA669" s="27" t="s">
        <v>8</v>
      </c>
      <c r="EB669" s="27" t="s">
        <v>7</v>
      </c>
      <c r="EC669" s="27" t="s">
        <v>8</v>
      </c>
      <c r="GV669" s="27" t="s">
        <v>7</v>
      </c>
      <c r="GW669" s="27" t="s">
        <v>8</v>
      </c>
      <c r="HD669" s="27" t="s">
        <v>7</v>
      </c>
      <c r="HE669" s="27" t="s">
        <v>8</v>
      </c>
      <c r="HF669" s="27" t="s">
        <v>7</v>
      </c>
      <c r="HG669" s="27" t="s">
        <v>8</v>
      </c>
      <c r="HH669" s="27" t="s">
        <v>7</v>
      </c>
      <c r="HI669" s="27" t="s">
        <v>8</v>
      </c>
      <c r="HL669" s="27" t="s">
        <v>7</v>
      </c>
      <c r="HM669" s="27" t="s">
        <v>8</v>
      </c>
      <c r="HN669" s="27" t="s">
        <v>7</v>
      </c>
    </row>
    <row r="670" spans="1:227" x14ac:dyDescent="0.25">
      <c r="A670" s="7">
        <v>0.19327947788431293</v>
      </c>
      <c r="B670"/>
      <c r="C670"/>
      <c r="D670"/>
      <c r="E670"/>
      <c r="F670" s="27" t="s">
        <v>7</v>
      </c>
      <c r="AQ670" s="27" t="s">
        <v>8</v>
      </c>
      <c r="AX670" s="27" t="s">
        <v>7</v>
      </c>
      <c r="AZ670" s="27" t="s">
        <v>7</v>
      </c>
      <c r="BB670" s="27" t="s">
        <v>7</v>
      </c>
      <c r="DL670" s="27" t="s">
        <v>7</v>
      </c>
      <c r="DM670" s="27" t="s">
        <v>8</v>
      </c>
      <c r="DN670" s="27" t="s">
        <v>7</v>
      </c>
      <c r="DO670" s="27" t="s">
        <v>8</v>
      </c>
      <c r="DX670" s="27" t="s">
        <v>7</v>
      </c>
      <c r="DY670" s="27" t="s">
        <v>8</v>
      </c>
      <c r="DZ670" s="27" t="s">
        <v>7</v>
      </c>
      <c r="EA670" s="27" t="s">
        <v>8</v>
      </c>
      <c r="EB670" s="27" t="s">
        <v>7</v>
      </c>
      <c r="EC670" s="27" t="s">
        <v>8</v>
      </c>
      <c r="GV670" s="27" t="s">
        <v>7</v>
      </c>
      <c r="GW670" s="27" t="s">
        <v>8</v>
      </c>
      <c r="HD670" s="27" t="s">
        <v>7</v>
      </c>
      <c r="HE670" s="27" t="s">
        <v>8</v>
      </c>
      <c r="HF670" s="27" t="s">
        <v>7</v>
      </c>
      <c r="HG670" s="27" t="s">
        <v>8</v>
      </c>
      <c r="HH670" s="27" t="s">
        <v>7</v>
      </c>
      <c r="HI670" s="27" t="s">
        <v>8</v>
      </c>
      <c r="HL670" s="27" t="s">
        <v>7</v>
      </c>
      <c r="HN670" s="27" t="s">
        <v>7</v>
      </c>
    </row>
    <row r="671" spans="1:227" x14ac:dyDescent="0.25">
      <c r="A671" s="7">
        <v>0.18948968420030682</v>
      </c>
      <c r="B671"/>
      <c r="C671"/>
      <c r="D671"/>
      <c r="E671"/>
      <c r="F671" s="27" t="s">
        <v>7</v>
      </c>
      <c r="AQ671" s="27" t="s">
        <v>8</v>
      </c>
      <c r="DL671" s="27" t="s">
        <v>7</v>
      </c>
      <c r="DM671" s="27" t="s">
        <v>8</v>
      </c>
      <c r="DN671" s="27" t="s">
        <v>7</v>
      </c>
      <c r="DX671" s="27" t="s">
        <v>7</v>
      </c>
      <c r="DZ671" s="27" t="s">
        <v>7</v>
      </c>
      <c r="EA671" s="27" t="s">
        <v>8</v>
      </c>
      <c r="EB671" s="27" t="s">
        <v>7</v>
      </c>
      <c r="EC671" s="27" t="s">
        <v>8</v>
      </c>
      <c r="GV671" s="27" t="s">
        <v>7</v>
      </c>
      <c r="GW671" s="27" t="s">
        <v>8</v>
      </c>
      <c r="HD671" s="27" t="s">
        <v>7</v>
      </c>
      <c r="HF671" s="27" t="s">
        <v>7</v>
      </c>
      <c r="HG671" s="27" t="s">
        <v>8</v>
      </c>
      <c r="HH671" s="27" t="s">
        <v>7</v>
      </c>
      <c r="HN671" s="27" t="s">
        <v>7</v>
      </c>
    </row>
    <row r="672" spans="1:227" x14ac:dyDescent="0.25">
      <c r="A672" s="7">
        <v>0.18577420019637925</v>
      </c>
      <c r="B672"/>
      <c r="C672"/>
      <c r="D672"/>
      <c r="E672"/>
      <c r="F672" s="27" t="s">
        <v>7</v>
      </c>
      <c r="AQ672" s="27" t="s">
        <v>8</v>
      </c>
      <c r="DL672" s="27" t="s">
        <v>7</v>
      </c>
      <c r="DM672" s="27" t="s">
        <v>8</v>
      </c>
      <c r="DZ672" s="18" t="s">
        <v>7</v>
      </c>
      <c r="EA672" s="27" t="s">
        <v>8</v>
      </c>
      <c r="EB672" s="27" t="s">
        <v>7</v>
      </c>
      <c r="GV672" s="27" t="s">
        <v>7</v>
      </c>
      <c r="GW672" s="27" t="s">
        <v>8</v>
      </c>
      <c r="HF672" s="27" t="s">
        <v>7</v>
      </c>
      <c r="HN672" s="27" t="s">
        <v>7</v>
      </c>
      <c r="HS672" s="27" t="s">
        <v>8</v>
      </c>
    </row>
    <row r="673" spans="1:230" x14ac:dyDescent="0.25">
      <c r="A673" s="7">
        <v>0.18213156881997963</v>
      </c>
      <c r="B673"/>
      <c r="C673"/>
      <c r="D673"/>
      <c r="E673"/>
      <c r="F673" s="27" t="s">
        <v>7</v>
      </c>
      <c r="AQ673" s="27" t="s">
        <v>8</v>
      </c>
      <c r="DL673" s="27" t="s">
        <v>7</v>
      </c>
      <c r="DM673" s="27" t="s">
        <v>8</v>
      </c>
      <c r="DZ673" s="27" t="s">
        <v>7</v>
      </c>
      <c r="EA673" s="27" t="s">
        <v>8</v>
      </c>
      <c r="GV673" s="27" t="s">
        <v>7</v>
      </c>
      <c r="GW673" s="27" t="s">
        <v>8</v>
      </c>
      <c r="HN673" s="27" t="s">
        <v>7</v>
      </c>
      <c r="HS673" s="27" t="s">
        <v>8</v>
      </c>
      <c r="HT673" s="27" t="s">
        <v>7</v>
      </c>
    </row>
    <row r="674" spans="1:230" x14ac:dyDescent="0.25">
      <c r="A674" s="7">
        <v>0.17856036158821534</v>
      </c>
      <c r="B674"/>
      <c r="C674"/>
      <c r="D674"/>
      <c r="E674"/>
      <c r="F674" s="27" t="s">
        <v>7</v>
      </c>
      <c r="AO674" s="27" t="s">
        <v>8</v>
      </c>
      <c r="AQ674" s="27" t="s">
        <v>8</v>
      </c>
      <c r="DL674" s="27" t="s">
        <v>7</v>
      </c>
      <c r="DZ674" s="27" t="s">
        <v>7</v>
      </c>
      <c r="EA674" s="27" t="s">
        <v>8</v>
      </c>
      <c r="GV674" s="27" t="s">
        <v>7</v>
      </c>
      <c r="GW674" s="27" t="s">
        <v>8</v>
      </c>
      <c r="HN674" s="27" t="s">
        <v>7</v>
      </c>
      <c r="HS674" s="27" t="s">
        <v>8</v>
      </c>
      <c r="HT674" s="27" t="s">
        <v>7</v>
      </c>
    </row>
    <row r="675" spans="1:230" x14ac:dyDescent="0.25">
      <c r="A675" s="7">
        <v>0.17505917802766208</v>
      </c>
      <c r="B675"/>
      <c r="C675"/>
      <c r="D675"/>
      <c r="E675"/>
      <c r="F675" s="27" t="s">
        <v>7</v>
      </c>
      <c r="AO675" s="27" t="s">
        <v>8</v>
      </c>
      <c r="AP675" s="27" t="s">
        <v>7</v>
      </c>
      <c r="AQ675" s="27" t="s">
        <v>8</v>
      </c>
      <c r="DZ675" s="27" t="s">
        <v>7</v>
      </c>
      <c r="EA675" s="27" t="s">
        <v>8</v>
      </c>
      <c r="GV675" s="27" t="s">
        <v>7</v>
      </c>
      <c r="GW675" s="27" t="s">
        <v>8</v>
      </c>
      <c r="HN675" s="27" t="s">
        <v>7</v>
      </c>
      <c r="HO675" s="27" t="s">
        <v>8</v>
      </c>
      <c r="HS675" s="27" t="s">
        <v>8</v>
      </c>
      <c r="HT675" s="27" t="s">
        <v>7</v>
      </c>
    </row>
    <row r="676" spans="1:230" x14ac:dyDescent="0.25">
      <c r="A676" s="7">
        <v>0.17162664512515888</v>
      </c>
      <c r="B676"/>
      <c r="C676"/>
      <c r="D676"/>
      <c r="E676"/>
      <c r="F676" s="27" t="s">
        <v>7</v>
      </c>
      <c r="AO676" s="27" t="s">
        <v>8</v>
      </c>
      <c r="AP676" s="27" t="s">
        <v>7</v>
      </c>
      <c r="AQ676" s="27" t="s">
        <v>8</v>
      </c>
      <c r="DZ676" s="27" t="s">
        <v>7</v>
      </c>
      <c r="EA676" s="27" t="s">
        <v>8</v>
      </c>
      <c r="GV676" s="27" t="s">
        <v>7</v>
      </c>
      <c r="GW676" s="27" t="s">
        <v>8</v>
      </c>
      <c r="HN676" s="27" t="s">
        <v>7</v>
      </c>
      <c r="HO676" s="27" t="s">
        <v>8</v>
      </c>
      <c r="HP676" s="27" t="s">
        <v>7</v>
      </c>
      <c r="HQ676" s="27" t="s">
        <v>8</v>
      </c>
      <c r="HS676" s="27" t="s">
        <v>8</v>
      </c>
      <c r="HT676" s="27" t="s">
        <v>7</v>
      </c>
    </row>
    <row r="677" spans="1:230" x14ac:dyDescent="0.25">
      <c r="A677" s="7">
        <v>0.16826141678937145</v>
      </c>
      <c r="B677"/>
      <c r="C677"/>
      <c r="D677"/>
      <c r="E677"/>
      <c r="F677" s="27" t="s">
        <v>7</v>
      </c>
      <c r="AI677" s="27" t="s">
        <v>8</v>
      </c>
      <c r="AO677" s="27" t="s">
        <v>8</v>
      </c>
      <c r="AP677" s="27" t="s">
        <v>7</v>
      </c>
      <c r="AQ677" s="27" t="s">
        <v>8</v>
      </c>
      <c r="DZ677" s="27" t="s">
        <v>7</v>
      </c>
      <c r="GV677" s="27" t="s">
        <v>7</v>
      </c>
      <c r="HN677" s="27" t="s">
        <v>7</v>
      </c>
      <c r="HO677" s="27" t="s">
        <v>8</v>
      </c>
      <c r="HP677" s="27" t="s">
        <v>7</v>
      </c>
      <c r="HQ677" s="27" t="s">
        <v>8</v>
      </c>
      <c r="HR677" s="27" t="s">
        <v>7</v>
      </c>
      <c r="HS677" s="27" t="s">
        <v>8</v>
      </c>
      <c r="HT677" s="27" t="s">
        <v>7</v>
      </c>
    </row>
    <row r="678" spans="1:230" x14ac:dyDescent="0.25">
      <c r="A678" s="7">
        <v>0.16496217332291319</v>
      </c>
      <c r="B678"/>
      <c r="C678"/>
      <c r="D678"/>
      <c r="E678"/>
      <c r="F678" s="27" t="s">
        <v>7</v>
      </c>
      <c r="AI678" s="27" t="s">
        <v>8</v>
      </c>
      <c r="AJ678" s="27" t="s">
        <v>7</v>
      </c>
      <c r="AO678" s="27" t="s">
        <v>8</v>
      </c>
      <c r="AP678" s="27" t="s">
        <v>7</v>
      </c>
      <c r="AQ678" s="27" t="s">
        <v>8</v>
      </c>
      <c r="HN678" s="27" t="s">
        <v>7</v>
      </c>
      <c r="HO678" s="27" t="s">
        <v>8</v>
      </c>
      <c r="HP678" s="27" t="s">
        <v>7</v>
      </c>
      <c r="HQ678" s="27" t="s">
        <v>8</v>
      </c>
      <c r="HR678" s="27" t="s">
        <v>7</v>
      </c>
      <c r="HS678" s="27" t="s">
        <v>8</v>
      </c>
      <c r="HT678" s="27" t="s">
        <v>7</v>
      </c>
      <c r="HU678" s="27" t="s">
        <v>8</v>
      </c>
    </row>
    <row r="679" spans="1:230" x14ac:dyDescent="0.25">
      <c r="A679" s="7">
        <v>0.16172762090481685</v>
      </c>
      <c r="B679"/>
      <c r="C679"/>
      <c r="D679"/>
      <c r="E679"/>
      <c r="F679" s="27" t="s">
        <v>7</v>
      </c>
      <c r="G679" s="27" t="s">
        <v>8</v>
      </c>
      <c r="AE679" s="27" t="s">
        <v>8</v>
      </c>
      <c r="AI679" s="27" t="s">
        <v>8</v>
      </c>
      <c r="AJ679" s="27" t="s">
        <v>7</v>
      </c>
      <c r="AO679" s="27" t="s">
        <v>8</v>
      </c>
      <c r="AP679" s="27" t="s">
        <v>7</v>
      </c>
      <c r="AQ679" s="27" t="s">
        <v>8</v>
      </c>
      <c r="HN679" s="27" t="s">
        <v>7</v>
      </c>
      <c r="HO679" s="27" t="s">
        <v>8</v>
      </c>
      <c r="HP679" s="27" t="s">
        <v>7</v>
      </c>
      <c r="HQ679" s="27" t="s">
        <v>8</v>
      </c>
      <c r="HR679" s="27" t="s">
        <v>7</v>
      </c>
      <c r="HS679" s="27" t="s">
        <v>8</v>
      </c>
      <c r="HT679" s="27" t="s">
        <v>7</v>
      </c>
      <c r="HU679" s="27" t="s">
        <v>8</v>
      </c>
      <c r="HV679" s="27" t="s">
        <v>7</v>
      </c>
    </row>
    <row r="680" spans="1:230" x14ac:dyDescent="0.25">
      <c r="A680" s="7">
        <v>0.15855649108315376</v>
      </c>
      <c r="B680"/>
      <c r="C680"/>
      <c r="D680"/>
      <c r="E680"/>
      <c r="F680" s="27" t="s">
        <v>7</v>
      </c>
      <c r="G680" s="27" t="s">
        <v>8</v>
      </c>
      <c r="H680" s="27" t="s">
        <v>7</v>
      </c>
      <c r="AE680" s="27" t="s">
        <v>8</v>
      </c>
      <c r="AF680" s="27" t="s">
        <v>7</v>
      </c>
      <c r="AI680" s="27" t="s">
        <v>8</v>
      </c>
      <c r="AJ680" s="27" t="s">
        <v>7</v>
      </c>
      <c r="AO680" s="27" t="s">
        <v>8</v>
      </c>
      <c r="AP680" s="27" t="s">
        <v>7</v>
      </c>
      <c r="AQ680" s="27" t="s">
        <v>8</v>
      </c>
      <c r="HN680" s="27" t="s">
        <v>7</v>
      </c>
      <c r="HP680" s="27" t="s">
        <v>7</v>
      </c>
      <c r="HQ680" s="27" t="s">
        <v>8</v>
      </c>
      <c r="HR680" s="27" t="s">
        <v>7</v>
      </c>
      <c r="HS680" s="27" t="s">
        <v>8</v>
      </c>
      <c r="HT680" s="27" t="s">
        <v>7</v>
      </c>
      <c r="HU680" s="27" t="s">
        <v>8</v>
      </c>
      <c r="HV680" s="27" t="s">
        <v>7</v>
      </c>
    </row>
    <row r="681" spans="1:230" x14ac:dyDescent="0.25">
      <c r="A681" s="7">
        <v>0.15544754027760171</v>
      </c>
      <c r="B681"/>
      <c r="C681"/>
      <c r="D681"/>
      <c r="E681"/>
      <c r="F681" s="27" t="s">
        <v>7</v>
      </c>
      <c r="G681" s="27" t="s">
        <v>8</v>
      </c>
      <c r="H681" s="27" t="s">
        <v>7</v>
      </c>
      <c r="AE681" s="27" t="s">
        <v>8</v>
      </c>
      <c r="AF681" s="27" t="s">
        <v>7</v>
      </c>
      <c r="AI681" s="27" t="s">
        <v>8</v>
      </c>
      <c r="AJ681" s="27" t="s">
        <v>7</v>
      </c>
      <c r="AO681" s="27" t="s">
        <v>8</v>
      </c>
      <c r="AP681" s="27" t="s">
        <v>7</v>
      </c>
      <c r="AQ681" s="27" t="s">
        <v>8</v>
      </c>
      <c r="HP681" s="27" t="s">
        <v>7</v>
      </c>
      <c r="HR681" s="27" t="s">
        <v>7</v>
      </c>
      <c r="HT681" s="27" t="s">
        <v>7</v>
      </c>
      <c r="HU681" s="27" t="s">
        <v>8</v>
      </c>
      <c r="HV681" s="27" t="s">
        <v>7</v>
      </c>
    </row>
    <row r="682" spans="1:230" x14ac:dyDescent="0.25">
      <c r="A682" s="7">
        <v>0.15239954929176638</v>
      </c>
      <c r="B682"/>
      <c r="C682"/>
      <c r="D682"/>
      <c r="E682"/>
      <c r="F682" s="27" t="s">
        <v>7</v>
      </c>
      <c r="G682" s="27" t="s">
        <v>8</v>
      </c>
      <c r="H682" s="27" t="s">
        <v>7</v>
      </c>
      <c r="AC682" s="27" t="s">
        <v>8</v>
      </c>
      <c r="AE682" s="27" t="s">
        <v>8</v>
      </c>
      <c r="AF682" s="27" t="s">
        <v>7</v>
      </c>
      <c r="AI682" s="27" t="s">
        <v>8</v>
      </c>
      <c r="AJ682" s="27" t="s">
        <v>7</v>
      </c>
      <c r="AO682" s="27" t="s">
        <v>8</v>
      </c>
      <c r="AP682" s="27" t="s">
        <v>7</v>
      </c>
      <c r="AQ682" s="27" t="s">
        <v>8</v>
      </c>
      <c r="HT682" s="27" t="s">
        <v>7</v>
      </c>
      <c r="HU682" s="27" t="s">
        <v>8</v>
      </c>
      <c r="HV682" s="27" t="s">
        <v>7</v>
      </c>
    </row>
    <row r="683" spans="1:230" x14ac:dyDescent="0.25">
      <c r="A683" s="7">
        <v>0.14941132283506509</v>
      </c>
      <c r="B683"/>
      <c r="C683"/>
      <c r="D683"/>
      <c r="E683"/>
      <c r="F683" s="27" t="s">
        <v>7</v>
      </c>
      <c r="G683" s="27" t="s">
        <v>8</v>
      </c>
      <c r="H683" s="27" t="s">
        <v>7</v>
      </c>
      <c r="K683" s="27" t="s">
        <v>8</v>
      </c>
      <c r="AC683" s="27" t="s">
        <v>8</v>
      </c>
      <c r="AD683" s="27" t="s">
        <v>7</v>
      </c>
      <c r="AE683" s="27" t="s">
        <v>8</v>
      </c>
      <c r="AF683" s="27" t="s">
        <v>7</v>
      </c>
      <c r="AI683" s="27" t="s">
        <v>8</v>
      </c>
      <c r="AJ683" s="27" t="s">
        <v>7</v>
      </c>
      <c r="AO683" s="27" t="s">
        <v>8</v>
      </c>
      <c r="AP683" s="27" t="s">
        <v>7</v>
      </c>
      <c r="AQ683" s="27" t="s">
        <v>8</v>
      </c>
      <c r="HT683" s="27" t="s">
        <v>7</v>
      </c>
      <c r="HV683" s="27" t="s">
        <v>7</v>
      </c>
    </row>
    <row r="684" spans="1:230" x14ac:dyDescent="0.25">
      <c r="A684" s="7">
        <v>0.14648168905398537</v>
      </c>
      <c r="B684"/>
      <c r="C684"/>
      <c r="D684"/>
      <c r="E684"/>
      <c r="F684" s="27" t="s">
        <v>7</v>
      </c>
      <c r="G684" s="27" t="s">
        <v>8</v>
      </c>
      <c r="H684" s="27" t="s">
        <v>7</v>
      </c>
      <c r="K684" s="27" t="s">
        <v>8</v>
      </c>
      <c r="L684" s="27" t="s">
        <v>7</v>
      </c>
      <c r="AC684" s="27" t="s">
        <v>8</v>
      </c>
      <c r="AD684" s="27" t="s">
        <v>7</v>
      </c>
      <c r="AE684" s="27" t="s">
        <v>8</v>
      </c>
      <c r="AF684" s="27" t="s">
        <v>7</v>
      </c>
      <c r="AI684" s="27" t="s">
        <v>8</v>
      </c>
      <c r="AJ684" s="27" t="s">
        <v>7</v>
      </c>
      <c r="AK684" s="27" t="s">
        <v>8</v>
      </c>
      <c r="AO684" s="27" t="s">
        <v>8</v>
      </c>
      <c r="AP684" s="27" t="s">
        <v>7</v>
      </c>
      <c r="HV684" s="27" t="s">
        <v>7</v>
      </c>
    </row>
    <row r="685" spans="1:230" x14ac:dyDescent="0.25">
      <c r="A685" s="7">
        <v>0.14360949907253467</v>
      </c>
      <c r="B685"/>
      <c r="C685"/>
      <c r="D685"/>
      <c r="E685"/>
      <c r="F685" s="27" t="s">
        <v>7</v>
      </c>
      <c r="G685" s="27" t="s">
        <v>8</v>
      </c>
      <c r="H685" s="27" t="s">
        <v>7</v>
      </c>
      <c r="K685" s="27" t="s">
        <v>8</v>
      </c>
      <c r="L685" s="27" t="s">
        <v>7</v>
      </c>
      <c r="AC685" s="27" t="s">
        <v>8</v>
      </c>
      <c r="AD685" s="27" t="s">
        <v>7</v>
      </c>
      <c r="AE685" s="27" t="s">
        <v>8</v>
      </c>
      <c r="AF685" s="27" t="s">
        <v>7</v>
      </c>
      <c r="AI685" s="27" t="s">
        <v>8</v>
      </c>
      <c r="AJ685" s="27" t="s">
        <v>7</v>
      </c>
      <c r="AK685" s="27" t="s">
        <v>8</v>
      </c>
      <c r="AL685" s="27" t="s">
        <v>7</v>
      </c>
      <c r="AM685" s="27" t="s">
        <v>8</v>
      </c>
      <c r="AO685" s="27" t="s">
        <v>8</v>
      </c>
      <c r="HV685" s="27" t="s">
        <v>7</v>
      </c>
    </row>
    <row r="686" spans="1:230" x14ac:dyDescent="0.25">
      <c r="A686" s="7">
        <v>0.14079362654170066</v>
      </c>
      <c r="B686"/>
      <c r="C686"/>
      <c r="D686"/>
      <c r="E686"/>
      <c r="F686" s="27" t="s">
        <v>7</v>
      </c>
      <c r="G686" s="27" t="s">
        <v>8</v>
      </c>
      <c r="H686" s="27" t="s">
        <v>7</v>
      </c>
      <c r="K686" s="27" t="s">
        <v>8</v>
      </c>
      <c r="L686" s="27" t="s">
        <v>7</v>
      </c>
      <c r="AC686" s="27" t="s">
        <v>8</v>
      </c>
      <c r="AD686" s="27" t="s">
        <v>7</v>
      </c>
      <c r="AE686" s="27" t="s">
        <v>8</v>
      </c>
      <c r="AF686" s="27" t="s">
        <v>7</v>
      </c>
      <c r="AI686" s="27" t="s">
        <v>8</v>
      </c>
      <c r="AJ686" s="27" t="s">
        <v>7</v>
      </c>
      <c r="AK686" s="27" t="s">
        <v>8</v>
      </c>
      <c r="AL686" s="27" t="s">
        <v>7</v>
      </c>
      <c r="AM686" s="27" t="s">
        <v>8</v>
      </c>
      <c r="AN686" s="27" t="s">
        <v>7</v>
      </c>
      <c r="AO686" s="27" t="s">
        <v>8</v>
      </c>
      <c r="HV686" s="27" t="s">
        <v>7</v>
      </c>
    </row>
    <row r="687" spans="1:230" x14ac:dyDescent="0.25">
      <c r="A687" s="7">
        <v>0.13803296719774574</v>
      </c>
      <c r="B687"/>
      <c r="C687"/>
      <c r="D687"/>
      <c r="E687"/>
      <c r="F687" s="27" t="s">
        <v>7</v>
      </c>
      <c r="G687" s="27" t="s">
        <v>8</v>
      </c>
      <c r="H687" s="27" t="s">
        <v>7</v>
      </c>
      <c r="K687" s="27" t="s">
        <v>8</v>
      </c>
      <c r="L687" s="27" t="s">
        <v>7</v>
      </c>
      <c r="AC687" s="27" t="s">
        <v>8</v>
      </c>
      <c r="AD687" s="27" t="s">
        <v>7</v>
      </c>
      <c r="AE687" s="27" t="s">
        <v>8</v>
      </c>
      <c r="AF687" s="27" t="s">
        <v>7</v>
      </c>
      <c r="AG687" s="27" t="s">
        <v>8</v>
      </c>
      <c r="AI687" s="27" t="s">
        <v>8</v>
      </c>
      <c r="AJ687" s="27" t="s">
        <v>7</v>
      </c>
      <c r="AK687" s="27" t="s">
        <v>8</v>
      </c>
      <c r="AL687" s="27" t="s">
        <v>7</v>
      </c>
      <c r="AM687" s="27" t="s">
        <v>8</v>
      </c>
      <c r="AN687" s="27" t="s">
        <v>7</v>
      </c>
      <c r="AO687" s="27" t="s">
        <v>8</v>
      </c>
      <c r="HV687" s="27" t="s">
        <v>7</v>
      </c>
    </row>
    <row r="688" spans="1:230" x14ac:dyDescent="0.25">
      <c r="A688" s="7">
        <v>0.1353264384291625</v>
      </c>
      <c r="B688"/>
      <c r="C688"/>
      <c r="D688"/>
      <c r="E688"/>
      <c r="F688" s="27" t="s">
        <v>7</v>
      </c>
      <c r="G688" s="27" t="s">
        <v>8</v>
      </c>
      <c r="H688" s="27" t="s">
        <v>7</v>
      </c>
      <c r="I688" s="27" t="s">
        <v>8</v>
      </c>
      <c r="K688" s="27" t="s">
        <v>8</v>
      </c>
      <c r="L688" s="27" t="s">
        <v>7</v>
      </c>
      <c r="AC688" s="27" t="s">
        <v>8</v>
      </c>
      <c r="AD688" s="27" t="s">
        <v>7</v>
      </c>
      <c r="AE688" s="27" t="s">
        <v>8</v>
      </c>
      <c r="AF688" s="27" t="s">
        <v>7</v>
      </c>
      <c r="AG688" s="27" t="s">
        <v>8</v>
      </c>
      <c r="AH688" s="27" t="s">
        <v>7</v>
      </c>
      <c r="AI688" s="27" t="s">
        <v>8</v>
      </c>
      <c r="AJ688" s="27" t="s">
        <v>7</v>
      </c>
      <c r="AK688" s="27" t="s">
        <v>8</v>
      </c>
      <c r="AL688" s="27" t="s">
        <v>7</v>
      </c>
      <c r="AM688" s="27" t="s">
        <v>8</v>
      </c>
      <c r="AN688" s="27" t="s">
        <v>7</v>
      </c>
      <c r="AO688" s="27" t="s">
        <v>8</v>
      </c>
      <c r="HV688" s="27" t="s">
        <v>7</v>
      </c>
    </row>
    <row r="689" spans="1:234" x14ac:dyDescent="0.25">
      <c r="A689" s="7">
        <v>0.13267297885212009</v>
      </c>
      <c r="B689"/>
      <c r="C689"/>
      <c r="D689"/>
      <c r="E689"/>
      <c r="F689" s="27" t="s">
        <v>7</v>
      </c>
      <c r="G689" s="27" t="s">
        <v>8</v>
      </c>
      <c r="H689" s="27" t="s">
        <v>7</v>
      </c>
      <c r="I689" s="27" t="s">
        <v>8</v>
      </c>
      <c r="J689" s="27" t="s">
        <v>7</v>
      </c>
      <c r="K689" s="27" t="s">
        <v>8</v>
      </c>
      <c r="L689" s="27" t="s">
        <v>7</v>
      </c>
      <c r="Q689" s="27" t="s">
        <v>8</v>
      </c>
      <c r="AC689" s="27" t="s">
        <v>8</v>
      </c>
      <c r="AD689" s="27" t="s">
        <v>7</v>
      </c>
      <c r="AE689" s="27" t="s">
        <v>8</v>
      </c>
      <c r="AF689" s="27" t="s">
        <v>7</v>
      </c>
      <c r="AG689" s="27" t="s">
        <v>8</v>
      </c>
      <c r="AH689" s="27" t="s">
        <v>7</v>
      </c>
      <c r="AI689" s="27" t="s">
        <v>8</v>
      </c>
      <c r="AJ689" s="27" t="s">
        <v>7</v>
      </c>
      <c r="AK689" s="27" t="s">
        <v>8</v>
      </c>
      <c r="AL689" s="27" t="s">
        <v>7</v>
      </c>
      <c r="AM689" s="27" t="s">
        <v>8</v>
      </c>
      <c r="AN689" s="27" t="s">
        <v>7</v>
      </c>
      <c r="AO689" s="27" t="s">
        <v>8</v>
      </c>
      <c r="HV689" s="27" t="s">
        <v>7</v>
      </c>
      <c r="HY689" s="27" t="s">
        <v>8</v>
      </c>
    </row>
    <row r="690" spans="1:234" x14ac:dyDescent="0.25">
      <c r="A690" s="7">
        <v>0.13007154789423539</v>
      </c>
      <c r="B690"/>
      <c r="C690"/>
      <c r="D690"/>
      <c r="E690"/>
      <c r="F690" s="27" t="s">
        <v>7</v>
      </c>
      <c r="G690" s="27" t="s">
        <v>8</v>
      </c>
      <c r="H690" s="27" t="s">
        <v>7</v>
      </c>
      <c r="I690" s="27" t="s">
        <v>8</v>
      </c>
      <c r="J690" s="27" t="s">
        <v>7</v>
      </c>
      <c r="K690" s="27" t="s">
        <v>8</v>
      </c>
      <c r="L690" s="27" t="s">
        <v>7</v>
      </c>
      <c r="M690" s="27" t="s">
        <v>8</v>
      </c>
      <c r="Q690" s="27" t="s">
        <v>8</v>
      </c>
      <c r="R690" s="27" t="s">
        <v>7</v>
      </c>
      <c r="AC690" s="27" t="s">
        <v>8</v>
      </c>
      <c r="AD690" s="27" t="s">
        <v>7</v>
      </c>
      <c r="AE690" s="27" t="s">
        <v>8</v>
      </c>
      <c r="AF690" s="27" t="s">
        <v>7</v>
      </c>
      <c r="AG690" s="27" t="s">
        <v>8</v>
      </c>
      <c r="AH690" s="27" t="s">
        <v>7</v>
      </c>
      <c r="AI690" s="27" t="s">
        <v>8</v>
      </c>
      <c r="AJ690" s="27" t="s">
        <v>7</v>
      </c>
      <c r="AK690" s="27" t="s">
        <v>8</v>
      </c>
      <c r="AL690" s="27" t="s">
        <v>7</v>
      </c>
      <c r="AM690" s="27" t="s">
        <v>8</v>
      </c>
      <c r="AN690" s="27" t="s">
        <v>7</v>
      </c>
      <c r="HV690" s="27" t="s">
        <v>7</v>
      </c>
      <c r="HY690" s="27" t="s">
        <v>8</v>
      </c>
      <c r="HZ690" s="27" t="s">
        <v>7</v>
      </c>
    </row>
    <row r="691" spans="1:234" x14ac:dyDescent="0.25">
      <c r="A691" s="7">
        <v>0.12752112538650529</v>
      </c>
      <c r="B691"/>
      <c r="C691"/>
      <c r="D691"/>
      <c r="E691"/>
      <c r="F691" s="27" t="s">
        <v>7</v>
      </c>
      <c r="G691" s="27" t="s">
        <v>8</v>
      </c>
      <c r="H691" s="27" t="s">
        <v>7</v>
      </c>
      <c r="I691" s="27" t="s">
        <v>8</v>
      </c>
      <c r="J691" s="27" t="s">
        <v>7</v>
      </c>
      <c r="K691" s="27" t="s">
        <v>8</v>
      </c>
      <c r="L691" s="27" t="s">
        <v>7</v>
      </c>
      <c r="M691" s="27" t="s">
        <v>8</v>
      </c>
      <c r="N691" s="27" t="s">
        <v>7</v>
      </c>
      <c r="Q691" s="27" t="s">
        <v>8</v>
      </c>
      <c r="R691" s="27" t="s">
        <v>7</v>
      </c>
      <c r="AC691" s="27" t="s">
        <v>8</v>
      </c>
      <c r="AD691" s="27" t="s">
        <v>7</v>
      </c>
      <c r="AF691" s="27" t="s">
        <v>7</v>
      </c>
      <c r="AG691" s="27" t="s">
        <v>8</v>
      </c>
      <c r="AH691" s="27" t="s">
        <v>7</v>
      </c>
      <c r="AJ691" s="27" t="s">
        <v>7</v>
      </c>
      <c r="AL691" s="27" t="s">
        <v>7</v>
      </c>
      <c r="HV691" s="27" t="s">
        <v>7</v>
      </c>
      <c r="HY691" s="27" t="s">
        <v>8</v>
      </c>
      <c r="HZ691" s="27" t="s">
        <v>7</v>
      </c>
    </row>
    <row r="692" spans="1:234" x14ac:dyDescent="0.25">
      <c r="A692" s="7">
        <v>0.12502071116324048</v>
      </c>
      <c r="B692"/>
      <c r="C692"/>
      <c r="D692"/>
      <c r="E692"/>
      <c r="F692" s="27" t="s">
        <v>7</v>
      </c>
      <c r="G692" s="27" t="s">
        <v>8</v>
      </c>
      <c r="H692" s="27" t="s">
        <v>7</v>
      </c>
      <c r="I692" s="27" t="s">
        <v>8</v>
      </c>
      <c r="J692" s="27" t="s">
        <v>7</v>
      </c>
      <c r="K692" s="27" t="s">
        <v>8</v>
      </c>
      <c r="L692" s="27" t="s">
        <v>7</v>
      </c>
      <c r="M692" s="27" t="s">
        <v>8</v>
      </c>
      <c r="N692" s="27" t="s">
        <v>7</v>
      </c>
      <c r="Q692" s="27" t="s">
        <v>8</v>
      </c>
      <c r="R692" s="27" t="s">
        <v>7</v>
      </c>
      <c r="AC692" s="27" t="s">
        <v>8</v>
      </c>
      <c r="AF692" s="27" t="s">
        <v>7</v>
      </c>
      <c r="AG692" s="27" t="s">
        <v>8</v>
      </c>
      <c r="HV692" s="27" t="s">
        <v>7</v>
      </c>
      <c r="HY692" s="27" t="s">
        <v>8</v>
      </c>
      <c r="HZ692" s="27" t="s">
        <v>7</v>
      </c>
    </row>
    <row r="693" spans="1:234" x14ac:dyDescent="0.25">
      <c r="A693" s="7">
        <v>0.1225693246698436</v>
      </c>
      <c r="B693"/>
      <c r="C693"/>
      <c r="D693"/>
      <c r="E693"/>
      <c r="F693" s="27" t="s">
        <v>7</v>
      </c>
      <c r="G693" s="27" t="s">
        <v>8</v>
      </c>
      <c r="H693" s="27" t="s">
        <v>7</v>
      </c>
      <c r="I693" s="27" t="s">
        <v>8</v>
      </c>
      <c r="J693" s="27" t="s">
        <v>7</v>
      </c>
      <c r="K693" s="27" t="s">
        <v>8</v>
      </c>
      <c r="L693" s="27" t="s">
        <v>7</v>
      </c>
      <c r="M693" s="27" t="s">
        <v>8</v>
      </c>
      <c r="N693" s="27" t="s">
        <v>7</v>
      </c>
      <c r="O693" s="27" t="s">
        <v>8</v>
      </c>
      <c r="Q693" s="27" t="s">
        <v>8</v>
      </c>
      <c r="R693" s="27" t="s">
        <v>7</v>
      </c>
      <c r="AA693" s="27" t="s">
        <v>8</v>
      </c>
      <c r="AC693" s="27" t="s">
        <v>8</v>
      </c>
      <c r="AF693" s="27" t="s">
        <v>7</v>
      </c>
      <c r="AG693" s="27" t="s">
        <v>8</v>
      </c>
      <c r="HV693" s="27" t="s">
        <v>7</v>
      </c>
      <c r="HY693" s="27" t="s">
        <v>8</v>
      </c>
      <c r="HZ693" s="27" t="s">
        <v>7</v>
      </c>
    </row>
    <row r="694" spans="1:234" x14ac:dyDescent="0.25">
      <c r="A694" s="7">
        <v>0.12016600457827803</v>
      </c>
      <c r="B694"/>
      <c r="C694"/>
      <c r="D694"/>
      <c r="E694"/>
      <c r="F694" s="27" t="s">
        <v>7</v>
      </c>
      <c r="G694" s="27" t="s">
        <v>8</v>
      </c>
      <c r="H694" s="27" t="s">
        <v>7</v>
      </c>
      <c r="I694" s="27" t="s">
        <v>8</v>
      </c>
      <c r="J694" s="27" t="s">
        <v>7</v>
      </c>
      <c r="K694" s="27" t="s">
        <v>8</v>
      </c>
      <c r="L694" s="27" t="s">
        <v>7</v>
      </c>
      <c r="M694" s="27" t="s">
        <v>8</v>
      </c>
      <c r="N694" s="27" t="s">
        <v>7</v>
      </c>
      <c r="O694" s="27" t="s">
        <v>8</v>
      </c>
      <c r="P694" s="27" t="s">
        <v>7</v>
      </c>
      <c r="Q694" s="27" t="s">
        <v>8</v>
      </c>
      <c r="R694" s="27" t="s">
        <v>7</v>
      </c>
      <c r="Y694" s="27" t="s">
        <v>8</v>
      </c>
      <c r="AA694" s="27" t="s">
        <v>8</v>
      </c>
      <c r="AB694" s="27" t="s">
        <v>7</v>
      </c>
      <c r="AC694" s="27" t="s">
        <v>8</v>
      </c>
      <c r="AF694" s="27" t="s">
        <v>7</v>
      </c>
      <c r="AG694" s="27" t="s">
        <v>8</v>
      </c>
      <c r="HV694" s="27" t="s">
        <v>7</v>
      </c>
      <c r="HY694" s="27" t="s">
        <v>8</v>
      </c>
      <c r="HZ694" s="27" t="s">
        <v>7</v>
      </c>
    </row>
    <row r="695" spans="1:234" x14ac:dyDescent="0.25">
      <c r="A695" s="7">
        <v>0.1178098084100765</v>
      </c>
      <c r="B695"/>
      <c r="C695"/>
      <c r="D695"/>
      <c r="E695"/>
      <c r="F695" s="27" t="s">
        <v>7</v>
      </c>
      <c r="G695" s="27" t="s">
        <v>8</v>
      </c>
      <c r="H695" s="27" t="s">
        <v>7</v>
      </c>
      <c r="I695" s="27" t="s">
        <v>8</v>
      </c>
      <c r="J695" s="27" t="s">
        <v>7</v>
      </c>
      <c r="K695" s="27" t="s">
        <v>8</v>
      </c>
      <c r="L695" s="27" t="s">
        <v>7</v>
      </c>
      <c r="M695" s="27" t="s">
        <v>8</v>
      </c>
      <c r="N695" s="27" t="s">
        <v>7</v>
      </c>
      <c r="O695" s="27" t="s">
        <v>8</v>
      </c>
      <c r="P695" s="27" t="s">
        <v>7</v>
      </c>
      <c r="Q695" s="27" t="s">
        <v>8</v>
      </c>
      <c r="R695" s="27" t="s">
        <v>7</v>
      </c>
      <c r="Y695" s="27" t="s">
        <v>8</v>
      </c>
      <c r="Z695" s="27" t="s">
        <v>7</v>
      </c>
      <c r="AA695" s="27" t="s">
        <v>8</v>
      </c>
      <c r="AB695" s="27" t="s">
        <v>7</v>
      </c>
      <c r="AC695" s="27" t="s">
        <v>8</v>
      </c>
      <c r="AF695" s="27" t="s">
        <v>7</v>
      </c>
      <c r="AG695" s="27" t="s">
        <v>8</v>
      </c>
      <c r="HV695" s="27" t="s">
        <v>7</v>
      </c>
      <c r="HW695" s="27" t="s">
        <v>8</v>
      </c>
      <c r="HY695" s="27" t="s">
        <v>8</v>
      </c>
      <c r="HZ695" s="27" t="s">
        <v>7</v>
      </c>
    </row>
    <row r="696" spans="1:234" x14ac:dyDescent="0.25">
      <c r="A696" s="7">
        <v>0.11549981216674166</v>
      </c>
      <c r="B696"/>
      <c r="C696"/>
      <c r="D696"/>
      <c r="E696"/>
      <c r="F696" s="27" t="s">
        <v>7</v>
      </c>
      <c r="G696" s="27" t="s">
        <v>8</v>
      </c>
      <c r="H696" s="27" t="s">
        <v>7</v>
      </c>
      <c r="I696" s="27" t="s">
        <v>8</v>
      </c>
      <c r="J696" s="27" t="s">
        <v>7</v>
      </c>
      <c r="K696" s="27" t="s">
        <v>8</v>
      </c>
      <c r="L696" s="27" t="s">
        <v>7</v>
      </c>
      <c r="N696" s="27" t="s">
        <v>7</v>
      </c>
      <c r="O696" s="27" t="s">
        <v>8</v>
      </c>
      <c r="P696" s="27" t="s">
        <v>7</v>
      </c>
      <c r="Q696" s="27" t="s">
        <v>8</v>
      </c>
      <c r="R696" s="27" t="s">
        <v>7</v>
      </c>
      <c r="Y696" s="27" t="s">
        <v>8</v>
      </c>
      <c r="Z696" s="27" t="s">
        <v>7</v>
      </c>
      <c r="AA696" s="27" t="s">
        <v>8</v>
      </c>
      <c r="AB696" s="27" t="s">
        <v>7</v>
      </c>
      <c r="AC696" s="27" t="s">
        <v>8</v>
      </c>
      <c r="AF696" s="27" t="s">
        <v>7</v>
      </c>
      <c r="AG696" s="27" t="s">
        <v>8</v>
      </c>
      <c r="HV696" s="27" t="s">
        <v>7</v>
      </c>
      <c r="HW696" s="27" t="s">
        <v>8</v>
      </c>
      <c r="HX696" s="27" t="s">
        <v>7</v>
      </c>
      <c r="HY696" s="27" t="s">
        <v>8</v>
      </c>
    </row>
    <row r="697" spans="1:234" x14ac:dyDescent="0.25">
      <c r="A697" s="7">
        <v>0.11323510996739378</v>
      </c>
      <c r="B697"/>
      <c r="C697"/>
      <c r="D697"/>
      <c r="E697"/>
      <c r="F697" s="27" t="s">
        <v>7</v>
      </c>
      <c r="G697" s="27" t="s">
        <v>8</v>
      </c>
      <c r="H697" s="27" t="s">
        <v>7</v>
      </c>
      <c r="I697" s="27" t="s">
        <v>8</v>
      </c>
      <c r="J697" s="27" t="s">
        <v>7</v>
      </c>
      <c r="K697" s="27" t="s">
        <v>8</v>
      </c>
      <c r="N697" s="27" t="s">
        <v>7</v>
      </c>
      <c r="O697" s="27" t="s">
        <v>8</v>
      </c>
      <c r="P697" s="27" t="s">
        <v>7</v>
      </c>
      <c r="Q697" s="27" t="s">
        <v>8</v>
      </c>
      <c r="R697" s="27" t="s">
        <v>7</v>
      </c>
      <c r="Y697" s="27" t="s">
        <v>8</v>
      </c>
      <c r="Z697" s="27" t="s">
        <v>7</v>
      </c>
      <c r="AA697" s="27" t="s">
        <v>8</v>
      </c>
      <c r="AB697" s="27" t="s">
        <v>7</v>
      </c>
      <c r="AC697" s="27" t="s">
        <v>8</v>
      </c>
      <c r="AF697" s="27" t="s">
        <v>7</v>
      </c>
      <c r="AG697" s="27" t="s">
        <v>8</v>
      </c>
      <c r="HV697" s="27" t="s">
        <v>7</v>
      </c>
      <c r="HW697" s="27" t="s">
        <v>8</v>
      </c>
      <c r="HX697" s="27" t="s">
        <v>7</v>
      </c>
      <c r="HY697" s="27" t="s">
        <v>8</v>
      </c>
    </row>
    <row r="698" spans="1:234" x14ac:dyDescent="0.25">
      <c r="A698" s="7">
        <v>0.11101481369352331</v>
      </c>
      <c r="B698"/>
      <c r="C698"/>
      <c r="D698"/>
      <c r="E698"/>
      <c r="F698" s="27" t="s">
        <v>7</v>
      </c>
      <c r="G698" s="27" t="s">
        <v>8</v>
      </c>
      <c r="H698" s="27" t="s">
        <v>7</v>
      </c>
      <c r="J698" s="27" t="s">
        <v>7</v>
      </c>
      <c r="K698" s="27" t="s">
        <v>8</v>
      </c>
      <c r="N698" s="27" t="s">
        <v>7</v>
      </c>
      <c r="P698" s="27" t="s">
        <v>7</v>
      </c>
      <c r="Q698" s="27" t="s">
        <v>8</v>
      </c>
      <c r="R698" s="27" t="s">
        <v>7</v>
      </c>
      <c r="Y698" s="27" t="s">
        <v>8</v>
      </c>
      <c r="Z698" s="27" t="s">
        <v>7</v>
      </c>
      <c r="AA698" s="27" t="s">
        <v>8</v>
      </c>
      <c r="AB698" s="27" t="s">
        <v>7</v>
      </c>
      <c r="AC698" s="27" t="s">
        <v>8</v>
      </c>
      <c r="AF698" s="27" t="s">
        <v>7</v>
      </c>
      <c r="AG698" s="27" t="s">
        <v>8</v>
      </c>
      <c r="HV698" s="27" t="s">
        <v>7</v>
      </c>
      <c r="HW698" s="27" t="s">
        <v>8</v>
      </c>
      <c r="HX698" s="27" t="s">
        <v>7</v>
      </c>
      <c r="HY698" s="27" t="s">
        <v>8</v>
      </c>
    </row>
    <row r="699" spans="1:234" x14ac:dyDescent="0.25">
      <c r="A699" s="7">
        <v>0.10883805264070913</v>
      </c>
      <c r="B699"/>
      <c r="C699"/>
      <c r="D699"/>
      <c r="E699"/>
      <c r="F699" s="27" t="s">
        <v>7</v>
      </c>
      <c r="G699" s="27" t="s">
        <v>8</v>
      </c>
      <c r="J699" s="27" t="s">
        <v>7</v>
      </c>
      <c r="P699" s="27" t="s">
        <v>7</v>
      </c>
      <c r="Q699" s="27" t="s">
        <v>8</v>
      </c>
      <c r="R699" s="27" t="s">
        <v>7</v>
      </c>
      <c r="Y699" s="27" t="s">
        <v>8</v>
      </c>
      <c r="Z699" s="27" t="s">
        <v>7</v>
      </c>
      <c r="AA699" s="27" t="s">
        <v>8</v>
      </c>
      <c r="AB699" s="27" t="s">
        <v>7</v>
      </c>
      <c r="AC699" s="27" t="s">
        <v>8</v>
      </c>
      <c r="AF699" s="27" t="s">
        <v>7</v>
      </c>
      <c r="AG699" s="27" t="s">
        <v>8</v>
      </c>
      <c r="HV699" s="27" t="s">
        <v>7</v>
      </c>
      <c r="HW699" s="27" t="s">
        <v>8</v>
      </c>
      <c r="HX699" s="27" t="s">
        <v>7</v>
      </c>
      <c r="HY699" s="27" t="s">
        <v>8</v>
      </c>
    </row>
    <row r="700" spans="1:234" x14ac:dyDescent="0.25">
      <c r="A700" s="7">
        <v>0.10670397317716582</v>
      </c>
      <c r="B700"/>
      <c r="C700"/>
      <c r="D700"/>
      <c r="E700"/>
      <c r="F700" s="27" t="s">
        <v>7</v>
      </c>
      <c r="G700" s="27" t="s">
        <v>8</v>
      </c>
      <c r="P700" s="27" t="s">
        <v>7</v>
      </c>
      <c r="Q700" s="27" t="s">
        <v>8</v>
      </c>
      <c r="R700" s="27" t="s">
        <v>7</v>
      </c>
      <c r="Y700" s="27" t="s">
        <v>8</v>
      </c>
      <c r="Z700" s="27" t="s">
        <v>7</v>
      </c>
      <c r="AA700" s="27" t="s">
        <v>8</v>
      </c>
      <c r="AB700" s="27" t="s">
        <v>7</v>
      </c>
      <c r="AC700" s="27" t="s">
        <v>8</v>
      </c>
      <c r="AF700" s="27" t="s">
        <v>7</v>
      </c>
      <c r="AG700" s="27" t="s">
        <v>8</v>
      </c>
      <c r="HV700" s="27" t="s">
        <v>7</v>
      </c>
      <c r="HW700" s="27" t="s">
        <v>8</v>
      </c>
      <c r="HX700" s="27" t="s">
        <v>7</v>
      </c>
      <c r="HY700" s="27" t="s">
        <v>8</v>
      </c>
    </row>
    <row r="701" spans="1:234" x14ac:dyDescent="0.25">
      <c r="A701" s="7">
        <v>0.1046117384089861</v>
      </c>
      <c r="B701"/>
      <c r="C701"/>
      <c r="D701"/>
      <c r="E701"/>
      <c r="F701" s="27" t="s">
        <v>7</v>
      </c>
      <c r="G701" s="27" t="s">
        <v>8</v>
      </c>
      <c r="P701" s="27" t="s">
        <v>7</v>
      </c>
      <c r="Q701" s="27" t="s">
        <v>8</v>
      </c>
      <c r="R701" s="27" t="s">
        <v>7</v>
      </c>
      <c r="Y701" s="27" t="s">
        <v>8</v>
      </c>
      <c r="Z701" s="27" t="s">
        <v>7</v>
      </c>
      <c r="AA701" s="27" t="s">
        <v>8</v>
      </c>
      <c r="AB701" s="27" t="s">
        <v>7</v>
      </c>
      <c r="AC701" s="27" t="s">
        <v>8</v>
      </c>
      <c r="AF701" s="27" t="s">
        <v>7</v>
      </c>
      <c r="AG701" s="27" t="s">
        <v>8</v>
      </c>
      <c r="HV701" s="27" t="s">
        <v>7</v>
      </c>
      <c r="HW701" s="27" t="s">
        <v>8</v>
      </c>
      <c r="HX701" s="27" t="s">
        <v>7</v>
      </c>
      <c r="HY701" s="27" t="s">
        <v>8</v>
      </c>
    </row>
    <row r="702" spans="1:234" x14ac:dyDescent="0.25">
      <c r="A702" s="7">
        <v>0.10256052785194716</v>
      </c>
      <c r="B702"/>
      <c r="C702"/>
      <c r="D702"/>
      <c r="E702"/>
      <c r="F702" s="27" t="s">
        <v>7</v>
      </c>
      <c r="G702" s="27" t="s">
        <v>8</v>
      </c>
      <c r="P702" s="27" t="s">
        <v>7</v>
      </c>
      <c r="Q702" s="27" t="s">
        <v>8</v>
      </c>
      <c r="R702" s="27" t="s">
        <v>7</v>
      </c>
      <c r="Y702" s="27" t="s">
        <v>8</v>
      </c>
      <c r="Z702" s="27" t="s">
        <v>7</v>
      </c>
      <c r="AA702" s="27" t="s">
        <v>8</v>
      </c>
      <c r="AB702" s="27" t="s">
        <v>7</v>
      </c>
      <c r="AC702" s="27" t="s">
        <v>8</v>
      </c>
      <c r="AF702" s="27" t="s">
        <v>7</v>
      </c>
      <c r="AG702" s="27" t="s">
        <v>8</v>
      </c>
      <c r="HV702" s="27" t="s">
        <v>7</v>
      </c>
      <c r="HW702" s="27" t="s">
        <v>8</v>
      </c>
      <c r="HX702" s="27" t="s">
        <v>7</v>
      </c>
      <c r="HY702" s="27" t="s">
        <v>8</v>
      </c>
    </row>
    <row r="703" spans="1:234" x14ac:dyDescent="0.25">
      <c r="A703" s="7">
        <v>0.10054953710975212</v>
      </c>
      <c r="B703"/>
      <c r="C703"/>
      <c r="D703"/>
      <c r="E703"/>
      <c r="F703" s="27" t="s">
        <v>7</v>
      </c>
      <c r="G703" s="27" t="s">
        <v>8</v>
      </c>
      <c r="P703" s="27" t="s">
        <v>7</v>
      </c>
      <c r="Q703" s="27" t="s">
        <v>8</v>
      </c>
      <c r="R703" s="27" t="s">
        <v>7</v>
      </c>
      <c r="Y703" s="27" t="s">
        <v>8</v>
      </c>
      <c r="Z703" s="27" t="s">
        <v>7</v>
      </c>
      <c r="AA703" s="27" t="s">
        <v>8</v>
      </c>
      <c r="AB703" s="27" t="s">
        <v>7</v>
      </c>
      <c r="AC703" s="27" t="s">
        <v>8</v>
      </c>
      <c r="AF703" s="27" t="s">
        <v>7</v>
      </c>
      <c r="AG703" s="27" t="s">
        <v>8</v>
      </c>
      <c r="HV703" s="27" t="s">
        <v>7</v>
      </c>
      <c r="HW703" s="27" t="s">
        <v>8</v>
      </c>
      <c r="HX703" s="27" t="s">
        <v>7</v>
      </c>
      <c r="HY703" s="27" t="s">
        <v>8</v>
      </c>
    </row>
    <row r="704" spans="1:234" x14ac:dyDescent="0.25">
      <c r="A704" s="7">
        <v>9.8577977558580512E-2</v>
      </c>
      <c r="B704"/>
      <c r="C704"/>
      <c r="D704"/>
      <c r="E704"/>
      <c r="F704" s="27" t="s">
        <v>7</v>
      </c>
      <c r="G704" s="27" t="s">
        <v>8</v>
      </c>
      <c r="P704" s="27" t="s">
        <v>7</v>
      </c>
      <c r="Q704" s="27" t="s">
        <v>8</v>
      </c>
      <c r="R704" s="27" t="s">
        <v>7</v>
      </c>
      <c r="Y704" s="27" t="s">
        <v>8</v>
      </c>
      <c r="Z704" s="27" t="s">
        <v>7</v>
      </c>
      <c r="AB704" s="27" t="s">
        <v>7</v>
      </c>
      <c r="AC704" s="27" t="s">
        <v>8</v>
      </c>
      <c r="AF704" s="27" t="s">
        <v>7</v>
      </c>
      <c r="AG704" s="27" t="s">
        <v>8</v>
      </c>
      <c r="HV704" s="27" t="s">
        <v>7</v>
      </c>
      <c r="HW704" s="27" t="s">
        <v>8</v>
      </c>
      <c r="HX704" s="27" t="s">
        <v>7</v>
      </c>
    </row>
    <row r="705" spans="1:231" x14ac:dyDescent="0.25">
      <c r="A705" s="7">
        <v>9.6645076037824032E-2</v>
      </c>
      <c r="B705"/>
      <c r="C705"/>
      <c r="D705"/>
      <c r="E705"/>
      <c r="F705" s="27" t="s">
        <v>7</v>
      </c>
      <c r="G705" s="27" t="s">
        <v>8</v>
      </c>
      <c r="P705" s="27" t="s">
        <v>7</v>
      </c>
      <c r="Q705" s="27" t="s">
        <v>8</v>
      </c>
      <c r="R705" s="27" t="s">
        <v>7</v>
      </c>
      <c r="S705" s="27" t="s">
        <v>8</v>
      </c>
      <c r="Y705" s="27" t="s">
        <v>8</v>
      </c>
      <c r="AB705" s="27" t="s">
        <v>7</v>
      </c>
      <c r="AC705" s="27" t="s">
        <v>8</v>
      </c>
      <c r="AF705" s="27" t="s">
        <v>7</v>
      </c>
      <c r="AG705" s="27" t="s">
        <v>8</v>
      </c>
      <c r="HV705" s="27" t="s">
        <v>7</v>
      </c>
      <c r="HW705" s="27" t="s">
        <v>8</v>
      </c>
    </row>
    <row r="706" spans="1:231" x14ac:dyDescent="0.25">
      <c r="A706" s="7">
        <v>9.4750074546886304E-2</v>
      </c>
      <c r="B706"/>
      <c r="C706"/>
      <c r="D706"/>
      <c r="E706"/>
      <c r="F706" s="27" t="s">
        <v>7</v>
      </c>
      <c r="G706" s="27" t="s">
        <v>8</v>
      </c>
      <c r="P706" s="27" t="s">
        <v>7</v>
      </c>
      <c r="Q706" s="27" t="s">
        <v>8</v>
      </c>
      <c r="R706" s="27" t="s">
        <v>7</v>
      </c>
      <c r="S706" s="27" t="s">
        <v>8</v>
      </c>
      <c r="T706" s="27" t="s">
        <v>7</v>
      </c>
      <c r="Y706" s="27" t="s">
        <v>8</v>
      </c>
      <c r="AB706" s="27" t="s">
        <v>7</v>
      </c>
      <c r="AC706" s="27" t="s">
        <v>8</v>
      </c>
      <c r="AF706" s="27" t="s">
        <v>7</v>
      </c>
      <c r="AG706" s="27" t="s">
        <v>8</v>
      </c>
      <c r="HV706" s="27" t="s">
        <v>7</v>
      </c>
      <c r="HW706" s="27" t="s">
        <v>8</v>
      </c>
    </row>
    <row r="707" spans="1:231" x14ac:dyDescent="0.25">
      <c r="A707" s="7">
        <v>9.2892229947927743E-2</v>
      </c>
      <c r="B707"/>
      <c r="C707"/>
      <c r="D707"/>
      <c r="E707"/>
      <c r="F707" s="27" t="s">
        <v>7</v>
      </c>
      <c r="G707" s="27" t="s">
        <v>8</v>
      </c>
      <c r="P707" s="27" t="s">
        <v>7</v>
      </c>
      <c r="R707" s="27" t="s">
        <v>7</v>
      </c>
      <c r="S707" s="27" t="s">
        <v>8</v>
      </c>
      <c r="T707" s="27" t="s">
        <v>7</v>
      </c>
      <c r="Y707" s="27" t="s">
        <v>8</v>
      </c>
      <c r="AB707" s="27" t="s">
        <v>7</v>
      </c>
      <c r="AC707" s="27" t="s">
        <v>8</v>
      </c>
      <c r="AF707" s="27" t="s">
        <v>7</v>
      </c>
      <c r="AG707" s="27" t="s">
        <v>8</v>
      </c>
      <c r="HV707" s="27" t="s">
        <v>7</v>
      </c>
    </row>
    <row r="708" spans="1:231" x14ac:dyDescent="0.25">
      <c r="A708" s="7">
        <v>9.1070813674438963E-2</v>
      </c>
      <c r="B708"/>
      <c r="C708"/>
      <c r="D708"/>
      <c r="E708"/>
      <c r="F708" s="27" t="s">
        <v>7</v>
      </c>
      <c r="G708" s="27" t="s">
        <v>8</v>
      </c>
      <c r="R708" s="27" t="s">
        <v>7</v>
      </c>
      <c r="S708" s="27" t="s">
        <v>8</v>
      </c>
      <c r="T708" s="27" t="s">
        <v>7</v>
      </c>
      <c r="Y708" s="27" t="s">
        <v>8</v>
      </c>
      <c r="AB708" s="27" t="s">
        <v>7</v>
      </c>
      <c r="AC708" s="27" t="s">
        <v>8</v>
      </c>
      <c r="AF708" s="27" t="s">
        <v>7</v>
      </c>
    </row>
    <row r="709" spans="1:231" x14ac:dyDescent="0.25">
      <c r="A709" s="7">
        <v>8.9285111445528392E-2</v>
      </c>
      <c r="B709"/>
      <c r="C709"/>
      <c r="D709"/>
      <c r="E709"/>
      <c r="F709" s="27" t="s">
        <v>7</v>
      </c>
      <c r="G709" s="27" t="s">
        <v>8</v>
      </c>
      <c r="R709" s="27" t="s">
        <v>7</v>
      </c>
      <c r="S709" s="27" t="s">
        <v>8</v>
      </c>
      <c r="T709" s="27" t="s">
        <v>7</v>
      </c>
      <c r="Y709" s="27" t="s">
        <v>8</v>
      </c>
      <c r="AB709" s="27" t="s">
        <v>7</v>
      </c>
      <c r="AC709" s="27" t="s">
        <v>8</v>
      </c>
    </row>
    <row r="710" spans="1:231" x14ac:dyDescent="0.25">
      <c r="A710" s="7">
        <v>8.7534422985812155E-2</v>
      </c>
      <c r="B710"/>
      <c r="C710"/>
      <c r="D710"/>
      <c r="E710"/>
      <c r="F710" s="27" t="s">
        <v>7</v>
      </c>
      <c r="G710" s="27" t="s">
        <v>8</v>
      </c>
      <c r="R710" s="27" t="s">
        <v>7</v>
      </c>
      <c r="S710" s="27" t="s">
        <v>8</v>
      </c>
      <c r="T710" s="27" t="s">
        <v>7</v>
      </c>
      <c r="Y710" s="27" t="s">
        <v>8</v>
      </c>
      <c r="AB710" s="27" t="s">
        <v>7</v>
      </c>
    </row>
    <row r="711" spans="1:231" x14ac:dyDescent="0.25">
      <c r="A711" s="7">
        <v>8.5818061750796232E-2</v>
      </c>
      <c r="B711"/>
      <c r="C711"/>
      <c r="D711"/>
      <c r="E711"/>
      <c r="F711" s="27" t="s">
        <v>7</v>
      </c>
      <c r="G711" s="27" t="s">
        <v>8</v>
      </c>
      <c r="R711" s="27" t="s">
        <v>7</v>
      </c>
      <c r="S711" s="27" t="s">
        <v>8</v>
      </c>
      <c r="T711" s="27" t="s">
        <v>7</v>
      </c>
      <c r="Y711" s="27" t="s">
        <v>8</v>
      </c>
    </row>
    <row r="712" spans="1:231" x14ac:dyDescent="0.25">
      <c r="A712" s="7">
        <v>8.4135354657643366E-2</v>
      </c>
      <c r="B712"/>
      <c r="C712"/>
      <c r="D712"/>
      <c r="E712"/>
      <c r="F712" s="27" t="s">
        <v>7</v>
      </c>
      <c r="G712" s="27" t="s">
        <v>8</v>
      </c>
      <c r="R712" s="27" t="s">
        <v>7</v>
      </c>
      <c r="S712" s="27" t="s">
        <v>8</v>
      </c>
      <c r="T712" s="27" t="s">
        <v>7</v>
      </c>
      <c r="Y712" s="27" t="s">
        <v>8</v>
      </c>
    </row>
    <row r="713" spans="1:231" x14ac:dyDescent="0.25">
      <c r="A713" s="7">
        <v>8.248564182121898E-2</v>
      </c>
      <c r="B713"/>
      <c r="C713"/>
      <c r="D713"/>
      <c r="E713"/>
      <c r="F713" s="27" t="s">
        <v>7</v>
      </c>
      <c r="G713" s="27" t="s">
        <v>8</v>
      </c>
      <c r="R713" s="27" t="s">
        <v>7</v>
      </c>
      <c r="S713" s="27" t="s">
        <v>8</v>
      </c>
      <c r="T713" s="27" t="s">
        <v>7</v>
      </c>
      <c r="W713" s="27" t="s">
        <v>8</v>
      </c>
      <c r="Y713" s="27" t="s">
        <v>8</v>
      </c>
    </row>
    <row r="714" spans="1:231" x14ac:dyDescent="0.25">
      <c r="A714" s="7">
        <v>8.0868276295312735E-2</v>
      </c>
      <c r="B714"/>
      <c r="C714"/>
      <c r="D714"/>
      <c r="E714"/>
      <c r="F714" s="27" t="s">
        <v>7</v>
      </c>
      <c r="G714" s="27" t="s">
        <v>8</v>
      </c>
      <c r="R714" s="27" t="s">
        <v>7</v>
      </c>
      <c r="S714" s="27" t="s">
        <v>8</v>
      </c>
      <c r="T714" s="27" t="s">
        <v>7</v>
      </c>
      <c r="U714" s="27" t="s">
        <v>8</v>
      </c>
      <c r="W714" s="27" t="s">
        <v>8</v>
      </c>
      <c r="X714" s="27" t="s">
        <v>7</v>
      </c>
      <c r="Y714" s="27" t="s">
        <v>8</v>
      </c>
    </row>
    <row r="715" spans="1:231" x14ac:dyDescent="0.25">
      <c r="A715" s="7">
        <v>7.9282623818934056E-2</v>
      </c>
      <c r="B715"/>
      <c r="C715"/>
      <c r="D715"/>
      <c r="E715"/>
      <c r="F715" s="27" t="s">
        <v>7</v>
      </c>
      <c r="G715" s="27" t="s">
        <v>8</v>
      </c>
      <c r="R715" s="27" t="s">
        <v>7</v>
      </c>
      <c r="S715" s="27" t="s">
        <v>8</v>
      </c>
      <c r="T715" s="27" t="s">
        <v>7</v>
      </c>
      <c r="U715" s="27" t="s">
        <v>8</v>
      </c>
      <c r="V715" s="27" t="s">
        <v>7</v>
      </c>
      <c r="W715" s="27" t="s">
        <v>8</v>
      </c>
      <c r="X715" s="27" t="s">
        <v>7</v>
      </c>
      <c r="Y715" s="27" t="s">
        <v>8</v>
      </c>
    </row>
    <row r="716" spans="1:231" x14ac:dyDescent="0.25">
      <c r="A716" s="7">
        <v>7.7728062567582412E-2</v>
      </c>
      <c r="B716"/>
      <c r="C716"/>
      <c r="D716"/>
      <c r="E716"/>
      <c r="F716" s="27" t="s">
        <v>7</v>
      </c>
      <c r="G716" s="27" t="s">
        <v>8</v>
      </c>
      <c r="R716" s="27" t="s">
        <v>7</v>
      </c>
      <c r="S716" s="27" t="s">
        <v>8</v>
      </c>
      <c r="T716" s="27" t="s">
        <v>7</v>
      </c>
      <c r="U716" s="27" t="s">
        <v>8</v>
      </c>
      <c r="V716" s="27" t="s">
        <v>7</v>
      </c>
      <c r="W716" s="27" t="s">
        <v>8</v>
      </c>
      <c r="X716" s="27" t="s">
        <v>7</v>
      </c>
      <c r="Y716" s="27" t="s">
        <v>8</v>
      </c>
    </row>
    <row r="717" spans="1:231" x14ac:dyDescent="0.25">
      <c r="A717" s="7">
        <v>7.6203982909394521E-2</v>
      </c>
      <c r="B717"/>
      <c r="C717"/>
      <c r="D717"/>
      <c r="E717"/>
      <c r="F717" s="27" t="s">
        <v>7</v>
      </c>
      <c r="G717" s="27" t="s">
        <v>8</v>
      </c>
      <c r="R717" s="27" t="s">
        <v>7</v>
      </c>
      <c r="S717" s="27" t="s">
        <v>8</v>
      </c>
      <c r="T717" s="27" t="s">
        <v>7</v>
      </c>
      <c r="U717" s="27" t="s">
        <v>8</v>
      </c>
      <c r="V717" s="27" t="s">
        <v>7</v>
      </c>
      <c r="W717" s="27" t="s">
        <v>8</v>
      </c>
      <c r="X717" s="27" t="s">
        <v>7</v>
      </c>
      <c r="Y717" s="27" t="s">
        <v>8</v>
      </c>
    </row>
    <row r="718" spans="1:231" x14ac:dyDescent="0.25">
      <c r="A718" s="7">
        <v>7.4709787166073058E-2</v>
      </c>
      <c r="B718"/>
      <c r="C718"/>
      <c r="D718"/>
      <c r="E718"/>
      <c r="F718" s="27" t="s">
        <v>7</v>
      </c>
      <c r="G718" s="27" t="s">
        <v>8</v>
      </c>
      <c r="R718" s="27" t="s">
        <v>7</v>
      </c>
      <c r="S718" s="27" t="s">
        <v>8</v>
      </c>
      <c r="T718" s="27" t="s">
        <v>7</v>
      </c>
      <c r="V718" s="27" t="s">
        <v>7</v>
      </c>
      <c r="X718" s="27" t="s">
        <v>7</v>
      </c>
    </row>
    <row r="719" spans="1:231" x14ac:dyDescent="0.25">
      <c r="A719" s="7">
        <v>7.3244889378503E-2</v>
      </c>
      <c r="B719"/>
      <c r="C719"/>
      <c r="D719"/>
      <c r="E719"/>
      <c r="F719" s="27" t="s">
        <v>7</v>
      </c>
      <c r="G719" s="27" t="s">
        <v>8</v>
      </c>
      <c r="R719" s="27" t="s">
        <v>7</v>
      </c>
      <c r="S719" s="27" t="s">
        <v>8</v>
      </c>
    </row>
    <row r="720" spans="1:231" x14ac:dyDescent="0.25">
      <c r="A720" s="7">
        <v>7.1808715076963722E-2</v>
      </c>
      <c r="B720"/>
      <c r="C720"/>
      <c r="D720"/>
      <c r="E720"/>
      <c r="F720" s="27" t="s">
        <v>7</v>
      </c>
      <c r="G720" s="27" t="s">
        <v>8</v>
      </c>
      <c r="R720" s="27" t="s">
        <v>7</v>
      </c>
      <c r="S720" s="27" t="s">
        <v>8</v>
      </c>
    </row>
    <row r="721" spans="1:19" x14ac:dyDescent="0.25">
      <c r="A721" s="7">
        <v>7.0400701055846782E-2</v>
      </c>
      <c r="B721"/>
      <c r="C721"/>
      <c r="D721"/>
      <c r="E721"/>
      <c r="F721" s="27" t="s">
        <v>7</v>
      </c>
      <c r="R721" s="27" t="s">
        <v>7</v>
      </c>
      <c r="S721" s="27" t="s">
        <v>8</v>
      </c>
    </row>
    <row r="722" spans="1:19" x14ac:dyDescent="0.25">
      <c r="A722" s="7">
        <v>6.9020295152790956E-2</v>
      </c>
      <c r="B722"/>
      <c r="C722"/>
      <c r="D722"/>
      <c r="E722"/>
      <c r="R722" s="27" t="s">
        <v>7</v>
      </c>
      <c r="S722" s="27" t="s">
        <v>8</v>
      </c>
    </row>
    <row r="723" spans="1:19" x14ac:dyDescent="0.25">
      <c r="A723" s="7">
        <v>6.7666956032147993E-2</v>
      </c>
      <c r="B723"/>
      <c r="C723"/>
      <c r="D723"/>
      <c r="E723"/>
      <c r="R723" s="27" t="s">
        <v>7</v>
      </c>
      <c r="S723" s="27" t="s">
        <v>8</v>
      </c>
    </row>
    <row r="724" spans="1:19" x14ac:dyDescent="0.25">
      <c r="A724" s="7">
        <v>6.6340152972694105E-2</v>
      </c>
      <c r="B724"/>
      <c r="C724"/>
      <c r="D724"/>
      <c r="E724"/>
      <c r="R724" s="27" t="s">
        <v>7</v>
      </c>
      <c r="S724" s="27" t="s">
        <v>8</v>
      </c>
    </row>
    <row r="725" spans="1:19" x14ac:dyDescent="0.25">
      <c r="A725" s="7">
        <v>6.5039365659504023E-2</v>
      </c>
      <c r="B725"/>
      <c r="C725"/>
      <c r="D725"/>
      <c r="E725"/>
      <c r="R725" s="27" t="s">
        <v>7</v>
      </c>
      <c r="S725" s="27" t="s">
        <v>8</v>
      </c>
    </row>
    <row r="726" spans="1:19" x14ac:dyDescent="0.25">
      <c r="A726" s="7">
        <v>6.3764083979905906E-2</v>
      </c>
      <c r="B726"/>
      <c r="C726"/>
      <c r="D726"/>
      <c r="E726"/>
      <c r="R726" s="27" t="s">
        <v>7</v>
      </c>
      <c r="S726" s="27" t="s">
        <v>8</v>
      </c>
    </row>
    <row r="727" spans="1:19" x14ac:dyDescent="0.25">
      <c r="A727" s="7">
        <v>6.251380782343717E-2</v>
      </c>
      <c r="B727"/>
      <c r="C727"/>
      <c r="D727"/>
      <c r="E727"/>
      <c r="R727" s="27" t="s">
        <v>7</v>
      </c>
      <c r="S727" s="27" t="s">
        <v>8</v>
      </c>
    </row>
    <row r="728" spans="1:19" x14ac:dyDescent="0.25">
      <c r="A728" s="7">
        <v>6.1288046885722716E-2</v>
      </c>
      <c r="B728"/>
      <c r="C728"/>
      <c r="D728"/>
      <c r="E728"/>
      <c r="R728" s="27" t="s">
        <v>7</v>
      </c>
      <c r="S728" s="27" t="s">
        <v>8</v>
      </c>
    </row>
    <row r="729" spans="1:19" x14ac:dyDescent="0.25">
      <c r="A729" s="7">
        <v>6.0086320476198739E-2</v>
      </c>
      <c r="B729"/>
      <c r="C729"/>
      <c r="D729"/>
      <c r="E729"/>
      <c r="R729" s="27" t="s">
        <v>7</v>
      </c>
      <c r="S729" s="27" t="s">
        <v>8</v>
      </c>
    </row>
    <row r="730" spans="1:19" x14ac:dyDescent="0.25">
      <c r="A730" s="7">
        <v>5.8908157329606609E-2</v>
      </c>
      <c r="B730"/>
      <c r="C730"/>
      <c r="D730"/>
      <c r="E730"/>
      <c r="R730" s="27" t="s">
        <v>7</v>
      </c>
    </row>
    <row r="731" spans="1:19" x14ac:dyDescent="0.25">
      <c r="A731" s="7">
        <v>5.7753095421182947E-2</v>
      </c>
      <c r="B731"/>
      <c r="C731"/>
      <c r="D731"/>
      <c r="E731"/>
    </row>
    <row r="732" spans="1:19" x14ac:dyDescent="0.25">
      <c r="A732" s="7">
        <v>5.6620681785473484E-2</v>
      </c>
      <c r="B732"/>
      <c r="C732"/>
      <c r="D732"/>
      <c r="E732"/>
    </row>
    <row r="733" spans="1:19" x14ac:dyDescent="0.25">
      <c r="A733" s="7">
        <v>5.5510472338699497E-2</v>
      </c>
      <c r="B733"/>
      <c r="C733"/>
      <c r="D733"/>
      <c r="E733"/>
    </row>
    <row r="734" spans="1:19" x14ac:dyDescent="0.25">
      <c r="A734" s="7">
        <v>5.4422031704607354E-2</v>
      </c>
      <c r="B734"/>
      <c r="C734"/>
      <c r="D734"/>
      <c r="E734"/>
    </row>
    <row r="735" spans="1:19" x14ac:dyDescent="0.25">
      <c r="A735" s="7">
        <v>5.3354933043732705E-2</v>
      </c>
      <c r="B735"/>
      <c r="C735"/>
      <c r="D735"/>
      <c r="E735"/>
    </row>
    <row r="736" spans="1:19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28" operator="equal">
      <formula>$U$1</formula>
    </cfRule>
    <cfRule type="cellIs" dxfId="89" priority="829" operator="equal">
      <formula>$S$1</formula>
    </cfRule>
  </conditionalFormatting>
  <conditionalFormatting sqref="D27">
    <cfRule type="cellIs" dxfId="88" priority="826" operator="equal">
      <formula>$S$1</formula>
    </cfRule>
    <cfRule type="cellIs" dxfId="87" priority="827" operator="equal">
      <formula>$U$1</formula>
    </cfRule>
  </conditionalFormatting>
  <conditionalFormatting sqref="C164">
    <cfRule type="cellIs" dxfId="86" priority="824" operator="equal">
      <formula>$U$1</formula>
    </cfRule>
    <cfRule type="cellIs" dxfId="85" priority="825" operator="equal">
      <formula>$S$1</formula>
    </cfRule>
  </conditionalFormatting>
  <conditionalFormatting sqref="D164">
    <cfRule type="cellIs" dxfId="84" priority="822" operator="equal">
      <formula>$S$1</formula>
    </cfRule>
    <cfRule type="cellIs" dxfId="83" priority="823" operator="equal">
      <formula>$U$1</formula>
    </cfRule>
  </conditionalFormatting>
  <conditionalFormatting sqref="C55">
    <cfRule type="cellIs" dxfId="82" priority="820" operator="equal">
      <formula>$U$1</formula>
    </cfRule>
    <cfRule type="cellIs" dxfId="81" priority="821" operator="equal">
      <formula>$S$1</formula>
    </cfRule>
  </conditionalFormatting>
  <conditionalFormatting sqref="D55">
    <cfRule type="cellIs" dxfId="80" priority="818" operator="equal">
      <formula>$S$1</formula>
    </cfRule>
    <cfRule type="cellIs" dxfId="79" priority="819" operator="equal">
      <formula>$U$1</formula>
    </cfRule>
  </conditionalFormatting>
  <conditionalFormatting sqref="C89">
    <cfRule type="cellIs" dxfId="78" priority="816" operator="equal">
      <formula>$U$1</formula>
    </cfRule>
    <cfRule type="cellIs" dxfId="77" priority="817" operator="equal">
      <formula>$S$1</formula>
    </cfRule>
  </conditionalFormatting>
  <conditionalFormatting sqref="D89">
    <cfRule type="cellIs" dxfId="76" priority="814" operator="equal">
      <formula>$S$1</formula>
    </cfRule>
    <cfRule type="cellIs" dxfId="75" priority="815" operator="equal">
      <formula>$U$1</formula>
    </cfRule>
  </conditionalFormatting>
  <conditionalFormatting sqref="C136">
    <cfRule type="cellIs" dxfId="74" priority="812" operator="equal">
      <formula>$U$1</formula>
    </cfRule>
    <cfRule type="cellIs" dxfId="73" priority="813" operator="equal">
      <formula>$S$1</formula>
    </cfRule>
  </conditionalFormatting>
  <conditionalFormatting sqref="D136">
    <cfRule type="cellIs" dxfId="72" priority="810" operator="equal">
      <formula>$S$1</formula>
    </cfRule>
    <cfRule type="cellIs" dxfId="71" priority="811" operator="equal">
      <formula>$U$1</formula>
    </cfRule>
  </conditionalFormatting>
  <conditionalFormatting sqref="C1">
    <cfRule type="cellIs" dxfId="70" priority="80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37" zoomScale="90" zoomScaleNormal="90" workbookViewId="0">
      <pane xSplit="4" topLeftCell="BE1" activePane="topRight" state="frozen"/>
      <selection activeCell="A109" sqref="A109"/>
      <selection pane="topRight" activeCell="EE282" sqref="EE28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$A$281</v>
      </c>
      <c r="D111" s="1" t="str">
        <f>ADDRESS(C121-1,D121,1,1)</f>
        <v>$EE$281</v>
      </c>
      <c r="E111"/>
    </row>
    <row r="112" spans="1:5" x14ac:dyDescent="0.25">
      <c r="A112" s="30">
        <v>515.50191262726139</v>
      </c>
      <c r="C112" s="1" t="str">
        <f>ADDRESS(C121,1,1,1)</f>
        <v>$A$282</v>
      </c>
      <c r="D112" s="1" t="str">
        <f>ADDRESS(C121,D121-1,1,1)</f>
        <v>$ED$282</v>
      </c>
      <c r="E112"/>
    </row>
    <row r="113" spans="1:5" x14ac:dyDescent="0.25">
      <c r="A113" s="30">
        <v>490.95420250215363</v>
      </c>
      <c r="C113" s="1" t="str">
        <f>ADDRESS(C121+1,1,1,1)</f>
        <v>$A$283</v>
      </c>
      <c r="D113" s="1" t="str">
        <f>ADDRESS(C121-1,D121+1,1,1)</f>
        <v>$EF$281</v>
      </c>
    </row>
    <row r="114" spans="1:5" x14ac:dyDescent="0.25">
      <c r="A114" s="30">
        <v>467.57543095443202</v>
      </c>
      <c r="C114" s="1" t="str">
        <f>ADDRESS(C121,D121,1,1)</f>
        <v>$EE$282</v>
      </c>
      <c r="D114" s="1" t="str">
        <f>ADDRESS(C121+1,D121+1,1,1)</f>
        <v>$EF$283</v>
      </c>
    </row>
    <row r="115" spans="1:5" x14ac:dyDescent="0.25">
      <c r="A115" s="30">
        <v>445.30993424231622</v>
      </c>
      <c r="C115" s="1" t="str">
        <f>ADDRESS(C121+1,D121,1,1)</f>
        <v>$EE$283</v>
      </c>
    </row>
    <row r="116" spans="1:5" x14ac:dyDescent="0.25">
      <c r="A116" s="30">
        <v>424.10469927839637</v>
      </c>
      <c r="C116" s="1">
        <f>C117-1</f>
        <v>281</v>
      </c>
    </row>
    <row r="117" spans="1:5" x14ac:dyDescent="0.25">
      <c r="A117" s="30">
        <v>403.9092374079965</v>
      </c>
      <c r="C117" s="1">
        <f>C121</f>
        <v>282</v>
      </c>
      <c r="D117" s="1">
        <f>D121</f>
        <v>135</v>
      </c>
    </row>
    <row r="118" spans="1:5" x14ac:dyDescent="0.25">
      <c r="A118" s="30">
        <v>384.6754641980919</v>
      </c>
      <c r="C118" s="1">
        <f>C117+1</f>
        <v>283</v>
      </c>
      <c r="D118" s="1">
        <f>D117+1</f>
        <v>136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282</v>
      </c>
      <c r="D121" s="19">
        <v>135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R282</v>
      </c>
      <c r="D123" s="1" t="str">
        <f>"C"&amp;D121</f>
        <v>C135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0.12883962113403674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48" x14ac:dyDescent="0.25">
      <c r="A225" s="30">
        <v>2.0789281794113688</v>
      </c>
      <c r="E225"/>
    </row>
    <row r="226" spans="1:48" x14ac:dyDescent="0.25">
      <c r="A226" s="30">
        <v>1.9799315994393987</v>
      </c>
      <c r="E226"/>
    </row>
    <row r="227" spans="1:48" x14ac:dyDescent="0.25">
      <c r="A227" s="30">
        <v>1.8856491423232367</v>
      </c>
      <c r="E227"/>
    </row>
    <row r="228" spans="1:48" x14ac:dyDescent="0.25">
      <c r="A228" s="30">
        <v>1.7958563260221301</v>
      </c>
      <c r="C228" s="7"/>
      <c r="D228"/>
      <c r="E228"/>
    </row>
    <row r="229" spans="1:48" x14ac:dyDescent="0.25">
      <c r="A229" s="30">
        <v>1.7103393581163142</v>
      </c>
      <c r="E229"/>
    </row>
    <row r="230" spans="1:48" x14ac:dyDescent="0.25">
      <c r="A230" s="30">
        <v>1.628894626777442</v>
      </c>
      <c r="E230"/>
    </row>
    <row r="231" spans="1:48" x14ac:dyDescent="0.25">
      <c r="A231" s="30">
        <v>1.5513282159785162</v>
      </c>
      <c r="C231"/>
      <c r="D231"/>
      <c r="E231"/>
    </row>
    <row r="232" spans="1:48" x14ac:dyDescent="0.25">
      <c r="A232" s="30">
        <v>1.477455443789063</v>
      </c>
      <c r="E232"/>
    </row>
    <row r="233" spans="1:48" x14ac:dyDescent="0.25">
      <c r="A233" s="30">
        <v>1.4071004226562505</v>
      </c>
      <c r="E233"/>
    </row>
    <row r="234" spans="1:48" x14ac:dyDescent="0.25">
      <c r="A234" s="30">
        <v>1.3400956406250004</v>
      </c>
      <c r="E234"/>
    </row>
    <row r="235" spans="1:48" x14ac:dyDescent="0.25">
      <c r="A235" s="30">
        <v>1.2762815625000004</v>
      </c>
      <c r="C235"/>
      <c r="E235"/>
    </row>
    <row r="236" spans="1:48" x14ac:dyDescent="0.25">
      <c r="A236" s="30">
        <v>1.2155062500000002</v>
      </c>
      <c r="E236"/>
      <c r="AQ236" s="31" t="s">
        <v>8</v>
      </c>
    </row>
    <row r="237" spans="1:48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Q237" s="27" t="s">
        <v>8</v>
      </c>
      <c r="AR237" s="31" t="s">
        <v>7</v>
      </c>
    </row>
    <row r="238" spans="1:48" x14ac:dyDescent="0.25">
      <c r="A238" s="30">
        <v>1.1025</v>
      </c>
      <c r="E238"/>
      <c r="AQ238" s="27" t="s">
        <v>8</v>
      </c>
      <c r="AR238" s="27" t="s">
        <v>7</v>
      </c>
      <c r="AS238" s="31"/>
    </row>
    <row r="239" spans="1:48" x14ac:dyDescent="0.25">
      <c r="A239" s="30">
        <v>1.05</v>
      </c>
      <c r="E239"/>
      <c r="AQ239" s="27" t="s">
        <v>8</v>
      </c>
      <c r="AR239" s="27" t="s">
        <v>7</v>
      </c>
      <c r="AT239" s="31"/>
      <c r="AU239" s="27" t="s">
        <v>8</v>
      </c>
    </row>
    <row r="240" spans="1:48" x14ac:dyDescent="0.25">
      <c r="A240" s="30">
        <v>1</v>
      </c>
      <c r="E240" s="29" t="s">
        <v>8</v>
      </c>
      <c r="AQ240" s="27" t="s">
        <v>8</v>
      </c>
      <c r="AR240" s="27" t="s">
        <v>7</v>
      </c>
      <c r="AU240" s="31" t="s">
        <v>8</v>
      </c>
      <c r="AV240" s="31" t="s">
        <v>7</v>
      </c>
    </row>
    <row r="241" spans="1:114" x14ac:dyDescent="0.25">
      <c r="A241" s="30">
        <v>0.952380952380952</v>
      </c>
      <c r="B241"/>
      <c r="C241"/>
      <c r="D241"/>
      <c r="E241"/>
      <c r="F241" s="27" t="s">
        <v>7</v>
      </c>
      <c r="AQ241" s="27" t="s">
        <v>8</v>
      </c>
      <c r="AR241" s="27" t="s">
        <v>7</v>
      </c>
      <c r="AU241" s="27" t="s">
        <v>8</v>
      </c>
      <c r="AV241" s="27" t="s">
        <v>7</v>
      </c>
      <c r="AW241" s="31"/>
    </row>
    <row r="242" spans="1:114" x14ac:dyDescent="0.25">
      <c r="A242" s="30">
        <v>0.90702947845804915</v>
      </c>
      <c r="B242"/>
      <c r="C242"/>
      <c r="D242"/>
      <c r="E242"/>
      <c r="F242" s="27" t="s">
        <v>7</v>
      </c>
      <c r="AQ242" s="27" t="s">
        <v>8</v>
      </c>
      <c r="AR242" s="27" t="s">
        <v>7</v>
      </c>
      <c r="AU242" s="27" t="s">
        <v>8</v>
      </c>
      <c r="AV242" s="27" t="s">
        <v>7</v>
      </c>
      <c r="AX242" s="31"/>
    </row>
    <row r="243" spans="1:114" x14ac:dyDescent="0.25">
      <c r="A243" s="30">
        <v>0.86383759853147501</v>
      </c>
      <c r="B243"/>
      <c r="C243"/>
      <c r="D243"/>
      <c r="E243"/>
      <c r="F243" s="27" t="s">
        <v>7</v>
      </c>
      <c r="AQ243" s="27" t="s">
        <v>8</v>
      </c>
      <c r="AR243" s="27" t="s">
        <v>7</v>
      </c>
      <c r="AU243" s="27" t="s">
        <v>8</v>
      </c>
      <c r="AV243" s="27" t="s">
        <v>7</v>
      </c>
      <c r="AY243" s="31"/>
    </row>
    <row r="244" spans="1:114" x14ac:dyDescent="0.25">
      <c r="A244" s="30">
        <v>0.82270247479188063</v>
      </c>
      <c r="B244"/>
      <c r="C244"/>
      <c r="D244"/>
      <c r="E244"/>
      <c r="F244" s="27" t="s">
        <v>7</v>
      </c>
      <c r="AQ244" s="27" t="s">
        <v>8</v>
      </c>
      <c r="AR244" s="27" t="s">
        <v>7</v>
      </c>
      <c r="AU244" s="27" t="s">
        <v>8</v>
      </c>
      <c r="AV244" s="27" t="s">
        <v>7</v>
      </c>
      <c r="AY244" s="27" t="s">
        <v>8</v>
      </c>
      <c r="AZ244" s="31"/>
    </row>
    <row r="245" spans="1:114" x14ac:dyDescent="0.25">
      <c r="A245" s="30">
        <v>0.78352616646845741</v>
      </c>
      <c r="B245"/>
      <c r="C245"/>
      <c r="D245"/>
      <c r="E245"/>
      <c r="F245" s="27" t="s">
        <v>7</v>
      </c>
      <c r="AQ245" s="27" t="s">
        <v>8</v>
      </c>
      <c r="AR245" s="27" t="s">
        <v>7</v>
      </c>
      <c r="AU245" s="27" t="s">
        <v>8</v>
      </c>
      <c r="AV245" s="27" t="s">
        <v>7</v>
      </c>
      <c r="AY245" s="27" t="s">
        <v>8</v>
      </c>
      <c r="AZ245" s="27" t="s">
        <v>7</v>
      </c>
      <c r="BA245" s="31"/>
    </row>
    <row r="246" spans="1:114" x14ac:dyDescent="0.25">
      <c r="A246" s="30">
        <v>0.74621539663662584</v>
      </c>
      <c r="B246"/>
      <c r="C246"/>
      <c r="D246"/>
      <c r="E246"/>
      <c r="F246" s="27" t="s">
        <v>7</v>
      </c>
      <c r="AQ246" s="27" t="s">
        <v>8</v>
      </c>
      <c r="AR246" s="27" t="s">
        <v>7</v>
      </c>
      <c r="AS246" s="27" t="s">
        <v>8</v>
      </c>
      <c r="AU246" s="27" t="s">
        <v>8</v>
      </c>
      <c r="AV246" s="27" t="s">
        <v>7</v>
      </c>
      <c r="AW246" s="27" t="s">
        <v>8</v>
      </c>
      <c r="AY246" s="27" t="s">
        <v>8</v>
      </c>
      <c r="AZ246" s="27" t="s">
        <v>7</v>
      </c>
      <c r="BB246" s="31"/>
      <c r="BG246" s="27" t="s">
        <v>8</v>
      </c>
    </row>
    <row r="247" spans="1:114" x14ac:dyDescent="0.25">
      <c r="A247" s="30">
        <v>0.71068133013011958</v>
      </c>
      <c r="B247"/>
      <c r="C247"/>
      <c r="D247"/>
      <c r="E247"/>
      <c r="F247" s="27" t="s">
        <v>7</v>
      </c>
      <c r="AQ247" s="27" t="s">
        <v>8</v>
      </c>
      <c r="AR247" s="27" t="s">
        <v>7</v>
      </c>
      <c r="AS247" s="27" t="s">
        <v>8</v>
      </c>
      <c r="AT247" s="27" t="s">
        <v>7</v>
      </c>
      <c r="AU247" s="27" t="s">
        <v>8</v>
      </c>
      <c r="AV247" s="27" t="s">
        <v>7</v>
      </c>
      <c r="AW247" s="27" t="s">
        <v>8</v>
      </c>
      <c r="AX247" s="27" t="s">
        <v>7</v>
      </c>
      <c r="AY247" s="27" t="s">
        <v>8</v>
      </c>
      <c r="AZ247" s="27" t="s">
        <v>7</v>
      </c>
      <c r="BC247" s="31"/>
      <c r="BG247" s="27" t="s">
        <v>8</v>
      </c>
      <c r="BH247" s="27" t="s">
        <v>7</v>
      </c>
      <c r="BI247" s="27" t="s">
        <v>8</v>
      </c>
    </row>
    <row r="248" spans="1:114" x14ac:dyDescent="0.25">
      <c r="A248" s="30">
        <v>0.676839362028685</v>
      </c>
      <c r="B248"/>
      <c r="C248"/>
      <c r="D248"/>
      <c r="E248"/>
      <c r="F248" s="27" t="s">
        <v>7</v>
      </c>
      <c r="AQ248" s="27" t="s">
        <v>8</v>
      </c>
      <c r="AR248" s="27" t="s">
        <v>7</v>
      </c>
      <c r="AS248" s="27" t="s">
        <v>8</v>
      </c>
      <c r="AT248" s="27" t="s">
        <v>7</v>
      </c>
      <c r="AU248" s="27" t="s">
        <v>8</v>
      </c>
      <c r="AV248" s="27" t="s">
        <v>7</v>
      </c>
      <c r="AW248" s="27" t="s">
        <v>8</v>
      </c>
      <c r="AX248" s="27" t="s">
        <v>7</v>
      </c>
      <c r="AY248" s="27" t="s">
        <v>8</v>
      </c>
      <c r="AZ248" s="27" t="s">
        <v>7</v>
      </c>
      <c r="BD248" s="31"/>
      <c r="BG248" s="27" t="s">
        <v>8</v>
      </c>
      <c r="BH248" s="27" t="s">
        <v>7</v>
      </c>
      <c r="BI248" s="27" t="s">
        <v>8</v>
      </c>
      <c r="BJ248" s="27" t="s">
        <v>7</v>
      </c>
      <c r="BK248" s="27" t="s">
        <v>8</v>
      </c>
      <c r="BU248" s="31" t="s">
        <v>8</v>
      </c>
    </row>
    <row r="249" spans="1:114" x14ac:dyDescent="0.25">
      <c r="A249" s="30">
        <v>0.64460891621779492</v>
      </c>
      <c r="B249"/>
      <c r="C249"/>
      <c r="D249"/>
      <c r="E249"/>
      <c r="F249" s="27" t="s">
        <v>7</v>
      </c>
      <c r="AQ249" s="27" t="s">
        <v>8</v>
      </c>
      <c r="AR249" s="27" t="s">
        <v>7</v>
      </c>
      <c r="AT249" s="27" t="s">
        <v>7</v>
      </c>
      <c r="AU249" s="27" t="s">
        <v>8</v>
      </c>
      <c r="AV249" s="27" t="s">
        <v>7</v>
      </c>
      <c r="AW249" s="27" t="s">
        <v>8</v>
      </c>
      <c r="AX249" s="27" t="s">
        <v>7</v>
      </c>
      <c r="AY249" s="27" t="s">
        <v>8</v>
      </c>
      <c r="AZ249" s="27" t="s">
        <v>7</v>
      </c>
      <c r="BA249" s="27" t="s">
        <v>8</v>
      </c>
      <c r="BE249" s="31"/>
      <c r="BG249" s="27" t="s">
        <v>8</v>
      </c>
      <c r="BH249" s="27" t="s">
        <v>7</v>
      </c>
      <c r="BI249" s="27" t="s">
        <v>8</v>
      </c>
      <c r="BJ249" s="27" t="s">
        <v>7</v>
      </c>
      <c r="BK249" s="27" t="s">
        <v>8</v>
      </c>
      <c r="BL249" s="27" t="s">
        <v>7</v>
      </c>
      <c r="BU249" s="27" t="s">
        <v>8</v>
      </c>
      <c r="BV249" s="31" t="s">
        <v>7</v>
      </c>
    </row>
    <row r="250" spans="1:114" x14ac:dyDescent="0.25">
      <c r="A250" s="30">
        <v>0.61391325354075688</v>
      </c>
      <c r="B250"/>
      <c r="C250"/>
      <c r="D250"/>
      <c r="E250"/>
      <c r="F250" s="27" t="s">
        <v>7</v>
      </c>
      <c r="AQ250" s="27" t="s">
        <v>8</v>
      </c>
      <c r="AT250" s="27" t="s">
        <v>7</v>
      </c>
      <c r="AU250" s="27" t="s">
        <v>8</v>
      </c>
      <c r="AV250" s="27" t="s">
        <v>7</v>
      </c>
      <c r="AX250" s="27" t="s">
        <v>7</v>
      </c>
      <c r="AZ250" s="27" t="s">
        <v>7</v>
      </c>
      <c r="BA250" s="27" t="s">
        <v>8</v>
      </c>
      <c r="BB250" s="27" t="s">
        <v>7</v>
      </c>
      <c r="BF250" s="31"/>
      <c r="BG250" s="27" t="s">
        <v>8</v>
      </c>
      <c r="BH250" s="27" t="s">
        <v>7</v>
      </c>
      <c r="BJ250" s="27" t="s">
        <v>7</v>
      </c>
      <c r="BK250" s="27" t="s">
        <v>8</v>
      </c>
      <c r="BL250" s="27" t="s">
        <v>7</v>
      </c>
      <c r="BM250" s="27" t="s">
        <v>8</v>
      </c>
      <c r="BU250" s="27" t="s">
        <v>8</v>
      </c>
      <c r="BV250" s="27" t="s">
        <v>7</v>
      </c>
      <c r="BW250" s="31"/>
    </row>
    <row r="251" spans="1:114" x14ac:dyDescent="0.25">
      <c r="A251" s="30">
        <v>0.58467928908643485</v>
      </c>
      <c r="B251"/>
      <c r="C251"/>
      <c r="D251"/>
      <c r="E251"/>
      <c r="F251" s="27" t="s">
        <v>7</v>
      </c>
      <c r="AQ251" s="27" t="s">
        <v>8</v>
      </c>
      <c r="AT251" s="27" t="s">
        <v>7</v>
      </c>
      <c r="AU251" s="27" t="s">
        <v>8</v>
      </c>
      <c r="AZ251" s="27" t="s">
        <v>7</v>
      </c>
      <c r="BA251" s="27" t="s">
        <v>8</v>
      </c>
      <c r="BB251" s="27" t="s">
        <v>7</v>
      </c>
      <c r="BC251" s="27" t="s">
        <v>8</v>
      </c>
      <c r="BG251" s="27" t="s">
        <v>8</v>
      </c>
      <c r="BJ251" s="27" t="s">
        <v>7</v>
      </c>
      <c r="BL251" s="27" t="s">
        <v>7</v>
      </c>
      <c r="BM251" s="27" t="s">
        <v>8</v>
      </c>
      <c r="BN251" s="27" t="s">
        <v>7</v>
      </c>
      <c r="BO251" s="27" t="s">
        <v>8</v>
      </c>
      <c r="BU251" s="27" t="s">
        <v>8</v>
      </c>
      <c r="BV251" s="27" t="s">
        <v>7</v>
      </c>
      <c r="BX251" s="31"/>
    </row>
    <row r="252" spans="1:114" x14ac:dyDescent="0.25">
      <c r="A252" s="30">
        <v>0.55683741817755672</v>
      </c>
      <c r="B252"/>
      <c r="C252"/>
      <c r="D252"/>
      <c r="E252"/>
      <c r="F252" s="27" t="s">
        <v>7</v>
      </c>
      <c r="AQ252" s="27" t="s">
        <v>8</v>
      </c>
      <c r="AT252" s="27" t="s">
        <v>7</v>
      </c>
      <c r="AU252" s="27" t="s">
        <v>8</v>
      </c>
      <c r="AZ252" s="27" t="s">
        <v>7</v>
      </c>
      <c r="BA252" s="27" t="s">
        <v>8</v>
      </c>
      <c r="BB252" s="27" t="s">
        <v>7</v>
      </c>
      <c r="BC252" s="27" t="s">
        <v>8</v>
      </c>
      <c r="BD252" s="27" t="s">
        <v>7</v>
      </c>
      <c r="BG252" s="27" t="s">
        <v>8</v>
      </c>
      <c r="BL252" s="27" t="s">
        <v>7</v>
      </c>
      <c r="BM252" s="27" t="s">
        <v>8</v>
      </c>
      <c r="BN252" s="27" t="s">
        <v>7</v>
      </c>
      <c r="BO252" s="27" t="s">
        <v>8</v>
      </c>
      <c r="BP252" s="27" t="s">
        <v>7</v>
      </c>
      <c r="BU252" s="27" t="s">
        <v>8</v>
      </c>
      <c r="BV252" s="27" t="s">
        <v>7</v>
      </c>
      <c r="BY252" s="31"/>
    </row>
    <row r="253" spans="1:114" x14ac:dyDescent="0.25">
      <c r="A253" s="30">
        <v>0.53032135064529184</v>
      </c>
      <c r="B253"/>
      <c r="C253"/>
      <c r="D253"/>
      <c r="E253"/>
      <c r="F253" s="27" t="s">
        <v>7</v>
      </c>
      <c r="AQ253" s="27" t="s">
        <v>8</v>
      </c>
      <c r="AT253" s="27" t="s">
        <v>7</v>
      </c>
      <c r="AZ253" s="27" t="s">
        <v>7</v>
      </c>
      <c r="BA253" s="27" t="s">
        <v>8</v>
      </c>
      <c r="BB253" s="27" t="s">
        <v>7</v>
      </c>
      <c r="BC253" s="27" t="s">
        <v>8</v>
      </c>
      <c r="BD253" s="27" t="s">
        <v>7</v>
      </c>
      <c r="BG253" s="27" t="s">
        <v>8</v>
      </c>
      <c r="BL253" s="27" t="s">
        <v>7</v>
      </c>
      <c r="BM253" s="27" t="s">
        <v>8</v>
      </c>
      <c r="BN253" s="27" t="s">
        <v>7</v>
      </c>
      <c r="BO253" s="27" t="s">
        <v>8</v>
      </c>
      <c r="BP253" s="27" t="s">
        <v>7</v>
      </c>
      <c r="BU253" s="27" t="s">
        <v>8</v>
      </c>
      <c r="BV253" s="27" t="s">
        <v>7</v>
      </c>
      <c r="BZ253" s="31"/>
    </row>
    <row r="254" spans="1:114" x14ac:dyDescent="0.25">
      <c r="A254" s="30">
        <v>0.50506795299551588</v>
      </c>
      <c r="B254"/>
      <c r="C254"/>
      <c r="D254"/>
      <c r="E254"/>
      <c r="F254" s="27" t="s">
        <v>7</v>
      </c>
      <c r="AQ254" s="27" t="s">
        <v>8</v>
      </c>
      <c r="AZ254" s="27" t="s">
        <v>7</v>
      </c>
      <c r="BA254" s="27" t="s">
        <v>8</v>
      </c>
      <c r="BB254" s="27" t="s">
        <v>7</v>
      </c>
      <c r="BD254" s="27" t="s">
        <v>7</v>
      </c>
      <c r="BG254" s="27" t="s">
        <v>8</v>
      </c>
      <c r="BL254" s="27" t="s">
        <v>7</v>
      </c>
      <c r="BM254" s="27" t="s">
        <v>8</v>
      </c>
      <c r="BN254" s="27" t="s">
        <v>7</v>
      </c>
      <c r="BO254" s="27" t="s">
        <v>8</v>
      </c>
      <c r="BP254" s="27" t="s">
        <v>7</v>
      </c>
      <c r="BU254" s="27" t="s">
        <v>8</v>
      </c>
      <c r="BV254" s="27" t="s">
        <v>7</v>
      </c>
      <c r="BW254" s="27" t="s">
        <v>8</v>
      </c>
      <c r="CA254" s="31"/>
    </row>
    <row r="255" spans="1:114" x14ac:dyDescent="0.25">
      <c r="A255" s="30">
        <v>0.48101709809096732</v>
      </c>
      <c r="E255"/>
      <c r="F255" s="27" t="s">
        <v>7</v>
      </c>
      <c r="AQ255" s="27" t="s">
        <v>8</v>
      </c>
      <c r="AZ255" s="27" t="s">
        <v>7</v>
      </c>
      <c r="BA255" s="27" t="s">
        <v>8</v>
      </c>
      <c r="BD255" s="27" t="s">
        <v>7</v>
      </c>
      <c r="BE255" s="27" t="s">
        <v>8</v>
      </c>
      <c r="BG255" s="27" t="s">
        <v>8</v>
      </c>
      <c r="BL255" s="27" t="s">
        <v>7</v>
      </c>
      <c r="BM255" s="27" t="s">
        <v>8</v>
      </c>
      <c r="BN255" s="27" t="s">
        <v>7</v>
      </c>
      <c r="BP255" s="27" t="s">
        <v>7</v>
      </c>
      <c r="BU255" s="27" t="s">
        <v>8</v>
      </c>
      <c r="BV255" s="27" t="s">
        <v>7</v>
      </c>
      <c r="BW255" s="27" t="s">
        <v>8</v>
      </c>
      <c r="BX255" s="27" t="s">
        <v>7</v>
      </c>
      <c r="CB255" s="31"/>
      <c r="CW255" s="27" t="s">
        <v>8</v>
      </c>
      <c r="DC255" s="27" t="s">
        <v>8</v>
      </c>
      <c r="DI255" s="27" t="s">
        <v>8</v>
      </c>
    </row>
    <row r="256" spans="1:114" x14ac:dyDescent="0.25">
      <c r="A256" s="30">
        <v>0.45811152199139726</v>
      </c>
      <c r="E256"/>
      <c r="F256" s="27" t="s">
        <v>7</v>
      </c>
      <c r="AQ256" s="27" t="s">
        <v>8</v>
      </c>
      <c r="AZ256" s="27" t="s">
        <v>7</v>
      </c>
      <c r="BD256" s="27" t="s">
        <v>7</v>
      </c>
      <c r="BE256" s="27" t="s">
        <v>8</v>
      </c>
      <c r="BF256" s="27" t="s">
        <v>7</v>
      </c>
      <c r="BG256" s="27" t="s">
        <v>8</v>
      </c>
      <c r="BL256" s="27" t="s">
        <v>7</v>
      </c>
      <c r="BP256" s="27" t="s">
        <v>7</v>
      </c>
      <c r="BU256" s="27" t="s">
        <v>8</v>
      </c>
      <c r="BV256" s="27" t="s">
        <v>7</v>
      </c>
      <c r="BW256" s="27" t="s">
        <v>8</v>
      </c>
      <c r="BX256" s="27" t="s">
        <v>7</v>
      </c>
      <c r="CC256" s="31"/>
      <c r="CW256" s="27" t="s">
        <v>8</v>
      </c>
      <c r="CX256" s="27" t="s">
        <v>7</v>
      </c>
      <c r="DC256" s="27" t="s">
        <v>8</v>
      </c>
      <c r="DD256" s="27" t="s">
        <v>7</v>
      </c>
      <c r="DI256" s="27" t="s">
        <v>8</v>
      </c>
      <c r="DJ256" s="27" t="s">
        <v>7</v>
      </c>
    </row>
    <row r="257" spans="1:130" x14ac:dyDescent="0.25">
      <c r="A257" s="30">
        <v>0.43629668761085438</v>
      </c>
      <c r="B257"/>
      <c r="C257"/>
      <c r="D257"/>
      <c r="E257"/>
      <c r="F257" s="27" t="s">
        <v>7</v>
      </c>
      <c r="AQ257" s="27" t="s">
        <v>8</v>
      </c>
      <c r="BD257" s="31" t="s">
        <v>7</v>
      </c>
      <c r="BE257" s="27" t="s">
        <v>8</v>
      </c>
      <c r="BF257" s="27" t="s">
        <v>7</v>
      </c>
      <c r="BG257" s="27" t="s">
        <v>8</v>
      </c>
      <c r="BP257" s="27" t="s">
        <v>7</v>
      </c>
      <c r="BU257" s="27" t="s">
        <v>8</v>
      </c>
      <c r="BV257" s="27" t="s">
        <v>7</v>
      </c>
      <c r="BW257" s="27" t="s">
        <v>8</v>
      </c>
      <c r="BX257" s="27" t="s">
        <v>7</v>
      </c>
      <c r="CD257" s="31"/>
      <c r="CW257" s="27" t="s">
        <v>8</v>
      </c>
      <c r="CX257" s="27" t="s">
        <v>7</v>
      </c>
      <c r="DC257" s="27" t="s">
        <v>8</v>
      </c>
      <c r="DD257" s="27" t="s">
        <v>7</v>
      </c>
      <c r="DI257" s="27" t="s">
        <v>8</v>
      </c>
      <c r="DJ257" s="27" t="s">
        <v>7</v>
      </c>
      <c r="DK257" s="27" t="s">
        <v>8</v>
      </c>
    </row>
    <row r="258" spans="1:130" x14ac:dyDescent="0.25">
      <c r="A258" s="30">
        <v>0.41552065486748019</v>
      </c>
      <c r="B258"/>
      <c r="C258"/>
      <c r="D258"/>
      <c r="E258"/>
      <c r="F258" s="27" t="s">
        <v>7</v>
      </c>
      <c r="AQ258" s="27" t="s">
        <v>8</v>
      </c>
      <c r="BC258" s="31"/>
      <c r="BD258" s="27" t="s">
        <v>7</v>
      </c>
      <c r="BF258" s="27" t="s">
        <v>7</v>
      </c>
      <c r="BP258" s="27" t="s">
        <v>7</v>
      </c>
      <c r="BQ258" s="27" t="s">
        <v>8</v>
      </c>
      <c r="BU258" s="27" t="s">
        <v>8</v>
      </c>
      <c r="BV258" s="27" t="s">
        <v>7</v>
      </c>
      <c r="BW258" s="27" t="s">
        <v>8</v>
      </c>
      <c r="BX258" s="27" t="s">
        <v>7</v>
      </c>
      <c r="CE258" s="31"/>
      <c r="CW258" s="27" t="s">
        <v>8</v>
      </c>
      <c r="CX258" s="27" t="s">
        <v>7</v>
      </c>
      <c r="CY258" s="27" t="s">
        <v>8</v>
      </c>
      <c r="DA258" s="27" t="s">
        <v>8</v>
      </c>
      <c r="DC258" s="27" t="s">
        <v>8</v>
      </c>
      <c r="DD258" s="27" t="s">
        <v>7</v>
      </c>
      <c r="DI258" s="27" t="s">
        <v>8</v>
      </c>
      <c r="DJ258" s="27" t="s">
        <v>7</v>
      </c>
      <c r="DK258" s="27" t="s">
        <v>8</v>
      </c>
      <c r="DL258" s="27" t="s">
        <v>7</v>
      </c>
      <c r="DQ258" s="27" t="s">
        <v>8</v>
      </c>
    </row>
    <row r="259" spans="1:130" x14ac:dyDescent="0.25">
      <c r="A259" s="30">
        <v>0.39573395701664765</v>
      </c>
      <c r="B259"/>
      <c r="C259"/>
      <c r="D259"/>
      <c r="E259"/>
      <c r="F259" s="27" t="s">
        <v>7</v>
      </c>
      <c r="AA259" s="27" t="s">
        <v>8</v>
      </c>
      <c r="AQ259" s="27" t="s">
        <v>8</v>
      </c>
      <c r="BB259" s="31"/>
      <c r="BP259" s="27" t="s">
        <v>7</v>
      </c>
      <c r="BQ259" s="27" t="s">
        <v>8</v>
      </c>
      <c r="BR259" s="27" t="s">
        <v>7</v>
      </c>
      <c r="BU259" s="27" t="s">
        <v>8</v>
      </c>
      <c r="BV259" s="27" t="s">
        <v>7</v>
      </c>
      <c r="BW259" s="27" t="s">
        <v>8</v>
      </c>
      <c r="BX259" s="27" t="s">
        <v>7</v>
      </c>
      <c r="CF259" s="31"/>
      <c r="CW259" s="27" t="s">
        <v>8</v>
      </c>
      <c r="CX259" s="27" t="s">
        <v>7</v>
      </c>
      <c r="CY259" s="27" t="s">
        <v>8</v>
      </c>
      <c r="CZ259" s="27" t="s">
        <v>7</v>
      </c>
      <c r="DA259" s="27" t="s">
        <v>8</v>
      </c>
      <c r="DB259" s="27" t="s">
        <v>7</v>
      </c>
      <c r="DC259" s="27" t="s">
        <v>8</v>
      </c>
      <c r="DD259" s="27" t="s">
        <v>7</v>
      </c>
      <c r="DI259" s="27" t="s">
        <v>8</v>
      </c>
      <c r="DJ259" s="27" t="s">
        <v>7</v>
      </c>
      <c r="DK259" s="27" t="s">
        <v>8</v>
      </c>
      <c r="DL259" s="27" t="s">
        <v>7</v>
      </c>
      <c r="DM259" s="27" t="s">
        <v>8</v>
      </c>
      <c r="DQ259" s="27" t="s">
        <v>8</v>
      </c>
      <c r="DR259" s="27" t="s">
        <v>7</v>
      </c>
    </row>
    <row r="260" spans="1:130" x14ac:dyDescent="0.25">
      <c r="A260" s="30">
        <v>0.37688948287299762</v>
      </c>
      <c r="B260"/>
      <c r="C260"/>
      <c r="D260"/>
      <c r="E260"/>
      <c r="F260" s="27" t="s">
        <v>7</v>
      </c>
      <c r="AA260" s="27" t="s">
        <v>8</v>
      </c>
      <c r="AB260" s="27" t="s">
        <v>7</v>
      </c>
      <c r="AQ260" s="27" t="s">
        <v>8</v>
      </c>
      <c r="BA260" s="31"/>
      <c r="BP260" s="27" t="s">
        <v>7</v>
      </c>
      <c r="BQ260" s="27" t="s">
        <v>8</v>
      </c>
      <c r="BR260" s="27" t="s">
        <v>7</v>
      </c>
      <c r="BU260" s="27" t="s">
        <v>8</v>
      </c>
      <c r="BV260" s="27" t="s">
        <v>7</v>
      </c>
      <c r="BW260" s="27" t="s">
        <v>8</v>
      </c>
      <c r="BX260" s="27" t="s">
        <v>7</v>
      </c>
      <c r="CG260" s="31"/>
      <c r="CU260" s="27" t="s">
        <v>8</v>
      </c>
      <c r="CW260" s="27" t="s">
        <v>8</v>
      </c>
      <c r="CX260" s="27" t="s">
        <v>7</v>
      </c>
      <c r="CY260" s="27" t="s">
        <v>8</v>
      </c>
      <c r="CZ260" s="27" t="s">
        <v>7</v>
      </c>
      <c r="DA260" s="27" t="s">
        <v>8</v>
      </c>
      <c r="DB260" s="27" t="s">
        <v>7</v>
      </c>
      <c r="DC260" s="27" t="s">
        <v>8</v>
      </c>
      <c r="DD260" s="27" t="s">
        <v>7</v>
      </c>
      <c r="DI260" s="27" t="s">
        <v>8</v>
      </c>
      <c r="DJ260" s="27" t="s">
        <v>7</v>
      </c>
      <c r="DK260" s="27" t="s">
        <v>8</v>
      </c>
      <c r="DL260" s="27" t="s">
        <v>7</v>
      </c>
      <c r="DM260" s="27" t="s">
        <v>8</v>
      </c>
      <c r="DN260" s="27" t="s">
        <v>7</v>
      </c>
      <c r="DO260" s="27" t="s">
        <v>8</v>
      </c>
      <c r="DQ260" s="27" t="s">
        <v>8</v>
      </c>
      <c r="DR260" s="27" t="s">
        <v>7</v>
      </c>
    </row>
    <row r="261" spans="1:130" x14ac:dyDescent="0.25">
      <c r="A261" s="30">
        <v>0.35894236464094997</v>
      </c>
      <c r="B261"/>
      <c r="C261"/>
      <c r="D261"/>
      <c r="E261"/>
      <c r="F261" s="27" t="s">
        <v>7</v>
      </c>
      <c r="AA261" s="27" t="s">
        <v>8</v>
      </c>
      <c r="AB261" s="27" t="s">
        <v>7</v>
      </c>
      <c r="AC261" s="27" t="s">
        <v>8</v>
      </c>
      <c r="AQ261" s="27" t="s">
        <v>8</v>
      </c>
      <c r="AZ261" s="31"/>
      <c r="BP261" s="27" t="s">
        <v>7</v>
      </c>
      <c r="BQ261" s="27" t="s">
        <v>8</v>
      </c>
      <c r="BR261" s="27" t="s">
        <v>7</v>
      </c>
      <c r="BU261" s="27" t="s">
        <v>8</v>
      </c>
      <c r="BV261" s="27" t="s">
        <v>7</v>
      </c>
      <c r="BX261" s="27" t="s">
        <v>7</v>
      </c>
      <c r="CH261" s="31"/>
      <c r="CS261" s="27" t="s">
        <v>8</v>
      </c>
      <c r="CU261" s="27" t="s">
        <v>8</v>
      </c>
      <c r="CV261" s="27" t="s">
        <v>7</v>
      </c>
      <c r="CW261" s="27" t="s">
        <v>8</v>
      </c>
      <c r="CX261" s="27" t="s">
        <v>7</v>
      </c>
      <c r="CY261" s="27" t="s">
        <v>8</v>
      </c>
      <c r="CZ261" s="27" t="s">
        <v>7</v>
      </c>
      <c r="DA261" s="27" t="s">
        <v>8</v>
      </c>
      <c r="DB261" s="27" t="s">
        <v>7</v>
      </c>
      <c r="DD261" s="27" t="s">
        <v>7</v>
      </c>
      <c r="DG261" s="27" t="s">
        <v>8</v>
      </c>
      <c r="DI261" s="27" t="s">
        <v>8</v>
      </c>
      <c r="DJ261" s="27" t="s">
        <v>7</v>
      </c>
      <c r="DK261" s="27" t="s">
        <v>8</v>
      </c>
      <c r="DL261" s="27" t="s">
        <v>7</v>
      </c>
      <c r="DM261" s="27" t="s">
        <v>8</v>
      </c>
      <c r="DN261" s="27" t="s">
        <v>7</v>
      </c>
      <c r="DO261" s="27" t="s">
        <v>8</v>
      </c>
      <c r="DP261" s="27" t="s">
        <v>7</v>
      </c>
      <c r="DQ261" s="27" t="s">
        <v>8</v>
      </c>
      <c r="DR261" s="27" t="s">
        <v>7</v>
      </c>
    </row>
    <row r="262" spans="1:130" x14ac:dyDescent="0.25">
      <c r="A262" s="30">
        <v>0.34184987108661891</v>
      </c>
      <c r="B262"/>
      <c r="C262"/>
      <c r="D262"/>
      <c r="E262"/>
      <c r="F262" s="27" t="s">
        <v>7</v>
      </c>
      <c r="AA262" s="27" t="s">
        <v>8</v>
      </c>
      <c r="AB262" s="27" t="s">
        <v>7</v>
      </c>
      <c r="AC262" s="27" t="s">
        <v>8</v>
      </c>
      <c r="AD262" s="27" t="s">
        <v>7</v>
      </c>
      <c r="AQ262" s="27" t="s">
        <v>8</v>
      </c>
      <c r="AY262" s="31"/>
      <c r="BP262" s="27" t="s">
        <v>7</v>
      </c>
      <c r="BQ262" s="27" t="s">
        <v>8</v>
      </c>
      <c r="BR262" s="27" t="s">
        <v>7</v>
      </c>
      <c r="BS262" s="27" t="s">
        <v>8</v>
      </c>
      <c r="BU262" s="27" t="s">
        <v>8</v>
      </c>
      <c r="BX262" s="27" t="s">
        <v>7</v>
      </c>
      <c r="BY262" s="27" t="s">
        <v>8</v>
      </c>
      <c r="CI262" s="31"/>
      <c r="CS262" s="27" t="s">
        <v>8</v>
      </c>
      <c r="CT262" s="27" t="s">
        <v>7</v>
      </c>
      <c r="CU262" s="27" t="s">
        <v>8</v>
      </c>
      <c r="CV262" s="27" t="s">
        <v>7</v>
      </c>
      <c r="CW262" s="27" t="s">
        <v>8</v>
      </c>
      <c r="CX262" s="27" t="s">
        <v>7</v>
      </c>
      <c r="CY262" s="27" t="s">
        <v>8</v>
      </c>
      <c r="CZ262" s="27" t="s">
        <v>7</v>
      </c>
      <c r="DD262" s="27" t="s">
        <v>7</v>
      </c>
      <c r="DE262" s="27" t="s">
        <v>8</v>
      </c>
      <c r="DG262" s="27" t="s">
        <v>8</v>
      </c>
      <c r="DH262" s="27" t="s">
        <v>7</v>
      </c>
      <c r="DI262" s="27" t="s">
        <v>8</v>
      </c>
      <c r="DJ262" s="27" t="s">
        <v>7</v>
      </c>
      <c r="DK262" s="27" t="s">
        <v>8</v>
      </c>
      <c r="DL262" s="27" t="s">
        <v>7</v>
      </c>
      <c r="DM262" s="27" t="s">
        <v>8</v>
      </c>
      <c r="DN262" s="27" t="s">
        <v>7</v>
      </c>
      <c r="DO262" s="27" t="s">
        <v>8</v>
      </c>
      <c r="DP262" s="27" t="s">
        <v>7</v>
      </c>
      <c r="DQ262" s="27" t="s">
        <v>8</v>
      </c>
      <c r="DR262" s="27" t="s">
        <v>7</v>
      </c>
    </row>
    <row r="263" spans="1:130" x14ac:dyDescent="0.25">
      <c r="A263" s="30">
        <v>0.32557130579677979</v>
      </c>
      <c r="B263"/>
      <c r="C263"/>
      <c r="D263"/>
      <c r="E263"/>
      <c r="F263" s="27" t="s">
        <v>7</v>
      </c>
      <c r="AA263" s="27" t="s">
        <v>8</v>
      </c>
      <c r="AB263" s="27" t="s">
        <v>7</v>
      </c>
      <c r="AC263" s="27" t="s">
        <v>8</v>
      </c>
      <c r="AD263" s="27" t="s">
        <v>7</v>
      </c>
      <c r="AE263" s="27" t="s">
        <v>8</v>
      </c>
      <c r="AG263" s="27" t="s">
        <v>8</v>
      </c>
      <c r="AO263" s="27" t="s">
        <v>8</v>
      </c>
      <c r="AQ263" s="27" t="s">
        <v>8</v>
      </c>
      <c r="AX263" s="31"/>
      <c r="BP263" s="27" t="s">
        <v>7</v>
      </c>
      <c r="BQ263" s="27" t="s">
        <v>8</v>
      </c>
      <c r="BR263" s="27" t="s">
        <v>7</v>
      </c>
      <c r="BS263" s="27" t="s">
        <v>8</v>
      </c>
      <c r="BT263" s="27" t="s">
        <v>7</v>
      </c>
      <c r="BU263" s="27" t="s">
        <v>8</v>
      </c>
      <c r="BX263" s="27" t="s">
        <v>7</v>
      </c>
      <c r="BY263" s="27" t="s">
        <v>8</v>
      </c>
      <c r="BZ263" s="27" t="s">
        <v>7</v>
      </c>
      <c r="CA263" s="27" t="s">
        <v>8</v>
      </c>
      <c r="CJ263" s="31"/>
      <c r="CQ263" s="27" t="s">
        <v>8</v>
      </c>
      <c r="CS263" s="27" t="s">
        <v>8</v>
      </c>
      <c r="CT263" s="27" t="s">
        <v>7</v>
      </c>
      <c r="CU263" s="27" t="s">
        <v>8</v>
      </c>
      <c r="CV263" s="27" t="s">
        <v>7</v>
      </c>
      <c r="CW263" s="27" t="s">
        <v>8</v>
      </c>
      <c r="CX263" s="27" t="s">
        <v>7</v>
      </c>
      <c r="DD263" s="27" t="s">
        <v>7</v>
      </c>
      <c r="DE263" s="27" t="s">
        <v>8</v>
      </c>
      <c r="DF263" s="27" t="s">
        <v>7</v>
      </c>
      <c r="DG263" s="27" t="s">
        <v>8</v>
      </c>
      <c r="DH263" s="27" t="s">
        <v>7</v>
      </c>
      <c r="DI263" s="27" t="s">
        <v>8</v>
      </c>
      <c r="DJ263" s="27" t="s">
        <v>7</v>
      </c>
      <c r="DK263" s="27" t="s">
        <v>8</v>
      </c>
      <c r="DL263" s="27" t="s">
        <v>7</v>
      </c>
      <c r="DN263" s="27" t="s">
        <v>7</v>
      </c>
      <c r="DP263" s="27" t="s">
        <v>7</v>
      </c>
      <c r="DQ263" s="27" t="s">
        <v>8</v>
      </c>
      <c r="DR263" s="27" t="s">
        <v>7</v>
      </c>
    </row>
    <row r="264" spans="1:130" x14ac:dyDescent="0.25">
      <c r="A264" s="30">
        <v>0.3100679102826473</v>
      </c>
      <c r="B264"/>
      <c r="C264"/>
      <c r="D264"/>
      <c r="E264"/>
      <c r="F264" s="27" t="s">
        <v>7</v>
      </c>
      <c r="AA264" s="27" t="s">
        <v>8</v>
      </c>
      <c r="AB264" s="27" t="s">
        <v>7</v>
      </c>
      <c r="AC264" s="27" t="s">
        <v>8</v>
      </c>
      <c r="AD264" s="27" t="s">
        <v>7</v>
      </c>
      <c r="AE264" s="27" t="s">
        <v>8</v>
      </c>
      <c r="AF264" s="27" t="s">
        <v>7</v>
      </c>
      <c r="AG264" s="27" t="s">
        <v>8</v>
      </c>
      <c r="AH264" s="27" t="s">
        <v>7</v>
      </c>
      <c r="AI264" s="27" t="s">
        <v>8</v>
      </c>
      <c r="AO264" s="27" t="s">
        <v>8</v>
      </c>
      <c r="AP264" s="27" t="s">
        <v>7</v>
      </c>
      <c r="AQ264" s="27" t="s">
        <v>8</v>
      </c>
      <c r="AW264" s="31"/>
      <c r="BP264" s="27" t="s">
        <v>7</v>
      </c>
      <c r="BR264" s="27" t="s">
        <v>7</v>
      </c>
      <c r="BS264" s="27" t="s">
        <v>8</v>
      </c>
      <c r="BT264" s="27" t="s">
        <v>7</v>
      </c>
      <c r="BU264" s="27" t="s">
        <v>8</v>
      </c>
      <c r="BX264" s="27" t="s">
        <v>7</v>
      </c>
      <c r="BY264" s="27" t="s">
        <v>8</v>
      </c>
      <c r="BZ264" s="27" t="s">
        <v>7</v>
      </c>
      <c r="CA264" s="27" t="s">
        <v>8</v>
      </c>
      <c r="CB264" s="27" t="s">
        <v>7</v>
      </c>
      <c r="CK264" s="31"/>
      <c r="CO264" s="27" t="s">
        <v>8</v>
      </c>
      <c r="CQ264" s="27" t="s">
        <v>8</v>
      </c>
      <c r="CR264" s="27" t="s">
        <v>7</v>
      </c>
      <c r="CS264" s="27" t="s">
        <v>8</v>
      </c>
      <c r="CT264" s="27" t="s">
        <v>7</v>
      </c>
      <c r="CU264" s="27" t="s">
        <v>8</v>
      </c>
      <c r="CV264" s="27" t="s">
        <v>7</v>
      </c>
      <c r="DD264" s="27" t="s">
        <v>7</v>
      </c>
      <c r="DE264" s="27" t="s">
        <v>8</v>
      </c>
      <c r="DF264" s="27" t="s">
        <v>7</v>
      </c>
      <c r="DG264" s="27" t="s">
        <v>8</v>
      </c>
      <c r="DH264" s="27" t="s">
        <v>7</v>
      </c>
      <c r="DI264" s="27" t="s">
        <v>8</v>
      </c>
      <c r="DJ264" s="27" t="s">
        <v>7</v>
      </c>
      <c r="DK264" s="27" t="s">
        <v>8</v>
      </c>
      <c r="DP264" s="27" t="s">
        <v>7</v>
      </c>
      <c r="DR264" s="27" t="s">
        <v>7</v>
      </c>
    </row>
    <row r="265" spans="1:130" x14ac:dyDescent="0.25">
      <c r="A265" s="30">
        <v>0.2953027716977592</v>
      </c>
      <c r="B265"/>
      <c r="C265"/>
      <c r="D265"/>
      <c r="E265"/>
      <c r="F265" s="27" t="s">
        <v>7</v>
      </c>
      <c r="AA265" s="27" t="s">
        <v>8</v>
      </c>
      <c r="AB265" s="27" t="s">
        <v>7</v>
      </c>
      <c r="AD265" s="27" t="s">
        <v>7</v>
      </c>
      <c r="AE265" s="27" t="s">
        <v>8</v>
      </c>
      <c r="AF265" s="27" t="s">
        <v>7</v>
      </c>
      <c r="AG265" s="27" t="s">
        <v>8</v>
      </c>
      <c r="AH265" s="27" t="s">
        <v>7</v>
      </c>
      <c r="AI265" s="27" t="s">
        <v>8</v>
      </c>
      <c r="AJ265" s="27" t="s">
        <v>7</v>
      </c>
      <c r="AO265" s="27" t="s">
        <v>8</v>
      </c>
      <c r="AP265" s="27" t="s">
        <v>7</v>
      </c>
      <c r="AQ265" s="27" t="s">
        <v>8</v>
      </c>
      <c r="AV265" s="31"/>
      <c r="BR265" s="27" t="s">
        <v>7</v>
      </c>
      <c r="BS265" s="27" t="s">
        <v>8</v>
      </c>
      <c r="BT265" s="27" t="s">
        <v>7</v>
      </c>
      <c r="BU265" s="27" t="s">
        <v>8</v>
      </c>
      <c r="BX265" s="27" t="s">
        <v>7</v>
      </c>
      <c r="BZ265" s="27" t="s">
        <v>7</v>
      </c>
      <c r="CA265" s="27" t="s">
        <v>8</v>
      </c>
      <c r="CB265" s="27" t="s">
        <v>7</v>
      </c>
      <c r="CL265" s="31"/>
      <c r="CM265" s="27" t="s">
        <v>8</v>
      </c>
      <c r="CO265" s="27" t="s">
        <v>8</v>
      </c>
      <c r="CP265" s="27" t="s">
        <v>7</v>
      </c>
      <c r="CQ265" s="27" t="s">
        <v>8</v>
      </c>
      <c r="CR265" s="27" t="s">
        <v>7</v>
      </c>
      <c r="CS265" s="27" t="s">
        <v>8</v>
      </c>
      <c r="CT265" s="27" t="s">
        <v>7</v>
      </c>
      <c r="DD265" s="27" t="s">
        <v>7</v>
      </c>
      <c r="DF265" s="27" t="s">
        <v>7</v>
      </c>
      <c r="DG265" s="27" t="s">
        <v>8</v>
      </c>
      <c r="DH265" s="27" t="s">
        <v>7</v>
      </c>
      <c r="DI265" s="27" t="s">
        <v>8</v>
      </c>
      <c r="DJ265" s="27" t="s">
        <v>7</v>
      </c>
      <c r="DK265" s="27" t="s">
        <v>8</v>
      </c>
      <c r="DR265" s="27" t="s">
        <v>7</v>
      </c>
    </row>
    <row r="266" spans="1:130" x14ac:dyDescent="0.25">
      <c r="A266" s="30">
        <v>0.28124073495024676</v>
      </c>
      <c r="B266"/>
      <c r="C266"/>
      <c r="D266"/>
      <c r="E266"/>
      <c r="F266" s="27" t="s">
        <v>7</v>
      </c>
      <c r="AA266" s="27" t="s">
        <v>8</v>
      </c>
      <c r="AD266" s="27" t="s">
        <v>7</v>
      </c>
      <c r="AE266" s="27" t="s">
        <v>8</v>
      </c>
      <c r="AF266" s="27" t="s">
        <v>7</v>
      </c>
      <c r="AG266" s="27" t="s">
        <v>8</v>
      </c>
      <c r="AH266" s="27" t="s">
        <v>7</v>
      </c>
      <c r="AI266" s="27" t="s">
        <v>8</v>
      </c>
      <c r="AJ266" s="27" t="s">
        <v>7</v>
      </c>
      <c r="AO266" s="27" t="s">
        <v>8</v>
      </c>
      <c r="AP266" s="27" t="s">
        <v>7</v>
      </c>
      <c r="AQ266" s="27" t="s">
        <v>8</v>
      </c>
      <c r="AU266" s="31"/>
      <c r="BR266" s="27" t="s">
        <v>7</v>
      </c>
      <c r="BS266" s="27" t="s">
        <v>8</v>
      </c>
      <c r="BT266" s="27" t="s">
        <v>7</v>
      </c>
      <c r="BZ266" s="27" t="s">
        <v>7</v>
      </c>
      <c r="CA266" s="27" t="s">
        <v>8</v>
      </c>
      <c r="CB266" s="27" t="s">
        <v>7</v>
      </c>
      <c r="CM266" s="31" t="s">
        <v>8</v>
      </c>
      <c r="CN266" s="27" t="s">
        <v>7</v>
      </c>
      <c r="CO266" s="27" t="s">
        <v>8</v>
      </c>
      <c r="CP266" s="27" t="s">
        <v>7</v>
      </c>
      <c r="CQ266" s="27" t="s">
        <v>8</v>
      </c>
      <c r="CR266" s="27" t="s">
        <v>7</v>
      </c>
      <c r="DF266" s="27" t="s">
        <v>7</v>
      </c>
      <c r="DG266" s="27" t="s">
        <v>8</v>
      </c>
      <c r="DH266" s="27" t="s">
        <v>7</v>
      </c>
      <c r="DJ266" s="27" t="s">
        <v>7</v>
      </c>
      <c r="DR266" s="27" t="s">
        <v>7</v>
      </c>
    </row>
    <row r="267" spans="1:130" x14ac:dyDescent="0.25">
      <c r="A267" s="30">
        <v>0.26784831900023492</v>
      </c>
      <c r="B267"/>
      <c r="C267"/>
      <c r="D267"/>
      <c r="E267"/>
      <c r="F267" s="27" t="s">
        <v>7</v>
      </c>
      <c r="AA267" s="27" t="s">
        <v>8</v>
      </c>
      <c r="AD267" s="27" t="s">
        <v>7</v>
      </c>
      <c r="AE267" s="27" t="s">
        <v>8</v>
      </c>
      <c r="AF267" s="27" t="s">
        <v>7</v>
      </c>
      <c r="AG267" s="27" t="s">
        <v>8</v>
      </c>
      <c r="AH267" s="27" t="s">
        <v>7</v>
      </c>
      <c r="AJ267" s="27" t="s">
        <v>7</v>
      </c>
      <c r="AK267" s="27" t="s">
        <v>8</v>
      </c>
      <c r="AO267" s="27" t="s">
        <v>8</v>
      </c>
      <c r="AP267" s="27" t="s">
        <v>7</v>
      </c>
      <c r="AT267" s="31"/>
      <c r="BR267" s="27" t="s">
        <v>7</v>
      </c>
      <c r="BS267" s="27" t="s">
        <v>8</v>
      </c>
      <c r="BZ267" s="27" t="s">
        <v>7</v>
      </c>
      <c r="CB267" s="27" t="s">
        <v>7</v>
      </c>
      <c r="CG267" s="27" t="s">
        <v>8</v>
      </c>
      <c r="CM267" s="27" t="s">
        <v>8</v>
      </c>
      <c r="CN267" s="31" t="s">
        <v>7</v>
      </c>
      <c r="CO267" s="27" t="s">
        <v>8</v>
      </c>
      <c r="CP267" s="27" t="s">
        <v>7</v>
      </c>
      <c r="DF267" s="27" t="s">
        <v>7</v>
      </c>
      <c r="DR267" s="27" t="s">
        <v>7</v>
      </c>
      <c r="DS267" s="27" t="s">
        <v>8</v>
      </c>
    </row>
    <row r="268" spans="1:130" x14ac:dyDescent="0.25">
      <c r="A268" s="30">
        <v>0.25509363714308075</v>
      </c>
      <c r="B268"/>
      <c r="C268"/>
      <c r="D268"/>
      <c r="E268"/>
      <c r="F268" s="27" t="s">
        <v>7</v>
      </c>
      <c r="AA268" s="27" t="s">
        <v>8</v>
      </c>
      <c r="AD268" s="27" t="s">
        <v>7</v>
      </c>
      <c r="AE268" s="27" t="s">
        <v>8</v>
      </c>
      <c r="AF268" s="27" t="s">
        <v>7</v>
      </c>
      <c r="AJ268" s="27" t="s">
        <v>7</v>
      </c>
      <c r="AK268" s="27" t="s">
        <v>8</v>
      </c>
      <c r="AL268" s="27" t="s">
        <v>7</v>
      </c>
      <c r="AO268" s="27" t="s">
        <v>8</v>
      </c>
      <c r="AS268" s="31"/>
      <c r="BR268" s="27" t="s">
        <v>7</v>
      </c>
      <c r="BS268" s="27" t="s">
        <v>8</v>
      </c>
      <c r="CB268" s="27" t="s">
        <v>7</v>
      </c>
      <c r="CE268" s="27" t="s">
        <v>8</v>
      </c>
      <c r="CG268" s="27" t="s">
        <v>8</v>
      </c>
      <c r="CH268" s="27" t="s">
        <v>7</v>
      </c>
      <c r="CK268" s="27" t="s">
        <v>8</v>
      </c>
      <c r="CM268" s="27" t="s">
        <v>8</v>
      </c>
      <c r="CN268" s="27" t="s">
        <v>7</v>
      </c>
      <c r="DR268" s="27" t="s">
        <v>7</v>
      </c>
      <c r="DS268" s="27" t="s">
        <v>8</v>
      </c>
      <c r="DT268" s="27" t="s">
        <v>7</v>
      </c>
      <c r="DY268" s="27" t="s">
        <v>8</v>
      </c>
    </row>
    <row r="269" spans="1:130" x14ac:dyDescent="0.25">
      <c r="A269" s="30">
        <v>0.24294632108864825</v>
      </c>
      <c r="B269"/>
      <c r="C269"/>
      <c r="D269"/>
      <c r="E269"/>
      <c r="F269" s="27" t="s">
        <v>7</v>
      </c>
      <c r="AA269" s="27" t="s">
        <v>8</v>
      </c>
      <c r="AD269" s="27" t="s">
        <v>7</v>
      </c>
      <c r="AE269" s="27" t="s">
        <v>8</v>
      </c>
      <c r="AJ269" s="27" t="s">
        <v>7</v>
      </c>
      <c r="AK269" s="27" t="s">
        <v>8</v>
      </c>
      <c r="AL269" s="27" t="s">
        <v>7</v>
      </c>
      <c r="AM269" s="27" t="s">
        <v>8</v>
      </c>
      <c r="AO269" s="27" t="s">
        <v>8</v>
      </c>
      <c r="AR269" s="31"/>
      <c r="BR269" s="27" t="s">
        <v>7</v>
      </c>
      <c r="BS269" s="27" t="s">
        <v>8</v>
      </c>
      <c r="CB269" s="27" t="s">
        <v>7</v>
      </c>
      <c r="CC269" s="27" t="s">
        <v>8</v>
      </c>
      <c r="CE269" s="27" t="s">
        <v>8</v>
      </c>
      <c r="CF269" s="27" t="s">
        <v>7</v>
      </c>
      <c r="CG269" s="27" t="s">
        <v>8</v>
      </c>
      <c r="CH269" s="27" t="s">
        <v>7</v>
      </c>
      <c r="CK269" s="27" t="s">
        <v>8</v>
      </c>
      <c r="CL269" s="27" t="s">
        <v>7</v>
      </c>
      <c r="CM269" s="27" t="s">
        <v>8</v>
      </c>
      <c r="DR269" s="27" t="s">
        <v>7</v>
      </c>
      <c r="DS269" s="27" t="s">
        <v>8</v>
      </c>
      <c r="DT269" s="27" t="s">
        <v>7</v>
      </c>
      <c r="DU269" s="27" t="s">
        <v>8</v>
      </c>
      <c r="DY269" s="27" t="s">
        <v>8</v>
      </c>
      <c r="DZ269" s="27" t="s">
        <v>7</v>
      </c>
    </row>
    <row r="270" spans="1:130" x14ac:dyDescent="0.25">
      <c r="A270" s="30">
        <v>0.23137744865585538</v>
      </c>
      <c r="B270"/>
      <c r="C270"/>
      <c r="D270"/>
      <c r="E270"/>
      <c r="F270" s="27" t="s">
        <v>7</v>
      </c>
      <c r="AA270" s="27" t="s">
        <v>8</v>
      </c>
      <c r="AD270" s="27" t="s">
        <v>7</v>
      </c>
      <c r="AJ270" s="27" t="s">
        <v>7</v>
      </c>
      <c r="AK270" s="27" t="s">
        <v>8</v>
      </c>
      <c r="AL270" s="27" t="s">
        <v>7</v>
      </c>
      <c r="AM270" s="27" t="s">
        <v>8</v>
      </c>
      <c r="AN270" s="27" t="s">
        <v>7</v>
      </c>
      <c r="AO270" s="27" t="s">
        <v>8</v>
      </c>
      <c r="AQ270" s="31"/>
      <c r="BR270" s="27" t="s">
        <v>7</v>
      </c>
      <c r="BS270" s="27" t="s">
        <v>8</v>
      </c>
      <c r="CB270" s="27" t="s">
        <v>7</v>
      </c>
      <c r="CC270" s="27" t="s">
        <v>8</v>
      </c>
      <c r="CD270" s="27" t="s">
        <v>7</v>
      </c>
      <c r="CE270" s="27" t="s">
        <v>8</v>
      </c>
      <c r="CF270" s="27" t="s">
        <v>7</v>
      </c>
      <c r="CG270" s="27" t="s">
        <v>8</v>
      </c>
      <c r="CH270" s="27" t="s">
        <v>7</v>
      </c>
      <c r="CK270" s="33" t="s">
        <v>8</v>
      </c>
      <c r="CL270" s="27" t="s">
        <v>7</v>
      </c>
      <c r="CM270" s="27" t="s">
        <v>8</v>
      </c>
      <c r="DR270" s="27" t="s">
        <v>7</v>
      </c>
      <c r="DS270" s="27" t="s">
        <v>8</v>
      </c>
      <c r="DT270" s="27" t="s">
        <v>7</v>
      </c>
      <c r="DU270" s="27" t="s">
        <v>8</v>
      </c>
      <c r="DV270" s="27" t="s">
        <v>7</v>
      </c>
      <c r="DY270" s="27" t="s">
        <v>8</v>
      </c>
      <c r="DZ270" s="27" t="s">
        <v>7</v>
      </c>
    </row>
    <row r="271" spans="1:130" x14ac:dyDescent="0.25">
      <c r="A271" s="30">
        <v>0.22035947491033836</v>
      </c>
      <c r="B271"/>
      <c r="C271"/>
      <c r="D271"/>
      <c r="E271"/>
      <c r="F271" s="27" t="s">
        <v>7</v>
      </c>
      <c r="AA271" s="27" t="s">
        <v>8</v>
      </c>
      <c r="AJ271" s="27" t="s">
        <v>7</v>
      </c>
      <c r="AK271" s="27" t="s">
        <v>8</v>
      </c>
      <c r="AL271" s="27" t="s">
        <v>7</v>
      </c>
      <c r="AM271" s="27" t="s">
        <v>8</v>
      </c>
      <c r="AN271" s="27" t="s">
        <v>7</v>
      </c>
      <c r="AO271" s="27" t="s">
        <v>8</v>
      </c>
      <c r="AP271" s="31"/>
      <c r="BR271" s="27" t="s">
        <v>7</v>
      </c>
      <c r="BS271" s="27" t="s">
        <v>8</v>
      </c>
      <c r="CB271" s="27" t="s">
        <v>7</v>
      </c>
      <c r="CC271" s="27" t="s">
        <v>8</v>
      </c>
      <c r="CD271" s="27" t="s">
        <v>7</v>
      </c>
      <c r="CE271" s="27" t="s">
        <v>8</v>
      </c>
      <c r="CF271" s="27" t="s">
        <v>7</v>
      </c>
      <c r="CH271" s="27" t="s">
        <v>7</v>
      </c>
      <c r="CI271" s="27" t="s">
        <v>8</v>
      </c>
      <c r="CK271" s="27" t="s">
        <v>8</v>
      </c>
      <c r="CL271" s="27" t="s">
        <v>7</v>
      </c>
      <c r="DR271" s="27" t="s">
        <v>7</v>
      </c>
      <c r="DS271" s="27" t="s">
        <v>8</v>
      </c>
      <c r="DT271" s="27" t="s">
        <v>7</v>
      </c>
      <c r="DU271" s="27" t="s">
        <v>8</v>
      </c>
      <c r="DV271" s="27" t="s">
        <v>7</v>
      </c>
      <c r="DW271" s="27" t="s">
        <v>8</v>
      </c>
      <c r="DY271" s="27" t="s">
        <v>8</v>
      </c>
      <c r="DZ271" s="27" t="s">
        <v>7</v>
      </c>
    </row>
    <row r="272" spans="1:130" x14ac:dyDescent="0.25">
      <c r="A272" s="30">
        <v>0.20986616658127455</v>
      </c>
      <c r="B272"/>
      <c r="C272"/>
      <c r="D272"/>
      <c r="E272"/>
      <c r="F272" s="27" t="s">
        <v>7</v>
      </c>
      <c r="AA272" s="27" t="s">
        <v>8</v>
      </c>
      <c r="AJ272" s="27" t="s">
        <v>7</v>
      </c>
      <c r="AK272" s="27" t="s">
        <v>8</v>
      </c>
      <c r="AL272" s="27" t="s">
        <v>7</v>
      </c>
      <c r="AM272" s="27" t="s">
        <v>8</v>
      </c>
      <c r="AN272" s="31" t="s">
        <v>7</v>
      </c>
      <c r="AO272" s="31" t="s">
        <v>8</v>
      </c>
      <c r="BR272" s="27" t="s">
        <v>7</v>
      </c>
      <c r="CB272" s="27" t="s">
        <v>7</v>
      </c>
      <c r="CC272" s="27" t="s">
        <v>8</v>
      </c>
      <c r="CD272" s="27" t="s">
        <v>7</v>
      </c>
      <c r="CE272" s="27" t="s">
        <v>8</v>
      </c>
      <c r="CH272" s="34" t="s">
        <v>7</v>
      </c>
      <c r="CI272" s="27" t="s">
        <v>8</v>
      </c>
      <c r="CJ272" s="27" t="s">
        <v>7</v>
      </c>
      <c r="CK272" s="27" t="s">
        <v>8</v>
      </c>
      <c r="DR272" s="27" t="s">
        <v>7</v>
      </c>
      <c r="DS272" s="27" t="s">
        <v>8</v>
      </c>
      <c r="DT272" s="27" t="s">
        <v>7</v>
      </c>
      <c r="DV272" s="27" t="s">
        <v>7</v>
      </c>
      <c r="DW272" s="27" t="s">
        <v>8</v>
      </c>
      <c r="DX272" s="27" t="s">
        <v>7</v>
      </c>
      <c r="DY272" s="27" t="s">
        <v>8</v>
      </c>
      <c r="DZ272" s="27" t="s">
        <v>7</v>
      </c>
    </row>
    <row r="273" spans="1:135" x14ac:dyDescent="0.25">
      <c r="A273" s="30">
        <v>0.19987253960121379</v>
      </c>
      <c r="B273"/>
      <c r="C273"/>
      <c r="D273"/>
      <c r="E273"/>
      <c r="F273" s="27" t="s">
        <v>7</v>
      </c>
      <c r="AA273" s="27" t="s">
        <v>8</v>
      </c>
      <c r="AJ273" s="27" t="s">
        <v>7</v>
      </c>
      <c r="AK273" s="27" t="s">
        <v>8</v>
      </c>
      <c r="AL273" s="27" t="s">
        <v>7</v>
      </c>
      <c r="AM273" s="31"/>
      <c r="AN273" s="27" t="s">
        <v>7</v>
      </c>
      <c r="CB273" s="27" t="s">
        <v>7</v>
      </c>
      <c r="CC273" s="27" t="s">
        <v>8</v>
      </c>
      <c r="CD273" s="27" t="s">
        <v>7</v>
      </c>
      <c r="CE273" s="27" t="s">
        <v>8</v>
      </c>
      <c r="CH273" s="27" t="s">
        <v>7</v>
      </c>
      <c r="CI273" s="27" t="s">
        <v>8</v>
      </c>
      <c r="CJ273" s="27" t="s">
        <v>7</v>
      </c>
      <c r="CK273" s="27" t="s">
        <v>8</v>
      </c>
      <c r="DR273" s="27" t="s">
        <v>7</v>
      </c>
      <c r="DS273" s="27" t="s">
        <v>8</v>
      </c>
      <c r="DV273" s="27" t="s">
        <v>7</v>
      </c>
      <c r="DW273" s="27" t="s">
        <v>8</v>
      </c>
      <c r="DX273" s="27" t="s">
        <v>7</v>
      </c>
      <c r="DY273" s="27" t="s">
        <v>8</v>
      </c>
      <c r="DZ273" s="27" t="s">
        <v>7</v>
      </c>
    </row>
    <row r="274" spans="1:135" x14ac:dyDescent="0.25">
      <c r="A274" s="30">
        <v>0.19035479962020352</v>
      </c>
      <c r="B274"/>
      <c r="C274"/>
      <c r="D274"/>
      <c r="E274"/>
      <c r="F274" s="27" t="s">
        <v>7</v>
      </c>
      <c r="AA274" s="27" t="s">
        <v>8</v>
      </c>
      <c r="AJ274" s="27" t="s">
        <v>7</v>
      </c>
      <c r="AL274" s="31"/>
      <c r="CB274" s="27" t="s">
        <v>7</v>
      </c>
      <c r="CC274" s="27" t="s">
        <v>8</v>
      </c>
      <c r="CD274" s="27" t="s">
        <v>7</v>
      </c>
      <c r="CH274" s="27" t="s">
        <v>7</v>
      </c>
      <c r="CJ274" s="18" t="s">
        <v>7</v>
      </c>
      <c r="CK274" s="27" t="s">
        <v>8</v>
      </c>
      <c r="DR274" s="27" t="s">
        <v>7</v>
      </c>
      <c r="DS274" s="27" t="s">
        <v>8</v>
      </c>
      <c r="DV274" s="27" t="s">
        <v>7</v>
      </c>
      <c r="DX274" s="27" t="s">
        <v>7</v>
      </c>
      <c r="DZ274" s="27" t="s">
        <v>7</v>
      </c>
    </row>
    <row r="275" spans="1:135" x14ac:dyDescent="0.25">
      <c r="A275" s="30">
        <v>0.18129028535257471</v>
      </c>
      <c r="B275"/>
      <c r="C275"/>
      <c r="D275"/>
      <c r="E275"/>
      <c r="F275" s="27" t="s">
        <v>7</v>
      </c>
      <c r="Y275" s="27" t="s">
        <v>8</v>
      </c>
      <c r="AA275" s="27" t="s">
        <v>8</v>
      </c>
      <c r="AK275" s="31"/>
      <c r="CB275" s="27" t="s">
        <v>7</v>
      </c>
      <c r="CJ275" s="27" t="s">
        <v>7</v>
      </c>
      <c r="CK275" s="27" t="s">
        <v>8</v>
      </c>
      <c r="DR275" s="27" t="s">
        <v>7</v>
      </c>
      <c r="DS275" s="27" t="s">
        <v>8</v>
      </c>
      <c r="DZ275" s="27" t="s">
        <v>7</v>
      </c>
      <c r="EA275" s="27" t="s">
        <v>8</v>
      </c>
    </row>
    <row r="276" spans="1:135" x14ac:dyDescent="0.25">
      <c r="A276" s="30">
        <v>0.17265741462149967</v>
      </c>
      <c r="B276"/>
      <c r="C276"/>
      <c r="D276"/>
      <c r="E276"/>
      <c r="F276" s="27" t="s">
        <v>7</v>
      </c>
      <c r="Y276" s="27" t="s">
        <v>8</v>
      </c>
      <c r="Z276" s="27" t="s">
        <v>7</v>
      </c>
      <c r="AA276" s="27" t="s">
        <v>8</v>
      </c>
      <c r="AJ276" s="31"/>
      <c r="CJ276" s="27" t="s">
        <v>7</v>
      </c>
      <c r="DR276" s="27" t="s">
        <v>7</v>
      </c>
      <c r="DZ276" s="27" t="s">
        <v>7</v>
      </c>
      <c r="EA276" s="27" t="s">
        <v>8</v>
      </c>
      <c r="EB276" s="27" t="s">
        <v>7</v>
      </c>
    </row>
    <row r="277" spans="1:135" x14ac:dyDescent="0.25">
      <c r="A277" s="30">
        <v>0.16443563297285677</v>
      </c>
      <c r="B277"/>
      <c r="C277"/>
      <c r="D277"/>
      <c r="E277"/>
      <c r="F277" s="27" t="s">
        <v>7</v>
      </c>
      <c r="W277" s="27" t="s">
        <v>8</v>
      </c>
      <c r="Y277" s="27" t="s">
        <v>8</v>
      </c>
      <c r="Z277" s="27" t="s">
        <v>7</v>
      </c>
      <c r="AA277" s="27" t="s">
        <v>8</v>
      </c>
      <c r="AI277" s="31"/>
      <c r="DZ277" s="27" t="s">
        <v>7</v>
      </c>
      <c r="EA277" s="27" t="s">
        <v>8</v>
      </c>
      <c r="EB277" s="27" t="s">
        <v>7</v>
      </c>
    </row>
    <row r="278" spans="1:135" x14ac:dyDescent="0.25">
      <c r="A278" s="30">
        <v>0.15660536473605399</v>
      </c>
      <c r="B278"/>
      <c r="C278"/>
      <c r="D278"/>
      <c r="E278"/>
      <c r="F278" s="27" t="s">
        <v>7</v>
      </c>
      <c r="G278" s="27" t="s">
        <v>8</v>
      </c>
      <c r="U278" s="27" t="s">
        <v>8</v>
      </c>
      <c r="W278" s="27" t="s">
        <v>8</v>
      </c>
      <c r="X278" s="27" t="s">
        <v>7</v>
      </c>
      <c r="Y278" s="27" t="s">
        <v>8</v>
      </c>
      <c r="Z278" s="27" t="s">
        <v>7</v>
      </c>
      <c r="AA278" s="27" t="s">
        <v>8</v>
      </c>
      <c r="AH278" s="31"/>
      <c r="DZ278" s="27" t="s">
        <v>7</v>
      </c>
      <c r="EA278" s="27" t="s">
        <v>8</v>
      </c>
      <c r="EB278" s="27" t="s">
        <v>7</v>
      </c>
    </row>
    <row r="279" spans="1:135" x14ac:dyDescent="0.25">
      <c r="A279" s="30">
        <v>0.14914796641528946</v>
      </c>
      <c r="B279"/>
      <c r="C279"/>
      <c r="D279"/>
      <c r="E279"/>
      <c r="F279" s="27" t="s">
        <v>7</v>
      </c>
      <c r="G279" s="27" t="s">
        <v>8</v>
      </c>
      <c r="H279" s="27" t="s">
        <v>7</v>
      </c>
      <c r="K279" s="27" t="s">
        <v>8</v>
      </c>
      <c r="S279" s="27" t="s">
        <v>8</v>
      </c>
      <c r="U279" s="27" t="s">
        <v>8</v>
      </c>
      <c r="V279" s="27" t="s">
        <v>7</v>
      </c>
      <c r="W279" s="27" t="s">
        <v>8</v>
      </c>
      <c r="X279" s="27" t="s">
        <v>7</v>
      </c>
      <c r="Y279" s="27" t="s">
        <v>8</v>
      </c>
      <c r="Z279" s="27" t="s">
        <v>7</v>
      </c>
      <c r="AG279" s="31"/>
      <c r="DZ279" s="27" t="s">
        <v>7</v>
      </c>
      <c r="EB279" s="27" t="s">
        <v>7</v>
      </c>
    </row>
    <row r="280" spans="1:135" x14ac:dyDescent="0.25">
      <c r="A280" s="30">
        <v>0.14204568230027562</v>
      </c>
      <c r="B280"/>
      <c r="C280"/>
      <c r="D280"/>
      <c r="E280"/>
      <c r="F280" s="27" t="s">
        <v>7</v>
      </c>
      <c r="G280" s="27" t="s">
        <v>8</v>
      </c>
      <c r="H280" s="27" t="s">
        <v>7</v>
      </c>
      <c r="K280" s="27" t="s">
        <v>8</v>
      </c>
      <c r="L280" s="27" t="s">
        <v>7</v>
      </c>
      <c r="S280" s="27" t="s">
        <v>8</v>
      </c>
      <c r="T280" s="27" t="s">
        <v>7</v>
      </c>
      <c r="U280" s="27" t="s">
        <v>8</v>
      </c>
      <c r="V280" s="27" t="s">
        <v>7</v>
      </c>
      <c r="W280" s="27" t="s">
        <v>8</v>
      </c>
      <c r="X280" s="27" t="s">
        <v>7</v>
      </c>
      <c r="Y280" s="27" t="s">
        <v>8</v>
      </c>
      <c r="AF280" s="31"/>
      <c r="EB280" s="27" t="s">
        <v>7</v>
      </c>
    </row>
    <row r="281" spans="1:135" x14ac:dyDescent="0.25">
      <c r="A281" s="30">
        <v>0.13528160219073862</v>
      </c>
      <c r="B281"/>
      <c r="C281"/>
      <c r="D281"/>
      <c r="E281"/>
      <c r="F281" s="27" t="s">
        <v>7</v>
      </c>
      <c r="G281" s="27" t="s">
        <v>8</v>
      </c>
      <c r="H281" s="27" t="s">
        <v>7</v>
      </c>
      <c r="I281" s="27" t="s">
        <v>8</v>
      </c>
      <c r="K281" s="27" t="s">
        <v>8</v>
      </c>
      <c r="L281" s="27" t="s">
        <v>7</v>
      </c>
      <c r="S281" s="27" t="s">
        <v>8</v>
      </c>
      <c r="T281" s="27" t="s">
        <v>7</v>
      </c>
      <c r="U281" s="27" t="s">
        <v>8</v>
      </c>
      <c r="V281" s="27" t="s">
        <v>7</v>
      </c>
      <c r="W281" s="27" t="s">
        <v>8</v>
      </c>
      <c r="X281" s="27" t="s">
        <v>7</v>
      </c>
      <c r="Y281" s="27" t="s">
        <v>8</v>
      </c>
      <c r="AE281" s="31"/>
      <c r="EB281" s="27" t="s">
        <v>7</v>
      </c>
    </row>
    <row r="282" spans="1:135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  <c r="H282" s="27" t="s">
        <v>7</v>
      </c>
      <c r="I282" s="27" t="s">
        <v>8</v>
      </c>
      <c r="J282" s="27" t="s">
        <v>7</v>
      </c>
      <c r="K282" s="27" t="s">
        <v>8</v>
      </c>
      <c r="L282" s="27" t="s">
        <v>7</v>
      </c>
      <c r="M282" s="27" t="s">
        <v>8</v>
      </c>
      <c r="S282" s="27" t="s">
        <v>8</v>
      </c>
      <c r="T282" s="27" t="s">
        <v>7</v>
      </c>
      <c r="V282" s="27" t="s">
        <v>7</v>
      </c>
      <c r="W282" s="27" t="s">
        <v>8</v>
      </c>
      <c r="X282" s="27" t="s">
        <v>7</v>
      </c>
      <c r="AD282" s="31"/>
      <c r="EB282" s="27" t="s">
        <v>7</v>
      </c>
      <c r="EE282" s="27" t="s">
        <v>8</v>
      </c>
    </row>
    <row r="283" spans="1:135" x14ac:dyDescent="0.25">
      <c r="A283" s="30">
        <v>0.12270440108003494</v>
      </c>
      <c r="B283"/>
      <c r="C283"/>
      <c r="D283"/>
      <c r="E283"/>
      <c r="F283" s="27" t="s">
        <v>7</v>
      </c>
      <c r="G283" s="27" t="s">
        <v>8</v>
      </c>
      <c r="H283" s="27" t="s">
        <v>7</v>
      </c>
      <c r="I283" s="27" t="s">
        <v>8</v>
      </c>
      <c r="J283" s="27" t="s">
        <v>7</v>
      </c>
      <c r="K283" s="27" t="s">
        <v>8</v>
      </c>
      <c r="L283" s="27" t="s">
        <v>7</v>
      </c>
      <c r="M283" s="27" t="s">
        <v>8</v>
      </c>
      <c r="N283" s="27" t="s">
        <v>7</v>
      </c>
      <c r="S283" s="27" t="s">
        <v>8</v>
      </c>
      <c r="V283" s="27" t="s">
        <v>7</v>
      </c>
      <c r="W283" s="27" t="s">
        <v>8</v>
      </c>
      <c r="AC283" s="31"/>
      <c r="EB283" s="27" t="s">
        <v>7</v>
      </c>
      <c r="EE283" s="27" t="s">
        <v>8</v>
      </c>
    </row>
    <row r="284" spans="1:135" x14ac:dyDescent="0.25">
      <c r="A284" s="30">
        <v>0.11686133436193799</v>
      </c>
      <c r="B284"/>
      <c r="C284"/>
      <c r="D284"/>
      <c r="E284"/>
      <c r="F284" s="27" t="s">
        <v>7</v>
      </c>
      <c r="G284" s="27" t="s">
        <v>8</v>
      </c>
      <c r="H284" s="27" t="s">
        <v>7</v>
      </c>
      <c r="I284" s="27" t="s">
        <v>8</v>
      </c>
      <c r="J284" s="27" t="s">
        <v>7</v>
      </c>
      <c r="K284" s="27" t="s">
        <v>8</v>
      </c>
      <c r="L284" s="27" t="s">
        <v>7</v>
      </c>
      <c r="M284" s="27" t="s">
        <v>8</v>
      </c>
      <c r="N284" s="27" t="s">
        <v>7</v>
      </c>
      <c r="Q284" s="27" t="s">
        <v>8</v>
      </c>
      <c r="S284" s="27" t="s">
        <v>8</v>
      </c>
      <c r="V284" s="27" t="s">
        <v>7</v>
      </c>
      <c r="W284" s="27" t="s">
        <v>8</v>
      </c>
      <c r="AB284" s="31"/>
      <c r="EB284" s="27" t="s">
        <v>7</v>
      </c>
      <c r="EC284" s="27" t="s">
        <v>8</v>
      </c>
      <c r="EE284" s="27" t="s">
        <v>8</v>
      </c>
    </row>
    <row r="285" spans="1:135" x14ac:dyDescent="0.25">
      <c r="A285" s="30">
        <v>0.11129650891613138</v>
      </c>
      <c r="B285"/>
      <c r="C285"/>
      <c r="D285"/>
      <c r="E285"/>
      <c r="F285" s="27" t="s">
        <v>7</v>
      </c>
      <c r="G285" s="27" t="s">
        <v>8</v>
      </c>
      <c r="H285" s="27" t="s">
        <v>7</v>
      </c>
      <c r="J285" s="27" t="s">
        <v>7</v>
      </c>
      <c r="L285" s="27" t="s">
        <v>7</v>
      </c>
      <c r="M285" s="27" t="s">
        <v>8</v>
      </c>
      <c r="N285" s="27" t="s">
        <v>7</v>
      </c>
      <c r="Q285" s="27" t="s">
        <v>8</v>
      </c>
      <c r="R285" s="27" t="s">
        <v>7</v>
      </c>
      <c r="S285" s="27" t="s">
        <v>8</v>
      </c>
      <c r="V285" s="27" t="s">
        <v>7</v>
      </c>
      <c r="W285" s="27" t="s">
        <v>8</v>
      </c>
      <c r="AA285" s="31"/>
      <c r="EB285" s="27" t="s">
        <v>7</v>
      </c>
      <c r="EC285" s="27" t="s">
        <v>8</v>
      </c>
      <c r="ED285" s="27" t="s">
        <v>7</v>
      </c>
      <c r="EE285" s="27" t="s">
        <v>8</v>
      </c>
    </row>
    <row r="286" spans="1:135" x14ac:dyDescent="0.25">
      <c r="A286" s="30">
        <v>0.10599667515822032</v>
      </c>
      <c r="B286"/>
      <c r="C286"/>
      <c r="D286"/>
      <c r="E286"/>
      <c r="F286" s="27" t="s">
        <v>7</v>
      </c>
      <c r="G286" s="27" t="s">
        <v>8</v>
      </c>
      <c r="L286" s="27" t="s">
        <v>7</v>
      </c>
      <c r="M286" s="27" t="s">
        <v>8</v>
      </c>
      <c r="N286" s="27" t="s">
        <v>7</v>
      </c>
      <c r="Q286" s="27" t="s">
        <v>8</v>
      </c>
      <c r="R286" s="27" t="s">
        <v>7</v>
      </c>
      <c r="S286" s="27" t="s">
        <v>8</v>
      </c>
      <c r="V286" s="27" t="s">
        <v>7</v>
      </c>
      <c r="W286" s="27" t="s">
        <v>8</v>
      </c>
      <c r="Z286" s="31"/>
      <c r="EB286" s="27" t="s">
        <v>7</v>
      </c>
      <c r="EC286" s="27" t="s">
        <v>8</v>
      </c>
      <c r="ED286" s="27" t="s">
        <v>7</v>
      </c>
      <c r="EE286" s="27" t="s">
        <v>8</v>
      </c>
    </row>
    <row r="287" spans="1:135" x14ac:dyDescent="0.25">
      <c r="A287" s="30">
        <v>0.10094921443640027</v>
      </c>
      <c r="B287"/>
      <c r="C287"/>
      <c r="D287"/>
      <c r="E287"/>
      <c r="F287" s="27" t="s">
        <v>7</v>
      </c>
      <c r="G287" s="27" t="s">
        <v>8</v>
      </c>
      <c r="L287" s="27" t="s">
        <v>7</v>
      </c>
      <c r="M287" s="27" t="s">
        <v>8</v>
      </c>
      <c r="N287" s="27" t="s">
        <v>7</v>
      </c>
      <c r="Q287" s="27" t="s">
        <v>8</v>
      </c>
      <c r="R287" s="27" t="s">
        <v>7</v>
      </c>
      <c r="S287" s="27" t="s">
        <v>8</v>
      </c>
      <c r="V287" s="27" t="s">
        <v>7</v>
      </c>
      <c r="W287" s="27" t="s">
        <v>8</v>
      </c>
      <c r="Y287" s="31"/>
      <c r="EB287" s="27" t="s">
        <v>7</v>
      </c>
      <c r="EC287" s="27" t="s">
        <v>8</v>
      </c>
      <c r="ED287" s="27" t="s">
        <v>7</v>
      </c>
    </row>
    <row r="288" spans="1:135" x14ac:dyDescent="0.25">
      <c r="A288" s="30">
        <v>9.6142108987047836E-2</v>
      </c>
      <c r="B288"/>
      <c r="C288"/>
      <c r="D288"/>
      <c r="E288"/>
      <c r="F288" s="27" t="s">
        <v>7</v>
      </c>
      <c r="G288" s="27" t="s">
        <v>8</v>
      </c>
      <c r="L288" s="27" t="s">
        <v>7</v>
      </c>
      <c r="N288" s="27" t="s">
        <v>7</v>
      </c>
      <c r="O288" s="27" t="s">
        <v>8</v>
      </c>
      <c r="Q288" s="27" t="s">
        <v>8</v>
      </c>
      <c r="R288" s="27" t="s">
        <v>7</v>
      </c>
      <c r="S288" s="27" t="s">
        <v>8</v>
      </c>
      <c r="V288" s="27" t="s">
        <v>7</v>
      </c>
      <c r="W288" s="27" t="s">
        <v>8</v>
      </c>
      <c r="X288" s="31"/>
      <c r="EB288" s="27" t="s">
        <v>7</v>
      </c>
    </row>
    <row r="289" spans="1:23" x14ac:dyDescent="0.25">
      <c r="A289" s="30">
        <v>9.1563913320997906E-2</v>
      </c>
      <c r="B289"/>
      <c r="C289"/>
      <c r="D289"/>
      <c r="E289"/>
      <c r="F289" s="27" t="s">
        <v>7</v>
      </c>
      <c r="G289" s="27" t="s">
        <v>8</v>
      </c>
      <c r="N289" s="27" t="s">
        <v>7</v>
      </c>
      <c r="O289" s="27" t="s">
        <v>8</v>
      </c>
      <c r="P289" s="27" t="s">
        <v>7</v>
      </c>
      <c r="Q289" s="27" t="s">
        <v>8</v>
      </c>
      <c r="R289" s="27" t="s">
        <v>7</v>
      </c>
      <c r="S289" s="27" t="s">
        <v>8</v>
      </c>
      <c r="V289" s="27" t="s">
        <v>7</v>
      </c>
      <c r="W289" s="31"/>
    </row>
    <row r="290" spans="1:23" x14ac:dyDescent="0.25">
      <c r="A290" s="30">
        <v>8.7203726972378923E-2</v>
      </c>
      <c r="B290"/>
      <c r="C290"/>
      <c r="D290"/>
      <c r="E290"/>
      <c r="F290" s="27" t="s">
        <v>7</v>
      </c>
      <c r="G290" s="27" t="s">
        <v>8</v>
      </c>
      <c r="N290" s="27" t="s">
        <v>7</v>
      </c>
      <c r="O290" s="27" t="s">
        <v>8</v>
      </c>
      <c r="P290" s="27" t="s">
        <v>7</v>
      </c>
      <c r="Q290" s="27" t="s">
        <v>8</v>
      </c>
      <c r="R290" s="27" t="s">
        <v>7</v>
      </c>
      <c r="V290" s="31"/>
    </row>
    <row r="291" spans="1:23" x14ac:dyDescent="0.25">
      <c r="A291" s="30">
        <v>8.3051168545122747E-2</v>
      </c>
      <c r="B291"/>
      <c r="C291"/>
      <c r="D291"/>
      <c r="E291"/>
      <c r="F291" s="27" t="s">
        <v>7</v>
      </c>
      <c r="G291" s="27" t="s">
        <v>8</v>
      </c>
      <c r="N291" s="27" t="s">
        <v>7</v>
      </c>
      <c r="O291" s="27" t="s">
        <v>8</v>
      </c>
      <c r="P291" s="27" t="s">
        <v>7</v>
      </c>
      <c r="Q291" s="27" t="s">
        <v>8</v>
      </c>
      <c r="U291" s="31"/>
    </row>
    <row r="292" spans="1:23" x14ac:dyDescent="0.25">
      <c r="A292" s="30">
        <v>7.9096350995354961E-2</v>
      </c>
      <c r="B292"/>
      <c r="C292"/>
      <c r="D292"/>
      <c r="E292"/>
      <c r="F292" s="27" t="s">
        <v>7</v>
      </c>
      <c r="G292" s="27" t="s">
        <v>8</v>
      </c>
      <c r="N292" s="27" t="s">
        <v>7</v>
      </c>
      <c r="O292" s="27" t="s">
        <v>8</v>
      </c>
      <c r="P292" s="27" t="s">
        <v>7</v>
      </c>
      <c r="Q292" s="27" t="s">
        <v>8</v>
      </c>
      <c r="T292" s="31"/>
    </row>
    <row r="293" spans="1:23" x14ac:dyDescent="0.25">
      <c r="A293" s="30">
        <v>7.5329858090814217E-2</v>
      </c>
      <c r="B293"/>
      <c r="C293"/>
      <c r="D293"/>
      <c r="E293"/>
      <c r="F293" s="27" t="s">
        <v>7</v>
      </c>
      <c r="G293" s="27" t="s">
        <v>8</v>
      </c>
      <c r="N293" s="27" t="s">
        <v>7</v>
      </c>
      <c r="O293" s="27" t="s">
        <v>8</v>
      </c>
      <c r="P293" s="27" t="s">
        <v>7</v>
      </c>
      <c r="S293" s="31"/>
    </row>
    <row r="294" spans="1:23" x14ac:dyDescent="0.25">
      <c r="A294" s="30">
        <v>7.1742721991251604E-2</v>
      </c>
      <c r="B294"/>
      <c r="C294"/>
      <c r="D294"/>
      <c r="E294"/>
      <c r="F294" s="27" t="s">
        <v>7</v>
      </c>
      <c r="N294" s="27" t="s">
        <v>7</v>
      </c>
      <c r="O294" s="27" t="s">
        <v>8</v>
      </c>
      <c r="R294" s="31"/>
    </row>
    <row r="295" spans="1:23" x14ac:dyDescent="0.25">
      <c r="A295" s="30">
        <v>6.8326401896430078E-2</v>
      </c>
      <c r="B295"/>
      <c r="C295"/>
      <c r="D295"/>
      <c r="E295"/>
      <c r="N295" s="27" t="s">
        <v>7</v>
      </c>
      <c r="O295" s="27" t="s">
        <v>8</v>
      </c>
      <c r="Q295" s="31"/>
    </row>
    <row r="296" spans="1:23" x14ac:dyDescent="0.25">
      <c r="A296" s="30">
        <v>6.5072763710885759E-2</v>
      </c>
      <c r="B296"/>
      <c r="C296"/>
      <c r="D296"/>
      <c r="E296"/>
      <c r="N296" s="27" t="s">
        <v>7</v>
      </c>
      <c r="O296" s="27" t="s">
        <v>8</v>
      </c>
      <c r="P296" s="31"/>
    </row>
    <row r="297" spans="1:23" x14ac:dyDescent="0.25">
      <c r="A297" s="30">
        <v>6.197406067703403E-2</v>
      </c>
      <c r="B297"/>
      <c r="C297"/>
      <c r="D297"/>
      <c r="E297"/>
      <c r="N297" s="27" t="s">
        <v>7</v>
      </c>
      <c r="O297" s="31" t="s">
        <v>8</v>
      </c>
    </row>
    <row r="298" spans="1:23" x14ac:dyDescent="0.25">
      <c r="A298" s="30">
        <v>5.9022914930508576E-2</v>
      </c>
      <c r="B298"/>
      <c r="C298"/>
      <c r="D298"/>
      <c r="E298"/>
      <c r="N298" s="31" t="s">
        <v>7</v>
      </c>
    </row>
    <row r="299" spans="1:23" x14ac:dyDescent="0.25">
      <c r="A299" s="30">
        <v>5.6212299933817669E-2</v>
      </c>
      <c r="B299"/>
      <c r="C299"/>
      <c r="D299"/>
      <c r="E299"/>
    </row>
    <row r="300" spans="1:23" x14ac:dyDescent="0.25">
      <c r="A300" s="30">
        <v>5.3535523746492994E-2</v>
      </c>
      <c r="B300"/>
      <c r="C300"/>
      <c r="D300"/>
      <c r="E300"/>
    </row>
    <row r="301" spans="1:23" x14ac:dyDescent="0.25">
      <c r="A301" s="30">
        <v>5.0986213091898068E-2</v>
      </c>
      <c r="B301"/>
      <c r="C301"/>
      <c r="D301"/>
      <c r="E301"/>
    </row>
    <row r="302" spans="1:23" x14ac:dyDescent="0.25">
      <c r="A302" s="30">
        <v>4.8558298182760043E-2</v>
      </c>
      <c r="B302"/>
      <c r="C302"/>
      <c r="D302"/>
      <c r="E302"/>
    </row>
    <row r="303" spans="1:23" x14ac:dyDescent="0.25">
      <c r="A303" s="30">
        <v>4.6245998269295263E-2</v>
      </c>
      <c r="B303"/>
      <c r="C303"/>
      <c r="D303"/>
      <c r="E303"/>
    </row>
    <row r="304" spans="1:23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43" operator="equal">
      <formula>$U$1</formula>
    </cfRule>
    <cfRule type="cellIs" dxfId="67" priority="844" operator="equal">
      <formula>$S$1</formula>
    </cfRule>
  </conditionalFormatting>
  <conditionalFormatting sqref="D136">
    <cfRule type="cellIs" dxfId="66" priority="841" operator="equal">
      <formula>$S$1</formula>
    </cfRule>
    <cfRule type="cellIs" dxfId="65" priority="842" operator="equal">
      <formula>$U$1</formula>
    </cfRule>
  </conditionalFormatting>
  <conditionalFormatting sqref="C162">
    <cfRule type="cellIs" dxfId="64" priority="839" operator="equal">
      <formula>$U$1</formula>
    </cfRule>
    <cfRule type="cellIs" dxfId="63" priority="840" operator="equal">
      <formula>$S$1</formula>
    </cfRule>
  </conditionalFormatting>
  <conditionalFormatting sqref="D162">
    <cfRule type="cellIs" dxfId="62" priority="837" operator="equal">
      <formula>$S$1</formula>
    </cfRule>
    <cfRule type="cellIs" dxfId="61" priority="838" operator="equal">
      <formula>$U$1</formula>
    </cfRule>
  </conditionalFormatting>
  <conditionalFormatting sqref="C187">
    <cfRule type="cellIs" dxfId="60" priority="835" operator="equal">
      <formula>$U$1</formula>
    </cfRule>
    <cfRule type="cellIs" dxfId="59" priority="836" operator="equal">
      <formula>$S$1</formula>
    </cfRule>
  </conditionalFormatting>
  <conditionalFormatting sqref="D187">
    <cfRule type="cellIs" dxfId="58" priority="833" operator="equal">
      <formula>$S$1</formula>
    </cfRule>
    <cfRule type="cellIs" dxfId="57" priority="834" operator="equal">
      <formula>$U$1</formula>
    </cfRule>
  </conditionalFormatting>
  <conditionalFormatting sqref="C212">
    <cfRule type="cellIs" dxfId="56" priority="831" operator="equal">
      <formula>$U$1</formula>
    </cfRule>
    <cfRule type="cellIs" dxfId="55" priority="832" operator="equal">
      <formula>$S$1</formula>
    </cfRule>
  </conditionalFormatting>
  <conditionalFormatting sqref="D212">
    <cfRule type="cellIs" dxfId="54" priority="829" operator="equal">
      <formula>$S$1</formula>
    </cfRule>
    <cfRule type="cellIs" dxfId="53" priority="830" operator="equal">
      <formula>$U$1</formula>
    </cfRule>
  </conditionalFormatting>
  <conditionalFormatting sqref="C237">
    <cfRule type="cellIs" dxfId="52" priority="827" operator="equal">
      <formula>$U$1</formula>
    </cfRule>
    <cfRule type="cellIs" dxfId="51" priority="828" operator="equal">
      <formula>$S$1</formula>
    </cfRule>
  </conditionalFormatting>
  <conditionalFormatting sqref="D237">
    <cfRule type="cellIs" dxfId="50" priority="825" operator="equal">
      <formula>$S$1</formula>
    </cfRule>
    <cfRule type="cellIs" dxfId="49" priority="826" operator="equal">
      <formula>$U$1</formula>
    </cfRule>
  </conditionalFormatting>
  <conditionalFormatting sqref="C106">
    <cfRule type="cellIs" dxfId="48" priority="823" operator="equal">
      <formula>$U$1</formula>
    </cfRule>
    <cfRule type="cellIs" dxfId="47" priority="824" operator="equal">
      <formula>$S$1</formula>
    </cfRule>
  </conditionalFormatting>
  <conditionalFormatting sqref="D106">
    <cfRule type="cellIs" dxfId="46" priority="821" operator="equal">
      <formula>$S$1</formula>
    </cfRule>
    <cfRule type="cellIs" dxfId="45" priority="822" operator="equal">
      <formula>$U$1</formula>
    </cfRule>
  </conditionalFormatting>
  <conditionalFormatting sqref="C81">
    <cfRule type="cellIs" dxfId="44" priority="819" operator="equal">
      <formula>$U$1</formula>
    </cfRule>
    <cfRule type="cellIs" dxfId="43" priority="820" operator="equal">
      <formula>$S$1</formula>
    </cfRule>
  </conditionalFormatting>
  <conditionalFormatting sqref="D81">
    <cfRule type="cellIs" dxfId="42" priority="817" operator="equal">
      <formula>$S$1</formula>
    </cfRule>
    <cfRule type="cellIs" dxfId="41" priority="818" operator="equal">
      <formula>$U$1</formula>
    </cfRule>
  </conditionalFormatting>
  <conditionalFormatting sqref="C56">
    <cfRule type="cellIs" dxfId="40" priority="815" operator="equal">
      <formula>$U$1</formula>
    </cfRule>
    <cfRule type="cellIs" dxfId="39" priority="816" operator="equal">
      <formula>$S$1</formula>
    </cfRule>
  </conditionalFormatting>
  <conditionalFormatting sqref="D56">
    <cfRule type="cellIs" dxfId="38" priority="813" operator="equal">
      <formula>$S$1</formula>
    </cfRule>
    <cfRule type="cellIs" dxfId="37" priority="814" operator="equal">
      <formula>$U$1</formula>
    </cfRule>
  </conditionalFormatting>
  <conditionalFormatting sqref="C31">
    <cfRule type="cellIs" dxfId="36" priority="811" operator="equal">
      <formula>$U$1</formula>
    </cfRule>
    <cfRule type="cellIs" dxfId="35" priority="812" operator="equal">
      <formula>$S$1</formula>
    </cfRule>
  </conditionalFormatting>
  <conditionalFormatting sqref="D31">
    <cfRule type="cellIs" dxfId="34" priority="809" operator="equal">
      <formula>$S$1</formula>
    </cfRule>
    <cfRule type="cellIs" dxfId="33" priority="81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15" zoomScale="90" zoomScaleNormal="90" workbookViewId="0">
      <pane xSplit="4" topLeftCell="G1" activePane="topRight" state="frozen"/>
      <selection activeCell="A109" sqref="A109"/>
      <selection pane="topRight" activeCell="AY142" sqref="AY14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$A$141</v>
      </c>
      <c r="D111" s="1" t="str">
        <f>ADDRESS(C121-1,D121,1,1)</f>
        <v>$AY$141</v>
      </c>
      <c r="E111"/>
    </row>
    <row r="112" spans="1:5" x14ac:dyDescent="0.25">
      <c r="A112" s="30">
        <v>2.3579476910000019</v>
      </c>
      <c r="C112" s="1" t="str">
        <f>ADDRESS(C121,1,1,1)</f>
        <v>$A$142</v>
      </c>
      <c r="D112" s="1" t="str">
        <f>ADDRESS(C121,D121-1,1,1)</f>
        <v>$AX$142</v>
      </c>
      <c r="E112"/>
    </row>
    <row r="113" spans="1:37" x14ac:dyDescent="0.25">
      <c r="A113" s="30">
        <v>2.1435888100000016</v>
      </c>
      <c r="C113" s="1" t="str">
        <f>ADDRESS(C121+1,1,1,1)</f>
        <v>$A$143</v>
      </c>
      <c r="D113" s="1" t="str">
        <f>ADDRESS(C121-1,D121+1,1,1)</f>
        <v>$AZ$141</v>
      </c>
    </row>
    <row r="114" spans="1:37" x14ac:dyDescent="0.25">
      <c r="A114" s="30">
        <v>1.9487171000000014</v>
      </c>
      <c r="C114" s="1" t="str">
        <f>ADDRESS(C121,D121,1,1)</f>
        <v>$AY$142</v>
      </c>
      <c r="D114" s="1" t="str">
        <f>ADDRESS(C121+1,D121+1,1,1)</f>
        <v>$AZ$143</v>
      </c>
    </row>
    <row r="115" spans="1:37" x14ac:dyDescent="0.25">
      <c r="A115" s="30">
        <v>1.7715610000000011</v>
      </c>
      <c r="C115" s="1" t="str">
        <f>ADDRESS(C121+1,D121,1,1)</f>
        <v>$AY$143</v>
      </c>
    </row>
    <row r="116" spans="1:37" x14ac:dyDescent="0.25">
      <c r="A116" s="30">
        <v>1.6105100000000008</v>
      </c>
      <c r="C116" s="1">
        <f>C117-1</f>
        <v>141</v>
      </c>
    </row>
    <row r="117" spans="1:37" x14ac:dyDescent="0.25">
      <c r="A117" s="30">
        <v>1.4641000000000006</v>
      </c>
      <c r="C117" s="1">
        <f>C121</f>
        <v>142</v>
      </c>
      <c r="D117" s="1">
        <f>D121</f>
        <v>51</v>
      </c>
    </row>
    <row r="118" spans="1:37" x14ac:dyDescent="0.25">
      <c r="A118" s="30">
        <v>1.3310000000000004</v>
      </c>
      <c r="C118" s="1">
        <f>C117+1</f>
        <v>143</v>
      </c>
      <c r="D118" s="1">
        <f>D117+1</f>
        <v>52</v>
      </c>
    </row>
    <row r="119" spans="1:37" x14ac:dyDescent="0.25">
      <c r="A119" s="30">
        <v>1.2100000000000002</v>
      </c>
      <c r="U119" s="31" t="s">
        <v>8</v>
      </c>
    </row>
    <row r="120" spans="1:37" x14ac:dyDescent="0.25">
      <c r="A120" s="30">
        <v>1.1000000000000001</v>
      </c>
      <c r="C120" s="1" t="s">
        <v>9</v>
      </c>
      <c r="U120" s="27" t="s">
        <v>8</v>
      </c>
      <c r="V120" s="31" t="s">
        <v>7</v>
      </c>
    </row>
    <row r="121" spans="1:37" x14ac:dyDescent="0.25">
      <c r="A121" s="30">
        <v>1</v>
      </c>
      <c r="C121" s="18">
        <v>142</v>
      </c>
      <c r="D121" s="19">
        <v>51</v>
      </c>
      <c r="E121" s="18" t="s">
        <v>8</v>
      </c>
      <c r="U121" s="27" t="s">
        <v>8</v>
      </c>
      <c r="V121" s="27" t="s">
        <v>7</v>
      </c>
      <c r="W121" s="31" t="s">
        <v>8</v>
      </c>
    </row>
    <row r="122" spans="1:37" x14ac:dyDescent="0.25">
      <c r="A122" s="30">
        <v>0.90909090909090895</v>
      </c>
      <c r="C122" s="1" t="str">
        <f>INDEX(1:1048576,C117,D117)</f>
        <v>X</v>
      </c>
      <c r="F122" s="27" t="s">
        <v>7</v>
      </c>
      <c r="U122" s="27" t="s">
        <v>8</v>
      </c>
      <c r="V122" s="27" t="s">
        <v>7</v>
      </c>
      <c r="W122" s="27" t="s">
        <v>8</v>
      </c>
      <c r="X122" s="31" t="s">
        <v>7</v>
      </c>
    </row>
    <row r="123" spans="1:37" x14ac:dyDescent="0.25">
      <c r="A123" s="30">
        <v>0.82644628099173523</v>
      </c>
      <c r="C123" s="1" t="str">
        <f>"R"&amp;C121</f>
        <v>R142</v>
      </c>
      <c r="D123" s="1" t="str">
        <f>"C"&amp;D121</f>
        <v>C51</v>
      </c>
      <c r="F123" s="27" t="s">
        <v>7</v>
      </c>
      <c r="U123" s="27" t="s">
        <v>8</v>
      </c>
      <c r="V123" s="27" t="s">
        <v>7</v>
      </c>
      <c r="W123" s="27" t="s">
        <v>8</v>
      </c>
      <c r="X123" s="27" t="s">
        <v>7</v>
      </c>
      <c r="Y123" s="31" t="s">
        <v>8</v>
      </c>
    </row>
    <row r="124" spans="1:37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U124" s="27" t="s">
        <v>8</v>
      </c>
      <c r="V124" s="27" t="s">
        <v>7</v>
      </c>
      <c r="W124" s="27" t="s">
        <v>8</v>
      </c>
      <c r="X124" s="27" t="s">
        <v>7</v>
      </c>
      <c r="Y124" s="27" t="s">
        <v>8</v>
      </c>
      <c r="Z124" s="31" t="s">
        <v>7</v>
      </c>
    </row>
    <row r="125" spans="1:37" x14ac:dyDescent="0.25">
      <c r="A125" s="30">
        <v>0.68301345536507019</v>
      </c>
      <c r="F125" s="27" t="s">
        <v>7</v>
      </c>
      <c r="U125" s="27" t="s">
        <v>8</v>
      </c>
      <c r="V125" s="27" t="s">
        <v>7</v>
      </c>
      <c r="W125" s="27" t="s">
        <v>8</v>
      </c>
      <c r="X125" s="27" t="s">
        <v>7</v>
      </c>
      <c r="Y125" s="27" t="s">
        <v>8</v>
      </c>
      <c r="Z125" s="27" t="s">
        <v>7</v>
      </c>
      <c r="AA125" s="31"/>
      <c r="AC125" s="33" t="s">
        <v>8</v>
      </c>
    </row>
    <row r="126" spans="1:37" x14ac:dyDescent="0.25">
      <c r="A126" s="30">
        <v>0.6209213230591546</v>
      </c>
      <c r="C126" s="1" t="s">
        <v>10</v>
      </c>
      <c r="F126" s="27" t="s">
        <v>7</v>
      </c>
      <c r="U126" s="27" t="s">
        <v>8</v>
      </c>
      <c r="V126" s="27" t="s">
        <v>7</v>
      </c>
      <c r="W126" s="27" t="s">
        <v>8</v>
      </c>
      <c r="X126" s="27" t="s">
        <v>7</v>
      </c>
      <c r="Z126" s="27" t="s">
        <v>7</v>
      </c>
      <c r="AA126" s="27" t="s">
        <v>8</v>
      </c>
      <c r="AB126" s="31"/>
      <c r="AC126" s="27" t="s">
        <v>8</v>
      </c>
      <c r="AD126" s="27" t="s">
        <v>7</v>
      </c>
      <c r="AE126" s="27" t="s">
        <v>8</v>
      </c>
      <c r="AI126" s="31" t="s">
        <v>8</v>
      </c>
    </row>
    <row r="127" spans="1:37" x14ac:dyDescent="0.25">
      <c r="A127" s="30">
        <v>0.56447393005377677</v>
      </c>
      <c r="C127" s="30">
        <v>0.13513057093103928</v>
      </c>
      <c r="D127"/>
      <c r="F127" s="27" t="s">
        <v>7</v>
      </c>
      <c r="U127" s="27" t="s">
        <v>8</v>
      </c>
      <c r="V127" s="27" t="s">
        <v>7</v>
      </c>
      <c r="Z127" s="34" t="s">
        <v>7</v>
      </c>
      <c r="AA127" s="27" t="s">
        <v>8</v>
      </c>
      <c r="AB127" s="27" t="s">
        <v>7</v>
      </c>
      <c r="AC127" s="31" t="s">
        <v>8</v>
      </c>
      <c r="AD127" s="27" t="s">
        <v>7</v>
      </c>
      <c r="AE127" s="27" t="s">
        <v>8</v>
      </c>
      <c r="AF127" s="27" t="s">
        <v>7</v>
      </c>
      <c r="AI127" s="27" t="s">
        <v>8</v>
      </c>
      <c r="AJ127" s="31" t="s">
        <v>7</v>
      </c>
    </row>
    <row r="128" spans="1:37" x14ac:dyDescent="0.25">
      <c r="A128" s="30">
        <v>0.51315811823070612</v>
      </c>
      <c r="F128" s="27" t="s">
        <v>7</v>
      </c>
      <c r="U128" s="27" t="s">
        <v>8</v>
      </c>
      <c r="Z128" s="27" t="s">
        <v>7</v>
      </c>
      <c r="AA128" s="27" t="s">
        <v>8</v>
      </c>
      <c r="AB128" s="27" t="s">
        <v>7</v>
      </c>
      <c r="AC128" s="27" t="s">
        <v>8</v>
      </c>
      <c r="AD128" s="27" t="s">
        <v>7</v>
      </c>
      <c r="AE128" s="27" t="s">
        <v>8</v>
      </c>
      <c r="AF128" s="31" t="s">
        <v>7</v>
      </c>
      <c r="AI128" s="27" t="s">
        <v>8</v>
      </c>
      <c r="AJ128" s="27" t="s">
        <v>7</v>
      </c>
      <c r="AK128" s="31"/>
    </row>
    <row r="129" spans="1:51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U129" s="27" t="s">
        <v>8</v>
      </c>
      <c r="Z129" s="27" t="s">
        <v>7</v>
      </c>
      <c r="AB129" s="27" t="s">
        <v>7</v>
      </c>
      <c r="AC129" s="27" t="s">
        <v>8</v>
      </c>
      <c r="AD129" s="27" t="s">
        <v>7</v>
      </c>
      <c r="AE129" s="31"/>
      <c r="AF129" s="27" t="s">
        <v>7</v>
      </c>
      <c r="AI129" s="33" t="s">
        <v>8</v>
      </c>
      <c r="AJ129" s="27" t="s">
        <v>7</v>
      </c>
      <c r="AL129" s="31"/>
      <c r="AM129" s="27" t="s">
        <v>8</v>
      </c>
      <c r="AO129" s="27" t="s">
        <v>8</v>
      </c>
      <c r="AQ129" s="27" t="s">
        <v>8</v>
      </c>
    </row>
    <row r="130" spans="1:51" x14ac:dyDescent="0.25">
      <c r="A130" s="30">
        <v>0.42409761837248428</v>
      </c>
      <c r="C130" s="6"/>
      <c r="D130" s="6"/>
      <c r="E130"/>
      <c r="F130" s="27" t="s">
        <v>7</v>
      </c>
      <c r="U130" s="27" t="s">
        <v>8</v>
      </c>
      <c r="AB130" s="27" t="s">
        <v>7</v>
      </c>
      <c r="AD130" s="31"/>
      <c r="AF130" s="34" t="s">
        <v>7</v>
      </c>
      <c r="AG130" s="27" t="s">
        <v>8</v>
      </c>
      <c r="AI130" s="27" t="s">
        <v>8</v>
      </c>
      <c r="AJ130" s="27" t="s">
        <v>7</v>
      </c>
      <c r="AM130" s="31" t="s">
        <v>8</v>
      </c>
      <c r="AN130" s="27" t="s">
        <v>7</v>
      </c>
      <c r="AO130" s="27" t="s">
        <v>8</v>
      </c>
      <c r="AP130" s="27" t="s">
        <v>7</v>
      </c>
      <c r="AQ130" s="27" t="s">
        <v>8</v>
      </c>
      <c r="AR130" s="27" t="s">
        <v>7</v>
      </c>
      <c r="AS130" s="27" t="s">
        <v>8</v>
      </c>
      <c r="AU130" s="27" t="s">
        <v>8</v>
      </c>
    </row>
    <row r="131" spans="1:51" x14ac:dyDescent="0.25">
      <c r="A131" s="30">
        <v>0.38554328942953109</v>
      </c>
      <c r="E131"/>
      <c r="F131" s="27" t="s">
        <v>7</v>
      </c>
      <c r="O131" s="27" t="s">
        <v>8</v>
      </c>
      <c r="U131" s="27" t="s">
        <v>8</v>
      </c>
      <c r="AC131" s="31"/>
      <c r="AF131" s="27" t="s">
        <v>7</v>
      </c>
      <c r="AG131" s="27" t="s">
        <v>8</v>
      </c>
      <c r="AH131" s="27" t="s">
        <v>7</v>
      </c>
      <c r="AI131" s="27" t="s">
        <v>8</v>
      </c>
      <c r="AJ131" s="27" t="s">
        <v>7</v>
      </c>
      <c r="AM131" s="27" t="s">
        <v>8</v>
      </c>
      <c r="AN131" s="31" t="s">
        <v>7</v>
      </c>
      <c r="AO131" s="27" t="s">
        <v>8</v>
      </c>
      <c r="AP131" s="27" t="s">
        <v>7</v>
      </c>
      <c r="AQ131" s="27" t="s">
        <v>8</v>
      </c>
      <c r="AR131" s="27" t="s">
        <v>7</v>
      </c>
      <c r="AS131" s="27" t="s">
        <v>8</v>
      </c>
      <c r="AT131" s="27" t="s">
        <v>7</v>
      </c>
      <c r="AU131" s="27" t="s">
        <v>8</v>
      </c>
      <c r="AV131" s="27" t="s">
        <v>7</v>
      </c>
    </row>
    <row r="132" spans="1:51" x14ac:dyDescent="0.25">
      <c r="A132" s="30">
        <v>0.35049389948139187</v>
      </c>
      <c r="C132" s="1" t="s">
        <v>13</v>
      </c>
      <c r="E132"/>
      <c r="F132" s="27" t="s">
        <v>7</v>
      </c>
      <c r="O132" s="27" t="s">
        <v>8</v>
      </c>
      <c r="P132" s="27" t="s">
        <v>7</v>
      </c>
      <c r="U132" s="27" t="s">
        <v>8</v>
      </c>
      <c r="AB132" s="31"/>
      <c r="AF132" s="27" t="s">
        <v>7</v>
      </c>
      <c r="AG132" s="27" t="s">
        <v>8</v>
      </c>
      <c r="AH132" s="27" t="s">
        <v>7</v>
      </c>
      <c r="AI132" s="27" t="s">
        <v>8</v>
      </c>
      <c r="AJ132" s="27" t="s">
        <v>7</v>
      </c>
      <c r="AM132" s="27" t="s">
        <v>8</v>
      </c>
      <c r="AN132" s="27" t="s">
        <v>7</v>
      </c>
      <c r="AO132" s="27" t="s">
        <v>8</v>
      </c>
      <c r="AP132" s="27" t="s">
        <v>7</v>
      </c>
      <c r="AQ132" s="27" t="s">
        <v>8</v>
      </c>
      <c r="AR132" s="27" t="s">
        <v>7</v>
      </c>
      <c r="AS132" s="27" t="s">
        <v>8</v>
      </c>
      <c r="AT132" s="27" t="s">
        <v>7</v>
      </c>
      <c r="AU132" s="27" t="s">
        <v>8</v>
      </c>
      <c r="AV132" s="27" t="s">
        <v>7</v>
      </c>
    </row>
    <row r="133" spans="1:51" x14ac:dyDescent="0.25">
      <c r="A133" s="30">
        <v>0.31863081771035617</v>
      </c>
      <c r="C133" s="1" t="str">
        <f>C122</f>
        <v>X</v>
      </c>
      <c r="E133"/>
      <c r="F133" s="27" t="s">
        <v>7</v>
      </c>
      <c r="O133" s="27" t="s">
        <v>8</v>
      </c>
      <c r="P133" s="27" t="s">
        <v>7</v>
      </c>
      <c r="Q133" s="27" t="s">
        <v>8</v>
      </c>
      <c r="U133" s="27" t="s">
        <v>8</v>
      </c>
      <c r="AA133" s="31"/>
      <c r="AF133" s="27" t="s">
        <v>7</v>
      </c>
      <c r="AG133" s="27" t="s">
        <v>8</v>
      </c>
      <c r="AH133" s="27" t="s">
        <v>7</v>
      </c>
      <c r="AI133" s="27" t="s">
        <v>8</v>
      </c>
      <c r="AJ133" s="27" t="s">
        <v>7</v>
      </c>
      <c r="AM133" s="27" t="s">
        <v>8</v>
      </c>
      <c r="AN133" s="27" t="s">
        <v>7</v>
      </c>
      <c r="AP133" s="27" t="s">
        <v>7</v>
      </c>
      <c r="AQ133" s="27" t="s">
        <v>8</v>
      </c>
      <c r="AR133" s="27" t="s">
        <v>7</v>
      </c>
      <c r="AS133" s="27" t="s">
        <v>8</v>
      </c>
      <c r="AT133" s="27" t="s">
        <v>7</v>
      </c>
      <c r="AV133" s="27" t="s">
        <v>7</v>
      </c>
    </row>
    <row r="134" spans="1:51" x14ac:dyDescent="0.25">
      <c r="A134" s="30">
        <v>0.28966437973668741</v>
      </c>
      <c r="C134"/>
      <c r="D134"/>
      <c r="E134"/>
      <c r="F134" s="27" t="s">
        <v>7</v>
      </c>
      <c r="O134" s="27" t="s">
        <v>8</v>
      </c>
      <c r="P134" s="27" t="s">
        <v>7</v>
      </c>
      <c r="Q134" s="27" t="s">
        <v>8</v>
      </c>
      <c r="R134" s="27" t="s">
        <v>7</v>
      </c>
      <c r="U134" s="27" t="s">
        <v>8</v>
      </c>
      <c r="Z134" s="31"/>
      <c r="AF134" s="27" t="s">
        <v>7</v>
      </c>
      <c r="AG134" s="27" t="s">
        <v>8</v>
      </c>
      <c r="AH134" s="27" t="s">
        <v>7</v>
      </c>
      <c r="AI134" s="27" t="s">
        <v>8</v>
      </c>
      <c r="AJ134" s="27" t="s">
        <v>7</v>
      </c>
      <c r="AM134" s="27" t="s">
        <v>8</v>
      </c>
      <c r="AP134" s="27" t="s">
        <v>7</v>
      </c>
      <c r="AR134" s="27" t="s">
        <v>7</v>
      </c>
      <c r="AV134" s="27" t="s">
        <v>7</v>
      </c>
    </row>
    <row r="135" spans="1:51" x14ac:dyDescent="0.25">
      <c r="A135" s="30">
        <v>0.2633312543060794</v>
      </c>
      <c r="C135" s="1" t="s">
        <v>14</v>
      </c>
      <c r="E135"/>
      <c r="F135" s="27" t="s">
        <v>7</v>
      </c>
      <c r="O135" s="27" t="s">
        <v>8</v>
      </c>
      <c r="P135" s="27" t="s">
        <v>7</v>
      </c>
      <c r="Q135" s="27" t="s">
        <v>8</v>
      </c>
      <c r="R135" s="27" t="s">
        <v>7</v>
      </c>
      <c r="S135" s="27" t="s">
        <v>8</v>
      </c>
      <c r="U135" s="27" t="s">
        <v>8</v>
      </c>
      <c r="Y135" s="31"/>
      <c r="AF135" s="27" t="s">
        <v>7</v>
      </c>
      <c r="AG135" s="27" t="s">
        <v>8</v>
      </c>
      <c r="AH135" s="27" t="s">
        <v>7</v>
      </c>
      <c r="AI135" s="27" t="s">
        <v>8</v>
      </c>
      <c r="AJ135" s="27" t="s">
        <v>7</v>
      </c>
      <c r="AK135" s="27" t="s">
        <v>8</v>
      </c>
      <c r="AM135" s="27" t="s">
        <v>8</v>
      </c>
      <c r="AV135" s="27" t="s">
        <v>7</v>
      </c>
      <c r="AW135" s="27" t="s">
        <v>8</v>
      </c>
    </row>
    <row r="136" spans="1:51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  <c r="F136" s="27" t="s">
        <v>7</v>
      </c>
      <c r="O136" s="27" t="s">
        <v>8</v>
      </c>
      <c r="P136" s="27" t="s">
        <v>7</v>
      </c>
      <c r="R136" s="27" t="s">
        <v>7</v>
      </c>
      <c r="S136" s="27" t="s">
        <v>8</v>
      </c>
      <c r="T136" s="27" t="s">
        <v>7</v>
      </c>
      <c r="U136" s="27" t="s">
        <v>8</v>
      </c>
      <c r="X136" s="31"/>
      <c r="AF136" s="27" t="s">
        <v>7</v>
      </c>
      <c r="AH136" s="27" t="s">
        <v>7</v>
      </c>
      <c r="AI136" s="27" t="s">
        <v>8</v>
      </c>
      <c r="AJ136" s="27" t="s">
        <v>7</v>
      </c>
      <c r="AK136" s="27" t="s">
        <v>8</v>
      </c>
      <c r="AL136" s="27" t="s">
        <v>7</v>
      </c>
      <c r="AM136" s="27" t="s">
        <v>8</v>
      </c>
      <c r="AV136" s="27" t="s">
        <v>7</v>
      </c>
      <c r="AW136" s="27" t="s">
        <v>8</v>
      </c>
      <c r="AX136" s="27" t="s">
        <v>7</v>
      </c>
    </row>
    <row r="137" spans="1:51" x14ac:dyDescent="0.25">
      <c r="A137" s="30">
        <v>0.2176291357901482</v>
      </c>
      <c r="E137"/>
      <c r="F137" s="27" t="s">
        <v>7</v>
      </c>
      <c r="O137" s="27" t="s">
        <v>8</v>
      </c>
      <c r="R137" s="27" t="s">
        <v>7</v>
      </c>
      <c r="S137" s="27" t="s">
        <v>8</v>
      </c>
      <c r="T137" s="27" t="s">
        <v>7</v>
      </c>
      <c r="U137" s="27" t="s">
        <v>8</v>
      </c>
      <c r="W137" s="31"/>
      <c r="AH137" s="27" t="s">
        <v>7</v>
      </c>
      <c r="AJ137" s="27" t="s">
        <v>7</v>
      </c>
      <c r="AK137" s="27" t="s">
        <v>8</v>
      </c>
      <c r="AL137" s="27" t="s">
        <v>7</v>
      </c>
      <c r="AM137" s="27" t="s">
        <v>8</v>
      </c>
      <c r="AV137" s="27" t="s">
        <v>7</v>
      </c>
      <c r="AW137" s="27" t="s">
        <v>8</v>
      </c>
      <c r="AX137" s="27" t="s">
        <v>7</v>
      </c>
    </row>
    <row r="138" spans="1:51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  <c r="F138" s="27" t="s">
        <v>7</v>
      </c>
      <c r="O138" s="27" t="s">
        <v>8</v>
      </c>
      <c r="R138" s="32" t="s">
        <v>7</v>
      </c>
      <c r="T138" s="32" t="s">
        <v>7</v>
      </c>
      <c r="V138" s="31"/>
      <c r="AJ138" s="34" t="s">
        <v>7</v>
      </c>
      <c r="AK138" s="27" t="s">
        <v>8</v>
      </c>
      <c r="AL138" s="18" t="s">
        <v>7</v>
      </c>
      <c r="AM138" s="27" t="s">
        <v>8</v>
      </c>
      <c r="AV138" s="27" t="s">
        <v>7</v>
      </c>
      <c r="AW138" s="27" t="s">
        <v>8</v>
      </c>
      <c r="AX138" s="27" t="s">
        <v>7</v>
      </c>
    </row>
    <row r="139" spans="1:51" x14ac:dyDescent="0.25">
      <c r="A139" s="30">
        <v>0.17985878990921333</v>
      </c>
      <c r="E139"/>
      <c r="F139" s="27" t="s">
        <v>7</v>
      </c>
      <c r="O139" s="27" t="s">
        <v>8</v>
      </c>
      <c r="U139" s="31"/>
      <c r="AJ139" s="32" t="s">
        <v>7</v>
      </c>
      <c r="AL139" s="32" t="s">
        <v>7</v>
      </c>
      <c r="AV139" s="27" t="s">
        <v>7</v>
      </c>
      <c r="AX139" s="27" t="s">
        <v>7</v>
      </c>
    </row>
    <row r="140" spans="1:51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  <c r="O140" s="27" t="s">
        <v>8</v>
      </c>
      <c r="T140" s="31"/>
      <c r="AX140" s="27" t="s">
        <v>7</v>
      </c>
    </row>
    <row r="141" spans="1:51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  <c r="H141" s="27" t="s">
        <v>7</v>
      </c>
      <c r="I141" s="27" t="s">
        <v>8</v>
      </c>
      <c r="M141" s="27" t="s">
        <v>8</v>
      </c>
      <c r="O141" s="27" t="s">
        <v>8</v>
      </c>
      <c r="S141" s="31"/>
      <c r="AX141" s="27" t="s">
        <v>7</v>
      </c>
    </row>
    <row r="142" spans="1:51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H142" s="27" t="s">
        <v>7</v>
      </c>
      <c r="I142" s="27" t="s">
        <v>8</v>
      </c>
      <c r="J142" s="27" t="s">
        <v>7</v>
      </c>
      <c r="M142" s="33" t="s">
        <v>8</v>
      </c>
      <c r="N142" s="27" t="s">
        <v>7</v>
      </c>
      <c r="O142" s="27" t="s">
        <v>8</v>
      </c>
      <c r="R142" s="31"/>
      <c r="AX142" s="27" t="s">
        <v>7</v>
      </c>
      <c r="AY142" s="27" t="s">
        <v>8</v>
      </c>
    </row>
    <row r="143" spans="1:51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I143" s="27" t="s">
        <v>8</v>
      </c>
      <c r="J143" s="27" t="s">
        <v>7</v>
      </c>
      <c r="K143" s="27" t="s">
        <v>8</v>
      </c>
      <c r="M143" s="27" t="s">
        <v>8</v>
      </c>
      <c r="N143" s="27" t="s">
        <v>7</v>
      </c>
      <c r="O143" s="27" t="s">
        <v>8</v>
      </c>
      <c r="Q143" s="31"/>
      <c r="AX143" s="27" t="s">
        <v>7</v>
      </c>
      <c r="AY143" s="27" t="s">
        <v>8</v>
      </c>
    </row>
    <row r="144" spans="1:51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J144" s="27" t="s">
        <v>7</v>
      </c>
      <c r="K144" s="27" t="s">
        <v>8</v>
      </c>
      <c r="L144" s="27" t="s">
        <v>7</v>
      </c>
      <c r="M144" s="27" t="s">
        <v>8</v>
      </c>
      <c r="N144" s="27" t="s">
        <v>7</v>
      </c>
      <c r="O144" s="27" t="s">
        <v>8</v>
      </c>
      <c r="P144" s="31"/>
      <c r="AX144" s="27" t="s">
        <v>7</v>
      </c>
      <c r="AY144" s="27" t="s">
        <v>8</v>
      </c>
    </row>
    <row r="145" spans="1:50" x14ac:dyDescent="0.25">
      <c r="A145" s="30">
        <v>0.10152559799477026</v>
      </c>
      <c r="B145"/>
      <c r="C145"/>
      <c r="D145"/>
      <c r="E145"/>
      <c r="F145" s="27" t="s">
        <v>7</v>
      </c>
      <c r="G145" s="27" t="s">
        <v>8</v>
      </c>
      <c r="J145" s="27" t="s">
        <v>7</v>
      </c>
      <c r="K145" s="27" t="s">
        <v>8</v>
      </c>
      <c r="L145" s="27" t="s">
        <v>7</v>
      </c>
      <c r="M145" s="27" t="s">
        <v>8</v>
      </c>
      <c r="N145" s="27" t="s">
        <v>7</v>
      </c>
      <c r="O145" s="31" t="s">
        <v>8</v>
      </c>
      <c r="AX145" s="27" t="s">
        <v>7</v>
      </c>
    </row>
    <row r="146" spans="1:50" x14ac:dyDescent="0.25">
      <c r="A146" s="30">
        <v>9.2295998177063854E-2</v>
      </c>
      <c r="B146"/>
      <c r="C146"/>
      <c r="D146"/>
      <c r="E146"/>
      <c r="F146" s="27" t="s">
        <v>7</v>
      </c>
      <c r="G146" s="27" t="s">
        <v>8</v>
      </c>
      <c r="J146" s="27" t="s">
        <v>7</v>
      </c>
      <c r="K146" s="27" t="s">
        <v>8</v>
      </c>
      <c r="L146" s="32" t="s">
        <v>7</v>
      </c>
      <c r="N146" s="32" t="s">
        <v>7</v>
      </c>
    </row>
    <row r="147" spans="1:50" x14ac:dyDescent="0.25">
      <c r="A147" s="30">
        <v>8.3905452888239848E-2</v>
      </c>
      <c r="B147"/>
      <c r="C147"/>
      <c r="D147"/>
      <c r="E147"/>
      <c r="F147" s="27" t="s">
        <v>7</v>
      </c>
      <c r="G147" s="27" t="s">
        <v>8</v>
      </c>
      <c r="J147" s="27" t="s">
        <v>7</v>
      </c>
      <c r="K147" s="27" t="s">
        <v>8</v>
      </c>
      <c r="M147" s="31"/>
    </row>
    <row r="148" spans="1:50" x14ac:dyDescent="0.25">
      <c r="A148" s="30">
        <v>7.6277684443854396E-2</v>
      </c>
      <c r="B148"/>
      <c r="C148"/>
      <c r="D148"/>
      <c r="E148"/>
      <c r="F148" s="27" t="s">
        <v>7</v>
      </c>
      <c r="G148" s="27" t="s">
        <v>8</v>
      </c>
      <c r="J148" s="27" t="s">
        <v>7</v>
      </c>
      <c r="K148" s="27" t="s">
        <v>8</v>
      </c>
      <c r="L148" s="31"/>
    </row>
    <row r="149" spans="1:50" x14ac:dyDescent="0.25">
      <c r="A149" s="30">
        <v>6.9343349494413078E-2</v>
      </c>
      <c r="B149"/>
      <c r="C149"/>
      <c r="D149"/>
      <c r="E149"/>
      <c r="F149" s="27" t="s">
        <v>7</v>
      </c>
      <c r="J149" s="27" t="s">
        <v>7</v>
      </c>
      <c r="K149" s="31" t="s">
        <v>8</v>
      </c>
    </row>
    <row r="150" spans="1:50" x14ac:dyDescent="0.25">
      <c r="A150" s="30">
        <v>6.3039408631284613E-2</v>
      </c>
      <c r="B150"/>
      <c r="C150"/>
      <c r="D150"/>
      <c r="E150"/>
      <c r="J150" s="31" t="s">
        <v>7</v>
      </c>
    </row>
    <row r="151" spans="1:50" x14ac:dyDescent="0.25">
      <c r="A151" s="30">
        <v>5.7308553301167818E-2</v>
      </c>
      <c r="B151"/>
      <c r="C151"/>
      <c r="D151"/>
      <c r="E151"/>
    </row>
    <row r="152" spans="1:50" x14ac:dyDescent="0.25">
      <c r="A152" s="30">
        <v>5.2098684819243464E-2</v>
      </c>
      <c r="B152"/>
      <c r="C152"/>
      <c r="D152"/>
      <c r="E152"/>
    </row>
    <row r="153" spans="1:50" x14ac:dyDescent="0.25">
      <c r="A153" s="30">
        <v>4.7362440744766775E-2</v>
      </c>
      <c r="B153"/>
      <c r="C153"/>
      <c r="D153"/>
      <c r="E153"/>
    </row>
    <row r="154" spans="1:50" x14ac:dyDescent="0.25">
      <c r="A154" s="30">
        <v>4.3056764313424332E-2</v>
      </c>
      <c r="B154"/>
      <c r="C154"/>
      <c r="D154"/>
      <c r="E154"/>
    </row>
    <row r="155" spans="1:50" x14ac:dyDescent="0.25">
      <c r="A155" s="30">
        <v>3.9142513012203929E-2</v>
      </c>
      <c r="B155"/>
      <c r="C155"/>
      <c r="D155"/>
      <c r="E155"/>
    </row>
    <row r="156" spans="1:50" x14ac:dyDescent="0.25">
      <c r="A156" s="30">
        <v>3.55841027383672E-2</v>
      </c>
      <c r="B156"/>
      <c r="C156"/>
      <c r="D156"/>
      <c r="E156"/>
    </row>
    <row r="157" spans="1:50" x14ac:dyDescent="0.25">
      <c r="A157" s="30">
        <v>3.2349184307606541E-2</v>
      </c>
      <c r="B157"/>
      <c r="C157"/>
      <c r="D157"/>
      <c r="E157"/>
    </row>
    <row r="158" spans="1:50" x14ac:dyDescent="0.25">
      <c r="A158" s="30">
        <v>2.9408349370551395E-2</v>
      </c>
      <c r="B158"/>
      <c r="C158"/>
      <c r="D158"/>
      <c r="E158"/>
    </row>
    <row r="159" spans="1:50" x14ac:dyDescent="0.25">
      <c r="A159" s="30">
        <v>2.6734863064137627E-2</v>
      </c>
      <c r="B159"/>
      <c r="C159"/>
      <c r="D159"/>
      <c r="E159"/>
    </row>
    <row r="160" spans="1:50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27" operator="equal">
      <formula>$U$1</formula>
    </cfRule>
    <cfRule type="cellIs" dxfId="30" priority="828" operator="equal">
      <formula>$S$1</formula>
    </cfRule>
  </conditionalFormatting>
  <conditionalFormatting sqref="D136">
    <cfRule type="cellIs" dxfId="29" priority="825" operator="equal">
      <formula>$S$1</formula>
    </cfRule>
    <cfRule type="cellIs" dxfId="28" priority="826" operator="equal">
      <formula>$U$1</formula>
    </cfRule>
  </conditionalFormatting>
  <conditionalFormatting sqref="C102">
    <cfRule type="cellIs" dxfId="27" priority="823" operator="equal">
      <formula>$U$1</formula>
    </cfRule>
    <cfRule type="cellIs" dxfId="26" priority="824" operator="equal">
      <formula>$S$1</formula>
    </cfRule>
  </conditionalFormatting>
  <conditionalFormatting sqref="D102">
    <cfRule type="cellIs" dxfId="25" priority="821" operator="equal">
      <formula>$S$1</formula>
    </cfRule>
    <cfRule type="cellIs" dxfId="24" priority="822" operator="equal">
      <formula>$U$1</formula>
    </cfRule>
  </conditionalFormatting>
  <conditionalFormatting sqref="C77">
    <cfRule type="cellIs" dxfId="23" priority="819" operator="equal">
      <formula>$U$1</formula>
    </cfRule>
    <cfRule type="cellIs" dxfId="22" priority="820" operator="equal">
      <formula>$S$1</formula>
    </cfRule>
  </conditionalFormatting>
  <conditionalFormatting sqref="D77">
    <cfRule type="cellIs" dxfId="21" priority="817" operator="equal">
      <formula>$S$1</formula>
    </cfRule>
    <cfRule type="cellIs" dxfId="20" priority="818" operator="equal">
      <formula>$U$1</formula>
    </cfRule>
  </conditionalFormatting>
  <conditionalFormatting sqref="C52">
    <cfRule type="cellIs" dxfId="19" priority="815" operator="equal">
      <formula>$U$1</formula>
    </cfRule>
    <cfRule type="cellIs" dxfId="18" priority="816" operator="equal">
      <formula>$S$1</formula>
    </cfRule>
  </conditionalFormatting>
  <conditionalFormatting sqref="D52">
    <cfRule type="cellIs" dxfId="17" priority="813" operator="equal">
      <formula>$S$1</formula>
    </cfRule>
    <cfRule type="cellIs" dxfId="16" priority="814" operator="equal">
      <formula>$U$1</formula>
    </cfRule>
  </conditionalFormatting>
  <conditionalFormatting sqref="C26">
    <cfRule type="cellIs" dxfId="15" priority="811" operator="equal">
      <formula>$U$1</formula>
    </cfRule>
    <cfRule type="cellIs" dxfId="14" priority="812" operator="equal">
      <formula>$S$1</formula>
    </cfRule>
  </conditionalFormatting>
  <conditionalFormatting sqref="D26">
    <cfRule type="cellIs" dxfId="13" priority="809" operator="equal">
      <formula>$S$1</formula>
    </cfRule>
    <cfRule type="cellIs" dxfId="12" priority="81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0.17265741462149967</v>
      </c>
      <c r="F3" s="30">
        <v>0.18129028535257471</v>
      </c>
      <c r="G3" s="30">
        <v>0.25509363714308075</v>
      </c>
      <c r="H3" s="25">
        <f>IF(G3="","",(3*(G3-F3))+E3)</f>
        <v>0.39406746999301778</v>
      </c>
      <c r="I3" s="7"/>
      <c r="J3" s="7">
        <f>(E3+G3)/2</f>
        <v>0.2138755258822902</v>
      </c>
      <c r="K3" s="7">
        <f>H3/2</f>
        <v>0.19703373499650889</v>
      </c>
      <c r="M3" s="26">
        <f>IF(OR(J3="",H3=""),"",H3/J3)</f>
        <v>1.8425084794877329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2022-01-28T01:21:16Z</dcterms:modified>
</cp:coreProperties>
</file>