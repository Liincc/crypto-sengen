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1961AD8-EF6A-406F-9471-0F60E0A0D7F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8" i="5"/>
  <c r="C2" i="1" l="1"/>
  <c r="D2" i="1"/>
  <c r="C118" i="4"/>
  <c r="C122" i="4"/>
  <c r="C133" i="4" s="1"/>
  <c r="C136" i="4" s="1"/>
  <c r="D118" i="4"/>
  <c r="C118" i="3"/>
  <c r="R765" i="1"/>
  <c r="S765" i="1" s="1"/>
  <c r="T765" i="1" s="1"/>
  <c r="D136" i="5"/>
  <c r="C136" i="5"/>
  <c r="C122" i="3"/>
  <c r="C133" i="3" s="1"/>
  <c r="D136" i="3" s="1"/>
  <c r="R764" i="1" l="1"/>
  <c r="R763" i="1" s="1"/>
  <c r="D136" i="4"/>
  <c r="C138" i="4" s="1"/>
  <c r="C138" i="5"/>
  <c r="C136" i="3"/>
  <c r="C138" i="3" s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<sst xmlns="http://schemas.openxmlformats.org/spreadsheetml/2006/main" count="5755" uniqueCount="34">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</sst>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0.10589999999999999</c:v>
                </c:pt>
                <c:pt idx="1">
                  <c:v>0.1055</c:v>
                </c:pt>
                <c:pt idx="2">
                  <c:v>0.1026</c:v>
                </c:pt>
                <c:pt idx="3">
                  <c:v>9.7199999999999995E-2</c:v>
                </c:pt>
                <c:pt idx="4">
                  <c:v>9.8000000000000004E-2</c:v>
                </c:pt>
                <c:pt idx="5">
                  <c:v>9.2700000000000005E-2</c:v>
                </c:pt>
                <c:pt idx="6">
                  <c:v>0.1114</c:v>
                </c:pt>
                <c:pt idx="7">
                  <c:v>0.1152</c:v>
                </c:pt>
                <c:pt idx="8">
                  <c:v>0.1203</c:v>
                </c:pt>
                <c:pt idx="9">
                  <c:v>0.12239999999999999</c:v>
                </c:pt>
                <c:pt idx="10">
                  <c:v>0.1196</c:v>
                </c:pt>
                <c:pt idx="11">
                  <c:v>0.12330000000000001</c:v>
                </c:pt>
                <c:pt idx="12">
                  <c:v>0.1211</c:v>
                </c:pt>
                <c:pt idx="13">
                  <c:v>0.1181</c:v>
                </c:pt>
                <c:pt idx="14">
                  <c:v>0.1167</c:v>
                </c:pt>
                <c:pt idx="15">
                  <c:v>0.1179</c:v>
                </c:pt>
                <c:pt idx="16">
                  <c:v>0.11459999999999999</c:v>
                </c:pt>
                <c:pt idx="17">
                  <c:v>0.11219999999999999</c:v>
                </c:pt>
                <c:pt idx="18">
                  <c:v>0.11269999999999999</c:v>
                </c:pt>
                <c:pt idx="19">
                  <c:v>0.1111</c:v>
                </c:pt>
                <c:pt idx="20">
                  <c:v>0.1134</c:v>
                </c:pt>
                <c:pt idx="21">
                  <c:v>0.1125</c:v>
                </c:pt>
                <c:pt idx="22">
                  <c:v>0.11700000000000001</c:v>
                </c:pt>
                <c:pt idx="23">
                  <c:v>0.1196</c:v>
                </c:pt>
                <c:pt idx="24">
                  <c:v>0.12089999999999999</c:v>
                </c:pt>
                <c:pt idx="25">
                  <c:v>0.11990000000000001</c:v>
                </c:pt>
                <c:pt idx="26">
                  <c:v>0.1205</c:v>
                </c:pt>
                <c:pt idx="27">
                  <c:v>0.11799999999999999</c:v>
                </c:pt>
                <c:pt idx="28">
                  <c:v>0.1196</c:v>
                </c:pt>
                <c:pt idx="29">
                  <c:v>0.11990000000000001</c:v>
                </c:pt>
                <c:pt idx="30">
                  <c:v>0.1186</c:v>
                </c:pt>
                <c:pt idx="31">
                  <c:v>0.1283</c:v>
                </c:pt>
                <c:pt idx="32">
                  <c:v>0.1288</c:v>
                </c:pt>
                <c:pt idx="33">
                  <c:v>0.1241</c:v>
                </c:pt>
                <c:pt idx="34">
                  <c:v>0.1216</c:v>
                </c:pt>
                <c:pt idx="35">
                  <c:v>0.1215</c:v>
                </c:pt>
                <c:pt idx="36">
                  <c:v>0.1181</c:v>
                </c:pt>
                <c:pt idx="37">
                  <c:v>0.1187</c:v>
                </c:pt>
                <c:pt idx="38">
                  <c:v>0.11459999999999999</c:v>
                </c:pt>
                <c:pt idx="39">
                  <c:v>0.1187</c:v>
                </c:pt>
                <c:pt idx="40">
                  <c:v>0.1303</c:v>
                </c:pt>
                <c:pt idx="41">
                  <c:v>0.1154</c:v>
                </c:pt>
                <c:pt idx="42">
                  <c:v>0.1166</c:v>
                </c:pt>
                <c:pt idx="43">
                  <c:v>0.11700000000000001</c:v>
                </c:pt>
                <c:pt idx="44">
                  <c:v>0.11600000000000001</c:v>
                </c:pt>
                <c:pt idx="45">
                  <c:v>0.1211</c:v>
                </c:pt>
                <c:pt idx="46">
                  <c:v>0.128</c:v>
                </c:pt>
                <c:pt idx="47">
                  <c:v>0.12559999999999999</c:v>
                </c:pt>
                <c:pt idx="48">
                  <c:v>0.12429999999999999</c:v>
                </c:pt>
                <c:pt idx="49">
                  <c:v>0.13300000000000001</c:v>
                </c:pt>
                <c:pt idx="50">
                  <c:v>0.1444</c:v>
                </c:pt>
                <c:pt idx="51">
                  <c:v>0.14199999999999999</c:v>
                </c:pt>
                <c:pt idx="52">
                  <c:v>0.14580000000000001</c:v>
                </c:pt>
                <c:pt idx="53">
                  <c:v>0.14899999999999999</c:v>
                </c:pt>
                <c:pt idx="54">
                  <c:v>0.1537</c:v>
                </c:pt>
                <c:pt idx="55">
                  <c:v>0.18340000000000001</c:v>
                </c:pt>
                <c:pt idx="56">
                  <c:v>0.17649999999999999</c:v>
                </c:pt>
                <c:pt idx="57">
                  <c:v>0.17330000000000001</c:v>
                </c:pt>
                <c:pt idx="58">
                  <c:v>0.16719999999999999</c:v>
                </c:pt>
                <c:pt idx="59">
                  <c:v>0.17419999999999999</c:v>
                </c:pt>
                <c:pt idx="60">
                  <c:v>0.17080000000000001</c:v>
                </c:pt>
                <c:pt idx="61">
                  <c:v>0.17349999999999999</c:v>
                </c:pt>
                <c:pt idx="62">
                  <c:v>0.17069999999999999</c:v>
                </c:pt>
                <c:pt idx="63">
                  <c:v>0.19020000000000001</c:v>
                </c:pt>
                <c:pt idx="64">
                  <c:v>0.1772</c:v>
                </c:pt>
                <c:pt idx="65">
                  <c:v>0.17979999999999999</c:v>
                </c:pt>
                <c:pt idx="66">
                  <c:v>0.17169999999999999</c:v>
                </c:pt>
                <c:pt idx="67">
                  <c:v>0.17960000000000001</c:v>
                </c:pt>
                <c:pt idx="68">
                  <c:v>0.18559999999999999</c:v>
                </c:pt>
                <c:pt idx="69">
                  <c:v>0.1638</c:v>
                </c:pt>
                <c:pt idx="70">
                  <c:v>0.15509999999999999</c:v>
                </c:pt>
                <c:pt idx="71">
                  <c:v>0.17069999999999999</c:v>
                </c:pt>
                <c:pt idx="72">
                  <c:v>0.1714</c:v>
                </c:pt>
                <c:pt idx="73">
                  <c:v>0.18509999999999999</c:v>
                </c:pt>
                <c:pt idx="74">
                  <c:v>0.19009999999999999</c:v>
                </c:pt>
                <c:pt idx="75">
                  <c:v>0.18729999999999999</c:v>
                </c:pt>
                <c:pt idx="76">
                  <c:v>0.1835</c:v>
                </c:pt>
                <c:pt idx="77">
                  <c:v>0.18970000000000001</c:v>
                </c:pt>
                <c:pt idx="78">
                  <c:v>0.18629999999999999</c:v>
                </c:pt>
                <c:pt idx="79">
                  <c:v>0.20030000000000001</c:v>
                </c:pt>
                <c:pt idx="80">
                  <c:v>0.2011</c:v>
                </c:pt>
                <c:pt idx="81">
                  <c:v>0.1923</c:v>
                </c:pt>
                <c:pt idx="82">
                  <c:v>0.19070000000000001</c:v>
                </c:pt>
                <c:pt idx="83">
                  <c:v>0.1915</c:v>
                </c:pt>
                <c:pt idx="84">
                  <c:v>0.2011</c:v>
                </c:pt>
                <c:pt idx="85">
                  <c:v>0.20050000000000001</c:v>
                </c:pt>
                <c:pt idx="86">
                  <c:v>0.19320000000000001</c:v>
                </c:pt>
                <c:pt idx="87">
                  <c:v>0.19059999999999999</c:v>
                </c:pt>
                <c:pt idx="88">
                  <c:v>0.1893</c:v>
                </c:pt>
                <c:pt idx="89">
                  <c:v>0.19289999999999999</c:v>
                </c:pt>
                <c:pt idx="90">
                  <c:v>0.19489999999999999</c:v>
                </c:pt>
                <c:pt idx="91">
                  <c:v>0.18909999999999999</c:v>
                </c:pt>
                <c:pt idx="92">
                  <c:v>0.17660000000000001</c:v>
                </c:pt>
                <c:pt idx="93">
                  <c:v>0.2036</c:v>
                </c:pt>
                <c:pt idx="94">
                  <c:v>0.20910000000000001</c:v>
                </c:pt>
                <c:pt idx="95">
                  <c:v>0.20399999999999999</c:v>
                </c:pt>
                <c:pt idx="96">
                  <c:v>0.20910000000000001</c:v>
                </c:pt>
                <c:pt idx="97">
                  <c:v>0.20899999999999999</c:v>
                </c:pt>
                <c:pt idx="98">
                  <c:v>0.2135</c:v>
                </c:pt>
                <c:pt idx="99">
                  <c:v>0.21340000000000001</c:v>
                </c:pt>
                <c:pt idx="100">
                  <c:v>0.20960000000000001</c:v>
                </c:pt>
                <c:pt idx="101">
                  <c:v>0.2165</c:v>
                </c:pt>
                <c:pt idx="102">
                  <c:v>0.2137</c:v>
                </c:pt>
                <c:pt idx="103">
                  <c:v>0.22620000000000001</c:v>
                </c:pt>
                <c:pt idx="104">
                  <c:v>0.2137</c:v>
                </c:pt>
                <c:pt idx="105">
                  <c:v>0.2041</c:v>
                </c:pt>
                <c:pt idx="106">
                  <c:v>0.2016</c:v>
                </c:pt>
                <c:pt idx="107">
                  <c:v>0.1968</c:v>
                </c:pt>
                <c:pt idx="108">
                  <c:v>0.20080000000000001</c:v>
                </c:pt>
                <c:pt idx="109">
                  <c:v>0.2016</c:v>
                </c:pt>
                <c:pt idx="110">
                  <c:v>0.20499999999999999</c:v>
                </c:pt>
                <c:pt idx="111">
                  <c:v>0.20250000000000001</c:v>
                </c:pt>
                <c:pt idx="112">
                  <c:v>0.20430000000000001</c:v>
                </c:pt>
                <c:pt idx="113">
                  <c:v>0.20100000000000001</c:v>
                </c:pt>
                <c:pt idx="114">
                  <c:v>0.20830000000000001</c:v>
                </c:pt>
                <c:pt idx="115">
                  <c:v>0.2056</c:v>
                </c:pt>
                <c:pt idx="116">
                  <c:v>0.21129999999999999</c:v>
                </c:pt>
                <c:pt idx="117">
                  <c:v>0.21560000000000001</c:v>
                </c:pt>
                <c:pt idx="118">
                  <c:v>0.22090000000000001</c:v>
                </c:pt>
                <c:pt idx="119">
                  <c:v>0.20860000000000001</c:v>
                </c:pt>
                <c:pt idx="120">
                  <c:v>0.20830000000000001</c:v>
                </c:pt>
                <c:pt idx="121">
                  <c:v>0.20569999999999999</c:v>
                </c:pt>
                <c:pt idx="122">
                  <c:v>0.22339999999999999</c:v>
                </c:pt>
                <c:pt idx="123">
                  <c:v>0.2203</c:v>
                </c:pt>
                <c:pt idx="124">
                  <c:v>0.2467</c:v>
                </c:pt>
                <c:pt idx="125">
                  <c:v>0.2777</c:v>
                </c:pt>
                <c:pt idx="126">
                  <c:v>0.1905</c:v>
                </c:pt>
                <c:pt idx="127">
                  <c:v>0.18240000000000001</c:v>
                </c:pt>
                <c:pt idx="128">
                  <c:v>0.17180000000000001</c:v>
                </c:pt>
                <c:pt idx="129">
                  <c:v>0.19020000000000001</c:v>
                </c:pt>
                <c:pt idx="130">
                  <c:v>0.21529999999999999</c:v>
                </c:pt>
                <c:pt idx="131">
                  <c:v>0.2303</c:v>
                </c:pt>
                <c:pt idx="132">
                  <c:v>0.2296</c:v>
                </c:pt>
                <c:pt idx="133">
                  <c:v>0.22159999999999999</c:v>
                </c:pt>
                <c:pt idx="134">
                  <c:v>0.22950000000000001</c:v>
                </c:pt>
                <c:pt idx="135">
                  <c:v>0.22459999999999999</c:v>
                </c:pt>
                <c:pt idx="136">
                  <c:v>0.23089999999999999</c:v>
                </c:pt>
                <c:pt idx="137">
                  <c:v>0.25459999999999999</c:v>
                </c:pt>
                <c:pt idx="138">
                  <c:v>0.2457</c:v>
                </c:pt>
                <c:pt idx="139">
                  <c:v>0.24310000000000001</c:v>
                </c:pt>
                <c:pt idx="140">
                  <c:v>0.24429999999999999</c:v>
                </c:pt>
                <c:pt idx="141">
                  <c:v>0.29210000000000003</c:v>
                </c:pt>
                <c:pt idx="142">
                  <c:v>0.2387</c:v>
                </c:pt>
                <c:pt idx="143">
                  <c:v>0.2135</c:v>
                </c:pt>
                <c:pt idx="144">
                  <c:v>0.19589999999999999</c:v>
                </c:pt>
                <c:pt idx="145">
                  <c:v>0.1852</c:v>
                </c:pt>
                <c:pt idx="146">
                  <c:v>0.18690000000000001</c:v>
                </c:pt>
                <c:pt idx="147">
                  <c:v>0.18010000000000001</c:v>
                </c:pt>
                <c:pt idx="148">
                  <c:v>0.17660000000000001</c:v>
                </c:pt>
                <c:pt idx="149">
                  <c:v>0.17219999999999999</c:v>
                </c:pt>
                <c:pt idx="150">
                  <c:v>0.1759</c:v>
                </c:pt>
                <c:pt idx="151">
                  <c:v>0.18870000000000001</c:v>
                </c:pt>
                <c:pt idx="152">
                  <c:v>0.18740000000000001</c:v>
                </c:pt>
                <c:pt idx="153">
                  <c:v>0.19139999999999999</c:v>
                </c:pt>
                <c:pt idx="154">
                  <c:v>0.18360000000000001</c:v>
                </c:pt>
                <c:pt idx="155">
                  <c:v>0.1966</c:v>
                </c:pt>
                <c:pt idx="156">
                  <c:v>0.1905</c:v>
                </c:pt>
                <c:pt idx="157">
                  <c:v>0.21279999999999999</c:v>
                </c:pt>
                <c:pt idx="158">
                  <c:v>0.19750000000000001</c:v>
                </c:pt>
                <c:pt idx="159">
                  <c:v>0.20030000000000001</c:v>
                </c:pt>
                <c:pt idx="160">
                  <c:v>0.19969999999999999</c:v>
                </c:pt>
                <c:pt idx="161">
                  <c:v>0.20419999999999999</c:v>
                </c:pt>
                <c:pt idx="162">
                  <c:v>0.19009999999999999</c:v>
                </c:pt>
                <c:pt idx="163">
                  <c:v>0.188</c:v>
                </c:pt>
                <c:pt idx="164">
                  <c:v>0.21160000000000001</c:v>
                </c:pt>
                <c:pt idx="165">
                  <c:v>0.22040000000000001</c:v>
                </c:pt>
                <c:pt idx="166">
                  <c:v>0.22109999999999999</c:v>
                </c:pt>
                <c:pt idx="167">
                  <c:v>0.23169999999999999</c:v>
                </c:pt>
                <c:pt idx="168">
                  <c:v>0.21479999999999999</c:v>
                </c:pt>
                <c:pt idx="169">
                  <c:v>0.20649999999999999</c:v>
                </c:pt>
                <c:pt idx="170">
                  <c:v>0.20050000000000001</c:v>
                </c:pt>
                <c:pt idx="171">
                  <c:v>0.21609999999999999</c:v>
                </c:pt>
                <c:pt idx="172">
                  <c:v>0.20569999999999999</c:v>
                </c:pt>
                <c:pt idx="173">
                  <c:v>0.18479999999999999</c:v>
                </c:pt>
                <c:pt idx="174">
                  <c:v>0.18890000000000001</c:v>
                </c:pt>
                <c:pt idx="175">
                  <c:v>0.17449999999999999</c:v>
                </c:pt>
                <c:pt idx="176">
                  <c:v>0.153</c:v>
                </c:pt>
                <c:pt idx="177">
                  <c:v>0.14449999999999999</c:v>
                </c:pt>
                <c:pt idx="178">
                  <c:v>0.14849999999999999</c:v>
                </c:pt>
                <c:pt idx="179">
                  <c:v>0.15</c:v>
                </c:pt>
                <c:pt idx="180">
                  <c:v>0.1525</c:v>
                </c:pt>
                <c:pt idx="181">
                  <c:v>0.15179999999999999</c:v>
                </c:pt>
                <c:pt idx="182">
                  <c:v>0.15190000000000001</c:v>
                </c:pt>
                <c:pt idx="183">
                  <c:v>0.1507</c:v>
                </c:pt>
                <c:pt idx="184">
                  <c:v>0.15620000000000001</c:v>
                </c:pt>
                <c:pt idx="185">
                  <c:v>0.158</c:v>
                </c:pt>
                <c:pt idx="186">
                  <c:v>0.18820000000000001</c:v>
                </c:pt>
                <c:pt idx="187">
                  <c:v>0.13400000000000001</c:v>
                </c:pt>
                <c:pt idx="188">
                  <c:v>0.13020000000000001</c:v>
                </c:pt>
                <c:pt idx="189">
                  <c:v>0.13189999999999999</c:v>
                </c:pt>
                <c:pt idx="190">
                  <c:v>0.122</c:v>
                </c:pt>
                <c:pt idx="191">
                  <c:v>0.1066</c:v>
                </c:pt>
                <c:pt idx="192">
                  <c:v>0.1124</c:v>
                </c:pt>
                <c:pt idx="193">
                  <c:v>0.123</c:v>
                </c:pt>
                <c:pt idx="194">
                  <c:v>0.1174</c:v>
                </c:pt>
                <c:pt idx="195">
                  <c:v>0.1203</c:v>
                </c:pt>
                <c:pt idx="196">
                  <c:v>0.129</c:v>
                </c:pt>
                <c:pt idx="197">
                  <c:v>0.1406</c:v>
                </c:pt>
                <c:pt idx="198">
                  <c:v>0.129</c:v>
                </c:pt>
                <c:pt idx="199">
                  <c:v>0.12659999999999999</c:v>
                </c:pt>
                <c:pt idx="200">
                  <c:v>0.1321</c:v>
                </c:pt>
                <c:pt idx="201">
                  <c:v>0.13</c:v>
                </c:pt>
                <c:pt idx="202">
                  <c:v>0.1336</c:v>
                </c:pt>
                <c:pt idx="203">
                  <c:v>0.13370000000000001</c:v>
                </c:pt>
                <c:pt idx="204">
                  <c:v>0.14729999999999999</c:v>
                </c:pt>
                <c:pt idx="205">
                  <c:v>0.14130000000000001</c:v>
                </c:pt>
                <c:pt idx="206">
                  <c:v>0.13550000000000001</c:v>
                </c:pt>
                <c:pt idx="207">
                  <c:v>0.1406</c:v>
                </c:pt>
                <c:pt idx="208">
                  <c:v>0.13800000000000001</c:v>
                </c:pt>
                <c:pt idx="209">
                  <c:v>0.1366</c:v>
                </c:pt>
                <c:pt idx="210">
                  <c:v>0.13109999999999999</c:v>
                </c:pt>
                <c:pt idx="211">
                  <c:v>0.1363</c:v>
                </c:pt>
                <c:pt idx="212">
                  <c:v>0.13189999999999999</c:v>
                </c:pt>
                <c:pt idx="213">
                  <c:v>0.12859999999999999</c:v>
                </c:pt>
                <c:pt idx="214">
                  <c:v>0.1278</c:v>
                </c:pt>
                <c:pt idx="215">
                  <c:v>0.1242</c:v>
                </c:pt>
                <c:pt idx="216">
                  <c:v>0.1255</c:v>
                </c:pt>
                <c:pt idx="217">
                  <c:v>0.13789999999999999</c:v>
                </c:pt>
                <c:pt idx="218">
                  <c:v>0.13950000000000001</c:v>
                </c:pt>
                <c:pt idx="219">
                  <c:v>0.13320000000000001</c:v>
                </c:pt>
                <c:pt idx="220">
                  <c:v>0.13900000000000001</c:v>
                </c:pt>
                <c:pt idx="221">
                  <c:v>0.17069999999999999</c:v>
                </c:pt>
                <c:pt idx="222">
                  <c:v>0.16900000000000001</c:v>
                </c:pt>
                <c:pt idx="223">
                  <c:v>0.17050000000000001</c:v>
                </c:pt>
                <c:pt idx="224">
                  <c:v>0.17519999999999999</c:v>
                </c:pt>
                <c:pt idx="225">
                  <c:v>0.17130000000000001</c:v>
                </c:pt>
                <c:pt idx="226">
                  <c:v>0.1971</c:v>
                </c:pt>
                <c:pt idx="227">
                  <c:v>0.21540000000000001</c:v>
                </c:pt>
                <c:pt idx="228">
                  <c:v>0.1653</c:v>
                </c:pt>
                <c:pt idx="229">
                  <c:v>0.152</c:v>
                </c:pt>
                <c:pt idx="230">
                  <c:v>0.16250000000000001</c:v>
                </c:pt>
                <c:pt idx="231">
                  <c:v>0.16569999999999999</c:v>
                </c:pt>
                <c:pt idx="232">
                  <c:v>0.1706</c:v>
                </c:pt>
                <c:pt idx="233">
                  <c:v>0.1694</c:v>
                </c:pt>
                <c:pt idx="234">
                  <c:v>0.19439999999999999</c:v>
                </c:pt>
                <c:pt idx="235">
                  <c:v>0.18379999999999999</c:v>
                </c:pt>
                <c:pt idx="236">
                  <c:v>0.18190000000000001</c:v>
                </c:pt>
                <c:pt idx="237">
                  <c:v>0.19270000000000001</c:v>
                </c:pt>
                <c:pt idx="238">
                  <c:v>0.2102</c:v>
                </c:pt>
                <c:pt idx="239">
                  <c:v>0.2054</c:v>
                </c:pt>
                <c:pt idx="240">
                  <c:v>0.21240000000000001</c:v>
                </c:pt>
                <c:pt idx="241">
                  <c:v>0.2172</c:v>
                </c:pt>
                <c:pt idx="242">
                  <c:v>0.21210000000000001</c:v>
                </c:pt>
                <c:pt idx="243">
                  <c:v>0.17519999999999999</c:v>
                </c:pt>
                <c:pt idx="244">
                  <c:v>0.18759999999999999</c:v>
                </c:pt>
                <c:pt idx="245">
                  <c:v>0.21379999999999999</c:v>
                </c:pt>
                <c:pt idx="246">
                  <c:v>0.23810000000000001</c:v>
                </c:pt>
                <c:pt idx="247">
                  <c:v>0.23230000000000001</c:v>
                </c:pt>
                <c:pt idx="248">
                  <c:v>0.24279999999999999</c:v>
                </c:pt>
                <c:pt idx="249">
                  <c:v>0.1236</c:v>
                </c:pt>
                <c:pt idx="250">
                  <c:v>0.1517</c:v>
                </c:pt>
                <c:pt idx="251">
                  <c:v>0.16039999999999999</c:v>
                </c:pt>
                <c:pt idx="252">
                  <c:v>0.18840000000000001</c:v>
                </c:pt>
                <c:pt idx="253">
                  <c:v>0.1653</c:v>
                </c:pt>
                <c:pt idx="254">
                  <c:v>0.26650000000000001</c:v>
                </c:pt>
                <c:pt idx="255">
                  <c:v>0.26090000000000002</c:v>
                </c:pt>
                <c:pt idx="256">
                  <c:v>0.28549999999999998</c:v>
                </c:pt>
                <c:pt idx="257">
                  <c:v>0.29239999999999999</c:v>
                </c:pt>
                <c:pt idx="258">
                  <c:v>0.3357</c:v>
                </c:pt>
                <c:pt idx="259">
                  <c:v>0.30690000000000001</c:v>
                </c:pt>
                <c:pt idx="260">
                  <c:v>0.31950000000000001</c:v>
                </c:pt>
                <c:pt idx="261">
                  <c:v>0.36170000000000002</c:v>
                </c:pt>
                <c:pt idx="262">
                  <c:v>0.34920000000000001</c:v>
                </c:pt>
                <c:pt idx="263">
                  <c:v>0.39660000000000001</c:v>
                </c:pt>
                <c:pt idx="264">
                  <c:v>0.41320000000000001</c:v>
                </c:pt>
                <c:pt idx="265">
                  <c:v>0.40179999999999999</c:v>
                </c:pt>
                <c:pt idx="266">
                  <c:v>0.35959999999999998</c:v>
                </c:pt>
                <c:pt idx="267">
                  <c:v>0.35759999999999997</c:v>
                </c:pt>
                <c:pt idx="268">
                  <c:v>0.33839999999999998</c:v>
                </c:pt>
                <c:pt idx="269">
                  <c:v>0.40810000000000002</c:v>
                </c:pt>
                <c:pt idx="270">
                  <c:v>0.3836</c:v>
                </c:pt>
                <c:pt idx="271">
                  <c:v>0.36520000000000002</c:v>
                </c:pt>
                <c:pt idx="272">
                  <c:v>0.375</c:v>
                </c:pt>
                <c:pt idx="273">
                  <c:v>0.38400000000000001</c:v>
                </c:pt>
                <c:pt idx="274">
                  <c:v>0.33789999999999998</c:v>
                </c:pt>
                <c:pt idx="275">
                  <c:v>0.33</c:v>
                </c:pt>
                <c:pt idx="276">
                  <c:v>0.31890000000000002</c:v>
                </c:pt>
                <c:pt idx="277">
                  <c:v>0.27729999999999999</c:v>
                </c:pt>
                <c:pt idx="278">
                  <c:v>0.2762</c:v>
                </c:pt>
                <c:pt idx="279">
                  <c:v>0.29039999999999999</c:v>
                </c:pt>
                <c:pt idx="280">
                  <c:v>0.2999</c:v>
                </c:pt>
                <c:pt idx="281">
                  <c:v>0.3024</c:v>
                </c:pt>
                <c:pt idx="282">
                  <c:v>0.30880000000000002</c:v>
                </c:pt>
                <c:pt idx="283">
                  <c:v>0.29630000000000001</c:v>
                </c:pt>
                <c:pt idx="284">
                  <c:v>0.35610000000000003</c:v>
                </c:pt>
                <c:pt idx="285">
                  <c:v>0.42970000000000003</c:v>
                </c:pt>
                <c:pt idx="286">
                  <c:v>0.43219999999999997</c:v>
                </c:pt>
                <c:pt idx="287">
                  <c:v>0.45400000000000001</c:v>
                </c:pt>
                <c:pt idx="288">
                  <c:v>0.44669999999999999</c:v>
                </c:pt>
                <c:pt idx="289">
                  <c:v>0.4511</c:v>
                </c:pt>
                <c:pt idx="290">
                  <c:v>0.46200000000000002</c:v>
                </c:pt>
                <c:pt idx="291">
                  <c:v>0.44219999999999998</c:v>
                </c:pt>
                <c:pt idx="292">
                  <c:v>0.4244</c:v>
                </c:pt>
                <c:pt idx="293">
                  <c:v>0.45119999999999999</c:v>
                </c:pt>
                <c:pt idx="294">
                  <c:v>0.40550000000000003</c:v>
                </c:pt>
                <c:pt idx="295">
                  <c:v>0.37080000000000002</c:v>
                </c:pt>
                <c:pt idx="296">
                  <c:v>0.42649999999999999</c:v>
                </c:pt>
                <c:pt idx="297">
                  <c:v>0.43430000000000002</c:v>
                </c:pt>
                <c:pt idx="298">
                  <c:v>0.39100000000000001</c:v>
                </c:pt>
                <c:pt idx="299">
                  <c:v>0.36420000000000002</c:v>
                </c:pt>
                <c:pt idx="300">
                  <c:v>0.37609999999999999</c:v>
                </c:pt>
                <c:pt idx="301">
                  <c:v>0.3614</c:v>
                </c:pt>
                <c:pt idx="302">
                  <c:v>0.38090000000000002</c:v>
                </c:pt>
                <c:pt idx="303">
                  <c:v>0.39600000000000002</c:v>
                </c:pt>
                <c:pt idx="304">
                  <c:v>0.38569999999999999</c:v>
                </c:pt>
                <c:pt idx="305">
                  <c:v>0.35809999999999997</c:v>
                </c:pt>
                <c:pt idx="306">
                  <c:v>0.3674</c:v>
                </c:pt>
                <c:pt idx="307">
                  <c:v>0.36530000000000001</c:v>
                </c:pt>
                <c:pt idx="308">
                  <c:v>0.33500000000000002</c:v>
                </c:pt>
                <c:pt idx="309">
                  <c:v>0.35420000000000001</c:v>
                </c:pt>
                <c:pt idx="310">
                  <c:v>0.35560000000000003</c:v>
                </c:pt>
                <c:pt idx="311">
                  <c:v>0.36</c:v>
                </c:pt>
                <c:pt idx="312">
                  <c:v>0.37330000000000002</c:v>
                </c:pt>
                <c:pt idx="313">
                  <c:v>0.42899999999999999</c:v>
                </c:pt>
                <c:pt idx="314">
                  <c:v>0.41849999999999998</c:v>
                </c:pt>
                <c:pt idx="315">
                  <c:v>0.44309999999999999</c:v>
                </c:pt>
                <c:pt idx="316">
                  <c:v>0.47860000000000003</c:v>
                </c:pt>
                <c:pt idx="317">
                  <c:v>0.52090000000000003</c:v>
                </c:pt>
                <c:pt idx="318">
                  <c:v>0.46870000000000001</c:v>
                </c:pt>
                <c:pt idx="319">
                  <c:v>0.44929999999999998</c:v>
                </c:pt>
                <c:pt idx="320">
                  <c:v>0.4234</c:v>
                </c:pt>
                <c:pt idx="321">
                  <c:v>0.34110000000000001</c:v>
                </c:pt>
                <c:pt idx="322">
                  <c:v>0.34229999999999999</c:v>
                </c:pt>
                <c:pt idx="323">
                  <c:v>0.34699999999999998</c:v>
                </c:pt>
                <c:pt idx="324">
                  <c:v>0.36870000000000003</c:v>
                </c:pt>
                <c:pt idx="325">
                  <c:v>0.38419999999999999</c:v>
                </c:pt>
                <c:pt idx="326">
                  <c:v>0.33929999999999999</c:v>
                </c:pt>
                <c:pt idx="327">
                  <c:v>0.32950000000000002</c:v>
                </c:pt>
                <c:pt idx="328">
                  <c:v>0.315</c:v>
                </c:pt>
                <c:pt idx="329">
                  <c:v>0.32690000000000002</c:v>
                </c:pt>
                <c:pt idx="330">
                  <c:v>0.35349999999999998</c:v>
                </c:pt>
                <c:pt idx="331">
                  <c:v>0.3619</c:v>
                </c:pt>
                <c:pt idx="332">
                  <c:v>0.40010000000000001</c:v>
                </c:pt>
                <c:pt idx="333">
                  <c:v>0.27</c:v>
                </c:pt>
                <c:pt idx="334">
                  <c:v>0.31030000000000002</c:v>
                </c:pt>
                <c:pt idx="335">
                  <c:v>0.30740000000000001</c:v>
                </c:pt>
                <c:pt idx="336">
                  <c:v>0.307</c:v>
                </c:pt>
                <c:pt idx="337">
                  <c:v>0.34050000000000002</c:v>
                </c:pt>
                <c:pt idx="338">
                  <c:v>0.33279999999999998</c:v>
                </c:pt>
                <c:pt idx="339">
                  <c:v>0.41260000000000002</c:v>
                </c:pt>
                <c:pt idx="340">
                  <c:v>0.47620000000000001</c:v>
                </c:pt>
                <c:pt idx="341">
                  <c:v>0.42130000000000001</c:v>
                </c:pt>
                <c:pt idx="342">
                  <c:v>0.43059999999999998</c:v>
                </c:pt>
                <c:pt idx="343">
                  <c:v>0.43109999999999998</c:v>
                </c:pt>
                <c:pt idx="344">
                  <c:v>0.6</c:v>
                </c:pt>
                <c:pt idx="345">
                  <c:v>0.27600000000000002</c:v>
                </c:pt>
                <c:pt idx="346">
                  <c:v>0.25380000000000003</c:v>
                </c:pt>
                <c:pt idx="347">
                  <c:v>0.27539999999999998</c:v>
                </c:pt>
                <c:pt idx="348">
                  <c:v>0.30099999999999999</c:v>
                </c:pt>
                <c:pt idx="349">
                  <c:v>0.29389999999999999</c:v>
                </c:pt>
                <c:pt idx="350">
                  <c:v>0.308</c:v>
                </c:pt>
                <c:pt idx="351">
                  <c:v>0.26</c:v>
                </c:pt>
                <c:pt idx="352">
                  <c:v>0.24610000000000001</c:v>
                </c:pt>
                <c:pt idx="353">
                  <c:v>0.23499999999999999</c:v>
                </c:pt>
                <c:pt idx="354">
                  <c:v>0.21790000000000001</c:v>
                </c:pt>
                <c:pt idx="355">
                  <c:v>0.223</c:v>
                </c:pt>
                <c:pt idx="356">
                  <c:v>0.24940000000000001</c:v>
                </c:pt>
                <c:pt idx="357">
                  <c:v>0.23400000000000001</c:v>
                </c:pt>
                <c:pt idx="358">
                  <c:v>0.22720000000000001</c:v>
                </c:pt>
                <c:pt idx="359">
                  <c:v>0.26879999999999998</c:v>
                </c:pt>
                <c:pt idx="360">
                  <c:v>0.17280000000000001</c:v>
                </c:pt>
                <c:pt idx="361">
                  <c:v>0.16689999999999999</c:v>
                </c:pt>
                <c:pt idx="362">
                  <c:v>0.17419999999999999</c:v>
                </c:pt>
                <c:pt idx="363">
                  <c:v>0.16309999999999999</c:v>
                </c:pt>
                <c:pt idx="364">
                  <c:v>0.15210000000000001</c:v>
                </c:pt>
                <c:pt idx="365">
                  <c:v>0.13969999999999999</c:v>
                </c:pt>
                <c:pt idx="366">
                  <c:v>0.15429999999999999</c:v>
                </c:pt>
                <c:pt idx="367">
                  <c:v>0.153</c:v>
                </c:pt>
                <c:pt idx="368">
                  <c:v>0.1525</c:v>
                </c:pt>
                <c:pt idx="369">
                  <c:v>0.14480000000000001</c:v>
                </c:pt>
                <c:pt idx="370">
                  <c:v>0.1447</c:v>
                </c:pt>
                <c:pt idx="371">
                  <c:v>0.1338</c:v>
                </c:pt>
                <c:pt idx="372">
                  <c:v>0.16</c:v>
                </c:pt>
                <c:pt idx="373">
                  <c:v>0.16220000000000001</c:v>
                </c:pt>
                <c:pt idx="374">
                  <c:v>0.1787</c:v>
                </c:pt>
                <c:pt idx="375">
                  <c:v>0.1648</c:v>
                </c:pt>
                <c:pt idx="376">
                  <c:v>0.1699</c:v>
                </c:pt>
                <c:pt idx="377">
                  <c:v>0.13500000000000001</c:v>
                </c:pt>
                <c:pt idx="378">
                  <c:v>0.14180000000000001</c:v>
                </c:pt>
                <c:pt idx="379">
                  <c:v>0.1323</c:v>
                </c:pt>
                <c:pt idx="380">
                  <c:v>0.12759999999999999</c:v>
                </c:pt>
                <c:pt idx="381">
                  <c:v>0.1188</c:v>
                </c:pt>
                <c:pt idx="382">
                  <c:v>0.13700000000000001</c:v>
                </c:pt>
                <c:pt idx="383">
                  <c:v>0.1469</c:v>
                </c:pt>
                <c:pt idx="384">
                  <c:v>0.1391</c:v>
                </c:pt>
                <c:pt idx="385">
                  <c:v>0.1409</c:v>
                </c:pt>
                <c:pt idx="386">
                  <c:v>0.13370000000000001</c:v>
                </c:pt>
                <c:pt idx="387">
                  <c:v>0.1419</c:v>
                </c:pt>
                <c:pt idx="388">
                  <c:v>0.1177</c:v>
                </c:pt>
                <c:pt idx="389">
                  <c:v>0.1181</c:v>
                </c:pt>
                <c:pt idx="390">
                  <c:v>0.1187</c:v>
                </c:pt>
                <c:pt idx="391">
                  <c:v>0.1157</c:v>
                </c:pt>
                <c:pt idx="392">
                  <c:v>0.11310000000000001</c:v>
                </c:pt>
                <c:pt idx="393">
                  <c:v>0.1128</c:v>
                </c:pt>
                <c:pt idx="394">
                  <c:v>0.1137</c:v>
                </c:pt>
                <c:pt idx="395">
                  <c:v>0.1205</c:v>
                </c:pt>
                <c:pt idx="396">
                  <c:v>0.12180000000000001</c:v>
                </c:pt>
                <c:pt idx="397">
                  <c:v>0.11700000000000001</c:v>
                </c:pt>
                <c:pt idx="398">
                  <c:v>0.10970000000000001</c:v>
                </c:pt>
                <c:pt idx="399">
                  <c:v>0.1115</c:v>
                </c:pt>
                <c:pt idx="400">
                  <c:v>0.106</c:v>
                </c:pt>
                <c:pt idx="401">
                  <c:v>0.12720000000000001</c:v>
                </c:pt>
                <c:pt idx="402">
                  <c:v>0.1477</c:v>
                </c:pt>
                <c:pt idx="403">
                  <c:v>0.1386</c:v>
                </c:pt>
                <c:pt idx="404">
                  <c:v>0.157</c:v>
                </c:pt>
                <c:pt idx="405">
                  <c:v>0.1474</c:v>
                </c:pt>
                <c:pt idx="406">
                  <c:v>0.15409999999999999</c:v>
                </c:pt>
                <c:pt idx="407">
                  <c:v>0.17119999999999999</c:v>
                </c:pt>
                <c:pt idx="408">
                  <c:v>0.17649999999999999</c:v>
                </c:pt>
                <c:pt idx="409">
                  <c:v>0.21290000000000001</c:v>
                </c:pt>
                <c:pt idx="410">
                  <c:v>0.2384</c:v>
                </c:pt>
                <c:pt idx="411">
                  <c:v>0.28299999999999997</c:v>
                </c:pt>
                <c:pt idx="412">
                  <c:v>0.16200000000000001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1E-4EB6-84D1-689EF78E27E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-21.526614423609477</c:v>
                </c:pt>
                <c:pt idx="1">
                  <c:v>-21.522342099064023</c:v>
                </c:pt>
                <c:pt idx="2">
                  <c:v>-21.451320358754742</c:v>
                </c:pt>
                <c:pt idx="3">
                  <c:v>-21.501378198754743</c:v>
                </c:pt>
                <c:pt idx="4">
                  <c:v>-21.606074865421412</c:v>
                </c:pt>
                <c:pt idx="5">
                  <c:v>-21.621256779399904</c:v>
                </c:pt>
                <c:pt idx="6">
                  <c:v>-21.435301872217583</c:v>
                </c:pt>
                <c:pt idx="7">
                  <c:v>-21.444085185055421</c:v>
                </c:pt>
                <c:pt idx="8">
                  <c:v>-21.355663565055419</c:v>
                </c:pt>
                <c:pt idx="9">
                  <c:v>-21.355663565055419</c:v>
                </c:pt>
                <c:pt idx="10">
                  <c:v>-21.328424951055418</c:v>
                </c:pt>
                <c:pt idx="11">
                  <c:v>-21.024529792790958</c:v>
                </c:pt>
                <c:pt idx="12">
                  <c:v>-21.008836436320369</c:v>
                </c:pt>
                <c:pt idx="13">
                  <c:v>-21.010413413535559</c:v>
                </c:pt>
                <c:pt idx="14">
                  <c:v>-20.889064521899197</c:v>
                </c:pt>
                <c:pt idx="15">
                  <c:v>-20.762464573834681</c:v>
                </c:pt>
                <c:pt idx="16">
                  <c:v>-20.79758522320968</c:v>
                </c:pt>
                <c:pt idx="17">
                  <c:v>-20.82226394902786</c:v>
                </c:pt>
                <c:pt idx="18">
                  <c:v>-20.82226394902786</c:v>
                </c:pt>
                <c:pt idx="19">
                  <c:v>-20.806414677076638</c:v>
                </c:pt>
                <c:pt idx="20">
                  <c:v>-20.509520983221222</c:v>
                </c:pt>
                <c:pt idx="21">
                  <c:v>-20.473541797338864</c:v>
                </c:pt>
                <c:pt idx="22">
                  <c:v>-20.403762545817123</c:v>
                </c:pt>
                <c:pt idx="23">
                  <c:v>-20.155182402563536</c:v>
                </c:pt>
                <c:pt idx="24">
                  <c:v>-20.102061017475819</c:v>
                </c:pt>
                <c:pt idx="25">
                  <c:v>-20.044722239097439</c:v>
                </c:pt>
                <c:pt idx="26">
                  <c:v>-20.016190445219888</c:v>
                </c:pt>
                <c:pt idx="27">
                  <c:v>-20.016190445219888</c:v>
                </c:pt>
                <c:pt idx="28">
                  <c:v>-19.958358342142965</c:v>
                </c:pt>
                <c:pt idx="29">
                  <c:v>-19.878433038464802</c:v>
                </c:pt>
                <c:pt idx="30">
                  <c:v>-19.697485353761607</c:v>
                </c:pt>
                <c:pt idx="31">
                  <c:v>-19.622779230042596</c:v>
                </c:pt>
                <c:pt idx="32">
                  <c:v>-19.567746264328314</c:v>
                </c:pt>
                <c:pt idx="33">
                  <c:v>-19.285677229694166</c:v>
                </c:pt>
                <c:pt idx="34">
                  <c:v>-19.289336635226082</c:v>
                </c:pt>
                <c:pt idx="35">
                  <c:v>-19.236357325226081</c:v>
                </c:pt>
                <c:pt idx="36">
                  <c:v>-19.297519615226079</c:v>
                </c:pt>
                <c:pt idx="37">
                  <c:v>-19.284418378862444</c:v>
                </c:pt>
                <c:pt idx="38">
                  <c:v>-19.309437391126593</c:v>
                </c:pt>
                <c:pt idx="39">
                  <c:v>-19.299616050092112</c:v>
                </c:pt>
                <c:pt idx="40">
                  <c:v>-19.079284760462482</c:v>
                </c:pt>
                <c:pt idx="41">
                  <c:v>-18.533890553539404</c:v>
                </c:pt>
                <c:pt idx="42">
                  <c:v>-18.534792833676391</c:v>
                </c:pt>
                <c:pt idx="43">
                  <c:v>-18.44389754879834</c:v>
                </c:pt>
                <c:pt idx="44">
                  <c:v>-18.472540879672128</c:v>
                </c:pt>
                <c:pt idx="45">
                  <c:v>-18.453937379837416</c:v>
                </c:pt>
                <c:pt idx="46">
                  <c:v>-18.476324227529727</c:v>
                </c:pt>
                <c:pt idx="47">
                  <c:v>-18.450357956137324</c:v>
                </c:pt>
                <c:pt idx="48">
                  <c:v>-18.459411114470655</c:v>
                </c:pt>
                <c:pt idx="49">
                  <c:v>-18.335557249106415</c:v>
                </c:pt>
                <c:pt idx="50">
                  <c:v>-18.230903574106414</c:v>
                </c:pt>
                <c:pt idx="51">
                  <c:v>-18.212322120864407</c:v>
                </c:pt>
                <c:pt idx="52">
                  <c:v>-18.00086190475562</c:v>
                </c:pt>
                <c:pt idx="53">
                  <c:v>-18.049756871267249</c:v>
                </c:pt>
                <c:pt idx="54">
                  <c:v>-18.023634385552963</c:v>
                </c:pt>
                <c:pt idx="55">
                  <c:v>-17.943303985552962</c:v>
                </c:pt>
                <c:pt idx="56">
                  <c:v>-17.857183965552963</c:v>
                </c:pt>
                <c:pt idx="57">
                  <c:v>-17.550000973245272</c:v>
                </c:pt>
                <c:pt idx="58">
                  <c:v>-17.4915343118167</c:v>
                </c:pt>
                <c:pt idx="59">
                  <c:v>-17.433931322806799</c:v>
                </c:pt>
                <c:pt idx="60">
                  <c:v>-17.45169727371589</c:v>
                </c:pt>
                <c:pt idx="61">
                  <c:v>-17.483231621715888</c:v>
                </c:pt>
                <c:pt idx="62">
                  <c:v>-17.463081345715892</c:v>
                </c:pt>
                <c:pt idx="63">
                  <c:v>-17.328086478925769</c:v>
                </c:pt>
                <c:pt idx="64">
                  <c:v>-17.174321345787082</c:v>
                </c:pt>
                <c:pt idx="65">
                  <c:v>-17.162925310651946</c:v>
                </c:pt>
                <c:pt idx="66">
                  <c:v>-17.193003316692216</c:v>
                </c:pt>
                <c:pt idx="67">
                  <c:v>-17.113061634319333</c:v>
                </c:pt>
                <c:pt idx="68">
                  <c:v>-16.842113429515837</c:v>
                </c:pt>
                <c:pt idx="69">
                  <c:v>-16.87693506698762</c:v>
                </c:pt>
                <c:pt idx="70">
                  <c:v>-16.906309030869977</c:v>
                </c:pt>
                <c:pt idx="71">
                  <c:v>-16.816929200787332</c:v>
                </c:pt>
                <c:pt idx="72">
                  <c:v>-16.830951831524175</c:v>
                </c:pt>
                <c:pt idx="73">
                  <c:v>-16.810276888074391</c:v>
                </c:pt>
                <c:pt idx="74">
                  <c:v>-16.763280168356079</c:v>
                </c:pt>
                <c:pt idx="75">
                  <c:v>-16.792766231885491</c:v>
                </c:pt>
                <c:pt idx="76">
                  <c:v>-16.741059252602621</c:v>
                </c:pt>
                <c:pt idx="77">
                  <c:v>-16.726478139644875</c:v>
                </c:pt>
                <c:pt idx="78">
                  <c:v>-16.754567733710811</c:v>
                </c:pt>
                <c:pt idx="79">
                  <c:v>-16.675784616910811</c:v>
                </c:pt>
                <c:pt idx="80">
                  <c:v>-16.687829745799696</c:v>
                </c:pt>
                <c:pt idx="81">
                  <c:v>-16.801347928519696</c:v>
                </c:pt>
                <c:pt idx="82">
                  <c:v>-16.815944289662554</c:v>
                </c:pt>
                <c:pt idx="83">
                  <c:v>-16.833656584183103</c:v>
                </c:pt>
                <c:pt idx="84">
                  <c:v>-16.80248536832103</c:v>
                </c:pt>
                <c:pt idx="85">
                  <c:v>-16.777858803230124</c:v>
                </c:pt>
                <c:pt idx="86">
                  <c:v>-16.78456575218361</c:v>
                </c:pt>
                <c:pt idx="87">
                  <c:v>-16.732817570340295</c:v>
                </c:pt>
                <c:pt idx="88">
                  <c:v>-16.751851586925664</c:v>
                </c:pt>
                <c:pt idx="89">
                  <c:v>-16.681125539147885</c:v>
                </c:pt>
                <c:pt idx="90">
                  <c:v>-16.551237129344607</c:v>
                </c:pt>
                <c:pt idx="91">
                  <c:v>-16.647654223692431</c:v>
                </c:pt>
                <c:pt idx="92">
                  <c:v>-16.684992318111036</c:v>
                </c:pt>
                <c:pt idx="93">
                  <c:v>-16.639923052220052</c:v>
                </c:pt>
                <c:pt idx="94">
                  <c:v>-16.579346124741789</c:v>
                </c:pt>
                <c:pt idx="95">
                  <c:v>-16.55547935504482</c:v>
                </c:pt>
                <c:pt idx="96">
                  <c:v>-16.507183621308556</c:v>
                </c:pt>
                <c:pt idx="97">
                  <c:v>-16.478282149997078</c:v>
                </c:pt>
                <c:pt idx="98">
                  <c:v>-16.397913128507717</c:v>
                </c:pt>
                <c:pt idx="99">
                  <c:v>-16.376097729590519</c:v>
                </c:pt>
                <c:pt idx="100">
                  <c:v>-16.446182729590518</c:v>
                </c:pt>
                <c:pt idx="101">
                  <c:v>-16.417219471504396</c:v>
                </c:pt>
                <c:pt idx="102">
                  <c:v>-16.343550538171062</c:v>
                </c:pt>
                <c:pt idx="103">
                  <c:v>-16.225956974171062</c:v>
                </c:pt>
                <c:pt idx="104">
                  <c:v>-15.191691283876624</c:v>
                </c:pt>
                <c:pt idx="105">
                  <c:v>-14.992641550140773</c:v>
                </c:pt>
                <c:pt idx="106">
                  <c:v>-14.906179478640773</c:v>
                </c:pt>
                <c:pt idx="107">
                  <c:v>-14.92063398502375</c:v>
                </c:pt>
                <c:pt idx="108">
                  <c:v>-14.915653384315091</c:v>
                </c:pt>
                <c:pt idx="109">
                  <c:v>-14.8503776321117</c:v>
                </c:pt>
                <c:pt idx="110">
                  <c:v>-14.534301950382376</c:v>
                </c:pt>
                <c:pt idx="111">
                  <c:v>-14.423941698953806</c:v>
                </c:pt>
                <c:pt idx="112">
                  <c:v>-14.276518463979983</c:v>
                </c:pt>
                <c:pt idx="113">
                  <c:v>-14.34473417159588</c:v>
                </c:pt>
                <c:pt idx="114">
                  <c:v>-14.30349325867696</c:v>
                </c:pt>
                <c:pt idx="115">
                  <c:v>-14.261097358566463</c:v>
                </c:pt>
                <c:pt idx="116">
                  <c:v>-14.16046142523313</c:v>
                </c:pt>
                <c:pt idx="117">
                  <c:v>-14.13935037491734</c:v>
                </c:pt>
                <c:pt idx="118">
                  <c:v>-14.057365480977948</c:v>
                </c:pt>
                <c:pt idx="119">
                  <c:v>-14.080804960075692</c:v>
                </c:pt>
                <c:pt idx="120">
                  <c:v>-13.95340620433605</c:v>
                </c:pt>
                <c:pt idx="121">
                  <c:v>-13.865803062851333</c:v>
                </c:pt>
                <c:pt idx="122">
                  <c:v>-13.518585613477638</c:v>
                </c:pt>
                <c:pt idx="123">
                  <c:v>-12.984952400361848</c:v>
                </c:pt>
                <c:pt idx="124">
                  <c:v>-12.473539701040579</c:v>
                </c:pt>
                <c:pt idx="125">
                  <c:v>-10.410177830078315</c:v>
                </c:pt>
                <c:pt idx="126">
                  <c:v>-11.29872981463277</c:v>
                </c:pt>
                <c:pt idx="127">
                  <c:v>-10.944364956251269</c:v>
                </c:pt>
                <c:pt idx="128">
                  <c:v>-11.039753093112584</c:v>
                </c:pt>
                <c:pt idx="129">
                  <c:v>-11.043845360134013</c:v>
                </c:pt>
                <c:pt idx="130">
                  <c:v>-10.970618308070522</c:v>
                </c:pt>
                <c:pt idx="131">
                  <c:v>-10.841566699279314</c:v>
                </c:pt>
                <c:pt idx="132">
                  <c:v>-10.716235061960877</c:v>
                </c:pt>
                <c:pt idx="133">
                  <c:v>-10.348261941312414</c:v>
                </c:pt>
                <c:pt idx="134">
                  <c:v>-10.206433378871468</c:v>
                </c:pt>
                <c:pt idx="135">
                  <c:v>-10.305816416619813</c:v>
                </c:pt>
                <c:pt idx="136">
                  <c:v>-9.8386003632068419</c:v>
                </c:pt>
                <c:pt idx="137">
                  <c:v>-8.5969393178535221</c:v>
                </c:pt>
                <c:pt idx="138">
                  <c:v>-8.6150706714775005</c:v>
                </c:pt>
                <c:pt idx="139">
                  <c:v>-8.1844639121190106</c:v>
                </c:pt>
                <c:pt idx="140">
                  <c:v>-7.7630354929270924</c:v>
                </c:pt>
                <c:pt idx="141">
                  <c:v>-6.9052281203200891</c:v>
                </c:pt>
                <c:pt idx="142">
                  <c:v>-4.3406433526284127</c:v>
                </c:pt>
                <c:pt idx="143">
                  <c:v>-3.427706235769064</c:v>
                </c:pt>
                <c:pt idx="144">
                  <c:v>-3.5253435147521146</c:v>
                </c:pt>
                <c:pt idx="145">
                  <c:v>-3.4085231710299384</c:v>
                </c:pt>
                <c:pt idx="146">
                  <c:v>-3.4052945718870813</c:v>
                </c:pt>
                <c:pt idx="147">
                  <c:v>-3.4009475902870818</c:v>
                </c:pt>
                <c:pt idx="148">
                  <c:v>-3.4050362950870818</c:v>
                </c:pt>
                <c:pt idx="149">
                  <c:v>-3.4165802411740378</c:v>
                </c:pt>
                <c:pt idx="150">
                  <c:v>-3.4100995329987569</c:v>
                </c:pt>
                <c:pt idx="151">
                  <c:v>-3.374499758984471</c:v>
                </c:pt>
                <c:pt idx="152">
                  <c:v>-3.4197435160215082</c:v>
                </c:pt>
                <c:pt idx="153">
                  <c:v>-3.4124317676344114</c:v>
                </c:pt>
                <c:pt idx="154">
                  <c:v>-3.4737522661955627</c:v>
                </c:pt>
                <c:pt idx="155">
                  <c:v>-3.4162500549218784</c:v>
                </c:pt>
                <c:pt idx="156">
                  <c:v>-3.4453014165468789</c:v>
                </c:pt>
                <c:pt idx="157">
                  <c:v>-3.3885188402571966</c:v>
                </c:pt>
                <c:pt idx="158">
                  <c:v>-3.4008837270571957</c:v>
                </c:pt>
                <c:pt idx="159">
                  <c:v>-3.3955635218905296</c:v>
                </c:pt>
                <c:pt idx="160">
                  <c:v>-3.4121742749998081</c:v>
                </c:pt>
                <c:pt idx="161">
                  <c:v>-3.4002838704303637</c:v>
                </c:pt>
                <c:pt idx="162">
                  <c:v>-3.4928280850170306</c:v>
                </c:pt>
                <c:pt idx="163">
                  <c:v>-3.4174070511149894</c:v>
                </c:pt>
                <c:pt idx="164">
                  <c:v>-3.3422919696590454</c:v>
                </c:pt>
                <c:pt idx="165">
                  <c:v>-3.246120897947725</c:v>
                </c:pt>
                <c:pt idx="166">
                  <c:v>-3.2528473820414749</c:v>
                </c:pt>
                <c:pt idx="167">
                  <c:v>-3.1996891184414751</c:v>
                </c:pt>
                <c:pt idx="168">
                  <c:v>-3.2508759826572646</c:v>
                </c:pt>
                <c:pt idx="169">
                  <c:v>-3.0456454436001215</c:v>
                </c:pt>
                <c:pt idx="170">
                  <c:v>-3.0130870722365914</c:v>
                </c:pt>
                <c:pt idx="171">
                  <c:v>-2.9827518532170605</c:v>
                </c:pt>
                <c:pt idx="172">
                  <c:v>-3.1654175158011131</c:v>
                </c:pt>
                <c:pt idx="173">
                  <c:v>-3.2394924283531132</c:v>
                </c:pt>
                <c:pt idx="174">
                  <c:v>-3.229788693340113</c:v>
                </c:pt>
                <c:pt idx="175">
                  <c:v>-3.2741856836172785</c:v>
                </c:pt>
                <c:pt idx="176">
                  <c:v>-2.9639973258401353</c:v>
                </c:pt>
                <c:pt idx="177">
                  <c:v>-2.9762410636184797</c:v>
                </c:pt>
                <c:pt idx="178">
                  <c:v>-2.9671922608700925</c:v>
                </c:pt>
                <c:pt idx="179">
                  <c:v>-2.9689474790382744</c:v>
                </c:pt>
                <c:pt idx="180">
                  <c:v>-2.9157412027382743</c:v>
                </c:pt>
                <c:pt idx="181">
                  <c:v>-2.8770621415763906</c:v>
                </c:pt>
                <c:pt idx="182">
                  <c:v>-2.9206775790831578</c:v>
                </c:pt>
                <c:pt idx="183">
                  <c:v>-2.9536425647645532</c:v>
                </c:pt>
                <c:pt idx="184">
                  <c:v>-2.896776046898061</c:v>
                </c:pt>
                <c:pt idx="185">
                  <c:v>-2.8262186881965685</c:v>
                </c:pt>
                <c:pt idx="186">
                  <c:v>-2.0943461693238414</c:v>
                </c:pt>
                <c:pt idx="187">
                  <c:v>-1.9763100981786317</c:v>
                </c:pt>
                <c:pt idx="188">
                  <c:v>-1.9926846534863238</c:v>
                </c:pt>
                <c:pt idx="189">
                  <c:v>-1.9379656103177292</c:v>
                </c:pt>
                <c:pt idx="190">
                  <c:v>-1.9649644966291939</c:v>
                </c:pt>
                <c:pt idx="191">
                  <c:v>-1.9843912618504329</c:v>
                </c:pt>
                <c:pt idx="192">
                  <c:v>-1.981871741530433</c:v>
                </c:pt>
                <c:pt idx="193">
                  <c:v>-1.968558916251363</c:v>
                </c:pt>
                <c:pt idx="194">
                  <c:v>-1.9744991025942205</c:v>
                </c:pt>
                <c:pt idx="195">
                  <c:v>-1.9683178761977917</c:v>
                </c:pt>
                <c:pt idx="196">
                  <c:v>-1.9497239666644584</c:v>
                </c:pt>
                <c:pt idx="197">
                  <c:v>-1.9192867841982615</c:v>
                </c:pt>
                <c:pt idx="198">
                  <c:v>-1.869373164322212</c:v>
                </c:pt>
                <c:pt idx="199">
                  <c:v>-1.8672323185364976</c:v>
                </c:pt>
                <c:pt idx="200">
                  <c:v>-1.861238658722544</c:v>
                </c:pt>
                <c:pt idx="201">
                  <c:v>-1.8598053725954253</c:v>
                </c:pt>
                <c:pt idx="202">
                  <c:v>-1.8464342115350478</c:v>
                </c:pt>
                <c:pt idx="203">
                  <c:v>-1.8460212493237436</c:v>
                </c:pt>
                <c:pt idx="204">
                  <c:v>-1.8329016629015213</c:v>
                </c:pt>
                <c:pt idx="205">
                  <c:v>-1.8355050875554897</c:v>
                </c:pt>
                <c:pt idx="206">
                  <c:v>-1.8509431669164651</c:v>
                </c:pt>
                <c:pt idx="207">
                  <c:v>-1.8443808916337066</c:v>
                </c:pt>
                <c:pt idx="208">
                  <c:v>-1.8503862180076196</c:v>
                </c:pt>
                <c:pt idx="209">
                  <c:v>-1.8550003253805607</c:v>
                </c:pt>
                <c:pt idx="210">
                  <c:v>-1.8467657611923252</c:v>
                </c:pt>
                <c:pt idx="211">
                  <c:v>-1.8293022972849857</c:v>
                </c:pt>
                <c:pt idx="212">
                  <c:v>-1.8442137565822831</c:v>
                </c:pt>
                <c:pt idx="213">
                  <c:v>-1.8381908502414135</c:v>
                </c:pt>
                <c:pt idx="214">
                  <c:v>-1.8313597363796847</c:v>
                </c:pt>
                <c:pt idx="215">
                  <c:v>-1.8290091110330182</c:v>
                </c:pt>
                <c:pt idx="216">
                  <c:v>-1.8278410105420273</c:v>
                </c:pt>
                <c:pt idx="217">
                  <c:v>-1.8026553346843133</c:v>
                </c:pt>
                <c:pt idx="218">
                  <c:v>-1.7871773373711055</c:v>
                </c:pt>
                <c:pt idx="219">
                  <c:v>-1.791238151285391</c:v>
                </c:pt>
                <c:pt idx="220">
                  <c:v>-1.7717433575750969</c:v>
                </c:pt>
                <c:pt idx="221">
                  <c:v>-1.7136043521750972</c:v>
                </c:pt>
                <c:pt idx="222">
                  <c:v>-1.7027749021330971</c:v>
                </c:pt>
                <c:pt idx="223">
                  <c:v>-1.4807274454780972</c:v>
                </c:pt>
                <c:pt idx="224">
                  <c:v>-1.4683427522194763</c:v>
                </c:pt>
                <c:pt idx="225">
                  <c:v>-1.4552749085786805</c:v>
                </c:pt>
                <c:pt idx="226">
                  <c:v>-1.4117391309011105</c:v>
                </c:pt>
                <c:pt idx="227">
                  <c:v>-1.3108607192948789</c:v>
                </c:pt>
                <c:pt idx="228">
                  <c:v>-1.1934689611679441</c:v>
                </c:pt>
                <c:pt idx="229">
                  <c:v>-1.1939580749705672</c:v>
                </c:pt>
                <c:pt idx="230">
                  <c:v>-1.1851347520355671</c:v>
                </c:pt>
                <c:pt idx="231">
                  <c:v>-1.1781282801649791</c:v>
                </c:pt>
                <c:pt idx="232">
                  <c:v>-1.1642351124421364</c:v>
                </c:pt>
                <c:pt idx="233">
                  <c:v>-1.1673925054518506</c:v>
                </c:pt>
                <c:pt idx="234">
                  <c:v>-1.1257327728268505</c:v>
                </c:pt>
                <c:pt idx="235">
                  <c:v>-1.0868944156261218</c:v>
                </c:pt>
                <c:pt idx="236">
                  <c:v>-1.0881375519063414</c:v>
                </c:pt>
                <c:pt idx="237">
                  <c:v>-1.0790723419800468</c:v>
                </c:pt>
                <c:pt idx="238">
                  <c:v>-1.0755567300099438</c:v>
                </c:pt>
                <c:pt idx="239">
                  <c:v>-1.0798301224401765</c:v>
                </c:pt>
                <c:pt idx="240">
                  <c:v>-1.0629874117922891</c:v>
                </c:pt>
                <c:pt idx="241">
                  <c:v>-1.0617005492065748</c:v>
                </c:pt>
                <c:pt idx="242">
                  <c:v>-1.0178667918412609</c:v>
                </c:pt>
                <c:pt idx="243">
                  <c:v>-1.0291064779161723</c:v>
                </c:pt>
                <c:pt idx="244">
                  <c:v>-1.0235417038981949</c:v>
                </c:pt>
                <c:pt idx="245">
                  <c:v>-1.0090896922574539</c:v>
                </c:pt>
                <c:pt idx="246">
                  <c:v>-0.96793484177745392</c:v>
                </c:pt>
                <c:pt idx="247">
                  <c:v>-0.90528368567180728</c:v>
                </c:pt>
                <c:pt idx="248">
                  <c:v>-0.51903539701719636</c:v>
                </c:pt>
                <c:pt idx="249">
                  <c:v>-0.58200827432521429</c:v>
                </c:pt>
                <c:pt idx="250">
                  <c:v>-0.57026154367984616</c:v>
                </c:pt>
                <c:pt idx="251">
                  <c:v>-0.56384545205060077</c:v>
                </c:pt>
                <c:pt idx="252">
                  <c:v>-0.55363245640143688</c:v>
                </c:pt>
                <c:pt idx="253">
                  <c:v>-0.55989088424390798</c:v>
                </c:pt>
                <c:pt idx="254">
                  <c:v>-0.53744745759798529</c:v>
                </c:pt>
                <c:pt idx="255">
                  <c:v>-0.53710832586477497</c:v>
                </c:pt>
                <c:pt idx="256">
                  <c:v>-0.53137063506704196</c:v>
                </c:pt>
                <c:pt idx="257">
                  <c:v>-0.52861029928188907</c:v>
                </c:pt>
                <c:pt idx="258">
                  <c:v>-0.51281380675031019</c:v>
                </c:pt>
                <c:pt idx="259">
                  <c:v>-0.51682536527338707</c:v>
                </c:pt>
                <c:pt idx="260">
                  <c:v>-0.46411638031877295</c:v>
                </c:pt>
                <c:pt idx="261">
                  <c:v>-0.43600440620858433</c:v>
                </c:pt>
                <c:pt idx="262">
                  <c:v>-0.44936797347393087</c:v>
                </c:pt>
                <c:pt idx="263">
                  <c:v>-0.4265757407739309</c:v>
                </c:pt>
                <c:pt idx="264">
                  <c:v>-0.4050550628659309</c:v>
                </c:pt>
                <c:pt idx="265">
                  <c:v>-0.41632400875726583</c:v>
                </c:pt>
                <c:pt idx="266">
                  <c:v>-0.43668704553003995</c:v>
                </c:pt>
                <c:pt idx="267">
                  <c:v>-0.42665418772831581</c:v>
                </c:pt>
                <c:pt idx="268">
                  <c:v>-0.43754774699820209</c:v>
                </c:pt>
                <c:pt idx="269">
                  <c:v>-0.39780549897239564</c:v>
                </c:pt>
                <c:pt idx="270">
                  <c:v>-0.38625888730798885</c:v>
                </c:pt>
                <c:pt idx="271">
                  <c:v>-0.39386471857798883</c:v>
                </c:pt>
                <c:pt idx="272">
                  <c:v>-0.39137621591889799</c:v>
                </c:pt>
                <c:pt idx="273">
                  <c:v>-0.37842597088556473</c:v>
                </c:pt>
                <c:pt idx="274">
                  <c:v>-0.38107227959856388</c:v>
                </c:pt>
                <c:pt idx="275">
                  <c:v>-0.38282246319594598</c:v>
                </c:pt>
                <c:pt idx="276">
                  <c:v>-0.39611704843782103</c:v>
                </c:pt>
                <c:pt idx="277">
                  <c:v>-0.40573517536232911</c:v>
                </c:pt>
                <c:pt idx="278">
                  <c:v>-0.40361626462187111</c:v>
                </c:pt>
                <c:pt idx="279">
                  <c:v>-0.401740982604465</c:v>
                </c:pt>
                <c:pt idx="280">
                  <c:v>-0.41320652540245489</c:v>
                </c:pt>
                <c:pt idx="281">
                  <c:v>-0.3908428153294114</c:v>
                </c:pt>
                <c:pt idx="282">
                  <c:v>-0.38164991498593315</c:v>
                </c:pt>
                <c:pt idx="283">
                  <c:v>-0.39335908297877609</c:v>
                </c:pt>
                <c:pt idx="284">
                  <c:v>-0.37171298162359639</c:v>
                </c:pt>
                <c:pt idx="285">
                  <c:v>-0.38579107766203247</c:v>
                </c:pt>
                <c:pt idx="286">
                  <c:v>-0.38585865676268183</c:v>
                </c:pt>
                <c:pt idx="287">
                  <c:v>-0.38119857200712631</c:v>
                </c:pt>
                <c:pt idx="288">
                  <c:v>-0.37804751728601527</c:v>
                </c:pt>
                <c:pt idx="289">
                  <c:v>-0.36259043526926876</c:v>
                </c:pt>
                <c:pt idx="290">
                  <c:v>-0.33293383119475572</c:v>
                </c:pt>
                <c:pt idx="291">
                  <c:v>-0.33481472145770397</c:v>
                </c:pt>
                <c:pt idx="292">
                  <c:v>-0.33138795886356481</c:v>
                </c:pt>
                <c:pt idx="293">
                  <c:v>-0.31698046201494096</c:v>
                </c:pt>
                <c:pt idx="294">
                  <c:v>-0.3273531067254673</c:v>
                </c:pt>
                <c:pt idx="295">
                  <c:v>-0.33031593106895984</c:v>
                </c:pt>
                <c:pt idx="296">
                  <c:v>-0.32224762280073793</c:v>
                </c:pt>
                <c:pt idx="297">
                  <c:v>-0.3179166119854005</c:v>
                </c:pt>
                <c:pt idx="298">
                  <c:v>-0.32297578881322475</c:v>
                </c:pt>
                <c:pt idx="299">
                  <c:v>-0.32867880433430002</c:v>
                </c:pt>
                <c:pt idx="300">
                  <c:v>-0.3191852959982176</c:v>
                </c:pt>
                <c:pt idx="301">
                  <c:v>-0.32473399384032287</c:v>
                </c:pt>
                <c:pt idx="302">
                  <c:v>-0.31900218347668652</c:v>
                </c:pt>
                <c:pt idx="303">
                  <c:v>-0.31804892171076721</c:v>
                </c:pt>
                <c:pt idx="304">
                  <c:v>-0.31538550383401048</c:v>
                </c:pt>
                <c:pt idx="305">
                  <c:v>-0.32016238527810981</c:v>
                </c:pt>
                <c:pt idx="306">
                  <c:v>-0.31496449979287777</c:v>
                </c:pt>
                <c:pt idx="307">
                  <c:v>-0.3084478682458508</c:v>
                </c:pt>
                <c:pt idx="308">
                  <c:v>-0.31038450980284565</c:v>
                </c:pt>
                <c:pt idx="309">
                  <c:v>-0.30798074212784565</c:v>
                </c:pt>
                <c:pt idx="310">
                  <c:v>-0.29979834130663352</c:v>
                </c:pt>
                <c:pt idx="311">
                  <c:v>-0.29709128118615158</c:v>
                </c:pt>
                <c:pt idx="312">
                  <c:v>-0.28472112630974933</c:v>
                </c:pt>
                <c:pt idx="313">
                  <c:v>-0.27762772835310978</c:v>
                </c:pt>
                <c:pt idx="314">
                  <c:v>-0.2812931383636838</c:v>
                </c:pt>
                <c:pt idx="315">
                  <c:v>-0.27124959404338395</c:v>
                </c:pt>
                <c:pt idx="316">
                  <c:v>-0.26154835629379575</c:v>
                </c:pt>
                <c:pt idx="317">
                  <c:v>-0.25167751613483164</c:v>
                </c:pt>
                <c:pt idx="318">
                  <c:v>-0.25124954545822004</c:v>
                </c:pt>
                <c:pt idx="319">
                  <c:v>-0.2586941074820181</c:v>
                </c:pt>
                <c:pt idx="320">
                  <c:v>-0.21751621522208334</c:v>
                </c:pt>
                <c:pt idx="321">
                  <c:v>-0.23382158318479115</c:v>
                </c:pt>
                <c:pt idx="322">
                  <c:v>-0.23341915678871275</c:v>
                </c:pt>
                <c:pt idx="323">
                  <c:v>-0.23009293041734344</c:v>
                </c:pt>
                <c:pt idx="324">
                  <c:v>-0.21591076573806417</c:v>
                </c:pt>
                <c:pt idx="325">
                  <c:v>-0.21267050815120703</c:v>
                </c:pt>
                <c:pt idx="326">
                  <c:v>-0.22676724443580124</c:v>
                </c:pt>
                <c:pt idx="327">
                  <c:v>-0.22486882546733972</c:v>
                </c:pt>
                <c:pt idx="328">
                  <c:v>-0.21705947434346431</c:v>
                </c:pt>
                <c:pt idx="329">
                  <c:v>-0.21781312293677285</c:v>
                </c:pt>
                <c:pt idx="330">
                  <c:v>-0.20515784195338418</c:v>
                </c:pt>
                <c:pt idx="331">
                  <c:v>-0.20725993520663091</c:v>
                </c:pt>
                <c:pt idx="332">
                  <c:v>-0.19162764210243335</c:v>
                </c:pt>
                <c:pt idx="333">
                  <c:v>-0.22226879004483341</c:v>
                </c:pt>
                <c:pt idx="334">
                  <c:v>-0.2162853244231169</c:v>
                </c:pt>
                <c:pt idx="335">
                  <c:v>-0.21444948151432569</c:v>
                </c:pt>
                <c:pt idx="336">
                  <c:v>-0.21246827642311231</c:v>
                </c:pt>
                <c:pt idx="337">
                  <c:v>-0.2007834155231123</c:v>
                </c:pt>
                <c:pt idx="338">
                  <c:v>-0.19722100064670783</c:v>
                </c:pt>
                <c:pt idx="339">
                  <c:v>-0.18822286386374962</c:v>
                </c:pt>
                <c:pt idx="340">
                  <c:v>-0.18057301997377828</c:v>
                </c:pt>
                <c:pt idx="341">
                  <c:v>-0.16788205694966482</c:v>
                </c:pt>
                <c:pt idx="342">
                  <c:v>-0.15300626014966479</c:v>
                </c:pt>
                <c:pt idx="343">
                  <c:v>-0.12905049411996283</c:v>
                </c:pt>
                <c:pt idx="344">
                  <c:v>5.7884698481303037E-2</c:v>
                </c:pt>
                <c:pt idx="345">
                  <c:v>3.9416802846259258E-2</c:v>
                </c:pt>
                <c:pt idx="346">
                  <c:v>3.6366285767311872E-2</c:v>
                </c:pt>
                <c:pt idx="347">
                  <c:v>3.7387635927810824E-2</c:v>
                </c:pt>
                <c:pt idx="348">
                  <c:v>4.3687585239560185E-2</c:v>
                </c:pt>
                <c:pt idx="349">
                  <c:v>4.4248901001677193E-2</c:v>
                </c:pt>
                <c:pt idx="350">
                  <c:v>4.2309824986923095E-2</c:v>
                </c:pt>
                <c:pt idx="351">
                  <c:v>4.4031569892890962E-2</c:v>
                </c:pt>
                <c:pt idx="352">
                  <c:v>4.2772426839599427E-2</c:v>
                </c:pt>
                <c:pt idx="353">
                  <c:v>3.8885153980852669E-2</c:v>
                </c:pt>
                <c:pt idx="354">
                  <c:v>3.4526804949527382E-2</c:v>
                </c:pt>
                <c:pt idx="355">
                  <c:v>3.3017750379200968E-2</c:v>
                </c:pt>
                <c:pt idx="356">
                  <c:v>5.0175144594880414E-2</c:v>
                </c:pt>
                <c:pt idx="357">
                  <c:v>4.291250809072706E-2</c:v>
                </c:pt>
                <c:pt idx="358">
                  <c:v>3.7839354975225524E-2</c:v>
                </c:pt>
                <c:pt idx="359">
                  <c:v>4.6875578158504211E-2</c:v>
                </c:pt>
                <c:pt idx="360">
                  <c:v>1.7102342452780302E-2</c:v>
                </c:pt>
                <c:pt idx="361">
                  <c:v>1.424748780910212E-2</c:v>
                </c:pt>
                <c:pt idx="362">
                  <c:v>1.8169161471102133E-2</c:v>
                </c:pt>
                <c:pt idx="363">
                  <c:v>9.2632283690331791E-3</c:v>
                </c:pt>
                <c:pt idx="364">
                  <c:v>3.6123782673164453E-3</c:v>
                </c:pt>
                <c:pt idx="365">
                  <c:v>-1.3580892755407105E-3</c:v>
                </c:pt>
                <c:pt idx="366">
                  <c:v>3.9939272717646902E-3</c:v>
                </c:pt>
                <c:pt idx="367">
                  <c:v>2.052891262888947E-3</c:v>
                </c:pt>
                <c:pt idx="368">
                  <c:v>7.3209268817230359E-3</c:v>
                </c:pt>
                <c:pt idx="369">
                  <c:v>7.5896199001440961E-3</c:v>
                </c:pt>
                <c:pt idx="370">
                  <c:v>7.2991222717037132E-3</c:v>
                </c:pt>
                <c:pt idx="371">
                  <c:v>6.1494544114816009E-4</c:v>
                </c:pt>
                <c:pt idx="372">
                  <c:v>6.6986903411481594E-3</c:v>
                </c:pt>
                <c:pt idx="373">
                  <c:v>1.1528652191270399E-2</c:v>
                </c:pt>
                <c:pt idx="374">
                  <c:v>2.1823358784895885E-2</c:v>
                </c:pt>
                <c:pt idx="375">
                  <c:v>1.5024979973098138E-2</c:v>
                </c:pt>
                <c:pt idx="376">
                  <c:v>1.7747806037902613E-2</c:v>
                </c:pt>
                <c:pt idx="377">
                  <c:v>8.569761020953472E-3</c:v>
                </c:pt>
                <c:pt idx="378">
                  <c:v>8.7787120055951053E-3</c:v>
                </c:pt>
                <c:pt idx="379">
                  <c:v>6.8627351319108867E-3</c:v>
                </c:pt>
                <c:pt idx="380">
                  <c:v>3.382917153650025E-3</c:v>
                </c:pt>
                <c:pt idx="381">
                  <c:v>4.2774062380827472E-3</c:v>
                </c:pt>
                <c:pt idx="382">
                  <c:v>8.1017354876004293E-3</c:v>
                </c:pt>
                <c:pt idx="383">
                  <c:v>1.1451281169267087E-2</c:v>
                </c:pt>
                <c:pt idx="384">
                  <c:v>1.3328827109177391E-2</c:v>
                </c:pt>
                <c:pt idx="385">
                  <c:v>8.143264174694638E-3</c:v>
                </c:pt>
                <c:pt idx="386">
                  <c:v>1.3598209959837501E-2</c:v>
                </c:pt>
                <c:pt idx="387">
                  <c:v>1.5205437507456534E-2</c:v>
                </c:pt>
                <c:pt idx="388">
                  <c:v>4.5088227165017581E-3</c:v>
                </c:pt>
                <c:pt idx="389">
                  <c:v>1.0950760124686813E-2</c:v>
                </c:pt>
                <c:pt idx="390">
                  <c:v>1.6995411764686816E-2</c:v>
                </c:pt>
                <c:pt idx="391">
                  <c:v>1.4397716164686812E-2</c:v>
                </c:pt>
                <c:pt idx="392">
                  <c:v>1.2554069909367674E-2</c:v>
                </c:pt>
                <c:pt idx="393">
                  <c:v>1.2422562273367662E-2</c:v>
                </c:pt>
                <c:pt idx="394">
                  <c:v>1.6725685375048337E-2</c:v>
                </c:pt>
                <c:pt idx="395">
                  <c:v>1.7327084971238811E-2</c:v>
                </c:pt>
                <c:pt idx="396">
                  <c:v>3.7352139235944722E-2</c:v>
                </c:pt>
                <c:pt idx="397">
                  <c:v>0.10528692260867198</c:v>
                </c:pt>
                <c:pt idx="398">
                  <c:v>0.10164851090867197</c:v>
                </c:pt>
                <c:pt idx="399">
                  <c:v>0.10791589663174889</c:v>
                </c:pt>
                <c:pt idx="400">
                  <c:v>0.10888905217397998</c:v>
                </c:pt>
                <c:pt idx="401">
                  <c:v>0.12075569080731333</c:v>
                </c:pt>
                <c:pt idx="402">
                  <c:v>0.13764296548695401</c:v>
                </c:pt>
                <c:pt idx="403">
                  <c:v>0.12706459235739428</c:v>
                </c:pt>
                <c:pt idx="404">
                  <c:v>0.13845512888656095</c:v>
                </c:pt>
                <c:pt idx="405">
                  <c:v>0.14479507524999707</c:v>
                </c:pt>
                <c:pt idx="406">
                  <c:v>0.16615377400999706</c:v>
                </c:pt>
                <c:pt idx="407">
                  <c:v>0.20146018035023031</c:v>
                </c:pt>
                <c:pt idx="408">
                  <c:v>0.26476427957010618</c:v>
                </c:pt>
                <c:pt idx="409">
                  <c:v>0.31957476554429981</c:v>
                </c:pt>
                <c:pt idx="410">
                  <c:v>0.38432192134229975</c:v>
                </c:pt>
                <c:pt idx="411">
                  <c:v>0.41641794782369507</c:v>
                </c:pt>
                <c:pt idx="412">
                  <c:v>-1.757761025254579E-2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1E-4EB6-84D1-689EF78E2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196800"/>
        <c:axId val="1272593744"/>
      </c:lineChart>
      <c:dateAx>
        <c:axId val="1153196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593744"/>
        <c:crosses val="autoZero"/>
        <c:auto val="1"/>
        <c:lblOffset val="100"/>
        <c:baseTimeUnit val="days"/>
      </c:dateAx>
      <c:valAx>
        <c:axId val="12725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9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D31F340-D783-4AA0-9BFF-BDB79F951D1A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7CE64F-6494-478C-9B96-A468818DE8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0.9</v>
      </c>
      <c r="D2" s="4">
        <f>MIN(D3:D1912)</f>
        <v>8.5099999999999995E-2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0.1055</v>
      </c>
      <c r="C5">
        <v>0.109</v>
      </c>
      <c r="D5">
        <v>0.1046</v>
      </c>
      <c r="E5">
        <v>0.10589999999999999</v>
      </c>
      <c r="F5">
        <v>1044346</v>
      </c>
      <c r="G5">
        <v>0.10589999999999999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-0.40909090909091123</v>
      </c>
      <c r="Q5">
        <f t="shared" ref="Q5" si="1">F5*P5</f>
        <v>-427232.4545454568</v>
      </c>
      <c r="R5">
        <f t="shared" ref="R5" si="2">R6+Q5</f>
        <v>-2152661442.3609476</v>
      </c>
      <c r="S5">
        <f t="shared" ref="S5" si="3">R5/100000</f>
        <v>-21526.614423609477</v>
      </c>
      <c r="T5">
        <f t="shared" ref="T5" si="4">S5/1000</f>
        <v>-21.526614423609477</v>
      </c>
    </row>
    <row r="6" spans="1:20" x14ac:dyDescent="0.25">
      <c r="A6" s="5">
        <v>44587</v>
      </c>
      <c r="B6">
        <v>0.1026</v>
      </c>
      <c r="C6">
        <v>0.11890000000000001</v>
      </c>
      <c r="D6">
        <v>9.9500000000000005E-2</v>
      </c>
      <c r="E6">
        <v>0.1055</v>
      </c>
      <c r="F6">
        <v>18619213</v>
      </c>
      <c r="G6">
        <v>0.1055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-0.38144329896907309</v>
      </c>
      <c r="Q6">
        <f t="shared" ref="Q6" si="6">F6*P6</f>
        <v>-7102174.0309278518</v>
      </c>
      <c r="R6">
        <f t="shared" ref="R6" si="7">R7+Q6</f>
        <v>-2152234209.9064021</v>
      </c>
      <c r="S6">
        <f t="shared" ref="S6" si="8">R6/100000</f>
        <v>-21522.342099064022</v>
      </c>
      <c r="T6">
        <f t="shared" ref="T6" si="9">S6/1000</f>
        <v>-21.522342099064023</v>
      </c>
    </row>
    <row r="7" spans="1:20" x14ac:dyDescent="0.25">
      <c r="A7" s="5">
        <v>44586</v>
      </c>
      <c r="B7">
        <v>9.7000000000000003E-2</v>
      </c>
      <c r="C7">
        <v>0.1026</v>
      </c>
      <c r="D7">
        <v>9.3700000000000006E-2</v>
      </c>
      <c r="E7">
        <v>0.1026</v>
      </c>
      <c r="F7">
        <v>5005784</v>
      </c>
      <c r="G7">
        <v>0.1026</v>
      </c>
      <c r="L7" t="s">
        <v>8</v>
      </c>
      <c r="M7" t="s">
        <v>8</v>
      </c>
      <c r="N7" t="s">
        <v>7</v>
      </c>
      <c r="P7">
        <f t="shared" ref="P7" si="10">IF(C7=D7,0,((E7-D7)-(C7-E7))/(C7-D7))</f>
        <v>1</v>
      </c>
      <c r="Q7">
        <f t="shared" ref="Q7" si="11">F7*P7</f>
        <v>5005784</v>
      </c>
      <c r="R7">
        <f t="shared" ref="R7" si="12">R8+Q7</f>
        <v>-2145132035.8754745</v>
      </c>
      <c r="S7">
        <f t="shared" ref="S7" si="13">R7/100000</f>
        <v>-21451.320358754743</v>
      </c>
      <c r="T7">
        <f t="shared" ref="T7" si="14">S7/1000</f>
        <v>-21.451320358754742</v>
      </c>
    </row>
    <row r="8" spans="1:20" x14ac:dyDescent="0.25">
      <c r="A8" s="5">
        <v>44585</v>
      </c>
      <c r="B8">
        <v>9.8500000000000004E-2</v>
      </c>
      <c r="C8">
        <v>9.9500000000000005E-2</v>
      </c>
      <c r="D8">
        <v>8.5099999999999995E-2</v>
      </c>
      <c r="E8">
        <v>9.7199999999999995E-2</v>
      </c>
      <c r="F8">
        <v>15384000</v>
      </c>
      <c r="G8">
        <v>9.7199999999999995E-2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0.68055555555555436</v>
      </c>
      <c r="Q8">
        <f t="shared" ref="Q8" si="16">F8*P8</f>
        <v>10469666.666666647</v>
      </c>
      <c r="R8">
        <f t="shared" ref="R8" si="17">R9+Q8</f>
        <v>-2150137819.8754745</v>
      </c>
      <c r="S8">
        <f t="shared" ref="S8" si="18">R8/100000</f>
        <v>-21501.378198754745</v>
      </c>
      <c r="T8">
        <f t="shared" ref="T8" si="19">S8/1000</f>
        <v>-21.501378198754743</v>
      </c>
    </row>
    <row r="9" spans="1:20" x14ac:dyDescent="0.25">
      <c r="A9" s="5">
        <v>44584</v>
      </c>
      <c r="B9">
        <v>9.3200000000000005E-2</v>
      </c>
      <c r="C9">
        <v>0.1018</v>
      </c>
      <c r="D9">
        <v>9.2499999999999999E-2</v>
      </c>
      <c r="E9">
        <v>9.8000000000000004E-2</v>
      </c>
      <c r="F9">
        <v>8305400</v>
      </c>
      <c r="G9">
        <v>9.8000000000000004E-2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0.18279569892473188</v>
      </c>
      <c r="Q9">
        <f t="shared" ref="Q9" si="21">F9*P9</f>
        <v>1518191.397849468</v>
      </c>
      <c r="R9">
        <f t="shared" ref="R9" si="22">R10+Q9</f>
        <v>-2160607486.542141</v>
      </c>
      <c r="S9">
        <f t="shared" ref="S9" si="23">R9/100000</f>
        <v>-21606.074865421411</v>
      </c>
      <c r="T9">
        <f t="shared" ref="T9" si="24">S9/1000</f>
        <v>-21.606074865421412</v>
      </c>
    </row>
    <row r="10" spans="1:20" x14ac:dyDescent="0.25">
      <c r="A10" s="5">
        <v>44583</v>
      </c>
      <c r="B10">
        <v>0.1113</v>
      </c>
      <c r="C10">
        <v>0.1234</v>
      </c>
      <c r="D10">
        <v>8.72E-2</v>
      </c>
      <c r="E10">
        <v>9.2700000000000005E-2</v>
      </c>
      <c r="F10">
        <v>26712570</v>
      </c>
      <c r="G10">
        <v>9.2700000000000005E-2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-0.69613259668508254</v>
      </c>
      <c r="Q10">
        <f t="shared" ref="Q10" si="26">F10*P10</f>
        <v>-18595490.718232036</v>
      </c>
      <c r="R10">
        <f t="shared" ref="R10" si="27">R11+Q10</f>
        <v>-2162125677.9399905</v>
      </c>
      <c r="S10">
        <f t="shared" ref="S10" si="28">R10/100000</f>
        <v>-21621.256779399904</v>
      </c>
      <c r="T10">
        <f t="shared" ref="T10" si="29">S10/1000</f>
        <v>-21.621256779399904</v>
      </c>
    </row>
    <row r="11" spans="1:20" x14ac:dyDescent="0.25">
      <c r="A11" s="5">
        <v>44582</v>
      </c>
      <c r="B11">
        <v>0.1152</v>
      </c>
      <c r="C11">
        <v>0.11849999999999999</v>
      </c>
      <c r="D11">
        <v>0.1037</v>
      </c>
      <c r="E11">
        <v>0.1114</v>
      </c>
      <c r="F11">
        <v>21665505</v>
      </c>
      <c r="G11">
        <v>0.1114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4.0540540540540779E-2</v>
      </c>
      <c r="Q11">
        <f t="shared" ref="Q11" si="31">F11*P11</f>
        <v>878331.28378378891</v>
      </c>
      <c r="R11">
        <f t="shared" ref="R11" si="32">R12+Q11</f>
        <v>-2143530187.2217584</v>
      </c>
      <c r="S11">
        <f t="shared" ref="S11" si="33">R11/100000</f>
        <v>-21435.301872217584</v>
      </c>
      <c r="T11">
        <f t="shared" ref="T11" si="34">S11/1000</f>
        <v>-21.435301872217583</v>
      </c>
    </row>
    <row r="12" spans="1:20" x14ac:dyDescent="0.25">
      <c r="A12" s="5">
        <v>44581</v>
      </c>
      <c r="B12">
        <v>0.12039999999999999</v>
      </c>
      <c r="C12">
        <v>0.124</v>
      </c>
      <c r="D12">
        <v>0.1152</v>
      </c>
      <c r="E12">
        <v>0.1152</v>
      </c>
      <c r="F12">
        <v>8842162</v>
      </c>
      <c r="G12">
        <v>0.1152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-8842162</v>
      </c>
      <c r="R12">
        <f t="shared" ref="R12" si="37">R13+Q12</f>
        <v>-2144408518.505542</v>
      </c>
      <c r="S12">
        <f t="shared" ref="S12" si="38">R12/100000</f>
        <v>-21444.085185055421</v>
      </c>
      <c r="T12">
        <f t="shared" ref="T12" si="39">S12/1000</f>
        <v>-21.444085185055421</v>
      </c>
    </row>
    <row r="13" spans="1:20" x14ac:dyDescent="0.25">
      <c r="A13" s="5">
        <v>44580</v>
      </c>
      <c r="B13">
        <v>0.122</v>
      </c>
      <c r="C13">
        <v>0.122</v>
      </c>
      <c r="D13">
        <v>0.1186</v>
      </c>
      <c r="E13">
        <v>0.1203</v>
      </c>
      <c r="F13">
        <v>4476010</v>
      </c>
      <c r="G13">
        <v>0.1203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4.0817022964160168E-15</v>
      </c>
      <c r="Q13">
        <f t="shared" ref="Q13" si="41">F13*P13</f>
        <v>1.8269740295781054E-8</v>
      </c>
      <c r="R13">
        <f t="shared" ref="R13" si="42">R14+Q13</f>
        <v>-2135566356.505542</v>
      </c>
      <c r="S13">
        <f t="shared" ref="S13" si="43">R13/100000</f>
        <v>-21355.66356505542</v>
      </c>
      <c r="T13">
        <f t="shared" ref="T13" si="44">S13/1000</f>
        <v>-21.355663565055419</v>
      </c>
    </row>
    <row r="14" spans="1:20" x14ac:dyDescent="0.25">
      <c r="A14" s="5">
        <v>44579</v>
      </c>
      <c r="B14">
        <v>0.1197</v>
      </c>
      <c r="C14">
        <v>0.12720000000000001</v>
      </c>
      <c r="D14">
        <v>0.1192</v>
      </c>
      <c r="E14">
        <v>0.12239999999999999</v>
      </c>
      <c r="F14">
        <v>13619307</v>
      </c>
      <c r="G14">
        <v>0.12239999999999999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-0.20000000000000209</v>
      </c>
      <c r="Q14">
        <f t="shared" ref="Q14" si="46">F14*P14</f>
        <v>-2723861.4000000283</v>
      </c>
      <c r="R14">
        <f t="shared" ref="R14" si="47">R15+Q14</f>
        <v>-2135566356.505542</v>
      </c>
      <c r="S14">
        <f t="shared" ref="S14" si="48">R14/100000</f>
        <v>-21355.66356505542</v>
      </c>
      <c r="T14">
        <f t="shared" ref="T14" si="49">S14/1000</f>
        <v>-21.355663565055419</v>
      </c>
    </row>
    <row r="15" spans="1:20" x14ac:dyDescent="0.25">
      <c r="A15" s="5">
        <v>44578</v>
      </c>
      <c r="B15">
        <v>0.12330000000000001</v>
      </c>
      <c r="C15">
        <v>0.14199999999999999</v>
      </c>
      <c r="D15">
        <v>0.1178</v>
      </c>
      <c r="E15">
        <v>0.1196</v>
      </c>
      <c r="F15">
        <v>35700305</v>
      </c>
      <c r="G15">
        <v>0.1196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-0.85123966942148788</v>
      </c>
      <c r="Q15">
        <f t="shared" ref="Q15" si="51">F15*P15</f>
        <v>-30389515.826446291</v>
      </c>
      <c r="R15">
        <f t="shared" ref="R15" si="52">R16+Q15</f>
        <v>-2132842495.1055419</v>
      </c>
      <c r="S15">
        <f t="shared" ref="S15" si="53">R15/100000</f>
        <v>-21328.424951055418</v>
      </c>
      <c r="T15">
        <f t="shared" ref="T15" si="54">S15/1000</f>
        <v>-21.328424951055418</v>
      </c>
    </row>
    <row r="16" spans="1:20" x14ac:dyDescent="0.25">
      <c r="A16" s="5">
        <v>44577</v>
      </c>
      <c r="B16">
        <v>0.1211</v>
      </c>
      <c r="C16">
        <v>0.1293</v>
      </c>
      <c r="D16">
        <v>0.1191</v>
      </c>
      <c r="E16">
        <v>0.12330000000000001</v>
      </c>
      <c r="F16">
        <v>8892902</v>
      </c>
      <c r="G16">
        <v>0.12330000000000001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-0.17647058823529235</v>
      </c>
      <c r="Q16">
        <f t="shared" ref="Q16" si="56">F16*P16</f>
        <v>-1569335.6470588078</v>
      </c>
      <c r="R16">
        <f t="shared" ref="R16" si="57">R17+Q16</f>
        <v>-2102452979.2790956</v>
      </c>
      <c r="S16">
        <f t="shared" ref="S16" si="58">R16/100000</f>
        <v>-21024.529792790956</v>
      </c>
      <c r="T16">
        <f t="shared" ref="T16" si="59">S16/1000</f>
        <v>-21.024529792790958</v>
      </c>
    </row>
    <row r="17" spans="1:20" x14ac:dyDescent="0.25">
      <c r="A17" s="5">
        <v>44576</v>
      </c>
      <c r="B17">
        <v>0.1182</v>
      </c>
      <c r="C17">
        <v>0.125</v>
      </c>
      <c r="D17">
        <v>0.1171</v>
      </c>
      <c r="E17">
        <v>0.1211</v>
      </c>
      <c r="F17">
        <v>12458120</v>
      </c>
      <c r="G17">
        <v>0.1211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1.2658227848101621E-2</v>
      </c>
      <c r="Q17">
        <f t="shared" ref="Q17" si="61">F17*P17</f>
        <v>157697.72151899178</v>
      </c>
      <c r="R17">
        <f t="shared" ref="R17" si="62">R18+Q17</f>
        <v>-2100883643.6320369</v>
      </c>
      <c r="S17">
        <f t="shared" ref="S17" si="63">R17/100000</f>
        <v>-21008.836436320369</v>
      </c>
      <c r="T17">
        <f t="shared" ref="T17" si="64">S17/1000</f>
        <v>-21.008836436320369</v>
      </c>
    </row>
    <row r="18" spans="1:20" x14ac:dyDescent="0.25">
      <c r="A18" s="5">
        <v>44575</v>
      </c>
      <c r="B18">
        <v>0.1169</v>
      </c>
      <c r="C18">
        <v>0.12720000000000001</v>
      </c>
      <c r="D18">
        <v>0.1162</v>
      </c>
      <c r="E18">
        <v>0.1181</v>
      </c>
      <c r="F18">
        <v>18539414</v>
      </c>
      <c r="G18">
        <v>0.1181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-0.6545454545454551</v>
      </c>
      <c r="Q18">
        <f t="shared" ref="Q18" si="66">F18*P18</f>
        <v>-12134889.163636373</v>
      </c>
      <c r="R18">
        <f t="shared" ref="R18" si="67">R19+Q18</f>
        <v>-2101041341.3535559</v>
      </c>
      <c r="S18">
        <f t="shared" ref="S18" si="68">R18/100000</f>
        <v>-21010.41341353556</v>
      </c>
      <c r="T18">
        <f t="shared" ref="T18" si="69">S18/1000</f>
        <v>-21.010413413535559</v>
      </c>
    </row>
    <row r="19" spans="1:20" x14ac:dyDescent="0.25">
      <c r="A19" s="5">
        <v>44574</v>
      </c>
      <c r="B19">
        <v>0.1183</v>
      </c>
      <c r="C19">
        <v>0.1242</v>
      </c>
      <c r="D19">
        <v>0.1149</v>
      </c>
      <c r="E19">
        <v>0.1167</v>
      </c>
      <c r="F19">
        <v>20655781</v>
      </c>
      <c r="G19">
        <v>0.1167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-0.61290322580645262</v>
      </c>
      <c r="Q19">
        <f t="shared" ref="Q19" si="71">F19*P19</f>
        <v>-12659994.806451634</v>
      </c>
      <c r="R19">
        <f t="shared" ref="R19" si="72">R20+Q19</f>
        <v>-2088906452.1899195</v>
      </c>
      <c r="S19">
        <f t="shared" ref="S19" si="73">R19/100000</f>
        <v>-20889.064521899196</v>
      </c>
      <c r="T19">
        <f t="shared" ref="T19" si="74">S19/1000</f>
        <v>-20.889064521899197</v>
      </c>
    </row>
    <row r="20" spans="1:20" x14ac:dyDescent="0.25">
      <c r="A20" s="5">
        <v>44573</v>
      </c>
      <c r="B20">
        <v>0.1145</v>
      </c>
      <c r="C20">
        <v>0.1193</v>
      </c>
      <c r="D20">
        <v>0.1129</v>
      </c>
      <c r="E20">
        <v>0.1179</v>
      </c>
      <c r="F20">
        <v>6243671</v>
      </c>
      <c r="G20">
        <v>0.1179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0.56250000000000067</v>
      </c>
      <c r="Q20">
        <f t="shared" ref="Q20" si="76">F20*P20</f>
        <v>3512064.9375000042</v>
      </c>
      <c r="R20">
        <f t="shared" ref="R20" si="77">R21+Q20</f>
        <v>-2076246457.3834679</v>
      </c>
      <c r="S20">
        <f t="shared" ref="S20" si="78">R20/100000</f>
        <v>-20762.464573834681</v>
      </c>
      <c r="T20">
        <f t="shared" ref="T20" si="79">S20/1000</f>
        <v>-20.762464573834681</v>
      </c>
    </row>
    <row r="21" spans="1:20" x14ac:dyDescent="0.25">
      <c r="A21" s="5">
        <v>44572</v>
      </c>
      <c r="B21">
        <v>0.1119</v>
      </c>
      <c r="C21">
        <v>0.1159</v>
      </c>
      <c r="D21">
        <v>0.1104</v>
      </c>
      <c r="E21">
        <v>0.11459999999999999</v>
      </c>
      <c r="F21">
        <v>4680448</v>
      </c>
      <c r="G21">
        <v>0.11459999999999999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0.52727272727272423</v>
      </c>
      <c r="Q21">
        <f t="shared" ref="Q21" si="81">F21*P21</f>
        <v>2467872.5818181676</v>
      </c>
      <c r="R21">
        <f t="shared" ref="R21" si="82">R22+Q21</f>
        <v>-2079758522.3209679</v>
      </c>
      <c r="S21">
        <f t="shared" ref="S21" si="83">R21/100000</f>
        <v>-20797.58522320968</v>
      </c>
      <c r="T21">
        <f t="shared" ref="T21" si="84">S21/1000</f>
        <v>-20.79758522320968</v>
      </c>
    </row>
    <row r="22" spans="1:20" x14ac:dyDescent="0.25">
      <c r="A22" s="5">
        <v>44571</v>
      </c>
      <c r="B22">
        <v>0.113</v>
      </c>
      <c r="C22">
        <v>0.1159</v>
      </c>
      <c r="D22">
        <v>0.1085</v>
      </c>
      <c r="E22">
        <v>0.11219999999999999</v>
      </c>
      <c r="F22">
        <v>8961449</v>
      </c>
      <c r="G22">
        <v>0.11219999999999999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-1.8753767307857365E-15</v>
      </c>
      <c r="Q22">
        <f t="shared" ref="Q22" si="86">F22*P22</f>
        <v>-1.6806092928723109E-8</v>
      </c>
      <c r="R22">
        <f t="shared" ref="R22" si="87">R23+Q22</f>
        <v>-2082226394.902786</v>
      </c>
      <c r="S22">
        <f t="shared" ref="S22" si="88">R22/100000</f>
        <v>-20822.26394902786</v>
      </c>
      <c r="T22">
        <f t="shared" ref="T22" si="89">S22/1000</f>
        <v>-20.82226394902786</v>
      </c>
    </row>
    <row r="23" spans="1:20" x14ac:dyDescent="0.25">
      <c r="A23" s="5">
        <v>44570</v>
      </c>
      <c r="B23">
        <v>0.111</v>
      </c>
      <c r="C23">
        <v>0.11749999999999999</v>
      </c>
      <c r="D23">
        <v>0.10929999999999999</v>
      </c>
      <c r="E23">
        <v>0.11269999999999999</v>
      </c>
      <c r="F23">
        <v>9283145</v>
      </c>
      <c r="G23">
        <v>0.11269999999999999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-0.17073170731707302</v>
      </c>
      <c r="Q23">
        <f t="shared" ref="Q23" si="91">F23*P23</f>
        <v>-1584927.1951219498</v>
      </c>
      <c r="R23">
        <f t="shared" ref="R23" si="92">R24+Q23</f>
        <v>-2082226394.902786</v>
      </c>
      <c r="S23">
        <f t="shared" ref="S23" si="93">R23/100000</f>
        <v>-20822.26394902786</v>
      </c>
      <c r="T23">
        <f t="shared" ref="T23" si="94">S23/1000</f>
        <v>-20.82226394902786</v>
      </c>
    </row>
    <row r="24" spans="1:20" x14ac:dyDescent="0.25">
      <c r="A24" s="5">
        <v>44569</v>
      </c>
      <c r="B24">
        <v>0.1139</v>
      </c>
      <c r="C24">
        <v>0.12529999999999999</v>
      </c>
      <c r="D24">
        <v>0.1087</v>
      </c>
      <c r="E24">
        <v>0.1111</v>
      </c>
      <c r="F24">
        <v>41766401</v>
      </c>
      <c r="G24">
        <v>0.1111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-0.71084337349397575</v>
      </c>
      <c r="Q24">
        <f t="shared" ref="Q24" si="96">F24*P24</f>
        <v>-29689369.385542162</v>
      </c>
      <c r="R24">
        <f t="shared" ref="R24" si="97">R25+Q24</f>
        <v>-2080641467.707664</v>
      </c>
      <c r="S24">
        <f t="shared" ref="S24" si="98">R24/100000</f>
        <v>-20806.414677076638</v>
      </c>
      <c r="T24">
        <f t="shared" ref="T24" si="99">S24/1000</f>
        <v>-20.806414677076638</v>
      </c>
    </row>
    <row r="25" spans="1:20" x14ac:dyDescent="0.25">
      <c r="A25" s="5">
        <v>44568</v>
      </c>
      <c r="B25">
        <v>0.11260000000000001</v>
      </c>
      <c r="C25">
        <v>0.12180000000000001</v>
      </c>
      <c r="D25">
        <v>0.1082</v>
      </c>
      <c r="E25">
        <v>0.1134</v>
      </c>
      <c r="F25">
        <v>15291154</v>
      </c>
      <c r="G25">
        <v>0.1134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-0.23529411764705943</v>
      </c>
      <c r="Q25">
        <f t="shared" ref="Q25" si="101">F25*P25</f>
        <v>-3597918.5882353033</v>
      </c>
      <c r="R25">
        <f t="shared" ref="R25" si="102">R26+Q25</f>
        <v>-2050952098.3221219</v>
      </c>
      <c r="S25">
        <f t="shared" ref="S25" si="103">R25/100000</f>
        <v>-20509.52098322122</v>
      </c>
      <c r="T25">
        <f t="shared" ref="T25" si="104">S25/1000</f>
        <v>-20.509520983221222</v>
      </c>
    </row>
    <row r="26" spans="1:20" x14ac:dyDescent="0.25">
      <c r="A26" s="5">
        <v>44567</v>
      </c>
      <c r="B26">
        <v>0.1168</v>
      </c>
      <c r="C26">
        <v>0.12</v>
      </c>
      <c r="D26">
        <v>0.1108</v>
      </c>
      <c r="E26">
        <v>0.1125</v>
      </c>
      <c r="F26">
        <v>11068433</v>
      </c>
      <c r="G26">
        <v>0.1125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-0.63043478260869412</v>
      </c>
      <c r="Q26">
        <f t="shared" ref="Q26" si="106">F26*P26</f>
        <v>-6977925.1521738963</v>
      </c>
      <c r="R26">
        <f t="shared" ref="R26" si="107">R27+Q26</f>
        <v>-2047354179.7338865</v>
      </c>
      <c r="S26">
        <f t="shared" ref="S26" si="108">R26/100000</f>
        <v>-20473.541797338865</v>
      </c>
      <c r="T26">
        <f t="shared" ref="T26" si="109">S26/1000</f>
        <v>-20.473541797338864</v>
      </c>
    </row>
    <row r="27" spans="1:20" x14ac:dyDescent="0.25">
      <c r="A27" s="5">
        <v>44566</v>
      </c>
      <c r="B27">
        <v>0.1195</v>
      </c>
      <c r="C27">
        <v>0.1353</v>
      </c>
      <c r="D27">
        <v>0.1144</v>
      </c>
      <c r="E27">
        <v>0.11700000000000001</v>
      </c>
      <c r="F27">
        <v>33091242</v>
      </c>
      <c r="G27">
        <v>0.11700000000000001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-0.75119617224880342</v>
      </c>
      <c r="Q27">
        <f t="shared" ref="Q27" si="111">F27*P27</f>
        <v>-24858014.325358838</v>
      </c>
      <c r="R27">
        <f t="shared" ref="R27" si="112">R28+Q27</f>
        <v>-2040376254.5817125</v>
      </c>
      <c r="S27">
        <f t="shared" ref="S27" si="113">R27/100000</f>
        <v>-20403.762545817124</v>
      </c>
      <c r="T27">
        <f t="shared" ref="T27" si="114">S27/1000</f>
        <v>-20.403762545817123</v>
      </c>
    </row>
    <row r="28" spans="1:20" x14ac:dyDescent="0.25">
      <c r="A28" s="5">
        <v>44565</v>
      </c>
      <c r="B28">
        <v>0.1206</v>
      </c>
      <c r="C28">
        <v>0.1242</v>
      </c>
      <c r="D28">
        <v>0.11849999999999999</v>
      </c>
      <c r="E28">
        <v>0.1196</v>
      </c>
      <c r="F28">
        <v>8651197</v>
      </c>
      <c r="G28">
        <v>0.1196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-0.6140350877192976</v>
      </c>
      <c r="Q28">
        <f t="shared" ref="Q28" si="116">F28*P28</f>
        <v>-5312138.5087719243</v>
      </c>
      <c r="R28">
        <f t="shared" ref="R28" si="117">R29+Q28</f>
        <v>-2015518240.2563536</v>
      </c>
      <c r="S28">
        <f t="shared" ref="S28" si="118">R28/100000</f>
        <v>-20155.182402563536</v>
      </c>
      <c r="T28">
        <f t="shared" ref="T28" si="119">S28/1000</f>
        <v>-20.155182402563536</v>
      </c>
    </row>
    <row r="29" spans="1:20" x14ac:dyDescent="0.25">
      <c r="A29" s="5">
        <v>44564</v>
      </c>
      <c r="B29">
        <v>0.1195</v>
      </c>
      <c r="C29">
        <v>0.12920000000000001</v>
      </c>
      <c r="D29">
        <v>0.1181</v>
      </c>
      <c r="E29">
        <v>0.12089999999999999</v>
      </c>
      <c r="F29">
        <v>11572008</v>
      </c>
      <c r="G29">
        <v>0.12089999999999999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-0.4954954954954966</v>
      </c>
      <c r="Q29">
        <f t="shared" ref="Q29" si="121">F29*P29</f>
        <v>-5733877.8378378507</v>
      </c>
      <c r="R29">
        <f t="shared" ref="R29" si="122">R30+Q29</f>
        <v>-2010206101.7475817</v>
      </c>
      <c r="S29">
        <f t="shared" ref="S29" si="123">R29/100000</f>
        <v>-20102.061017475819</v>
      </c>
      <c r="T29">
        <f t="shared" ref="T29" si="124">S29/1000</f>
        <v>-20.102061017475819</v>
      </c>
    </row>
    <row r="30" spans="1:20" x14ac:dyDescent="0.25">
      <c r="A30" s="5">
        <v>44563</v>
      </c>
      <c r="B30">
        <v>0.1205</v>
      </c>
      <c r="C30">
        <v>0.1232</v>
      </c>
      <c r="D30">
        <v>0.1183</v>
      </c>
      <c r="E30">
        <v>0.11990000000000001</v>
      </c>
      <c r="F30">
        <v>8223870</v>
      </c>
      <c r="G30">
        <v>0.11990000000000001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-0.34693877551020258</v>
      </c>
      <c r="Q30">
        <f t="shared" ref="Q30" si="126">F30*P30</f>
        <v>-2853179.3877550899</v>
      </c>
      <c r="R30">
        <f t="shared" ref="R30" si="127">R31+Q30</f>
        <v>-2004472223.9097438</v>
      </c>
      <c r="S30">
        <f t="shared" ref="S30" si="128">R30/100000</f>
        <v>-20044.722239097438</v>
      </c>
      <c r="T30">
        <f t="shared" ref="T30" si="129">S30/1000</f>
        <v>-20.044722239097439</v>
      </c>
    </row>
    <row r="31" spans="1:20" x14ac:dyDescent="0.25">
      <c r="A31" s="5">
        <v>44562</v>
      </c>
      <c r="B31">
        <v>0.1183</v>
      </c>
      <c r="C31">
        <v>0.1229</v>
      </c>
      <c r="D31">
        <v>0.1181</v>
      </c>
      <c r="E31">
        <v>0.1205</v>
      </c>
      <c r="F31">
        <v>5881625</v>
      </c>
      <c r="G31">
        <v>0.1205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</v>
      </c>
      <c r="Q31">
        <f t="shared" ref="Q31" si="131">F31*P31</f>
        <v>0</v>
      </c>
      <c r="R31">
        <f t="shared" ref="R31" si="132">R32+Q31</f>
        <v>-2001619044.5219886</v>
      </c>
      <c r="S31">
        <f t="shared" ref="S31" si="133">R31/100000</f>
        <v>-20016.190445219887</v>
      </c>
      <c r="T31">
        <f t="shared" ref="T31" si="134">S31/1000</f>
        <v>-20.016190445219888</v>
      </c>
    </row>
    <row r="32" spans="1:20" x14ac:dyDescent="0.25">
      <c r="A32" s="5">
        <v>44561</v>
      </c>
      <c r="B32">
        <v>0.1196</v>
      </c>
      <c r="C32">
        <v>0.1268</v>
      </c>
      <c r="D32">
        <v>0.1164</v>
      </c>
      <c r="E32">
        <v>0.11799999999999999</v>
      </c>
      <c r="F32">
        <v>8353526</v>
      </c>
      <c r="G32">
        <v>0.11799999999999999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-0.69230769230769396</v>
      </c>
      <c r="Q32">
        <f t="shared" ref="Q32" si="136">F32*P32</f>
        <v>-5783210.307692321</v>
      </c>
      <c r="R32">
        <f t="shared" ref="R32" si="137">R33+Q32</f>
        <v>-2001619044.5219886</v>
      </c>
      <c r="S32">
        <f t="shared" ref="S32" si="138">R32/100000</f>
        <v>-20016.190445219887</v>
      </c>
      <c r="T32">
        <f t="shared" ref="T32" si="139">S32/1000</f>
        <v>-20.016190445219888</v>
      </c>
    </row>
    <row r="33" spans="1:20" x14ac:dyDescent="0.25">
      <c r="A33" s="5">
        <v>44560</v>
      </c>
      <c r="B33">
        <v>0.11990000000000001</v>
      </c>
      <c r="C33">
        <v>0.12659999999999999</v>
      </c>
      <c r="D33">
        <v>0.1179</v>
      </c>
      <c r="E33">
        <v>0.1196</v>
      </c>
      <c r="F33">
        <v>13119814</v>
      </c>
      <c r="G33">
        <v>0.1196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-0.6091954022988515</v>
      </c>
      <c r="Q33">
        <f t="shared" ref="Q33" si="141">F33*P33</f>
        <v>-7992530.3678161036</v>
      </c>
      <c r="R33">
        <f t="shared" ref="R33" si="142">R34+Q33</f>
        <v>-1995835834.2142963</v>
      </c>
      <c r="S33">
        <f t="shared" ref="S33" si="143">R33/100000</f>
        <v>-19958.358342142965</v>
      </c>
      <c r="T33">
        <f t="shared" ref="T33" si="144">S33/1000</f>
        <v>-19.958358342142965</v>
      </c>
    </row>
    <row r="34" spans="1:20" x14ac:dyDescent="0.25">
      <c r="A34" s="5">
        <v>44559</v>
      </c>
      <c r="B34">
        <v>0.1186</v>
      </c>
      <c r="C34">
        <v>0.1366</v>
      </c>
      <c r="D34">
        <v>0.1147</v>
      </c>
      <c r="E34">
        <v>0.11990000000000001</v>
      </c>
      <c r="F34">
        <v>34458733</v>
      </c>
      <c r="G34">
        <v>0.11990000000000001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-0.52511415525114069</v>
      </c>
      <c r="Q34">
        <f t="shared" ref="Q34" si="146">F34*P34</f>
        <v>-18094768.470319606</v>
      </c>
      <c r="R34">
        <f t="shared" ref="R34" si="147">R35+Q34</f>
        <v>-1987843303.8464801</v>
      </c>
      <c r="S34">
        <f t="shared" ref="S34" si="148">R34/100000</f>
        <v>-19878.433038464802</v>
      </c>
      <c r="T34">
        <f t="shared" ref="T34" si="149">S34/1000</f>
        <v>-19.878433038464802</v>
      </c>
    </row>
    <row r="35" spans="1:20" x14ac:dyDescent="0.25">
      <c r="A35" s="5">
        <v>44558</v>
      </c>
      <c r="B35">
        <v>0.12820000000000001</v>
      </c>
      <c r="C35">
        <v>0.12820000000000001</v>
      </c>
      <c r="D35">
        <v>0.11609999999999999</v>
      </c>
      <c r="E35">
        <v>0.1186</v>
      </c>
      <c r="F35">
        <v>12731607</v>
      </c>
      <c r="G35">
        <v>0.1186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-0.58677685950413228</v>
      </c>
      <c r="Q35">
        <f t="shared" ref="Q35" si="151">F35*P35</f>
        <v>-7470612.3719008267</v>
      </c>
      <c r="R35">
        <f t="shared" ref="R35" si="152">R36+Q35</f>
        <v>-1969748535.3761606</v>
      </c>
      <c r="S35">
        <f t="shared" ref="S35" si="153">R35/100000</f>
        <v>-19697.485353761607</v>
      </c>
      <c r="T35">
        <f t="shared" ref="T35" si="154">S35/1000</f>
        <v>-19.697485353761607</v>
      </c>
    </row>
    <row r="36" spans="1:20" x14ac:dyDescent="0.25">
      <c r="A36" s="5">
        <v>44557</v>
      </c>
      <c r="B36">
        <v>0.129</v>
      </c>
      <c r="C36">
        <v>0.13370000000000001</v>
      </c>
      <c r="D36">
        <v>0.12529999999999999</v>
      </c>
      <c r="E36">
        <v>0.1283</v>
      </c>
      <c r="F36">
        <v>19261538</v>
      </c>
      <c r="G36">
        <v>0.1283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-0.28571428571428664</v>
      </c>
      <c r="Q36">
        <f t="shared" ref="Q36" si="156">F36*P36</f>
        <v>-5503296.5714285895</v>
      </c>
      <c r="R36">
        <f t="shared" ref="R36" si="157">R37+Q36</f>
        <v>-1962277923.0042598</v>
      </c>
      <c r="S36">
        <f t="shared" ref="S36" si="158">R36/100000</f>
        <v>-19622.779230042597</v>
      </c>
      <c r="T36">
        <f t="shared" ref="T36" si="159">S36/1000</f>
        <v>-19.622779230042596</v>
      </c>
    </row>
    <row r="37" spans="1:20" x14ac:dyDescent="0.25">
      <c r="A37" s="5">
        <v>44556</v>
      </c>
      <c r="B37">
        <v>0.1241</v>
      </c>
      <c r="C37">
        <v>0.154</v>
      </c>
      <c r="D37">
        <v>0.1212</v>
      </c>
      <c r="E37">
        <v>0.1288</v>
      </c>
      <c r="F37">
        <v>52567411</v>
      </c>
      <c r="G37">
        <v>0.1288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-0.53658536585365879</v>
      </c>
      <c r="Q37">
        <f t="shared" ref="Q37" si="161">F37*P37</f>
        <v>-28206903.463414647</v>
      </c>
      <c r="R37">
        <f t="shared" ref="R37" si="162">R38+Q37</f>
        <v>-1956774626.4328313</v>
      </c>
      <c r="S37">
        <f t="shared" ref="S37" si="163">R37/100000</f>
        <v>-19567.746264328314</v>
      </c>
      <c r="T37">
        <f t="shared" ref="T37" si="164">S37/1000</f>
        <v>-19.567746264328314</v>
      </c>
    </row>
    <row r="38" spans="1:20" x14ac:dyDescent="0.25">
      <c r="A38" s="5">
        <v>44555</v>
      </c>
      <c r="B38">
        <v>0.12180000000000001</v>
      </c>
      <c r="C38">
        <v>0.12859999999999999</v>
      </c>
      <c r="D38">
        <v>0.1192</v>
      </c>
      <c r="E38">
        <v>0.1241</v>
      </c>
      <c r="F38">
        <v>8599603</v>
      </c>
      <c r="G38">
        <v>0.1241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4.2553191489362957E-2</v>
      </c>
      <c r="Q38">
        <f t="shared" ref="Q38" si="166">F38*P38</f>
        <v>365940.55319150013</v>
      </c>
      <c r="R38">
        <f t="shared" ref="R38" si="167">R39+Q38</f>
        <v>-1928567722.9694166</v>
      </c>
      <c r="S38">
        <f t="shared" ref="S38" si="168">R38/100000</f>
        <v>-19285.677229694167</v>
      </c>
      <c r="T38">
        <f t="shared" ref="T38" si="169">S38/1000</f>
        <v>-19.285677229694166</v>
      </c>
    </row>
    <row r="39" spans="1:20" x14ac:dyDescent="0.25">
      <c r="A39" s="5">
        <v>44554</v>
      </c>
      <c r="B39">
        <v>0.12139999999999999</v>
      </c>
      <c r="C39">
        <v>0.12720000000000001</v>
      </c>
      <c r="D39">
        <v>0.1196</v>
      </c>
      <c r="E39">
        <v>0.1216</v>
      </c>
      <c r="F39">
        <v>11184521</v>
      </c>
      <c r="G39">
        <v>0.1216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-0.47368421052631599</v>
      </c>
      <c r="Q39">
        <f t="shared" ref="Q39" si="171">F39*P39</f>
        <v>-5297931.0000000019</v>
      </c>
      <c r="R39">
        <f t="shared" ref="R39" si="172">R40+Q39</f>
        <v>-1928933663.522608</v>
      </c>
      <c r="S39">
        <f t="shared" ref="S39" si="173">R39/100000</f>
        <v>-19289.336635226082</v>
      </c>
      <c r="T39">
        <f t="shared" ref="T39" si="174">S39/1000</f>
        <v>-19.289336635226082</v>
      </c>
    </row>
    <row r="40" spans="1:20" x14ac:dyDescent="0.25">
      <c r="A40" s="5">
        <v>44553</v>
      </c>
      <c r="B40">
        <v>0.1183</v>
      </c>
      <c r="C40">
        <v>0.1232</v>
      </c>
      <c r="D40">
        <v>0.1135</v>
      </c>
      <c r="E40">
        <v>0.1215</v>
      </c>
      <c r="F40">
        <v>9417051</v>
      </c>
      <c r="G40">
        <v>0.1215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0.64948453608247281</v>
      </c>
      <c r="Q40">
        <f t="shared" ref="Q40" si="176">F40*P40</f>
        <v>6116228.999999987</v>
      </c>
      <c r="R40">
        <f t="shared" ref="R40" si="177">R41+Q40</f>
        <v>-1923635732.522608</v>
      </c>
      <c r="S40">
        <f t="shared" ref="S40" si="178">R40/100000</f>
        <v>-19236.357325226079</v>
      </c>
      <c r="T40">
        <f t="shared" ref="T40" si="179">S40/1000</f>
        <v>-19.236357325226081</v>
      </c>
    </row>
    <row r="41" spans="1:20" x14ac:dyDescent="0.25">
      <c r="A41" s="5">
        <v>44552</v>
      </c>
      <c r="B41">
        <v>0.1187</v>
      </c>
      <c r="C41">
        <v>0.12189999999999999</v>
      </c>
      <c r="D41">
        <v>0.1153</v>
      </c>
      <c r="E41">
        <v>0.1181</v>
      </c>
      <c r="F41">
        <v>8646816</v>
      </c>
      <c r="G41">
        <v>0.1181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-0.15151515151515177</v>
      </c>
      <c r="Q41">
        <f t="shared" ref="Q41" si="181">F41*P41</f>
        <v>-1310123.6363636386</v>
      </c>
      <c r="R41">
        <f t="shared" ref="R41" si="182">R42+Q41</f>
        <v>-1929751961.522608</v>
      </c>
      <c r="S41">
        <f t="shared" ref="S41" si="183">R41/100000</f>
        <v>-19297.51961522608</v>
      </c>
      <c r="T41">
        <f t="shared" ref="T41" si="184">S41/1000</f>
        <v>-19.297519615226079</v>
      </c>
    </row>
    <row r="42" spans="1:20" x14ac:dyDescent="0.25">
      <c r="A42" s="5">
        <v>44551</v>
      </c>
      <c r="B42">
        <v>0.1145</v>
      </c>
      <c r="C42">
        <v>0.12230000000000001</v>
      </c>
      <c r="D42">
        <v>0.11169999999999999</v>
      </c>
      <c r="E42">
        <v>0.1187</v>
      </c>
      <c r="F42">
        <v>7800045</v>
      </c>
      <c r="G42">
        <v>0.1187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0.32075471698113173</v>
      </c>
      <c r="Q42">
        <f t="shared" ref="Q42" si="186">F42*P42</f>
        <v>2501901.2264150917</v>
      </c>
      <c r="R42">
        <f t="shared" ref="R42" si="187">R43+Q42</f>
        <v>-1928441837.8862443</v>
      </c>
      <c r="S42">
        <f t="shared" ref="S42" si="188">R42/100000</f>
        <v>-19284.418378862443</v>
      </c>
      <c r="T42">
        <f t="shared" ref="T42" si="189">S42/1000</f>
        <v>-19.284418378862444</v>
      </c>
    </row>
    <row r="43" spans="1:20" x14ac:dyDescent="0.25">
      <c r="A43" s="5">
        <v>44550</v>
      </c>
      <c r="B43">
        <v>0.1187</v>
      </c>
      <c r="C43">
        <v>0.11940000000000001</v>
      </c>
      <c r="D43">
        <v>0.11070000000000001</v>
      </c>
      <c r="E43">
        <v>0.11459999999999999</v>
      </c>
      <c r="F43">
        <v>9493963</v>
      </c>
      <c r="G43">
        <v>0.11459999999999999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-0.10344827586207193</v>
      </c>
      <c r="Q43">
        <f t="shared" ref="Q43" si="191">F43*P43</f>
        <v>-982134.103448304</v>
      </c>
      <c r="R43">
        <f t="shared" ref="R43" si="192">R44+Q43</f>
        <v>-1930943739.1126595</v>
      </c>
      <c r="S43">
        <f t="shared" ref="S43" si="193">R43/100000</f>
        <v>-19309.437391126594</v>
      </c>
      <c r="T43">
        <f t="shared" ref="T43" si="194">S43/1000</f>
        <v>-19.309437391126593</v>
      </c>
    </row>
    <row r="44" spans="1:20" x14ac:dyDescent="0.25">
      <c r="A44" s="5">
        <v>44549</v>
      </c>
      <c r="B44">
        <v>0.1305</v>
      </c>
      <c r="C44">
        <v>0.1346</v>
      </c>
      <c r="D44">
        <v>0.11840000000000001</v>
      </c>
      <c r="E44">
        <v>0.1187</v>
      </c>
      <c r="F44">
        <v>22880557</v>
      </c>
      <c r="G44">
        <v>0.1187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-0.96296296296296358</v>
      </c>
      <c r="Q44">
        <f t="shared" ref="Q44" si="196">F44*P44</f>
        <v>-22033128.962962978</v>
      </c>
      <c r="R44">
        <f t="shared" ref="R44" si="197">R45+Q44</f>
        <v>-1929961605.0092111</v>
      </c>
      <c r="S44">
        <f t="shared" ref="S44" si="198">R44/100000</f>
        <v>-19299.616050092111</v>
      </c>
      <c r="T44">
        <f t="shared" ref="T44" si="199">S44/1000</f>
        <v>-19.299616050092112</v>
      </c>
    </row>
    <row r="45" spans="1:20" x14ac:dyDescent="0.25">
      <c r="A45" s="5">
        <v>44548</v>
      </c>
      <c r="B45">
        <v>0.115</v>
      </c>
      <c r="C45">
        <v>0.17100000000000001</v>
      </c>
      <c r="D45">
        <v>0.1138</v>
      </c>
      <c r="E45">
        <v>0.1303</v>
      </c>
      <c r="F45">
        <v>128911358</v>
      </c>
      <c r="G45">
        <v>0.1303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-0.42307692307692318</v>
      </c>
      <c r="Q45">
        <f t="shared" ref="Q45" si="201">F45*P45</f>
        <v>-54539420.692307703</v>
      </c>
      <c r="R45">
        <f t="shared" ref="R45" si="202">R46+Q45</f>
        <v>-1907928476.0462482</v>
      </c>
      <c r="S45">
        <f t="shared" ref="S45" si="203">R45/100000</f>
        <v>-19079.28476046248</v>
      </c>
      <c r="T45">
        <f t="shared" ref="T45" si="204">S45/1000</f>
        <v>-19.079284760462482</v>
      </c>
    </row>
    <row r="46" spans="1:20" x14ac:dyDescent="0.25">
      <c r="A46" s="5">
        <v>44547</v>
      </c>
      <c r="B46">
        <v>0.1166</v>
      </c>
      <c r="C46">
        <v>0.11899999999999999</v>
      </c>
      <c r="D46">
        <v>0.11169999999999999</v>
      </c>
      <c r="E46">
        <v>0.1154</v>
      </c>
      <c r="F46">
        <v>6586645</v>
      </c>
      <c r="G46">
        <v>0.1154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1.3698630136988594E-2</v>
      </c>
      <c r="Q46">
        <f t="shared" ref="Q46" si="206">F46*P46</f>
        <v>90228.013698645242</v>
      </c>
      <c r="R46">
        <f t="shared" ref="R46" si="207">R47+Q46</f>
        <v>-1853389055.3539405</v>
      </c>
      <c r="S46">
        <f t="shared" ref="S46" si="208">R46/100000</f>
        <v>-18533.890553539404</v>
      </c>
      <c r="T46">
        <f t="shared" ref="T46" si="209">S46/1000</f>
        <v>-18.533890553539404</v>
      </c>
    </row>
    <row r="47" spans="1:20" x14ac:dyDescent="0.25">
      <c r="A47" s="5">
        <v>44546</v>
      </c>
      <c r="B47">
        <v>0.11700000000000001</v>
      </c>
      <c r="C47">
        <v>0.13159999999999999</v>
      </c>
      <c r="D47">
        <v>0.1152</v>
      </c>
      <c r="E47">
        <v>0.1166</v>
      </c>
      <c r="F47">
        <v>10960902</v>
      </c>
      <c r="G47">
        <v>0.1166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-0.82926829268292701</v>
      </c>
      <c r="Q47">
        <f t="shared" ref="Q47" si="211">F47*P47</f>
        <v>-9089528.4878048804</v>
      </c>
      <c r="R47">
        <f t="shared" ref="R47" si="212">R48+Q47</f>
        <v>-1853479283.3676391</v>
      </c>
      <c r="S47">
        <f t="shared" ref="S47" si="213">R47/100000</f>
        <v>-18534.792833676391</v>
      </c>
      <c r="T47">
        <f t="shared" ref="T47" si="214">S47/1000</f>
        <v>-18.534792833676391</v>
      </c>
    </row>
    <row r="48" spans="1:20" x14ac:dyDescent="0.25">
      <c r="A48" s="5">
        <v>44545</v>
      </c>
      <c r="B48">
        <v>0.11600000000000001</v>
      </c>
      <c r="C48">
        <v>0.1203</v>
      </c>
      <c r="D48">
        <v>0.11</v>
      </c>
      <c r="E48">
        <v>0.11700000000000001</v>
      </c>
      <c r="F48">
        <v>7973684</v>
      </c>
      <c r="G48">
        <v>0.11700000000000001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0.35922330097087452</v>
      </c>
      <c r="Q48">
        <f t="shared" ref="Q48" si="216">F48*P48</f>
        <v>2864333.0873786467</v>
      </c>
      <c r="R48">
        <f t="shared" ref="R48" si="217">R49+Q48</f>
        <v>-1844389754.8798342</v>
      </c>
      <c r="S48">
        <f t="shared" ref="S48" si="218">R48/100000</f>
        <v>-18443.897548798341</v>
      </c>
      <c r="T48">
        <f t="shared" ref="T48" si="219">S48/1000</f>
        <v>-18.44389754879834</v>
      </c>
    </row>
    <row r="49" spans="1:20" x14ac:dyDescent="0.25">
      <c r="A49" s="5">
        <v>44544</v>
      </c>
      <c r="B49">
        <v>0.12039999999999999</v>
      </c>
      <c r="C49">
        <v>0.1234</v>
      </c>
      <c r="D49">
        <v>0.1113</v>
      </c>
      <c r="E49">
        <v>0.11600000000000001</v>
      </c>
      <c r="F49">
        <v>8337124</v>
      </c>
      <c r="G49">
        <v>0.11600000000000001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-0.22314049586776696</v>
      </c>
      <c r="Q49">
        <f t="shared" ref="Q49" si="221">F49*P49</f>
        <v>-1860349.9834710609</v>
      </c>
      <c r="R49">
        <f t="shared" ref="R49" si="222">R50+Q49</f>
        <v>-1847254087.9672129</v>
      </c>
      <c r="S49">
        <f t="shared" ref="S49" si="223">R49/100000</f>
        <v>-18472.540879672128</v>
      </c>
      <c r="T49">
        <f t="shared" ref="T49" si="224">S49/1000</f>
        <v>-18.472540879672128</v>
      </c>
    </row>
    <row r="50" spans="1:20" x14ac:dyDescent="0.25">
      <c r="A50" s="5">
        <v>44543</v>
      </c>
      <c r="B50">
        <v>0.128</v>
      </c>
      <c r="C50">
        <v>0.1288</v>
      </c>
      <c r="D50">
        <v>0.1106</v>
      </c>
      <c r="E50">
        <v>0.1211</v>
      </c>
      <c r="F50">
        <v>14551451</v>
      </c>
      <c r="G50">
        <v>0.1211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0.15384615384615372</v>
      </c>
      <c r="Q50">
        <f t="shared" ref="Q50" si="226">F50*P50</f>
        <v>2238684.7692307672</v>
      </c>
      <c r="R50">
        <f t="shared" ref="R50" si="227">R51+Q50</f>
        <v>-1845393737.9837418</v>
      </c>
      <c r="S50">
        <f t="shared" ref="S50" si="228">R50/100000</f>
        <v>-18453.937379837418</v>
      </c>
      <c r="T50">
        <f t="shared" ref="T50" si="229">S50/1000</f>
        <v>-18.453937379837416</v>
      </c>
    </row>
    <row r="51" spans="1:20" x14ac:dyDescent="0.25">
      <c r="A51" s="5">
        <v>44542</v>
      </c>
      <c r="B51">
        <v>0.1273</v>
      </c>
      <c r="C51">
        <v>0.13300000000000001</v>
      </c>
      <c r="D51">
        <v>0.12509999999999999</v>
      </c>
      <c r="E51">
        <v>0.128</v>
      </c>
      <c r="F51">
        <v>9768264</v>
      </c>
      <c r="G51">
        <v>0.128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-0.26582278481012478</v>
      </c>
      <c r="Q51">
        <f t="shared" ref="Q51" si="231">F51*P51</f>
        <v>-2596627.1392404889</v>
      </c>
      <c r="R51">
        <f t="shared" ref="R51" si="232">R52+Q51</f>
        <v>-1847632422.7529726</v>
      </c>
      <c r="S51">
        <f t="shared" ref="S51" si="233">R51/100000</f>
        <v>-18476.324227529727</v>
      </c>
      <c r="T51">
        <f t="shared" ref="T51" si="234">S51/1000</f>
        <v>-18.476324227529727</v>
      </c>
    </row>
    <row r="52" spans="1:20" x14ac:dyDescent="0.25">
      <c r="A52" s="5">
        <v>44541</v>
      </c>
      <c r="B52">
        <v>0.12429999999999999</v>
      </c>
      <c r="C52">
        <v>0.126</v>
      </c>
      <c r="D52">
        <v>0.1212</v>
      </c>
      <c r="E52">
        <v>0.12559999999999999</v>
      </c>
      <c r="F52">
        <v>1086379</v>
      </c>
      <c r="G52">
        <v>0.12559999999999999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0.83333333333332849</v>
      </c>
      <c r="Q52">
        <f t="shared" ref="Q52" si="236">F52*P52</f>
        <v>905315.83333332802</v>
      </c>
      <c r="R52">
        <f t="shared" ref="R52" si="237">R53+Q52</f>
        <v>-1845035795.6137321</v>
      </c>
      <c r="S52">
        <f t="shared" ref="S52" si="238">R52/100000</f>
        <v>-18450.357956137323</v>
      </c>
      <c r="T52">
        <f t="shared" ref="T52" si="239">S52/1000</f>
        <v>-18.450357956137324</v>
      </c>
    </row>
    <row r="53" spans="1:20" x14ac:dyDescent="0.25">
      <c r="A53" s="5">
        <v>44540</v>
      </c>
      <c r="B53">
        <v>0.13270000000000001</v>
      </c>
      <c r="C53">
        <v>0.13830000000000001</v>
      </c>
      <c r="D53">
        <v>0.1232</v>
      </c>
      <c r="E53">
        <v>0.12429999999999999</v>
      </c>
      <c r="F53">
        <v>14497623</v>
      </c>
      <c r="G53">
        <v>0.12429999999999999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-0.85430463576159077</v>
      </c>
      <c r="Q53">
        <f t="shared" ref="Q53" si="241">F53*P53</f>
        <v>-12385386.53642386</v>
      </c>
      <c r="R53">
        <f t="shared" ref="R53" si="242">R54+Q53</f>
        <v>-1845941111.4470654</v>
      </c>
      <c r="S53">
        <f t="shared" ref="S53" si="243">R53/100000</f>
        <v>-18459.411114470655</v>
      </c>
      <c r="T53">
        <f t="shared" ref="T53" si="244">S53/1000</f>
        <v>-18.459411114470655</v>
      </c>
    </row>
    <row r="54" spans="1:20" x14ac:dyDescent="0.25">
      <c r="A54" s="5">
        <v>44539</v>
      </c>
      <c r="B54">
        <v>0.14449999999999999</v>
      </c>
      <c r="C54">
        <v>0.14599999999999999</v>
      </c>
      <c r="D54">
        <v>0.13239999999999999</v>
      </c>
      <c r="E54">
        <v>0.13300000000000001</v>
      </c>
      <c r="F54">
        <v>11478145</v>
      </c>
      <c r="G54">
        <v>0.13300000000000001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-0.91176470588235037</v>
      </c>
      <c r="Q54">
        <f t="shared" ref="Q54" si="246">F54*P54</f>
        <v>-10465367.49999997</v>
      </c>
      <c r="R54">
        <f t="shared" ref="R54" si="247">R55+Q54</f>
        <v>-1833555724.9106414</v>
      </c>
      <c r="S54">
        <f t="shared" ref="S54" si="248">R54/100000</f>
        <v>-18335.557249106416</v>
      </c>
      <c r="T54">
        <f t="shared" ref="T54" si="249">S54/1000</f>
        <v>-18.335557249106415</v>
      </c>
    </row>
    <row r="55" spans="1:20" x14ac:dyDescent="0.25">
      <c r="A55" s="5">
        <v>44538</v>
      </c>
      <c r="B55">
        <v>0.14230000000000001</v>
      </c>
      <c r="C55">
        <v>0.156</v>
      </c>
      <c r="D55">
        <v>0.1341</v>
      </c>
      <c r="E55">
        <v>0.1444</v>
      </c>
      <c r="F55">
        <v>31302602</v>
      </c>
      <c r="G55">
        <v>0.1444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-5.9360730593607094E-2</v>
      </c>
      <c r="Q55">
        <f t="shared" ref="Q55" si="251">F55*P55</f>
        <v>-1858145.3242009066</v>
      </c>
      <c r="R55">
        <f t="shared" ref="R55" si="252">R56+Q55</f>
        <v>-1823090357.4106414</v>
      </c>
      <c r="S55">
        <f t="shared" ref="S55" si="253">R55/100000</f>
        <v>-18230.903574106414</v>
      </c>
      <c r="T55">
        <f t="shared" ref="T55" si="254">S55/1000</f>
        <v>-18.230903574106414</v>
      </c>
    </row>
    <row r="56" spans="1:20" x14ac:dyDescent="0.25">
      <c r="A56" s="5">
        <v>44537</v>
      </c>
      <c r="B56">
        <v>0.14560000000000001</v>
      </c>
      <c r="C56">
        <v>0.1641</v>
      </c>
      <c r="D56">
        <v>0.14019999999999999</v>
      </c>
      <c r="E56">
        <v>0.14199999999999999</v>
      </c>
      <c r="F56">
        <v>24896055</v>
      </c>
      <c r="G56">
        <v>0.14199999999999999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-0.84937238493723888</v>
      </c>
      <c r="Q56">
        <f t="shared" ref="Q56" si="256">F56*P56</f>
        <v>-21146021.610878672</v>
      </c>
      <c r="R56">
        <f t="shared" ref="R56" si="257">R57+Q56</f>
        <v>-1821232212.0864406</v>
      </c>
      <c r="S56">
        <f t="shared" ref="S56" si="258">R56/100000</f>
        <v>-18212.322120864406</v>
      </c>
      <c r="T56">
        <f t="shared" ref="T56" si="259">S56/1000</f>
        <v>-18.212322120864407</v>
      </c>
    </row>
    <row r="57" spans="1:20" x14ac:dyDescent="0.25">
      <c r="A57" s="5">
        <v>44536</v>
      </c>
      <c r="B57">
        <v>0.14899999999999999</v>
      </c>
      <c r="C57">
        <v>0.155</v>
      </c>
      <c r="D57">
        <v>0.12920000000000001</v>
      </c>
      <c r="E57">
        <v>0.14580000000000001</v>
      </c>
      <c r="F57">
        <v>17047164</v>
      </c>
      <c r="G57">
        <v>0.14580000000000001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0.28682170542635738</v>
      </c>
      <c r="Q57">
        <f t="shared" ref="Q57" si="261">F57*P57</f>
        <v>4889496.6511628041</v>
      </c>
      <c r="R57">
        <f t="shared" ref="R57" si="262">R58+Q57</f>
        <v>-1800086190.4755619</v>
      </c>
      <c r="S57">
        <f t="shared" ref="S57" si="263">R57/100000</f>
        <v>-18000.86190475562</v>
      </c>
      <c r="T57">
        <f t="shared" ref="T57" si="264">S57/1000</f>
        <v>-18.00086190475562</v>
      </c>
    </row>
    <row r="58" spans="1:20" x14ac:dyDescent="0.25">
      <c r="A58" s="5">
        <v>44535</v>
      </c>
      <c r="B58">
        <v>0.15359999999999999</v>
      </c>
      <c r="C58">
        <v>0.1646</v>
      </c>
      <c r="D58">
        <v>0.1366</v>
      </c>
      <c r="E58">
        <v>0.14899999999999999</v>
      </c>
      <c r="F58">
        <v>22857175</v>
      </c>
      <c r="G58">
        <v>0.14899999999999999</v>
      </c>
      <c r="L58" t="s">
        <v>7</v>
      </c>
      <c r="M58" t="s">
        <v>8</v>
      </c>
      <c r="N58" t="s">
        <v>7</v>
      </c>
      <c r="P58">
        <f t="shared" ref="P58" si="265">IF(C58=D58,0,((E58-D58)-(C58-E58))/(C58-D58))</f>
        <v>-0.1142857142857146</v>
      </c>
      <c r="Q58">
        <f t="shared" ref="Q58" si="266">F58*P58</f>
        <v>-2612248.5714285788</v>
      </c>
      <c r="R58">
        <f t="shared" ref="R58" si="267">R59+Q58</f>
        <v>-1804975687.1267247</v>
      </c>
      <c r="S58">
        <f t="shared" ref="S58" si="268">R58/100000</f>
        <v>-18049.756871267247</v>
      </c>
      <c r="T58">
        <f t="shared" ref="T58" si="269">S58/1000</f>
        <v>-18.049756871267249</v>
      </c>
    </row>
    <row r="59" spans="1:20" x14ac:dyDescent="0.25">
      <c r="A59" s="5">
        <v>44534</v>
      </c>
      <c r="B59">
        <v>0.1835</v>
      </c>
      <c r="C59">
        <v>0.18890000000000001</v>
      </c>
      <c r="D59">
        <v>0.1401</v>
      </c>
      <c r="E59">
        <v>0.1537</v>
      </c>
      <c r="F59">
        <v>18148720</v>
      </c>
      <c r="G59">
        <v>0.1537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-0.44262295081967218</v>
      </c>
      <c r="Q59">
        <f t="shared" ref="Q59" si="271">F59*P59</f>
        <v>-8033040.0000000009</v>
      </c>
      <c r="R59">
        <f t="shared" ref="R59" si="272">R60+Q59</f>
        <v>-1802363438.5552962</v>
      </c>
      <c r="S59">
        <f t="shared" ref="S59" si="273">R59/100000</f>
        <v>-18023.634385552963</v>
      </c>
      <c r="T59">
        <f t="shared" ref="T59" si="274">S59/1000</f>
        <v>-18.023634385552963</v>
      </c>
    </row>
    <row r="60" spans="1:20" x14ac:dyDescent="0.25">
      <c r="A60" s="5">
        <v>44533</v>
      </c>
      <c r="B60">
        <v>0.1767</v>
      </c>
      <c r="C60">
        <v>0.19900000000000001</v>
      </c>
      <c r="D60">
        <v>0.17299999999999999</v>
      </c>
      <c r="E60">
        <v>0.18340000000000001</v>
      </c>
      <c r="F60">
        <v>43060010</v>
      </c>
      <c r="G60">
        <v>0.18340000000000001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-0.19999999999999915</v>
      </c>
      <c r="Q60">
        <f t="shared" ref="Q60" si="276">F60*P60</f>
        <v>-8612001.9999999627</v>
      </c>
      <c r="R60">
        <f t="shared" ref="R60" si="277">R61+Q60</f>
        <v>-1794330398.5552962</v>
      </c>
      <c r="S60">
        <f t="shared" ref="S60" si="278">R60/100000</f>
        <v>-17943.303985552961</v>
      </c>
      <c r="T60">
        <f t="shared" ref="T60" si="279">S60/1000</f>
        <v>-17.943303985552962</v>
      </c>
    </row>
    <row r="61" spans="1:20" x14ac:dyDescent="0.25">
      <c r="A61" s="5">
        <v>44532</v>
      </c>
      <c r="B61">
        <v>0.1741</v>
      </c>
      <c r="C61">
        <v>0.20780000000000001</v>
      </c>
      <c r="D61">
        <v>0.16619999999999999</v>
      </c>
      <c r="E61">
        <v>0.17649999999999999</v>
      </c>
      <c r="F61">
        <v>60851488</v>
      </c>
      <c r="G61">
        <v>0.17649999999999999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-0.5048076923076924</v>
      </c>
      <c r="Q61">
        <f t="shared" ref="Q61" si="281">F61*P61</f>
        <v>-30718299.230769236</v>
      </c>
      <c r="R61">
        <f t="shared" ref="R61" si="282">R62+Q61</f>
        <v>-1785718396.5552962</v>
      </c>
      <c r="S61">
        <f t="shared" ref="S61" si="283">R61/100000</f>
        <v>-17857.183965552962</v>
      </c>
      <c r="T61">
        <f t="shared" ref="T61" si="284">S61/1000</f>
        <v>-17.857183965552963</v>
      </c>
    </row>
    <row r="62" spans="1:20" x14ac:dyDescent="0.25">
      <c r="A62" s="5">
        <v>44531</v>
      </c>
      <c r="B62">
        <v>0.16800000000000001</v>
      </c>
      <c r="C62">
        <v>0.1865</v>
      </c>
      <c r="D62">
        <v>0.16550000000000001</v>
      </c>
      <c r="E62">
        <v>0.17330000000000001</v>
      </c>
      <c r="F62">
        <v>22737035</v>
      </c>
      <c r="G62">
        <v>0.17330000000000001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-0.25714285714285667</v>
      </c>
      <c r="Q62">
        <f t="shared" ref="Q62" si="286">F62*P62</f>
        <v>-5846666.1428571325</v>
      </c>
      <c r="R62">
        <f t="shared" ref="R62" si="287">R63+Q62</f>
        <v>-1755000097.324527</v>
      </c>
      <c r="S62">
        <f t="shared" ref="S62" si="288">R62/100000</f>
        <v>-17550.000973245271</v>
      </c>
      <c r="T62">
        <f t="shared" ref="T62" si="289">S62/1000</f>
        <v>-17.550000973245272</v>
      </c>
    </row>
    <row r="63" spans="1:20" x14ac:dyDescent="0.25">
      <c r="A63" s="5">
        <v>44530</v>
      </c>
      <c r="B63">
        <v>0.17419999999999999</v>
      </c>
      <c r="C63">
        <v>0.17710000000000001</v>
      </c>
      <c r="D63">
        <v>0.16700000000000001</v>
      </c>
      <c r="E63">
        <v>0.16719999999999999</v>
      </c>
      <c r="F63">
        <v>5997837</v>
      </c>
      <c r="G63">
        <v>0.16719999999999999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-0.9603960396039648</v>
      </c>
      <c r="Q63">
        <f t="shared" ref="Q63" si="291">F63*P63</f>
        <v>-5760298.9009901257</v>
      </c>
      <c r="R63">
        <f t="shared" ref="R63" si="292">R64+Q63</f>
        <v>-1749153431.18167</v>
      </c>
      <c r="S63">
        <f t="shared" ref="S63" si="293">R63/100000</f>
        <v>-17491.5343118167</v>
      </c>
      <c r="T63">
        <f t="shared" ref="T63" si="294">S63/1000</f>
        <v>-17.4915343118167</v>
      </c>
    </row>
    <row r="64" spans="1:20" x14ac:dyDescent="0.25">
      <c r="A64" s="5">
        <v>44529</v>
      </c>
      <c r="B64">
        <v>0.17100000000000001</v>
      </c>
      <c r="C64">
        <v>0.17879999999999999</v>
      </c>
      <c r="D64">
        <v>0.1678</v>
      </c>
      <c r="E64">
        <v>0.17419999999999999</v>
      </c>
      <c r="F64">
        <v>10856970</v>
      </c>
      <c r="G64">
        <v>0.17419999999999999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0.16363636363636355</v>
      </c>
      <c r="Q64">
        <f t="shared" ref="Q64" si="296">F64*P64</f>
        <v>1776595.0909090899</v>
      </c>
      <c r="R64">
        <f t="shared" ref="R64" si="297">R65+Q64</f>
        <v>-1743393132.2806799</v>
      </c>
      <c r="S64">
        <f t="shared" ref="S64" si="298">R64/100000</f>
        <v>-17433.931322806799</v>
      </c>
      <c r="T64">
        <f t="shared" ref="T64" si="299">S64/1000</f>
        <v>-17.433931322806799</v>
      </c>
    </row>
    <row r="65" spans="1:20" x14ac:dyDescent="0.25">
      <c r="A65" s="5">
        <v>44528</v>
      </c>
      <c r="B65">
        <v>0.1731</v>
      </c>
      <c r="C65">
        <v>0.17469999999999999</v>
      </c>
      <c r="D65">
        <v>0.16170000000000001</v>
      </c>
      <c r="E65">
        <v>0.17080000000000001</v>
      </c>
      <c r="F65">
        <v>7883587</v>
      </c>
      <c r="G65">
        <v>0.17080000000000001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0.4000000000000013</v>
      </c>
      <c r="Q65">
        <f t="shared" ref="Q65" si="301">F65*P65</f>
        <v>3153434.8000000101</v>
      </c>
      <c r="R65">
        <f t="shared" ref="R65" si="302">R66+Q65</f>
        <v>-1745169727.3715889</v>
      </c>
      <c r="S65">
        <f t="shared" ref="S65" si="303">R65/100000</f>
        <v>-17451.69727371589</v>
      </c>
      <c r="T65">
        <f t="shared" ref="T65" si="304">S65/1000</f>
        <v>-17.45169727371589</v>
      </c>
    </row>
    <row r="66" spans="1:20" x14ac:dyDescent="0.25">
      <c r="A66" s="5">
        <v>44527</v>
      </c>
      <c r="B66">
        <v>0.1706</v>
      </c>
      <c r="C66">
        <v>0.1804</v>
      </c>
      <c r="D66">
        <v>0.16889999999999999</v>
      </c>
      <c r="E66">
        <v>0.17349999999999999</v>
      </c>
      <c r="F66">
        <v>10075138</v>
      </c>
      <c r="G66">
        <v>0.17349999999999999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-0.20000000000000193</v>
      </c>
      <c r="Q66">
        <f t="shared" ref="Q66" si="306">F66*P66</f>
        <v>-2015027.6000000194</v>
      </c>
      <c r="R66">
        <f t="shared" ref="R66" si="307">R67+Q66</f>
        <v>-1748323162.1715889</v>
      </c>
      <c r="S66">
        <f t="shared" ref="S66" si="308">R66/100000</f>
        <v>-17483.231621715888</v>
      </c>
      <c r="T66">
        <f t="shared" ref="T66" si="309">S66/1000</f>
        <v>-17.483231621715888</v>
      </c>
    </row>
    <row r="67" spans="1:20" x14ac:dyDescent="0.25">
      <c r="A67" s="5">
        <v>44526</v>
      </c>
      <c r="B67">
        <v>0.18959999999999999</v>
      </c>
      <c r="C67">
        <v>0.19700000000000001</v>
      </c>
      <c r="D67">
        <v>0.1646</v>
      </c>
      <c r="E67">
        <v>0.17069999999999999</v>
      </c>
      <c r="F67">
        <v>21652642</v>
      </c>
      <c r="G67">
        <v>0.17069999999999999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-0.62345679012345723</v>
      </c>
      <c r="Q67">
        <f t="shared" ref="Q67" si="311">F67*P67</f>
        <v>-13499486.679012354</v>
      </c>
      <c r="R67">
        <f t="shared" ref="R67" si="312">R68+Q67</f>
        <v>-1746308134.571589</v>
      </c>
      <c r="S67">
        <f t="shared" ref="S67" si="313">R67/100000</f>
        <v>-17463.081345715891</v>
      </c>
      <c r="T67">
        <f t="shared" ref="T67" si="314">S67/1000</f>
        <v>-17.463081345715892</v>
      </c>
    </row>
    <row r="68" spans="1:20" x14ac:dyDescent="0.25">
      <c r="A68" s="5">
        <v>44525</v>
      </c>
      <c r="B68">
        <v>0.17050000000000001</v>
      </c>
      <c r="C68">
        <v>0.22420000000000001</v>
      </c>
      <c r="D68">
        <v>0.1694</v>
      </c>
      <c r="E68">
        <v>0.19020000000000001</v>
      </c>
      <c r="F68">
        <v>63835828</v>
      </c>
      <c r="G68">
        <v>0.19020000000000001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-0.24087591240875886</v>
      </c>
      <c r="Q68">
        <f t="shared" ref="Q68" si="316">F68*P68</f>
        <v>-15376513.313868595</v>
      </c>
      <c r="R68">
        <f t="shared" ref="R68" si="317">R69+Q68</f>
        <v>-1732808647.8925767</v>
      </c>
      <c r="S68">
        <f t="shared" ref="S68" si="318">R68/100000</f>
        <v>-17328.086478925768</v>
      </c>
      <c r="T68">
        <f t="shared" ref="T68" si="319">S68/1000</f>
        <v>-17.328086478925769</v>
      </c>
    </row>
    <row r="69" spans="1:20" x14ac:dyDescent="0.25">
      <c r="A69" s="5">
        <v>44524</v>
      </c>
      <c r="B69">
        <v>0.1799</v>
      </c>
      <c r="C69">
        <v>0.185</v>
      </c>
      <c r="D69">
        <v>0.1739</v>
      </c>
      <c r="E69">
        <v>0.1772</v>
      </c>
      <c r="F69">
        <v>2811022</v>
      </c>
      <c r="G69">
        <v>0.1772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-0.40540540540540582</v>
      </c>
      <c r="Q69">
        <f t="shared" ref="Q69" si="321">F69*P69</f>
        <v>-1139603.5135135148</v>
      </c>
      <c r="R69">
        <f t="shared" ref="R69" si="322">R70+Q69</f>
        <v>-1717432134.5787082</v>
      </c>
      <c r="S69">
        <f t="shared" ref="S69" si="323">R69/100000</f>
        <v>-17174.321345787081</v>
      </c>
      <c r="T69">
        <f t="shared" ref="T69" si="324">S69/1000</f>
        <v>-17.174321345787082</v>
      </c>
    </row>
    <row r="70" spans="1:20" x14ac:dyDescent="0.25">
      <c r="A70" s="5">
        <v>44523</v>
      </c>
      <c r="B70">
        <v>0.17180000000000001</v>
      </c>
      <c r="C70">
        <v>0.185</v>
      </c>
      <c r="D70">
        <v>0.1701</v>
      </c>
      <c r="E70">
        <v>0.17979999999999999</v>
      </c>
      <c r="F70">
        <v>9959162</v>
      </c>
      <c r="G70">
        <v>0.17979999999999999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0.3020134228187904</v>
      </c>
      <c r="Q70">
        <f t="shared" ref="Q70" si="326">F70*P70</f>
        <v>3007800.6040268303</v>
      </c>
      <c r="R70">
        <f t="shared" ref="R70" si="327">R71+Q70</f>
        <v>-1716292531.0651946</v>
      </c>
      <c r="S70">
        <f t="shared" ref="S70" si="328">R70/100000</f>
        <v>-17162.925310651946</v>
      </c>
      <c r="T70">
        <f t="shared" ref="T70" si="329">S70/1000</f>
        <v>-17.162925310651946</v>
      </c>
    </row>
    <row r="71" spans="1:20" x14ac:dyDescent="0.25">
      <c r="A71" s="5">
        <v>44522</v>
      </c>
      <c r="B71">
        <v>0.17960000000000001</v>
      </c>
      <c r="C71">
        <v>0.18179999999999999</v>
      </c>
      <c r="D71">
        <v>0.17</v>
      </c>
      <c r="E71">
        <v>0.17169999999999999</v>
      </c>
      <c r="F71">
        <v>11229903</v>
      </c>
      <c r="G71">
        <v>0.17169999999999999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-0.71186440677966401</v>
      </c>
      <c r="Q71">
        <f t="shared" ref="Q71" si="331">F71*P71</f>
        <v>-7994168.2372881696</v>
      </c>
      <c r="R71">
        <f t="shared" ref="R71" si="332">R72+Q71</f>
        <v>-1719300331.6692214</v>
      </c>
      <c r="S71">
        <f t="shared" ref="S71" si="333">R71/100000</f>
        <v>-17193.003316692215</v>
      </c>
      <c r="T71">
        <f t="shared" ref="T71" si="334">S71/1000</f>
        <v>-17.193003316692216</v>
      </c>
    </row>
    <row r="72" spans="1:20" x14ac:dyDescent="0.25">
      <c r="A72" s="5">
        <v>44521</v>
      </c>
      <c r="B72">
        <v>0.18579999999999999</v>
      </c>
      <c r="C72">
        <v>0.20030000000000001</v>
      </c>
      <c r="D72">
        <v>0.1774</v>
      </c>
      <c r="E72">
        <v>0.17960000000000001</v>
      </c>
      <c r="F72">
        <v>33538994</v>
      </c>
      <c r="G72">
        <v>0.17960000000000001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-0.80786026200873295</v>
      </c>
      <c r="Q72">
        <f t="shared" ref="Q72" si="336">F72*P72</f>
        <v>-27094820.480349321</v>
      </c>
      <c r="R72">
        <f t="shared" ref="R72" si="337">R73+Q72</f>
        <v>-1711306163.4319332</v>
      </c>
      <c r="S72">
        <f t="shared" ref="S72" si="338">R72/100000</f>
        <v>-17113.061634319332</v>
      </c>
      <c r="T72">
        <f t="shared" ref="T72" si="339">S72/1000</f>
        <v>-17.113061634319333</v>
      </c>
    </row>
    <row r="73" spans="1:20" x14ac:dyDescent="0.25">
      <c r="A73" s="5">
        <v>44520</v>
      </c>
      <c r="B73">
        <v>0.16370000000000001</v>
      </c>
      <c r="C73">
        <v>0.20599999999999999</v>
      </c>
      <c r="D73">
        <v>0.16170000000000001</v>
      </c>
      <c r="E73">
        <v>0.18559999999999999</v>
      </c>
      <c r="F73">
        <v>44074244</v>
      </c>
      <c r="G73">
        <v>0.18559999999999999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7.9006772009028822E-2</v>
      </c>
      <c r="Q73">
        <f t="shared" ref="Q73" si="341">F73*P73</f>
        <v>3482163.7471783063</v>
      </c>
      <c r="R73">
        <f t="shared" ref="R73" si="342">R74+Q73</f>
        <v>-1684211342.9515839</v>
      </c>
      <c r="S73">
        <f t="shared" ref="S73" si="343">R73/100000</f>
        <v>-16842.113429515837</v>
      </c>
      <c r="T73">
        <f t="shared" ref="T73" si="344">S73/1000</f>
        <v>-16.842113429515837</v>
      </c>
    </row>
    <row r="74" spans="1:20" x14ac:dyDescent="0.25">
      <c r="A74" s="5">
        <v>44519</v>
      </c>
      <c r="B74">
        <v>0.15640000000000001</v>
      </c>
      <c r="C74">
        <v>0.16900000000000001</v>
      </c>
      <c r="D74">
        <v>0.152</v>
      </c>
      <c r="E74">
        <v>0.1638</v>
      </c>
      <c r="F74">
        <v>7566021</v>
      </c>
      <c r="G74">
        <v>0.1638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0.3882352941176464</v>
      </c>
      <c r="Q74">
        <f t="shared" ref="Q74" si="346">F74*P74</f>
        <v>2937396.3882352891</v>
      </c>
      <c r="R74">
        <f t="shared" ref="R74" si="347">R75+Q74</f>
        <v>-1687693506.6987622</v>
      </c>
      <c r="S74">
        <f t="shared" ref="S74" si="348">R74/100000</f>
        <v>-16876.935066987622</v>
      </c>
      <c r="T74">
        <f t="shared" ref="T74" si="349">S74/1000</f>
        <v>-16.87693506698762</v>
      </c>
    </row>
    <row r="75" spans="1:20" x14ac:dyDescent="0.25">
      <c r="A75" s="5">
        <v>44518</v>
      </c>
      <c r="B75">
        <v>0.17069999999999999</v>
      </c>
      <c r="C75">
        <v>0.17660000000000001</v>
      </c>
      <c r="D75">
        <v>0.15240000000000001</v>
      </c>
      <c r="E75">
        <v>0.15509999999999999</v>
      </c>
      <c r="F75">
        <v>11505276</v>
      </c>
      <c r="G75">
        <v>0.15509999999999999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-0.77685950413223304</v>
      </c>
      <c r="Q75">
        <f t="shared" ref="Q75" si="351">F75*P75</f>
        <v>-8937983.008264482</v>
      </c>
      <c r="R75">
        <f t="shared" ref="R75" si="352">R76+Q75</f>
        <v>-1690630903.0869975</v>
      </c>
      <c r="S75">
        <f t="shared" ref="S75" si="353">R75/100000</f>
        <v>-16906.309030869976</v>
      </c>
      <c r="T75">
        <f t="shared" ref="T75" si="354">S75/1000</f>
        <v>-16.906309030869977</v>
      </c>
    </row>
    <row r="76" spans="1:20" x14ac:dyDescent="0.25">
      <c r="A76" s="5">
        <v>44517</v>
      </c>
      <c r="B76">
        <v>0.17080000000000001</v>
      </c>
      <c r="C76">
        <v>0.17460000000000001</v>
      </c>
      <c r="D76">
        <v>0.1651</v>
      </c>
      <c r="E76">
        <v>0.17069999999999999</v>
      </c>
      <c r="F76">
        <v>7836176</v>
      </c>
      <c r="G76">
        <v>0.17069999999999999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0.1789473684210503</v>
      </c>
      <c r="Q76">
        <f t="shared" ref="Q76" si="356">F76*P76</f>
        <v>1402263.0736841923</v>
      </c>
      <c r="R76">
        <f t="shared" ref="R76" si="357">R77+Q76</f>
        <v>-1681692920.078733</v>
      </c>
      <c r="S76">
        <f t="shared" ref="S76" si="358">R76/100000</f>
        <v>-16816.92920078733</v>
      </c>
      <c r="T76">
        <f t="shared" ref="T76" si="359">S76/1000</f>
        <v>-16.816929200787332</v>
      </c>
    </row>
    <row r="77" spans="1:20" x14ac:dyDescent="0.25">
      <c r="A77" s="5">
        <v>44516</v>
      </c>
      <c r="B77">
        <v>0.18509999999999999</v>
      </c>
      <c r="C77">
        <v>0.18509999999999999</v>
      </c>
      <c r="D77">
        <v>0.16220000000000001</v>
      </c>
      <c r="E77">
        <v>0.1714</v>
      </c>
      <c r="F77">
        <v>10521249</v>
      </c>
      <c r="G77">
        <v>0.1714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-0.19650655021834099</v>
      </c>
      <c r="Q77">
        <f t="shared" ref="Q77" si="361">F77*P77</f>
        <v>-2067494.3449781698</v>
      </c>
      <c r="R77">
        <f t="shared" ref="R77" si="362">R78+Q77</f>
        <v>-1683095183.1524172</v>
      </c>
      <c r="S77">
        <f t="shared" ref="S77" si="363">R77/100000</f>
        <v>-16830.951831524173</v>
      </c>
      <c r="T77">
        <f t="shared" ref="T77" si="364">S77/1000</f>
        <v>-16.830951831524175</v>
      </c>
    </row>
    <row r="78" spans="1:20" x14ac:dyDescent="0.25">
      <c r="A78" s="5">
        <v>44515</v>
      </c>
      <c r="B78">
        <v>0.19009999999999999</v>
      </c>
      <c r="C78">
        <v>0.19089999999999999</v>
      </c>
      <c r="D78">
        <v>0.18379999999999999</v>
      </c>
      <c r="E78">
        <v>0.18509999999999999</v>
      </c>
      <c r="F78">
        <v>7415038</v>
      </c>
      <c r="G78">
        <v>0.18509999999999999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-0.63380281690140949</v>
      </c>
      <c r="Q78">
        <f t="shared" ref="Q78" si="366">F78*P78</f>
        <v>-4699671.9718309939</v>
      </c>
      <c r="R78">
        <f t="shared" ref="R78" si="367">R79+Q78</f>
        <v>-1681027688.8074391</v>
      </c>
      <c r="S78">
        <f t="shared" ref="S78" si="368">R78/100000</f>
        <v>-16810.27688807439</v>
      </c>
      <c r="T78">
        <f t="shared" ref="T78" si="369">S78/1000</f>
        <v>-16.810276888074391</v>
      </c>
    </row>
    <row r="79" spans="1:20" x14ac:dyDescent="0.25">
      <c r="A79" s="5">
        <v>44514</v>
      </c>
      <c r="B79">
        <v>0.18729999999999999</v>
      </c>
      <c r="C79">
        <v>0.19400000000000001</v>
      </c>
      <c r="D79">
        <v>0.18379999999999999</v>
      </c>
      <c r="E79">
        <v>0.19009999999999999</v>
      </c>
      <c r="F79">
        <v>12531577</v>
      </c>
      <c r="G79">
        <v>0.19009999999999999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0.23529411764705707</v>
      </c>
      <c r="Q79">
        <f t="shared" ref="Q79" si="371">F79*P79</f>
        <v>2948606.3529411545</v>
      </c>
      <c r="R79">
        <f t="shared" ref="R79" si="372">R80+Q79</f>
        <v>-1676328016.835608</v>
      </c>
      <c r="S79">
        <f t="shared" ref="S79" si="373">R79/100000</f>
        <v>-16763.280168356079</v>
      </c>
      <c r="T79">
        <f t="shared" ref="T79" si="374">S79/1000</f>
        <v>-16.763280168356079</v>
      </c>
    </row>
    <row r="80" spans="1:20" x14ac:dyDescent="0.25">
      <c r="A80" s="5">
        <v>44513</v>
      </c>
      <c r="B80">
        <v>0.18340000000000001</v>
      </c>
      <c r="C80">
        <v>0.2039</v>
      </c>
      <c r="D80">
        <v>0.17879999999999999</v>
      </c>
      <c r="E80">
        <v>0.18729999999999999</v>
      </c>
      <c r="F80">
        <v>16022780</v>
      </c>
      <c r="G80">
        <v>0.18729999999999999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-0.32270916334661326</v>
      </c>
      <c r="Q80">
        <f t="shared" ref="Q80" si="376">F80*P80</f>
        <v>-5170697.9282868477</v>
      </c>
      <c r="R80">
        <f t="shared" ref="R80" si="377">R81+Q80</f>
        <v>-1679276623.188549</v>
      </c>
      <c r="S80">
        <f t="shared" ref="S80" si="378">R80/100000</f>
        <v>-16792.766231885489</v>
      </c>
      <c r="T80">
        <f t="shared" ref="T80" si="379">S80/1000</f>
        <v>-16.792766231885491</v>
      </c>
    </row>
    <row r="81" spans="1:20" x14ac:dyDescent="0.25">
      <c r="A81" s="5">
        <v>44512</v>
      </c>
      <c r="B81">
        <v>0.18940000000000001</v>
      </c>
      <c r="C81">
        <v>0.19239999999999999</v>
      </c>
      <c r="D81">
        <v>0.1782</v>
      </c>
      <c r="E81">
        <v>0.1835</v>
      </c>
      <c r="F81">
        <v>5751439</v>
      </c>
      <c r="G81">
        <v>0.1835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-0.25352112676056299</v>
      </c>
      <c r="Q81">
        <f t="shared" ref="Q81" si="381">F81*P81</f>
        <v>-1458111.2957746456</v>
      </c>
      <c r="R81">
        <f t="shared" ref="R81" si="382">R82+Q81</f>
        <v>-1674105925.2602623</v>
      </c>
      <c r="S81">
        <f t="shared" ref="S81" si="383">R81/100000</f>
        <v>-16741.059252602623</v>
      </c>
      <c r="T81">
        <f t="shared" ref="T81" si="384">S81/1000</f>
        <v>-16.741059252602621</v>
      </c>
    </row>
    <row r="82" spans="1:20" x14ac:dyDescent="0.25">
      <c r="A82" s="5">
        <v>44511</v>
      </c>
      <c r="B82">
        <v>0.18629999999999999</v>
      </c>
      <c r="C82">
        <v>0.19209999999999999</v>
      </c>
      <c r="D82">
        <v>0.183</v>
      </c>
      <c r="E82">
        <v>0.18970000000000001</v>
      </c>
      <c r="F82">
        <v>5944542</v>
      </c>
      <c r="G82">
        <v>0.18970000000000001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0.47252747252747557</v>
      </c>
      <c r="Q82">
        <f t="shared" ref="Q82" si="386">F82*P82</f>
        <v>2808959.4065934247</v>
      </c>
      <c r="R82">
        <f t="shared" ref="R82" si="387">R83+Q82</f>
        <v>-1672647813.9644876</v>
      </c>
      <c r="S82">
        <f t="shared" ref="S82" si="388">R82/100000</f>
        <v>-16726.478139644874</v>
      </c>
      <c r="T82">
        <f t="shared" ref="T82" si="389">S82/1000</f>
        <v>-16.726478139644875</v>
      </c>
    </row>
    <row r="83" spans="1:20" x14ac:dyDescent="0.25">
      <c r="A83" s="5">
        <v>44510</v>
      </c>
      <c r="B83">
        <v>0.20069999999999999</v>
      </c>
      <c r="C83">
        <v>0.20269999999999999</v>
      </c>
      <c r="D83">
        <v>0.1827</v>
      </c>
      <c r="E83">
        <v>0.18629999999999999</v>
      </c>
      <c r="F83">
        <v>12309862</v>
      </c>
      <c r="G83">
        <v>0.18629999999999999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-0.64000000000000057</v>
      </c>
      <c r="Q83">
        <f t="shared" ref="Q83" si="391">F83*P83</f>
        <v>-7878311.6800000072</v>
      </c>
      <c r="R83">
        <f t="shared" ref="R83" si="392">R84+Q83</f>
        <v>-1675456773.3710809</v>
      </c>
      <c r="S83">
        <f t="shared" ref="S83" si="393">R83/100000</f>
        <v>-16754.56773371081</v>
      </c>
      <c r="T83">
        <f t="shared" ref="T83" si="394">S83/1000</f>
        <v>-16.754567733710811</v>
      </c>
    </row>
    <row r="84" spans="1:20" x14ac:dyDescent="0.25">
      <c r="A84" s="5">
        <v>44509</v>
      </c>
      <c r="B84">
        <v>0.20069999999999999</v>
      </c>
      <c r="C84">
        <v>0.20399999999999999</v>
      </c>
      <c r="D84">
        <v>0.19500000000000001</v>
      </c>
      <c r="E84">
        <v>0.20030000000000001</v>
      </c>
      <c r="F84">
        <v>6775385</v>
      </c>
      <c r="G84">
        <v>0.20030000000000001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0.17777777777778017</v>
      </c>
      <c r="Q84">
        <f t="shared" ref="Q84" si="396">F84*P84</f>
        <v>1204512.8888889051</v>
      </c>
      <c r="R84">
        <f t="shared" ref="R84" si="397">R85+Q84</f>
        <v>-1667578461.6910808</v>
      </c>
      <c r="S84">
        <f t="shared" ref="S84" si="398">R84/100000</f>
        <v>-16675.784616910809</v>
      </c>
      <c r="T84">
        <f t="shared" ref="T84" si="399">S84/1000</f>
        <v>-16.675784616910811</v>
      </c>
    </row>
    <row r="85" spans="1:20" x14ac:dyDescent="0.25">
      <c r="A85" s="5">
        <v>44508</v>
      </c>
      <c r="B85">
        <v>0.1923</v>
      </c>
      <c r="C85">
        <v>0.20480000000000001</v>
      </c>
      <c r="D85">
        <v>0.1923</v>
      </c>
      <c r="E85">
        <v>0.2011</v>
      </c>
      <c r="F85">
        <v>27823084</v>
      </c>
      <c r="G85">
        <v>0.2011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0.40799999999999909</v>
      </c>
      <c r="Q85">
        <f t="shared" ref="Q85" si="401">F85*P85</f>
        <v>11351818.271999974</v>
      </c>
      <c r="R85">
        <f t="shared" ref="R85" si="402">R86+Q85</f>
        <v>-1668782974.5799696</v>
      </c>
      <c r="S85">
        <f t="shared" ref="S85" si="403">R85/100000</f>
        <v>-16687.829745799696</v>
      </c>
      <c r="T85">
        <f t="shared" ref="T85" si="404">S85/1000</f>
        <v>-16.687829745799696</v>
      </c>
    </row>
    <row r="86" spans="1:20" x14ac:dyDescent="0.25">
      <c r="A86" s="5">
        <v>44507</v>
      </c>
      <c r="B86">
        <v>0.19040000000000001</v>
      </c>
      <c r="C86">
        <v>0.19500000000000001</v>
      </c>
      <c r="D86">
        <v>0.188</v>
      </c>
      <c r="E86">
        <v>0.1923</v>
      </c>
      <c r="F86">
        <v>6385908</v>
      </c>
      <c r="G86">
        <v>0.1923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0.22857142857142698</v>
      </c>
      <c r="Q86">
        <f t="shared" ref="Q86" si="406">F86*P86</f>
        <v>1459636.1142857042</v>
      </c>
      <c r="R86">
        <f t="shared" ref="R86" si="407">R87+Q86</f>
        <v>-1680134792.8519697</v>
      </c>
      <c r="S86">
        <f t="shared" ref="S86" si="408">R86/100000</f>
        <v>-16801.347928519695</v>
      </c>
      <c r="T86">
        <f t="shared" ref="T86" si="409">S86/1000</f>
        <v>-16.801347928519696</v>
      </c>
    </row>
    <row r="87" spans="1:20" x14ac:dyDescent="0.25">
      <c r="A87" s="5">
        <v>44506</v>
      </c>
      <c r="B87">
        <v>0.19109999999999999</v>
      </c>
      <c r="C87">
        <v>0.19309999999999999</v>
      </c>
      <c r="D87">
        <v>0.18579999999999999</v>
      </c>
      <c r="E87">
        <v>0.19070000000000001</v>
      </c>
      <c r="F87">
        <v>5171990</v>
      </c>
      <c r="G87">
        <v>0.19070000000000001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0.34246575342466162</v>
      </c>
      <c r="Q87">
        <f t="shared" ref="Q87" si="411">F87*P87</f>
        <v>1771229.4520548156</v>
      </c>
      <c r="R87">
        <f t="shared" ref="R87" si="412">R88+Q87</f>
        <v>-1681594428.9662554</v>
      </c>
      <c r="S87">
        <f t="shared" ref="S87" si="413">R87/100000</f>
        <v>-16815.944289662555</v>
      </c>
      <c r="T87">
        <f t="shared" ref="T87" si="414">S87/1000</f>
        <v>-16.815944289662554</v>
      </c>
    </row>
    <row r="88" spans="1:20" x14ac:dyDescent="0.25">
      <c r="A88" s="5">
        <v>44505</v>
      </c>
      <c r="B88">
        <v>0.2011</v>
      </c>
      <c r="C88">
        <v>0.20349999999999999</v>
      </c>
      <c r="D88">
        <v>0.18609999999999999</v>
      </c>
      <c r="E88">
        <v>0.1915</v>
      </c>
      <c r="F88">
        <v>8217866</v>
      </c>
      <c r="G88">
        <v>0.1915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-0.37931034482758436</v>
      </c>
      <c r="Q88">
        <f t="shared" ref="Q88" si="416">F88*P88</f>
        <v>-3117121.5862068813</v>
      </c>
      <c r="R88">
        <f t="shared" ref="R88" si="417">R89+Q88</f>
        <v>-1683365658.4183102</v>
      </c>
      <c r="S88">
        <f t="shared" ref="S88" si="418">R88/100000</f>
        <v>-16833.656584183103</v>
      </c>
      <c r="T88">
        <f t="shared" ref="T88" si="419">S88/1000</f>
        <v>-16.833656584183103</v>
      </c>
    </row>
    <row r="89" spans="1:20" x14ac:dyDescent="0.25">
      <c r="A89" s="5">
        <v>44504</v>
      </c>
      <c r="B89">
        <v>0.20100000000000001</v>
      </c>
      <c r="C89">
        <v>0.20799999999999999</v>
      </c>
      <c r="D89">
        <v>0.19700000000000001</v>
      </c>
      <c r="E89">
        <v>0.2011</v>
      </c>
      <c r="F89">
        <v>9674722</v>
      </c>
      <c r="G89">
        <v>0.2011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-0.25454545454545469</v>
      </c>
      <c r="Q89">
        <f t="shared" ref="Q89" si="421">F89*P89</f>
        <v>-2462656.5090909107</v>
      </c>
      <c r="R89">
        <f t="shared" ref="R89" si="422">R90+Q89</f>
        <v>-1680248536.8321033</v>
      </c>
      <c r="S89">
        <f t="shared" ref="S89" si="423">R89/100000</f>
        <v>-16802.485368321031</v>
      </c>
      <c r="T89">
        <f t="shared" ref="T89" si="424">S89/1000</f>
        <v>-16.80248536832103</v>
      </c>
    </row>
    <row r="90" spans="1:20" x14ac:dyDescent="0.25">
      <c r="A90" s="5">
        <v>44503</v>
      </c>
      <c r="B90">
        <v>0.19309999999999999</v>
      </c>
      <c r="C90">
        <v>0.20880000000000001</v>
      </c>
      <c r="D90">
        <v>0.19159999999999999</v>
      </c>
      <c r="E90">
        <v>0.20050000000000001</v>
      </c>
      <c r="F90">
        <v>19226587</v>
      </c>
      <c r="G90">
        <v>0.20050000000000001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3.4883720930233515E-2</v>
      </c>
      <c r="Q90">
        <f t="shared" ref="Q90" si="426">F90*P90</f>
        <v>670694.89534885564</v>
      </c>
      <c r="R90">
        <f t="shared" ref="R90" si="427">R91+Q90</f>
        <v>-1677785880.3230124</v>
      </c>
      <c r="S90">
        <f t="shared" ref="S90" si="428">R90/100000</f>
        <v>-16777.858803230123</v>
      </c>
      <c r="T90">
        <f t="shared" ref="T90" si="429">S90/1000</f>
        <v>-16.777858803230124</v>
      </c>
    </row>
    <row r="91" spans="1:20" x14ac:dyDescent="0.25">
      <c r="A91" s="5">
        <v>44502</v>
      </c>
      <c r="B91">
        <v>0.1903</v>
      </c>
      <c r="C91">
        <v>0.20799999999999999</v>
      </c>
      <c r="D91">
        <v>0.18629999999999999</v>
      </c>
      <c r="E91">
        <v>0.19320000000000001</v>
      </c>
      <c r="F91">
        <v>14214374</v>
      </c>
      <c r="G91">
        <v>0.19320000000000001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-0.36405529953916882</v>
      </c>
      <c r="Q91">
        <f t="shared" ref="Q91" si="431">F91*P91</f>
        <v>-5174818.1843317728</v>
      </c>
      <c r="R91">
        <f t="shared" ref="R91" si="432">R92+Q91</f>
        <v>-1678456575.2183611</v>
      </c>
      <c r="S91">
        <f t="shared" ref="S91" si="433">R91/100000</f>
        <v>-16784.565752183611</v>
      </c>
      <c r="T91">
        <f t="shared" ref="T91" si="434">S91/1000</f>
        <v>-16.78456575218361</v>
      </c>
    </row>
    <row r="92" spans="1:20" x14ac:dyDescent="0.25">
      <c r="A92" s="5">
        <v>44501</v>
      </c>
      <c r="B92">
        <v>0.18970000000000001</v>
      </c>
      <c r="C92">
        <v>0.19339999999999999</v>
      </c>
      <c r="D92">
        <v>0.1852</v>
      </c>
      <c r="E92">
        <v>0.19059999999999999</v>
      </c>
      <c r="F92">
        <v>6003036</v>
      </c>
      <c r="G92">
        <v>0.19059999999999999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0.31707317073170682</v>
      </c>
      <c r="Q92">
        <f t="shared" ref="Q92" si="436">F92*P92</f>
        <v>1903401.6585365825</v>
      </c>
      <c r="R92">
        <f t="shared" ref="R92" si="437">R93+Q92</f>
        <v>-1673281757.0340295</v>
      </c>
      <c r="S92">
        <f t="shared" ref="S92" si="438">R92/100000</f>
        <v>-16732.817570340296</v>
      </c>
      <c r="T92">
        <f t="shared" ref="T92" si="439">S92/1000</f>
        <v>-16.732817570340295</v>
      </c>
    </row>
    <row r="93" spans="1:20" x14ac:dyDescent="0.25">
      <c r="A93" s="5">
        <v>44500</v>
      </c>
      <c r="B93">
        <v>0.1928</v>
      </c>
      <c r="C93">
        <v>0.2049</v>
      </c>
      <c r="D93">
        <v>0.186</v>
      </c>
      <c r="E93">
        <v>0.1893</v>
      </c>
      <c r="F93">
        <v>10867661</v>
      </c>
      <c r="G93">
        <v>0.1893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-0.65079365079365104</v>
      </c>
      <c r="Q93">
        <f t="shared" ref="Q93" si="441">F93*P93</f>
        <v>-7072604.7777777808</v>
      </c>
      <c r="R93">
        <f t="shared" ref="R93" si="442">R94+Q93</f>
        <v>-1675185158.6925662</v>
      </c>
      <c r="S93">
        <f t="shared" ref="S93" si="443">R93/100000</f>
        <v>-16751.851586925663</v>
      </c>
      <c r="T93">
        <f t="shared" ref="T93" si="444">S93/1000</f>
        <v>-16.751851586925664</v>
      </c>
    </row>
    <row r="94" spans="1:20" x14ac:dyDescent="0.25">
      <c r="A94" s="5">
        <v>44499</v>
      </c>
      <c r="B94">
        <v>0.1951</v>
      </c>
      <c r="C94">
        <v>0.21629999999999999</v>
      </c>
      <c r="D94">
        <v>0.18579999999999999</v>
      </c>
      <c r="E94">
        <v>0.19289999999999999</v>
      </c>
      <c r="F94">
        <v>24304273</v>
      </c>
      <c r="G94">
        <v>0.19289999999999999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-0.53442622950819707</v>
      </c>
      <c r="Q94">
        <f t="shared" ref="Q94" si="446">F94*P94</f>
        <v>-12988840.980327878</v>
      </c>
      <c r="R94">
        <f t="shared" ref="R94" si="447">R95+Q94</f>
        <v>-1668112553.9147885</v>
      </c>
      <c r="S94">
        <f t="shared" ref="S94" si="448">R94/100000</f>
        <v>-16681.125539147884</v>
      </c>
      <c r="T94">
        <f t="shared" ref="T94" si="449">S94/1000</f>
        <v>-16.681125539147885</v>
      </c>
    </row>
    <row r="95" spans="1:20" x14ac:dyDescent="0.25">
      <c r="A95" s="5">
        <v>44498</v>
      </c>
      <c r="B95">
        <v>0.18920000000000001</v>
      </c>
      <c r="C95">
        <v>0.1961</v>
      </c>
      <c r="D95">
        <v>0.18229999999999999</v>
      </c>
      <c r="E95">
        <v>0.19489999999999999</v>
      </c>
      <c r="F95">
        <v>11671543</v>
      </c>
      <c r="G95">
        <v>0.19489999999999999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0.82608695652173825</v>
      </c>
      <c r="Q95">
        <f t="shared" ref="Q95" si="451">F95*P95</f>
        <v>9641709.4347825982</v>
      </c>
      <c r="R95">
        <f t="shared" ref="R95" si="452">R96+Q95</f>
        <v>-1655123712.9344606</v>
      </c>
      <c r="S95">
        <f t="shared" ref="S95" si="453">R95/100000</f>
        <v>-16551.237129344605</v>
      </c>
      <c r="T95">
        <f t="shared" ref="T95" si="454">S95/1000</f>
        <v>-16.551237129344607</v>
      </c>
    </row>
    <row r="96" spans="1:20" x14ac:dyDescent="0.25">
      <c r="A96" s="5">
        <v>44497</v>
      </c>
      <c r="B96">
        <v>0.17660000000000001</v>
      </c>
      <c r="C96">
        <v>0.1978</v>
      </c>
      <c r="D96">
        <v>0.17199999999999999</v>
      </c>
      <c r="E96">
        <v>0.18909999999999999</v>
      </c>
      <c r="F96">
        <v>11468129</v>
      </c>
      <c r="G96">
        <v>0.18909999999999999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0.32558139534883662</v>
      </c>
      <c r="Q96">
        <f t="shared" ref="Q96" si="456">F96*P96</f>
        <v>3733809.4418604583</v>
      </c>
      <c r="R96">
        <f t="shared" ref="R96" si="457">R97+Q96</f>
        <v>-1664765422.3692431</v>
      </c>
      <c r="S96">
        <f t="shared" ref="S96" si="458">R96/100000</f>
        <v>-16647.654223692432</v>
      </c>
      <c r="T96">
        <f t="shared" ref="T96" si="459">S96/1000</f>
        <v>-16.647654223692431</v>
      </c>
    </row>
    <row r="97" spans="1:20" x14ac:dyDescent="0.25">
      <c r="A97" s="5">
        <v>44496</v>
      </c>
      <c r="B97">
        <v>0.20349999999999999</v>
      </c>
      <c r="C97">
        <v>0.20830000000000001</v>
      </c>
      <c r="D97">
        <v>0.16059999999999999</v>
      </c>
      <c r="E97">
        <v>0.17660000000000001</v>
      </c>
      <c r="F97">
        <v>13693019</v>
      </c>
      <c r="G97">
        <v>0.17660000000000001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-0.3291404612159326</v>
      </c>
      <c r="Q97">
        <f t="shared" ref="Q97" si="461">F97*P97</f>
        <v>-4506926.589098528</v>
      </c>
      <c r="R97">
        <f t="shared" ref="R97" si="462">R98+Q97</f>
        <v>-1668499231.8111036</v>
      </c>
      <c r="S97">
        <f t="shared" ref="S97" si="463">R97/100000</f>
        <v>-16684.992318111035</v>
      </c>
      <c r="T97">
        <f t="shared" ref="T97" si="464">S97/1000</f>
        <v>-16.684992318111036</v>
      </c>
    </row>
    <row r="98" spans="1:20" x14ac:dyDescent="0.25">
      <c r="A98" s="5">
        <v>44495</v>
      </c>
      <c r="B98">
        <v>0.20960000000000001</v>
      </c>
      <c r="C98">
        <v>0.21390000000000001</v>
      </c>
      <c r="D98">
        <v>0.2024</v>
      </c>
      <c r="E98">
        <v>0.2036</v>
      </c>
      <c r="F98">
        <v>7655326</v>
      </c>
      <c r="G98">
        <v>0.2036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-0.79130434782608594</v>
      </c>
      <c r="Q98">
        <f t="shared" ref="Q98" si="466">F98*P98</f>
        <v>-6057692.7478260789</v>
      </c>
      <c r="R98">
        <f t="shared" ref="R98" si="467">R99+Q98</f>
        <v>-1663992305.2220051</v>
      </c>
      <c r="S98">
        <f t="shared" ref="S98" si="468">R98/100000</f>
        <v>-16639.923052220052</v>
      </c>
      <c r="T98">
        <f t="shared" ref="T98" si="469">S98/1000</f>
        <v>-16.639923052220052</v>
      </c>
    </row>
    <row r="99" spans="1:20" x14ac:dyDescent="0.25">
      <c r="A99" s="5">
        <v>44494</v>
      </c>
      <c r="B99">
        <v>0.2036</v>
      </c>
      <c r="C99">
        <v>0.221</v>
      </c>
      <c r="D99">
        <v>0.20119999999999999</v>
      </c>
      <c r="E99">
        <v>0.20910000000000001</v>
      </c>
      <c r="F99">
        <v>11814051</v>
      </c>
      <c r="G99">
        <v>0.20910000000000001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-0.20202020202020068</v>
      </c>
      <c r="Q99">
        <f t="shared" ref="Q99" si="471">F99*P99</f>
        <v>-2386676.9696969539</v>
      </c>
      <c r="R99">
        <f t="shared" ref="R99" si="472">R100+Q99</f>
        <v>-1657934612.474179</v>
      </c>
      <c r="S99">
        <f t="shared" ref="S99" si="473">R99/100000</f>
        <v>-16579.346124741791</v>
      </c>
      <c r="T99">
        <f t="shared" ref="T99" si="474">S99/1000</f>
        <v>-16.579346124741789</v>
      </c>
    </row>
    <row r="100" spans="1:20" x14ac:dyDescent="0.25">
      <c r="A100" s="5">
        <v>44493</v>
      </c>
      <c r="B100">
        <v>0.20899999999999999</v>
      </c>
      <c r="C100">
        <v>0.21149999999999999</v>
      </c>
      <c r="D100">
        <v>0.2024</v>
      </c>
      <c r="E100">
        <v>0.20399999999999999</v>
      </c>
      <c r="F100">
        <v>7449003</v>
      </c>
      <c r="G100">
        <v>0.20399999999999999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-0.64835164835165038</v>
      </c>
      <c r="Q100">
        <f t="shared" ref="Q100" si="476">F100*P100</f>
        <v>-4829573.3736263886</v>
      </c>
      <c r="R100">
        <f t="shared" ref="R100" si="477">R101+Q100</f>
        <v>-1655547935.504482</v>
      </c>
      <c r="S100">
        <f t="shared" ref="S100" si="478">R100/100000</f>
        <v>-16555.479355044819</v>
      </c>
      <c r="T100">
        <f t="shared" ref="T100" si="479">S100/1000</f>
        <v>-16.55547935504482</v>
      </c>
    </row>
    <row r="101" spans="1:20" x14ac:dyDescent="0.25">
      <c r="A101" s="5">
        <v>44492</v>
      </c>
      <c r="B101">
        <v>0.2087</v>
      </c>
      <c r="C101">
        <v>0.21360000000000001</v>
      </c>
      <c r="D101">
        <v>0.20749999999999999</v>
      </c>
      <c r="E101">
        <v>0.20910000000000001</v>
      </c>
      <c r="F101">
        <v>6079275</v>
      </c>
      <c r="G101">
        <v>0.20910000000000001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-0.47540983606556975</v>
      </c>
      <c r="Q101">
        <f t="shared" ref="Q101" si="481">F101*P101</f>
        <v>-2890147.1311475164</v>
      </c>
      <c r="R101">
        <f t="shared" ref="R101" si="482">R102+Q101</f>
        <v>-1650718362.1308556</v>
      </c>
      <c r="S101">
        <f t="shared" ref="S101" si="483">R101/100000</f>
        <v>-16507.183621308555</v>
      </c>
      <c r="T101">
        <f t="shared" ref="T101" si="484">S101/1000</f>
        <v>-16.507183621308556</v>
      </c>
    </row>
    <row r="102" spans="1:20" x14ac:dyDescent="0.25">
      <c r="A102" s="5">
        <v>44491</v>
      </c>
      <c r="B102">
        <v>0.2135</v>
      </c>
      <c r="C102">
        <v>0.221</v>
      </c>
      <c r="D102">
        <v>0.2069</v>
      </c>
      <c r="E102">
        <v>0.20899999999999999</v>
      </c>
      <c r="F102">
        <v>11446497</v>
      </c>
      <c r="G102">
        <v>0.20899999999999999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-0.70212765957446943</v>
      </c>
      <c r="Q102">
        <f t="shared" ref="Q102" si="486">F102*P102</f>
        <v>-8036902.148936186</v>
      </c>
      <c r="R102">
        <f t="shared" ref="R102" si="487">R103+Q102</f>
        <v>-1647828214.9997079</v>
      </c>
      <c r="S102">
        <f t="shared" ref="S102" si="488">R102/100000</f>
        <v>-16478.282149997078</v>
      </c>
      <c r="T102">
        <f t="shared" ref="T102" si="489">S102/1000</f>
        <v>-16.478282149997078</v>
      </c>
    </row>
    <row r="103" spans="1:20" x14ac:dyDescent="0.25">
      <c r="A103" s="5">
        <v>44490</v>
      </c>
      <c r="B103">
        <v>0.2135</v>
      </c>
      <c r="C103">
        <v>0.2225</v>
      </c>
      <c r="D103">
        <v>0.20680000000000001</v>
      </c>
      <c r="E103">
        <v>0.2135</v>
      </c>
      <c r="F103">
        <v>14891381</v>
      </c>
      <c r="G103">
        <v>0.2135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-0.14649681528662584</v>
      </c>
      <c r="Q103">
        <f t="shared" ref="Q103" si="491">F103*P103</f>
        <v>-2181539.8917197697</v>
      </c>
      <c r="R103">
        <f t="shared" ref="R103" si="492">R104+Q103</f>
        <v>-1639791312.8507717</v>
      </c>
      <c r="S103">
        <f t="shared" ref="S103" si="493">R103/100000</f>
        <v>-16397.913128507716</v>
      </c>
      <c r="T103">
        <f t="shared" ref="T103" si="494">S103/1000</f>
        <v>-16.397913128507717</v>
      </c>
    </row>
    <row r="104" spans="1:20" x14ac:dyDescent="0.25">
      <c r="A104" s="5">
        <v>44489</v>
      </c>
      <c r="B104">
        <v>0.20960000000000001</v>
      </c>
      <c r="C104">
        <v>0.21579999999999999</v>
      </c>
      <c r="D104">
        <v>0.2046</v>
      </c>
      <c r="E104">
        <v>0.21340000000000001</v>
      </c>
      <c r="F104">
        <v>12264875</v>
      </c>
      <c r="G104">
        <v>0.21340000000000001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0.57142857142857351</v>
      </c>
      <c r="Q104">
        <f t="shared" ref="Q104" si="496">F104*P104</f>
        <v>7008500.0000000251</v>
      </c>
      <c r="R104">
        <f t="shared" ref="R104" si="497">R105+Q104</f>
        <v>-1637609772.9590518</v>
      </c>
      <c r="S104">
        <f t="shared" ref="S104" si="498">R104/100000</f>
        <v>-16376.097729590518</v>
      </c>
      <c r="T104">
        <f t="shared" ref="T104" si="499">S104/1000</f>
        <v>-16.376097729590519</v>
      </c>
    </row>
    <row r="105" spans="1:20" x14ac:dyDescent="0.25">
      <c r="A105" s="5">
        <v>44488</v>
      </c>
      <c r="B105">
        <v>0.2165</v>
      </c>
      <c r="C105">
        <v>0.223</v>
      </c>
      <c r="D105">
        <v>0.2021</v>
      </c>
      <c r="E105">
        <v>0.20960000000000001</v>
      </c>
      <c r="F105">
        <v>10259866</v>
      </c>
      <c r="G105">
        <v>0.20960000000000001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-0.28229665071770277</v>
      </c>
      <c r="Q105">
        <f t="shared" ref="Q105" si="501">F105*P105</f>
        <v>-2896325.8086124342</v>
      </c>
      <c r="R105">
        <f t="shared" ref="R105" si="502">R106+Q105</f>
        <v>-1644618272.9590518</v>
      </c>
      <c r="S105">
        <f t="shared" ref="S105" si="503">R105/100000</f>
        <v>-16446.182729590517</v>
      </c>
      <c r="T105">
        <f t="shared" ref="T105" si="504">S105/1000</f>
        <v>-16.446182729590518</v>
      </c>
    </row>
    <row r="106" spans="1:20" x14ac:dyDescent="0.25">
      <c r="A106" s="5">
        <v>44487</v>
      </c>
      <c r="B106">
        <v>0.21360000000000001</v>
      </c>
      <c r="C106">
        <v>0.22900000000000001</v>
      </c>
      <c r="D106">
        <v>0.21099999999999999</v>
      </c>
      <c r="E106">
        <v>0.2165</v>
      </c>
      <c r="F106">
        <v>18943440</v>
      </c>
      <c r="G106">
        <v>0.2165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-0.3888888888888889</v>
      </c>
      <c r="Q106">
        <f t="shared" ref="Q106" si="506">F106*P106</f>
        <v>-7366893.333333333</v>
      </c>
      <c r="R106">
        <f t="shared" ref="R106" si="507">R107+Q106</f>
        <v>-1641721947.1504395</v>
      </c>
      <c r="S106">
        <f t="shared" ref="S106" si="508">R106/100000</f>
        <v>-16417.219471504395</v>
      </c>
      <c r="T106">
        <f t="shared" ref="T106" si="509">S106/1000</f>
        <v>-16.417219471504396</v>
      </c>
    </row>
    <row r="107" spans="1:20" x14ac:dyDescent="0.25">
      <c r="A107" s="5">
        <v>44486</v>
      </c>
      <c r="B107">
        <v>0.22639999999999999</v>
      </c>
      <c r="C107">
        <v>0.22700000000000001</v>
      </c>
      <c r="D107">
        <v>0.20799999999999999</v>
      </c>
      <c r="E107">
        <v>0.2137</v>
      </c>
      <c r="F107">
        <v>29398391</v>
      </c>
      <c r="G107">
        <v>0.2137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-0.39999999999999941</v>
      </c>
      <c r="Q107">
        <f t="shared" ref="Q107" si="511">F107*P107</f>
        <v>-11759356.399999984</v>
      </c>
      <c r="R107">
        <f t="shared" ref="R107" si="512">R108+Q107</f>
        <v>-1634355053.8171062</v>
      </c>
      <c r="S107">
        <f t="shared" ref="S107" si="513">R107/100000</f>
        <v>-16343.550538171063</v>
      </c>
      <c r="T107">
        <f t="shared" ref="T107" si="514">S107/1000</f>
        <v>-16.343550538171062</v>
      </c>
    </row>
    <row r="108" spans="1:20" x14ac:dyDescent="0.25">
      <c r="A108" s="5">
        <v>44485</v>
      </c>
      <c r="B108">
        <v>0.21299999999999999</v>
      </c>
      <c r="C108">
        <v>0.29799999999999999</v>
      </c>
      <c r="D108">
        <v>0.20630000000000001</v>
      </c>
      <c r="E108">
        <v>0.22620000000000001</v>
      </c>
      <c r="F108">
        <v>182740200</v>
      </c>
      <c r="G108">
        <v>0.22620000000000001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-0.56597600872410014</v>
      </c>
      <c r="Q108">
        <f t="shared" ref="Q108" si="516">F108*P108</f>
        <v>-103426569.0294438</v>
      </c>
      <c r="R108">
        <f t="shared" ref="R108" si="517">R109+Q108</f>
        <v>-1622595697.4171062</v>
      </c>
      <c r="S108">
        <f t="shared" ref="S108" si="518">R108/100000</f>
        <v>-16225.956974171062</v>
      </c>
      <c r="T108">
        <f t="shared" ref="T108" si="519">S108/1000</f>
        <v>-16.225956974171062</v>
      </c>
    </row>
    <row r="109" spans="1:20" x14ac:dyDescent="0.25">
      <c r="A109" s="5">
        <v>44484</v>
      </c>
      <c r="B109">
        <v>0.2039</v>
      </c>
      <c r="C109">
        <v>0.249</v>
      </c>
      <c r="D109">
        <v>0.19600000000000001</v>
      </c>
      <c r="E109">
        <v>0.2137</v>
      </c>
      <c r="F109">
        <v>59941113</v>
      </c>
      <c r="G109">
        <v>0.2137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-0.33207547169811336</v>
      </c>
      <c r="Q109">
        <f t="shared" ref="Q109" si="521">F109*P109</f>
        <v>-19904973.373584915</v>
      </c>
      <c r="R109">
        <f t="shared" ref="R109" si="522">R110+Q109</f>
        <v>-1519169128.3876624</v>
      </c>
      <c r="S109">
        <f t="shared" ref="S109" si="523">R109/100000</f>
        <v>-15191.691283876624</v>
      </c>
      <c r="T109">
        <f t="shared" ref="T109" si="524">S109/1000</f>
        <v>-15.191691283876624</v>
      </c>
    </row>
    <row r="110" spans="1:20" x14ac:dyDescent="0.25">
      <c r="A110" s="5">
        <v>44483</v>
      </c>
      <c r="B110">
        <v>0.2016</v>
      </c>
      <c r="C110">
        <v>0.2167</v>
      </c>
      <c r="D110">
        <v>0.20069999999999999</v>
      </c>
      <c r="E110">
        <v>0.2041</v>
      </c>
      <c r="F110">
        <v>15036882</v>
      </c>
      <c r="G110">
        <v>0.2041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-0.57499999999999862</v>
      </c>
      <c r="Q110">
        <f t="shared" ref="Q110" si="526">F110*P110</f>
        <v>-8646207.1499999799</v>
      </c>
      <c r="R110">
        <f t="shared" ref="R110" si="527">R111+Q110</f>
        <v>-1499264155.0140774</v>
      </c>
      <c r="S110">
        <f t="shared" ref="S110" si="528">R110/100000</f>
        <v>-14992.641550140774</v>
      </c>
      <c r="T110">
        <f t="shared" ref="T110" si="529">S110/1000</f>
        <v>-14.992641550140773</v>
      </c>
    </row>
    <row r="111" spans="1:20" x14ac:dyDescent="0.25">
      <c r="A111" s="5">
        <v>44482</v>
      </c>
      <c r="B111">
        <v>0.1968</v>
      </c>
      <c r="C111">
        <v>0.21</v>
      </c>
      <c r="D111">
        <v>0.19120000000000001</v>
      </c>
      <c r="E111">
        <v>0.2016</v>
      </c>
      <c r="F111">
        <v>13587236</v>
      </c>
      <c r="G111">
        <v>0.2016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0.10638297872340445</v>
      </c>
      <c r="Q111">
        <f t="shared" ref="Q111" si="531">F111*P111</f>
        <v>1445450.6382978749</v>
      </c>
      <c r="R111">
        <f t="shared" ref="R111" si="532">R112+Q111</f>
        <v>-1490617947.8640773</v>
      </c>
      <c r="S111">
        <f t="shared" ref="S111" si="533">R111/100000</f>
        <v>-14906.179478640774</v>
      </c>
      <c r="T111">
        <f t="shared" ref="T111" si="534">S111/1000</f>
        <v>-14.906179478640773</v>
      </c>
    </row>
    <row r="112" spans="1:20" x14ac:dyDescent="0.25">
      <c r="A112" s="5">
        <v>44481</v>
      </c>
      <c r="B112">
        <v>0.20050000000000001</v>
      </c>
      <c r="C112">
        <v>0.2036</v>
      </c>
      <c r="D112">
        <v>0.19089999999999999</v>
      </c>
      <c r="E112">
        <v>0.1968</v>
      </c>
      <c r="F112">
        <v>7028181</v>
      </c>
      <c r="G112">
        <v>0.1968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-7.0866141732282117E-2</v>
      </c>
      <c r="Q112">
        <f t="shared" ref="Q112" si="536">F112*P112</f>
        <v>-498060.07086613227</v>
      </c>
      <c r="R112">
        <f t="shared" ref="R112" si="537">R113+Q112</f>
        <v>-1492063398.5023751</v>
      </c>
      <c r="S112">
        <f t="shared" ref="S112" si="538">R112/100000</f>
        <v>-14920.633985023751</v>
      </c>
      <c r="T112">
        <f t="shared" ref="T112" si="539">S112/1000</f>
        <v>-14.92063398502375</v>
      </c>
    </row>
    <row r="113" spans="1:20" x14ac:dyDescent="0.25">
      <c r="A113" s="5">
        <v>44480</v>
      </c>
      <c r="B113">
        <v>0.2019</v>
      </c>
      <c r="C113">
        <v>0.2109</v>
      </c>
      <c r="D113">
        <v>0.1991</v>
      </c>
      <c r="E113">
        <v>0.20080000000000001</v>
      </c>
      <c r="F113">
        <v>9169689</v>
      </c>
      <c r="G113">
        <v>0.20080000000000001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-0.7118644067796599</v>
      </c>
      <c r="Q113">
        <f t="shared" ref="Q113" si="541">F113*P113</f>
        <v>-6527575.2203389732</v>
      </c>
      <c r="R113">
        <f t="shared" ref="R113" si="542">R114+Q113</f>
        <v>-1491565338.431509</v>
      </c>
      <c r="S113">
        <f t="shared" ref="S113" si="543">R113/100000</f>
        <v>-14915.65338431509</v>
      </c>
      <c r="T113">
        <f t="shared" ref="T113" si="544">S113/1000</f>
        <v>-14.915653384315091</v>
      </c>
    </row>
    <row r="114" spans="1:20" x14ac:dyDescent="0.25">
      <c r="A114" s="5">
        <v>44479</v>
      </c>
      <c r="B114">
        <v>0.20419999999999999</v>
      </c>
      <c r="C114">
        <v>0.2369</v>
      </c>
      <c r="D114">
        <v>0.19700000000000001</v>
      </c>
      <c r="E114">
        <v>0.2016</v>
      </c>
      <c r="F114">
        <v>41079543</v>
      </c>
      <c r="G114">
        <v>0.2016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-0.76942355889724345</v>
      </c>
      <c r="Q114">
        <f t="shared" ref="Q114" si="546">F114*P114</f>
        <v>-31607568.172932345</v>
      </c>
      <c r="R114">
        <f t="shared" ref="R114" si="547">R115+Q114</f>
        <v>-1485037763.21117</v>
      </c>
      <c r="S114">
        <f t="shared" ref="S114" si="548">R114/100000</f>
        <v>-14850.3776321117</v>
      </c>
      <c r="T114">
        <f t="shared" ref="T114" si="549">S114/1000</f>
        <v>-14.8503776321117</v>
      </c>
    </row>
    <row r="115" spans="1:20" x14ac:dyDescent="0.25">
      <c r="A115" s="5">
        <v>44478</v>
      </c>
      <c r="B115">
        <v>0.2024</v>
      </c>
      <c r="C115">
        <v>0.22450000000000001</v>
      </c>
      <c r="D115">
        <v>0.20069999999999999</v>
      </c>
      <c r="E115">
        <v>0.20499999999999999</v>
      </c>
      <c r="F115">
        <v>17280092</v>
      </c>
      <c r="G115">
        <v>0.20499999999999999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-0.63865546218487435</v>
      </c>
      <c r="Q115">
        <f t="shared" ref="Q115" si="551">F115*P115</f>
        <v>-11036025.142857149</v>
      </c>
      <c r="R115">
        <f t="shared" ref="R115" si="552">R116+Q115</f>
        <v>-1453430195.0382376</v>
      </c>
      <c r="S115">
        <f t="shared" ref="S115" si="553">R115/100000</f>
        <v>-14534.301950382376</v>
      </c>
      <c r="T115">
        <f t="shared" ref="T115" si="554">S115/1000</f>
        <v>-14.534301950382376</v>
      </c>
    </row>
    <row r="116" spans="1:20" x14ac:dyDescent="0.25">
      <c r="A116" s="5">
        <v>44477</v>
      </c>
      <c r="B116">
        <v>0.20430000000000001</v>
      </c>
      <c r="C116">
        <v>0.22</v>
      </c>
      <c r="D116">
        <v>0.2009</v>
      </c>
      <c r="E116">
        <v>0.20250000000000001</v>
      </c>
      <c r="F116">
        <v>17709332</v>
      </c>
      <c r="G116">
        <v>0.20250000000000001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-0.83246073298429135</v>
      </c>
      <c r="Q116">
        <f t="shared" ref="Q116" si="556">F116*P116</f>
        <v>-14742323.497382166</v>
      </c>
      <c r="R116">
        <f t="shared" ref="R116" si="557">R117+Q116</f>
        <v>-1442394169.8953805</v>
      </c>
      <c r="S116">
        <f t="shared" ref="S116" si="558">R116/100000</f>
        <v>-14423.941698953806</v>
      </c>
      <c r="T116">
        <f t="shared" ref="T116" si="559">S116/1000</f>
        <v>-14.423941698953806</v>
      </c>
    </row>
    <row r="117" spans="1:20" x14ac:dyDescent="0.25">
      <c r="A117" s="5">
        <v>44476</v>
      </c>
      <c r="B117">
        <v>0.2011</v>
      </c>
      <c r="C117">
        <v>0.2084</v>
      </c>
      <c r="D117">
        <v>0.1933</v>
      </c>
      <c r="E117">
        <v>0.20430000000000001</v>
      </c>
      <c r="F117">
        <v>14928365</v>
      </c>
      <c r="G117">
        <v>0.20430000000000001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0.45695364238410702</v>
      </c>
      <c r="Q117">
        <f t="shared" ref="Q117" si="561">F117*P117</f>
        <v>6821570.76158942</v>
      </c>
      <c r="R117">
        <f t="shared" ref="R117" si="562">R118+Q117</f>
        <v>-1427651846.3979983</v>
      </c>
      <c r="S117">
        <f t="shared" ref="S117" si="563">R117/100000</f>
        <v>-14276.518463979983</v>
      </c>
      <c r="T117">
        <f t="shared" ref="T117" si="564">S117/1000</f>
        <v>-14.276518463979983</v>
      </c>
    </row>
    <row r="118" spans="1:20" x14ac:dyDescent="0.25">
      <c r="A118" s="5">
        <v>44475</v>
      </c>
      <c r="B118">
        <v>0.20830000000000001</v>
      </c>
      <c r="C118">
        <v>0.21279999999999999</v>
      </c>
      <c r="D118">
        <v>0.1943</v>
      </c>
      <c r="E118">
        <v>0.20100000000000001</v>
      </c>
      <c r="F118">
        <v>14959939</v>
      </c>
      <c r="G118">
        <v>0.20100000000000001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-0.27567567567567397</v>
      </c>
      <c r="Q118">
        <f t="shared" ref="Q118" si="566">F118*P118</f>
        <v>-4124091.2918918664</v>
      </c>
      <c r="R118">
        <f t="shared" ref="R118" si="567">R119+Q118</f>
        <v>-1434473417.1595879</v>
      </c>
      <c r="S118">
        <f t="shared" ref="S118" si="568">R118/100000</f>
        <v>-14344.734171595879</v>
      </c>
      <c r="T118">
        <f t="shared" ref="T118" si="569">S118/1000</f>
        <v>-14.34473417159588</v>
      </c>
    </row>
    <row r="119" spans="1:20" x14ac:dyDescent="0.25">
      <c r="A119" s="5">
        <v>44474</v>
      </c>
      <c r="B119">
        <v>0.2077</v>
      </c>
      <c r="C119">
        <v>0.21920000000000001</v>
      </c>
      <c r="D119">
        <v>0.2011</v>
      </c>
      <c r="E119">
        <v>0.20830000000000001</v>
      </c>
      <c r="F119">
        <v>20739616</v>
      </c>
      <c r="G119">
        <v>0.20830000000000001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-0.20441988950276133</v>
      </c>
      <c r="Q119">
        <f t="shared" ref="Q119" si="571">F119*P119</f>
        <v>-4239590.0110497009</v>
      </c>
      <c r="R119">
        <f t="shared" ref="R119" si="572">R120+Q119</f>
        <v>-1430349325.867696</v>
      </c>
      <c r="S119">
        <f t="shared" ref="S119" si="573">R119/100000</f>
        <v>-14303.493258676961</v>
      </c>
      <c r="T119">
        <f t="shared" ref="T119" si="574">S119/1000</f>
        <v>-14.30349325867696</v>
      </c>
    </row>
    <row r="120" spans="1:20" x14ac:dyDescent="0.25">
      <c r="A120" s="5">
        <v>44473</v>
      </c>
      <c r="B120">
        <v>0.21210000000000001</v>
      </c>
      <c r="C120">
        <v>0.21540000000000001</v>
      </c>
      <c r="D120">
        <v>0.20280000000000001</v>
      </c>
      <c r="E120">
        <v>0.2056</v>
      </c>
      <c r="F120">
        <v>18114468</v>
      </c>
      <c r="G120">
        <v>0.2056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-0.55555555555555602</v>
      </c>
      <c r="Q120">
        <f t="shared" ref="Q120" si="576">F120*P120</f>
        <v>-10063593.333333341</v>
      </c>
      <c r="R120">
        <f t="shared" ref="R120" si="577">R121+Q120</f>
        <v>-1426109735.8566463</v>
      </c>
      <c r="S120">
        <f t="shared" ref="S120" si="578">R120/100000</f>
        <v>-14261.097358566463</v>
      </c>
      <c r="T120">
        <f t="shared" ref="T120" si="579">S120/1000</f>
        <v>-14.261097358566463</v>
      </c>
    </row>
    <row r="121" spans="1:20" x14ac:dyDescent="0.25">
      <c r="A121" s="5">
        <v>44472</v>
      </c>
      <c r="B121">
        <v>0.21560000000000001</v>
      </c>
      <c r="C121">
        <v>0.2167</v>
      </c>
      <c r="D121">
        <v>0.2072</v>
      </c>
      <c r="E121">
        <v>0.21129999999999999</v>
      </c>
      <c r="F121">
        <v>15427306</v>
      </c>
      <c r="G121">
        <v>0.21129999999999999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-0.13684210526316024</v>
      </c>
      <c r="Q121">
        <f t="shared" ref="Q121" si="581">F121*P121</f>
        <v>-2111105.0315789836</v>
      </c>
      <c r="R121">
        <f t="shared" ref="R121" si="582">R122+Q121</f>
        <v>-1416046142.523313</v>
      </c>
      <c r="S121">
        <f t="shared" ref="S121" si="583">R121/100000</f>
        <v>-14160.46142523313</v>
      </c>
      <c r="T121">
        <f t="shared" ref="T121" si="584">S121/1000</f>
        <v>-14.16046142523313</v>
      </c>
    </row>
    <row r="122" spans="1:20" x14ac:dyDescent="0.25">
      <c r="A122" s="5">
        <v>44471</v>
      </c>
      <c r="B122">
        <v>0.22090000000000001</v>
      </c>
      <c r="C122">
        <v>0.22450000000000001</v>
      </c>
      <c r="D122">
        <v>0.21129999999999999</v>
      </c>
      <c r="E122">
        <v>0.21560000000000001</v>
      </c>
      <c r="F122">
        <v>23526100</v>
      </c>
      <c r="G122">
        <v>0.21560000000000001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-0.3484848484848454</v>
      </c>
      <c r="Q122">
        <f t="shared" ref="Q122" si="586">F122*P122</f>
        <v>-8198489.3939393209</v>
      </c>
      <c r="R122">
        <f t="shared" ref="R122" si="587">R123+Q122</f>
        <v>-1413935037.491734</v>
      </c>
      <c r="S122">
        <f t="shared" ref="S122" si="588">R122/100000</f>
        <v>-14139.35037491734</v>
      </c>
      <c r="T122">
        <f t="shared" ref="T122" si="589">S122/1000</f>
        <v>-14.13935037491734</v>
      </c>
    </row>
    <row r="123" spans="1:20" x14ac:dyDescent="0.25">
      <c r="A123" s="5">
        <v>44470</v>
      </c>
      <c r="B123">
        <v>0.20899999999999999</v>
      </c>
      <c r="C123">
        <v>0.23300000000000001</v>
      </c>
      <c r="D123">
        <v>0.2064</v>
      </c>
      <c r="E123">
        <v>0.22090000000000001</v>
      </c>
      <c r="F123">
        <v>25978756</v>
      </c>
      <c r="G123">
        <v>0.22090000000000001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9.0225563909774889E-2</v>
      </c>
      <c r="Q123">
        <f t="shared" ref="Q123" si="591">F123*P123</f>
        <v>2343947.9097744478</v>
      </c>
      <c r="R123">
        <f t="shared" ref="R123" si="592">R124+Q123</f>
        <v>-1405736548.0977948</v>
      </c>
      <c r="S123">
        <f t="shared" ref="S123" si="593">R123/100000</f>
        <v>-14057.365480977947</v>
      </c>
      <c r="T123">
        <f t="shared" ref="T123" si="594">S123/1000</f>
        <v>-14.057365480977948</v>
      </c>
    </row>
    <row r="124" spans="1:20" x14ac:dyDescent="0.25">
      <c r="A124" s="5">
        <v>44469</v>
      </c>
      <c r="B124">
        <v>0.2084</v>
      </c>
      <c r="C124">
        <v>0.22359999999999999</v>
      </c>
      <c r="D124">
        <v>0.20669999999999999</v>
      </c>
      <c r="E124">
        <v>0.20860000000000001</v>
      </c>
      <c r="F124">
        <v>16435412</v>
      </c>
      <c r="G124">
        <v>0.20860000000000001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-0.77514792899408136</v>
      </c>
      <c r="Q124">
        <f t="shared" ref="Q124" si="596">F124*P124</f>
        <v>-12739875.573964473</v>
      </c>
      <c r="R124">
        <f t="shared" ref="R124" si="597">R125+Q124</f>
        <v>-1408080496.0075693</v>
      </c>
      <c r="S124">
        <f t="shared" ref="S124" si="598">R124/100000</f>
        <v>-14080.804960075693</v>
      </c>
      <c r="T124">
        <f t="shared" ref="T124" si="599">S124/1000</f>
        <v>-14.080804960075692</v>
      </c>
    </row>
    <row r="125" spans="1:20" x14ac:dyDescent="0.25">
      <c r="A125" s="5">
        <v>44468</v>
      </c>
      <c r="B125">
        <v>0.2054</v>
      </c>
      <c r="C125">
        <v>0.22670000000000001</v>
      </c>
      <c r="D125">
        <v>0.20380000000000001</v>
      </c>
      <c r="E125">
        <v>0.20830000000000001</v>
      </c>
      <c r="F125">
        <v>14432460</v>
      </c>
      <c r="G125">
        <v>0.20830000000000001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-0.60698689956331853</v>
      </c>
      <c r="Q125">
        <f t="shared" ref="Q125" si="601">F125*P125</f>
        <v>-8760314.1484716125</v>
      </c>
      <c r="R125">
        <f t="shared" ref="R125" si="602">R126+Q125</f>
        <v>-1395340620.433605</v>
      </c>
      <c r="S125">
        <f t="shared" ref="S125" si="603">R125/100000</f>
        <v>-13953.40620433605</v>
      </c>
      <c r="T125">
        <f t="shared" ref="T125" si="604">S125/1000</f>
        <v>-13.95340620433605</v>
      </c>
    </row>
    <row r="126" spans="1:20" x14ac:dyDescent="0.25">
      <c r="A126" s="5">
        <v>44467</v>
      </c>
      <c r="B126">
        <v>0.22339999999999999</v>
      </c>
      <c r="C126">
        <v>0.24990000000000001</v>
      </c>
      <c r="D126">
        <v>0.20200000000000001</v>
      </c>
      <c r="E126">
        <v>0.20569999999999999</v>
      </c>
      <c r="F126">
        <v>41065965</v>
      </c>
      <c r="G126">
        <v>0.20569999999999999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-0.84551148225469808</v>
      </c>
      <c r="Q126">
        <f t="shared" ref="Q126" si="606">F126*P126</f>
        <v>-34721744.937369555</v>
      </c>
      <c r="R126">
        <f t="shared" ref="R126" si="607">R127+Q126</f>
        <v>-1386580306.2851334</v>
      </c>
      <c r="S126">
        <f t="shared" ref="S126" si="608">R126/100000</f>
        <v>-13865.803062851333</v>
      </c>
      <c r="T126">
        <f t="shared" ref="T126" si="609">S126/1000</f>
        <v>-13.865803062851333</v>
      </c>
    </row>
    <row r="127" spans="1:20" x14ac:dyDescent="0.25">
      <c r="A127" s="5">
        <v>44466</v>
      </c>
      <c r="B127">
        <v>0.2203</v>
      </c>
      <c r="C127">
        <v>0.26550000000000001</v>
      </c>
      <c r="D127">
        <v>0.218</v>
      </c>
      <c r="E127">
        <v>0.22339999999999999</v>
      </c>
      <c r="F127">
        <v>69066969</v>
      </c>
      <c r="G127">
        <v>0.22339999999999999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-0.772631578947369</v>
      </c>
      <c r="Q127">
        <f t="shared" ref="Q127" si="611">F127*P127</f>
        <v>-53363321.311578989</v>
      </c>
      <c r="R127">
        <f t="shared" ref="R127" si="612">R128+Q127</f>
        <v>-1351858561.3477638</v>
      </c>
      <c r="S127">
        <f t="shared" ref="S127" si="613">R127/100000</f>
        <v>-13518.585613477639</v>
      </c>
      <c r="T127">
        <f t="shared" ref="T127" si="614">S127/1000</f>
        <v>-13.518585613477638</v>
      </c>
    </row>
    <row r="128" spans="1:20" x14ac:dyDescent="0.25">
      <c r="A128" s="5">
        <v>44465</v>
      </c>
      <c r="B128">
        <v>0.2467</v>
      </c>
      <c r="C128">
        <v>0.25890000000000002</v>
      </c>
      <c r="D128">
        <v>0.2147</v>
      </c>
      <c r="E128">
        <v>0.2203</v>
      </c>
      <c r="F128">
        <v>68498307</v>
      </c>
      <c r="G128">
        <v>0.2203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-0.7466063348416293</v>
      </c>
      <c r="Q128">
        <f t="shared" ref="Q128" si="616">F128*P128</f>
        <v>-51141269.932126723</v>
      </c>
      <c r="R128">
        <f t="shared" ref="R128" si="617">R129+Q128</f>
        <v>-1298495240.0361848</v>
      </c>
      <c r="S128">
        <f t="shared" ref="S128" si="618">R128/100000</f>
        <v>-12984.952400361848</v>
      </c>
      <c r="T128">
        <f t="shared" ref="T128" si="619">S128/1000</f>
        <v>-12.984952400361848</v>
      </c>
    </row>
    <row r="129" spans="1:20" x14ac:dyDescent="0.25">
      <c r="A129" s="5">
        <v>44464</v>
      </c>
      <c r="B129">
        <v>0.27760000000000001</v>
      </c>
      <c r="C129">
        <v>0.35</v>
      </c>
      <c r="D129">
        <v>0.24399999999999999</v>
      </c>
      <c r="E129">
        <v>0.2467</v>
      </c>
      <c r="F129">
        <v>217411887</v>
      </c>
      <c r="G129">
        <v>0.2467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-0.94905660377358469</v>
      </c>
      <c r="Q129">
        <f t="shared" ref="Q129" si="621">F129*P129</f>
        <v>-206336187.09622636</v>
      </c>
      <c r="R129">
        <f t="shared" ref="R129" si="622">R130+Q129</f>
        <v>-1247353970.104058</v>
      </c>
      <c r="S129">
        <f t="shared" ref="S129" si="623">R129/100000</f>
        <v>-12473.53970104058</v>
      </c>
      <c r="T129">
        <f t="shared" ref="T129" si="624">S129/1000</f>
        <v>-12.473539701040579</v>
      </c>
    </row>
    <row r="130" spans="1:20" x14ac:dyDescent="0.25">
      <c r="A130" s="5">
        <v>44463</v>
      </c>
      <c r="B130">
        <v>0.1968</v>
      </c>
      <c r="C130">
        <v>0.29749999999999999</v>
      </c>
      <c r="D130">
        <v>0.19650000000000001</v>
      </c>
      <c r="E130">
        <v>0.2777</v>
      </c>
      <c r="F130">
        <v>146162460</v>
      </c>
      <c r="G130">
        <v>0.2777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0.60792079207920813</v>
      </c>
      <c r="Q130">
        <f t="shared" ref="Q130" si="626">F130*P130</f>
        <v>88855198.455445573</v>
      </c>
      <c r="R130">
        <f t="shared" ref="R130" si="627">R131+Q130</f>
        <v>-1041017783.0078316</v>
      </c>
      <c r="S130">
        <f t="shared" ref="S130" si="628">R130/100000</f>
        <v>-10410.177830078315</v>
      </c>
      <c r="T130">
        <f t="shared" ref="T130" si="629">S130/1000</f>
        <v>-10.410177830078315</v>
      </c>
    </row>
    <row r="131" spans="1:20" x14ac:dyDescent="0.25">
      <c r="A131" s="5">
        <v>44462</v>
      </c>
      <c r="B131">
        <v>0.1825</v>
      </c>
      <c r="C131">
        <v>0.23269999999999999</v>
      </c>
      <c r="D131">
        <v>0.18079999999999999</v>
      </c>
      <c r="E131">
        <v>0.1905</v>
      </c>
      <c r="F131">
        <v>56589342</v>
      </c>
      <c r="G131">
        <v>0.1905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-0.62620423892100141</v>
      </c>
      <c r="Q131">
        <f t="shared" ref="Q131" si="631">F131*P131</f>
        <v>-35436485.838150263</v>
      </c>
      <c r="R131">
        <f t="shared" ref="R131" si="632">R132+Q131</f>
        <v>-1129872981.4632771</v>
      </c>
      <c r="S131">
        <f t="shared" ref="S131" si="633">R131/100000</f>
        <v>-11298.72981463277</v>
      </c>
      <c r="T131">
        <f t="shared" ref="T131" si="634">S131/1000</f>
        <v>-11.29872981463277</v>
      </c>
    </row>
    <row r="132" spans="1:20" x14ac:dyDescent="0.25">
      <c r="A132" s="5">
        <v>44461</v>
      </c>
      <c r="B132">
        <v>0.17180000000000001</v>
      </c>
      <c r="C132">
        <v>0.18859999999999999</v>
      </c>
      <c r="D132">
        <v>0.16120000000000001</v>
      </c>
      <c r="E132">
        <v>0.18240000000000001</v>
      </c>
      <c r="F132">
        <v>17424233</v>
      </c>
      <c r="G132">
        <v>0.18240000000000001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0.54744525547445344</v>
      </c>
      <c r="Q132">
        <f t="shared" ref="Q132" si="636">F132*P132</f>
        <v>9538813.6861314029</v>
      </c>
      <c r="R132">
        <f t="shared" ref="R132" si="637">R133+Q132</f>
        <v>-1094436495.6251268</v>
      </c>
      <c r="S132">
        <f t="shared" ref="S132" si="638">R132/100000</f>
        <v>-10944.364956251269</v>
      </c>
      <c r="T132">
        <f t="shared" ref="T132" si="639">S132/1000</f>
        <v>-10.944364956251269</v>
      </c>
    </row>
    <row r="133" spans="1:20" x14ac:dyDescent="0.25">
      <c r="A133" s="5">
        <v>44460</v>
      </c>
      <c r="B133">
        <v>0.1857</v>
      </c>
      <c r="C133">
        <v>0.1938</v>
      </c>
      <c r="D133">
        <v>0.14899999999999999</v>
      </c>
      <c r="E133">
        <v>0.17180000000000001</v>
      </c>
      <c r="F133">
        <v>22916695.32</v>
      </c>
      <c r="G133">
        <v>0.17180000000000001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1.7857142857143366E-2</v>
      </c>
      <c r="Q133">
        <f t="shared" ref="Q133" si="641">F133*P133</f>
        <v>409226.70214286883</v>
      </c>
      <c r="R133">
        <f t="shared" ref="R133" si="642">R134+Q133</f>
        <v>-1103975309.3112583</v>
      </c>
      <c r="S133">
        <f t="shared" ref="S133" si="643">R133/100000</f>
        <v>-11039.753093112584</v>
      </c>
      <c r="T133">
        <f t="shared" ref="T133" si="644">S133/1000</f>
        <v>-11.039753093112584</v>
      </c>
    </row>
    <row r="134" spans="1:20" x14ac:dyDescent="0.25">
      <c r="A134" s="5">
        <v>44459</v>
      </c>
      <c r="B134">
        <v>0.21560000000000001</v>
      </c>
      <c r="C134">
        <v>0.217</v>
      </c>
      <c r="D134">
        <v>0.1855</v>
      </c>
      <c r="E134">
        <v>0.19020000000000001</v>
      </c>
      <c r="F134">
        <v>10437340</v>
      </c>
      <c r="G134">
        <v>0.19020000000000001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-0.70158730158730098</v>
      </c>
      <c r="Q134">
        <f t="shared" ref="Q134" si="646">F134*P134</f>
        <v>-7322705.2063491996</v>
      </c>
      <c r="R134">
        <f t="shared" ref="R134" si="647">R135+Q134</f>
        <v>-1104384536.0134013</v>
      </c>
      <c r="S134">
        <f t="shared" ref="S134" si="648">R134/100000</f>
        <v>-11043.845360134013</v>
      </c>
      <c r="T134">
        <f t="shared" ref="T134" si="649">S134/1000</f>
        <v>-11.043845360134013</v>
      </c>
    </row>
    <row r="135" spans="1:20" x14ac:dyDescent="0.25">
      <c r="A135" s="5">
        <v>44458</v>
      </c>
      <c r="B135">
        <v>0.23080000000000001</v>
      </c>
      <c r="C135">
        <v>0.23180000000000001</v>
      </c>
      <c r="D135">
        <v>0.21360000000000001</v>
      </c>
      <c r="E135">
        <v>0.21529999999999999</v>
      </c>
      <c r="F135">
        <v>15869860</v>
      </c>
      <c r="G135">
        <v>0.21529999999999999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-0.8131868131868154</v>
      </c>
      <c r="Q135">
        <f t="shared" ref="Q135" si="651">F135*P135</f>
        <v>-12905160.879120914</v>
      </c>
      <c r="R135">
        <f t="shared" ref="R135" si="652">R136+Q135</f>
        <v>-1097061830.8070521</v>
      </c>
      <c r="S135">
        <f t="shared" ref="S135" si="653">R135/100000</f>
        <v>-10970.618308070521</v>
      </c>
      <c r="T135">
        <f t="shared" ref="T135" si="654">S135/1000</f>
        <v>-10.970618308070522</v>
      </c>
    </row>
    <row r="136" spans="1:20" x14ac:dyDescent="0.25">
      <c r="A136" s="5">
        <v>44457</v>
      </c>
      <c r="B136">
        <v>0.23</v>
      </c>
      <c r="C136">
        <v>0.24260000000000001</v>
      </c>
      <c r="D136">
        <v>0.22470000000000001</v>
      </c>
      <c r="E136">
        <v>0.2303</v>
      </c>
      <c r="F136">
        <v>33484124</v>
      </c>
      <c r="G136">
        <v>0.2303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-0.37430167597765429</v>
      </c>
      <c r="Q136">
        <f t="shared" ref="Q136" si="656">F136*P136</f>
        <v>-12533163.731843598</v>
      </c>
      <c r="R136">
        <f t="shared" ref="R136" si="657">R137+Q136</f>
        <v>-1084156669.9279313</v>
      </c>
      <c r="S136">
        <f t="shared" ref="S136" si="658">R136/100000</f>
        <v>-10841.566699279314</v>
      </c>
      <c r="T136">
        <f t="shared" ref="T136" si="659">S136/1000</f>
        <v>-10.841566699279314</v>
      </c>
    </row>
    <row r="137" spans="1:20" x14ac:dyDescent="0.25">
      <c r="A137" s="5">
        <v>44456</v>
      </c>
      <c r="B137">
        <v>0.22159999999999999</v>
      </c>
      <c r="C137">
        <v>0.27200000000000002</v>
      </c>
      <c r="D137">
        <v>0.21340000000000001</v>
      </c>
      <c r="E137">
        <v>0.2296</v>
      </c>
      <c r="F137">
        <v>82302385</v>
      </c>
      <c r="G137">
        <v>0.2296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-0.4470989761092154</v>
      </c>
      <c r="Q137">
        <f t="shared" ref="Q137" si="661">F137*P137</f>
        <v>-36797312.064846449</v>
      </c>
      <c r="R137">
        <f t="shared" ref="R137" si="662">R138+Q137</f>
        <v>-1071623506.1960877</v>
      </c>
      <c r="S137">
        <f t="shared" ref="S137" si="663">R137/100000</f>
        <v>-10716.235061960877</v>
      </c>
      <c r="T137">
        <f t="shared" ref="T137" si="664">S137/1000</f>
        <v>-10.716235061960877</v>
      </c>
    </row>
    <row r="138" spans="1:20" x14ac:dyDescent="0.25">
      <c r="A138" s="5">
        <v>44455</v>
      </c>
      <c r="B138">
        <v>0.2286</v>
      </c>
      <c r="C138">
        <v>0.2394</v>
      </c>
      <c r="D138">
        <v>0.214</v>
      </c>
      <c r="E138">
        <v>0.22159999999999999</v>
      </c>
      <c r="F138">
        <v>35318093</v>
      </c>
      <c r="G138">
        <v>0.22159999999999999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-0.40157480314960681</v>
      </c>
      <c r="Q138">
        <f t="shared" ref="Q138" si="666">F138*P138</f>
        <v>-14182856.244094506</v>
      </c>
      <c r="R138">
        <f t="shared" ref="R138" si="667">R139+Q138</f>
        <v>-1034826194.1312413</v>
      </c>
      <c r="S138">
        <f t="shared" ref="S138" si="668">R138/100000</f>
        <v>-10348.261941312414</v>
      </c>
      <c r="T138">
        <f t="shared" ref="T138" si="669">S138/1000</f>
        <v>-10.348261941312414</v>
      </c>
    </row>
    <row r="139" spans="1:20" x14ac:dyDescent="0.25">
      <c r="A139" s="5">
        <v>44454</v>
      </c>
      <c r="B139">
        <v>0.22459999999999999</v>
      </c>
      <c r="C139">
        <v>0.2344</v>
      </c>
      <c r="D139">
        <v>0.21929999999999999</v>
      </c>
      <c r="E139">
        <v>0.22950000000000001</v>
      </c>
      <c r="F139">
        <v>28314790</v>
      </c>
      <c r="G139">
        <v>0.22950000000000001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0.35099337748344545</v>
      </c>
      <c r="Q139">
        <f t="shared" ref="Q139" si="671">F139*P139</f>
        <v>9938303.7748344857</v>
      </c>
      <c r="R139">
        <f t="shared" ref="R139" si="672">R140+Q139</f>
        <v>-1020643337.8871468</v>
      </c>
      <c r="S139">
        <f t="shared" ref="S139" si="673">R139/100000</f>
        <v>-10206.433378871468</v>
      </c>
      <c r="T139">
        <f t="shared" ref="T139" si="674">S139/1000</f>
        <v>-10.206433378871468</v>
      </c>
    </row>
    <row r="140" spans="1:20" x14ac:dyDescent="0.25">
      <c r="A140" s="5">
        <v>44453</v>
      </c>
      <c r="B140">
        <v>0.2311</v>
      </c>
      <c r="C140">
        <v>0.2535</v>
      </c>
      <c r="D140">
        <v>0.22420000000000001</v>
      </c>
      <c r="E140">
        <v>0.22459999999999999</v>
      </c>
      <c r="F140">
        <v>48033089</v>
      </c>
      <c r="G140">
        <v>0.22459999999999999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-0.97269624573378954</v>
      </c>
      <c r="Q140">
        <f t="shared" ref="Q140" si="676">F140*P140</f>
        <v>-46721605.341296986</v>
      </c>
      <c r="R140">
        <f t="shared" ref="R140" si="677">R141+Q140</f>
        <v>-1030581641.6619813</v>
      </c>
      <c r="S140">
        <f t="shared" ref="S140" si="678">R140/100000</f>
        <v>-10305.816416619813</v>
      </c>
      <c r="T140">
        <f t="shared" ref="T140" si="679">S140/1000</f>
        <v>-10.305816416619813</v>
      </c>
    </row>
    <row r="141" spans="1:20" x14ac:dyDescent="0.25">
      <c r="A141" s="5">
        <v>44452</v>
      </c>
      <c r="B141">
        <v>0.25480000000000003</v>
      </c>
      <c r="C141">
        <v>0.31540000000000001</v>
      </c>
      <c r="D141">
        <v>0.222</v>
      </c>
      <c r="E141">
        <v>0.23089999999999999</v>
      </c>
      <c r="F141">
        <v>153400981</v>
      </c>
      <c r="G141">
        <v>0.23089999999999999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-0.80942184154175612</v>
      </c>
      <c r="Q141">
        <f t="shared" ref="Q141" si="681">F141*P141</f>
        <v>-124166104.53533193</v>
      </c>
      <c r="R141">
        <f t="shared" ref="R141" si="682">R142+Q141</f>
        <v>-983860036.32068431</v>
      </c>
      <c r="S141">
        <f t="shared" ref="S141" si="683">R141/100000</f>
        <v>-9838.6003632068423</v>
      </c>
      <c r="T141">
        <f t="shared" ref="T141" si="684">S141/1000</f>
        <v>-9.8386003632068419</v>
      </c>
    </row>
    <row r="142" spans="1:20" x14ac:dyDescent="0.25">
      <c r="A142" s="5">
        <v>44451</v>
      </c>
      <c r="B142">
        <v>0.24590000000000001</v>
      </c>
      <c r="C142">
        <v>0.27229999999999999</v>
      </c>
      <c r="D142">
        <v>0.2356</v>
      </c>
      <c r="E142">
        <v>0.25459999999999999</v>
      </c>
      <c r="F142">
        <v>51186206</v>
      </c>
      <c r="G142">
        <v>0.25459999999999999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3.542234332425058E-2</v>
      </c>
      <c r="Q142">
        <f t="shared" ref="Q142" si="686">F142*P142</f>
        <v>1813135.3623978149</v>
      </c>
      <c r="R142">
        <f t="shared" ref="R142" si="687">R143+Q142</f>
        <v>-859693931.78535235</v>
      </c>
      <c r="S142">
        <f t="shared" ref="S142" si="688">R142/100000</f>
        <v>-8596.9393178535229</v>
      </c>
      <c r="T142">
        <f t="shared" ref="T142" si="689">S142/1000</f>
        <v>-8.5969393178535221</v>
      </c>
    </row>
    <row r="143" spans="1:20" x14ac:dyDescent="0.25">
      <c r="A143" s="5">
        <v>44450</v>
      </c>
      <c r="B143">
        <v>0.24310000000000001</v>
      </c>
      <c r="C143">
        <v>0.28449999999999998</v>
      </c>
      <c r="D143">
        <v>0.23150000000000001</v>
      </c>
      <c r="E143">
        <v>0.2457</v>
      </c>
      <c r="F143">
        <v>92773001</v>
      </c>
      <c r="G143">
        <v>0.2457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-0.46415094339622642</v>
      </c>
      <c r="Q143">
        <f t="shared" ref="Q143" si="691">F143*P143</f>
        <v>-43060675.935849056</v>
      </c>
      <c r="R143">
        <f t="shared" ref="R143" si="692">R144+Q143</f>
        <v>-861507067.14775014</v>
      </c>
      <c r="S143">
        <f t="shared" ref="S143" si="693">R143/100000</f>
        <v>-8615.0706714775006</v>
      </c>
      <c r="T143">
        <f t="shared" ref="T143" si="694">S143/1000</f>
        <v>-8.6150706714775005</v>
      </c>
    </row>
    <row r="144" spans="1:20" x14ac:dyDescent="0.25">
      <c r="A144" s="5">
        <v>44449</v>
      </c>
      <c r="B144">
        <v>0.24429999999999999</v>
      </c>
      <c r="C144">
        <v>0.27439999999999998</v>
      </c>
      <c r="D144">
        <v>0.23480000000000001</v>
      </c>
      <c r="E144">
        <v>0.24310000000000001</v>
      </c>
      <c r="F144">
        <v>72558980</v>
      </c>
      <c r="G144">
        <v>0.24310000000000001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-0.58080808080808033</v>
      </c>
      <c r="Q144">
        <f t="shared" ref="Q144" si="696">F144*P144</f>
        <v>-42142841.919191882</v>
      </c>
      <c r="R144">
        <f t="shared" ref="R144" si="697">R145+Q144</f>
        <v>-818446391.21190107</v>
      </c>
      <c r="S144">
        <f t="shared" ref="S144" si="698">R144/100000</f>
        <v>-8184.4639121190103</v>
      </c>
      <c r="T144">
        <f t="shared" ref="T144" si="699">S144/1000</f>
        <v>-8.1844639121190106</v>
      </c>
    </row>
    <row r="145" spans="1:20" x14ac:dyDescent="0.25">
      <c r="A145" s="5">
        <v>44448</v>
      </c>
      <c r="B145">
        <v>0.29239999999999999</v>
      </c>
      <c r="C145">
        <v>0.32090000000000002</v>
      </c>
      <c r="D145">
        <v>0.24379999999999999</v>
      </c>
      <c r="E145">
        <v>0.24429999999999999</v>
      </c>
      <c r="F145">
        <v>86907948</v>
      </c>
      <c r="G145">
        <v>0.24429999999999999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-0.98702983138780809</v>
      </c>
      <c r="Q145">
        <f t="shared" ref="Q145" si="701">F145*P145</f>
        <v>-85780737.26070039</v>
      </c>
      <c r="R145">
        <f t="shared" ref="R145" si="702">R146+Q145</f>
        <v>-776303549.29270923</v>
      </c>
      <c r="S145">
        <f t="shared" ref="S145" si="703">R145/100000</f>
        <v>-7763.0354929270925</v>
      </c>
      <c r="T145">
        <f t="shared" ref="T145" si="704">S145/1000</f>
        <v>-7.7630354929270924</v>
      </c>
    </row>
    <row r="146" spans="1:20" x14ac:dyDescent="0.25">
      <c r="A146" s="5">
        <v>44447</v>
      </c>
      <c r="B146">
        <v>0.23880000000000001</v>
      </c>
      <c r="C146">
        <v>0.49</v>
      </c>
      <c r="D146">
        <v>0.22450000000000001</v>
      </c>
      <c r="E146">
        <v>0.29210000000000003</v>
      </c>
      <c r="F146">
        <v>522561209.38</v>
      </c>
      <c r="G146">
        <v>0.29210000000000003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-0.49077212806026355</v>
      </c>
      <c r="Q146">
        <f t="shared" ref="Q146" si="706">F146*P146</f>
        <v>-256458476.76916754</v>
      </c>
      <c r="R146">
        <f t="shared" ref="R146" si="707">R147+Q146</f>
        <v>-690522812.03200889</v>
      </c>
      <c r="S146">
        <f t="shared" ref="S146" si="708">R146/100000</f>
        <v>-6905.2281203200891</v>
      </c>
      <c r="T146">
        <f t="shared" ref="T146" si="709">S146/1000</f>
        <v>-6.9052281203200891</v>
      </c>
    </row>
    <row r="147" spans="1:20" x14ac:dyDescent="0.25">
      <c r="A147" s="5">
        <v>44446</v>
      </c>
      <c r="B147">
        <v>0.21340000000000001</v>
      </c>
      <c r="C147">
        <v>0.34599999999999997</v>
      </c>
      <c r="D147">
        <v>0.18609999999999999</v>
      </c>
      <c r="E147">
        <v>0.2387</v>
      </c>
      <c r="F147">
        <v>266871380.22999999</v>
      </c>
      <c r="G147">
        <v>0.2387</v>
      </c>
      <c r="L147" t="s">
        <v>7</v>
      </c>
      <c r="M147" t="s">
        <v>8</v>
      </c>
      <c r="N147" t="s">
        <v>8</v>
      </c>
      <c r="P147">
        <f t="shared" ref="P147" si="710">IF(C147=D147,0,((E147-D147)-(C147-E147))/(C147-D147))</f>
        <v>-0.34208880550343951</v>
      </c>
      <c r="Q147">
        <f t="shared" ref="Q147" si="711">F147*P147</f>
        <v>-91293711.685934916</v>
      </c>
      <c r="R147">
        <f t="shared" ref="R147" si="712">R148+Q147</f>
        <v>-434064335.26284128</v>
      </c>
      <c r="S147">
        <f t="shared" ref="S147" si="713">R147/100000</f>
        <v>-4340.6433526284127</v>
      </c>
      <c r="T147">
        <f t="shared" ref="T147" si="714">S147/1000</f>
        <v>-4.3406433526284127</v>
      </c>
    </row>
    <row r="148" spans="1:20" x14ac:dyDescent="0.25">
      <c r="A148" s="5">
        <v>44445</v>
      </c>
      <c r="B148">
        <v>0.1948</v>
      </c>
      <c r="C148">
        <v>0.22</v>
      </c>
      <c r="D148">
        <v>0.1905</v>
      </c>
      <c r="E148">
        <v>0.2135</v>
      </c>
      <c r="F148">
        <v>17456362</v>
      </c>
      <c r="G148">
        <v>0.2135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0.5593220338983047</v>
      </c>
      <c r="Q148">
        <f t="shared" ref="Q148" si="716">F148*P148</f>
        <v>9763727.898305079</v>
      </c>
      <c r="R148">
        <f t="shared" ref="R148" si="717">R149+Q148</f>
        <v>-342770623.57690638</v>
      </c>
      <c r="S148">
        <f t="shared" ref="S148" si="718">R148/100000</f>
        <v>-3427.7062357690638</v>
      </c>
      <c r="T148">
        <f t="shared" ref="T148" si="719">S148/1000</f>
        <v>-3.427706235769064</v>
      </c>
    </row>
    <row r="149" spans="1:20" x14ac:dyDescent="0.25">
      <c r="A149" s="5">
        <v>44444</v>
      </c>
      <c r="B149">
        <v>0.185</v>
      </c>
      <c r="C149">
        <v>0.22800000000000001</v>
      </c>
      <c r="D149">
        <v>0.1802</v>
      </c>
      <c r="E149">
        <v>0.19589999999999999</v>
      </c>
      <c r="F149">
        <v>34048856.280000001</v>
      </c>
      <c r="G149">
        <v>0.19589999999999999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-0.34309623430962388</v>
      </c>
      <c r="Q149">
        <f t="shared" ref="Q149" si="721">F149*P149</f>
        <v>-11682034.372217588</v>
      </c>
      <c r="R149">
        <f t="shared" ref="R149" si="722">R150+Q149</f>
        <v>-352534351.47521144</v>
      </c>
      <c r="S149">
        <f t="shared" ref="S149" si="723">R149/100000</f>
        <v>-3525.3435147521145</v>
      </c>
      <c r="T149">
        <f t="shared" ref="T149" si="724">S149/1000</f>
        <v>-3.5253435147521146</v>
      </c>
    </row>
    <row r="150" spans="1:20" x14ac:dyDescent="0.25">
      <c r="A150" s="5">
        <v>44443</v>
      </c>
      <c r="B150">
        <v>0.18690000000000001</v>
      </c>
      <c r="C150">
        <v>0.19089999999999999</v>
      </c>
      <c r="D150">
        <v>0.1804</v>
      </c>
      <c r="E150">
        <v>0.1852</v>
      </c>
      <c r="F150">
        <v>3766699</v>
      </c>
      <c r="G150">
        <v>0.1852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-8.5714285714284355E-2</v>
      </c>
      <c r="Q150">
        <f t="shared" ref="Q150" si="726">F150*P150</f>
        <v>-322859.91428570915</v>
      </c>
      <c r="R150">
        <f t="shared" ref="R150" si="727">R151+Q150</f>
        <v>-340852317.10299385</v>
      </c>
      <c r="S150">
        <f t="shared" ref="S150" si="728">R150/100000</f>
        <v>-3408.5231710299386</v>
      </c>
      <c r="T150">
        <f t="shared" ref="T150" si="729">S150/1000</f>
        <v>-3.4085231710299384</v>
      </c>
    </row>
    <row r="151" spans="1:20" x14ac:dyDescent="0.25">
      <c r="A151" s="5">
        <v>44442</v>
      </c>
      <c r="B151">
        <v>0.18090000000000001</v>
      </c>
      <c r="C151">
        <v>0.19989999999999999</v>
      </c>
      <c r="D151">
        <v>0.1749</v>
      </c>
      <c r="E151">
        <v>0.18690000000000001</v>
      </c>
      <c r="F151">
        <v>10867454</v>
      </c>
      <c r="G151">
        <v>0.18690000000000001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-3.9999999999998932E-2</v>
      </c>
      <c r="Q151">
        <f t="shared" ref="Q151" si="731">F151*P151</f>
        <v>-434698.15999998839</v>
      </c>
      <c r="R151">
        <f t="shared" ref="R151" si="732">R152+Q151</f>
        <v>-340529457.18870813</v>
      </c>
      <c r="S151">
        <f t="shared" ref="S151" si="733">R151/100000</f>
        <v>-3405.2945718870815</v>
      </c>
      <c r="T151">
        <f t="shared" ref="T151" si="734">S151/1000</f>
        <v>-3.4052945718870813</v>
      </c>
    </row>
    <row r="152" spans="1:20" x14ac:dyDescent="0.25">
      <c r="A152" s="5">
        <v>44441</v>
      </c>
      <c r="B152">
        <v>0.17660000000000001</v>
      </c>
      <c r="C152">
        <v>0.1847</v>
      </c>
      <c r="D152">
        <v>0.17469999999999999</v>
      </c>
      <c r="E152">
        <v>0.18010000000000001</v>
      </c>
      <c r="F152">
        <v>5110881</v>
      </c>
      <c r="G152">
        <v>0.18010000000000001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8.0000000000002222E-2</v>
      </c>
      <c r="Q152">
        <f t="shared" ref="Q152" si="736">F152*P152</f>
        <v>408870.48000001133</v>
      </c>
      <c r="R152">
        <f t="shared" ref="R152" si="737">R153+Q152</f>
        <v>-340094759.02870816</v>
      </c>
      <c r="S152">
        <f t="shared" ref="S152" si="738">R152/100000</f>
        <v>-3400.9475902870818</v>
      </c>
      <c r="T152">
        <f t="shared" ref="T152" si="739">S152/1000</f>
        <v>-3.4009475902870818</v>
      </c>
    </row>
    <row r="153" spans="1:20" x14ac:dyDescent="0.25">
      <c r="A153" s="5">
        <v>44440</v>
      </c>
      <c r="B153">
        <v>0.17219999999999999</v>
      </c>
      <c r="C153">
        <v>0.1847</v>
      </c>
      <c r="D153">
        <v>0.16400000000000001</v>
      </c>
      <c r="E153">
        <v>0.17660000000000001</v>
      </c>
      <c r="F153">
        <v>5310215.2</v>
      </c>
      <c r="G153">
        <v>0.17660000000000001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0.21739130434782633</v>
      </c>
      <c r="Q153">
        <f t="shared" ref="Q153" si="741">F153*P153</f>
        <v>1154394.6086956535</v>
      </c>
      <c r="R153">
        <f t="shared" ref="R153" si="742">R154+Q153</f>
        <v>-340503629.50870818</v>
      </c>
      <c r="S153">
        <f t="shared" ref="S153" si="743">R153/100000</f>
        <v>-3405.0362950870817</v>
      </c>
      <c r="T153">
        <f t="shared" ref="T153" si="744">S153/1000</f>
        <v>-3.4050362950870818</v>
      </c>
    </row>
    <row r="154" spans="1:20" x14ac:dyDescent="0.25">
      <c r="A154" s="5">
        <v>44439</v>
      </c>
      <c r="B154">
        <v>0.1769</v>
      </c>
      <c r="C154">
        <v>0.17730000000000001</v>
      </c>
      <c r="D154">
        <v>0.16839999999999999</v>
      </c>
      <c r="E154">
        <v>0.17219999999999999</v>
      </c>
      <c r="F154">
        <v>4436792.5199999996</v>
      </c>
      <c r="G154">
        <v>0.17219999999999999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-0.14606741573033938</v>
      </c>
      <c r="Q154">
        <f t="shared" ref="Q154" si="746">F154*P154</f>
        <v>-648070.81752809999</v>
      </c>
      <c r="R154">
        <f t="shared" ref="R154" si="747">R155+Q154</f>
        <v>-341658024.11740381</v>
      </c>
      <c r="S154">
        <f t="shared" ref="S154" si="748">R154/100000</f>
        <v>-3416.5802411740378</v>
      </c>
      <c r="T154">
        <f t="shared" ref="T154" si="749">S154/1000</f>
        <v>-3.4165802411740378</v>
      </c>
    </row>
    <row r="155" spans="1:20" x14ac:dyDescent="0.25">
      <c r="A155" s="5">
        <v>44438</v>
      </c>
      <c r="B155">
        <v>0.18870000000000001</v>
      </c>
      <c r="C155">
        <v>0.18870000000000001</v>
      </c>
      <c r="D155">
        <v>0.17469999999999999</v>
      </c>
      <c r="E155">
        <v>0.1759</v>
      </c>
      <c r="F155">
        <v>4296524.45</v>
      </c>
      <c r="G155">
        <v>0.1759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-0.82857142857142774</v>
      </c>
      <c r="Q155">
        <f t="shared" ref="Q155" si="751">F155*P155</f>
        <v>-3559977.4014285682</v>
      </c>
      <c r="R155">
        <f t="shared" ref="R155" si="752">R156+Q155</f>
        <v>-341009953.29987568</v>
      </c>
      <c r="S155">
        <f t="shared" ref="S155" si="753">R155/100000</f>
        <v>-3410.0995329987568</v>
      </c>
      <c r="T155">
        <f t="shared" ref="T155" si="754">S155/1000</f>
        <v>-3.4100995329987569</v>
      </c>
    </row>
    <row r="156" spans="1:20" x14ac:dyDescent="0.25">
      <c r="A156" s="5">
        <v>44437</v>
      </c>
      <c r="B156">
        <v>0.18740000000000001</v>
      </c>
      <c r="C156">
        <v>0.1903</v>
      </c>
      <c r="D156">
        <v>0.17949999999999999</v>
      </c>
      <c r="E156">
        <v>0.18870000000000001</v>
      </c>
      <c r="F156">
        <v>6429376</v>
      </c>
      <c r="G156">
        <v>0.18870000000000001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0.70370370370370561</v>
      </c>
      <c r="Q156">
        <f t="shared" ref="Q156" si="756">F156*P156</f>
        <v>4524375.7037037164</v>
      </c>
      <c r="R156">
        <f t="shared" ref="R156" si="757">R157+Q156</f>
        <v>-337449975.8984471</v>
      </c>
      <c r="S156">
        <f t="shared" ref="S156" si="758">R156/100000</f>
        <v>-3374.4997589844711</v>
      </c>
      <c r="T156">
        <f t="shared" ref="T156" si="759">S156/1000</f>
        <v>-3.374499758984471</v>
      </c>
    </row>
    <row r="157" spans="1:20" x14ac:dyDescent="0.25">
      <c r="A157" s="5">
        <v>44436</v>
      </c>
      <c r="B157">
        <v>0.19139999999999999</v>
      </c>
      <c r="C157">
        <v>0.1928</v>
      </c>
      <c r="D157">
        <v>0.1835</v>
      </c>
      <c r="E157">
        <v>0.18740000000000001</v>
      </c>
      <c r="F157">
        <v>4533284</v>
      </c>
      <c r="G157">
        <v>0.18740000000000001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-0.16129032258064227</v>
      </c>
      <c r="Q157">
        <f t="shared" ref="Q157" si="761">F157*P157</f>
        <v>-731174.8387096643</v>
      </c>
      <c r="R157">
        <f t="shared" ref="R157" si="762">R158+Q157</f>
        <v>-341974351.6021508</v>
      </c>
      <c r="S157">
        <f t="shared" ref="S157" si="763">R157/100000</f>
        <v>-3419.7435160215082</v>
      </c>
      <c r="T157">
        <f t="shared" ref="T157" si="764">S157/1000</f>
        <v>-3.4197435160215082</v>
      </c>
    </row>
    <row r="158" spans="1:20" x14ac:dyDescent="0.25">
      <c r="A158" s="5">
        <v>44435</v>
      </c>
      <c r="B158">
        <v>0.18360000000000001</v>
      </c>
      <c r="C158">
        <v>0.19289999999999999</v>
      </c>
      <c r="D158">
        <v>0.17899999999999999</v>
      </c>
      <c r="E158">
        <v>0.19139999999999999</v>
      </c>
      <c r="F158">
        <v>7819770</v>
      </c>
      <c r="G158">
        <v>0.19139999999999999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0.78417266187050338</v>
      </c>
      <c r="Q158">
        <f t="shared" ref="Q158" si="766">F158*P158</f>
        <v>6132049.8561151065</v>
      </c>
      <c r="R158">
        <f t="shared" ref="R158" si="767">R159+Q158</f>
        <v>-341243176.76344115</v>
      </c>
      <c r="S158">
        <f t="shared" ref="S158" si="768">R158/100000</f>
        <v>-3412.4317676344112</v>
      </c>
      <c r="T158">
        <f t="shared" ref="T158" si="769">S158/1000</f>
        <v>-3.4124317676344114</v>
      </c>
    </row>
    <row r="159" spans="1:20" x14ac:dyDescent="0.25">
      <c r="A159" s="5">
        <v>44434</v>
      </c>
      <c r="B159">
        <v>0.1973</v>
      </c>
      <c r="C159">
        <v>0.20280000000000001</v>
      </c>
      <c r="D159">
        <v>0.18</v>
      </c>
      <c r="E159">
        <v>0.18360000000000001</v>
      </c>
      <c r="F159">
        <v>8404169.3399999999</v>
      </c>
      <c r="G159">
        <v>0.18360000000000001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-0.68421052631578794</v>
      </c>
      <c r="Q159">
        <f t="shared" ref="Q159" si="771">F159*P159</f>
        <v>-5750221.1273684083</v>
      </c>
      <c r="R159">
        <f t="shared" ref="R159" si="772">R160+Q159</f>
        <v>-347375226.61955625</v>
      </c>
      <c r="S159">
        <f t="shared" ref="S159" si="773">R159/100000</f>
        <v>-3473.7522661955627</v>
      </c>
      <c r="T159">
        <f t="shared" ref="T159" si="774">S159/1000</f>
        <v>-3.4737522661955627</v>
      </c>
    </row>
    <row r="160" spans="1:20" x14ac:dyDescent="0.25">
      <c r="A160" s="5">
        <v>44433</v>
      </c>
      <c r="B160">
        <v>0.1905</v>
      </c>
      <c r="C160">
        <v>0.20949999999999999</v>
      </c>
      <c r="D160">
        <v>0.1759</v>
      </c>
      <c r="E160">
        <v>0.1966</v>
      </c>
      <c r="F160">
        <v>12514432.699999999</v>
      </c>
      <c r="G160">
        <v>0.1966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0.23214285714285723</v>
      </c>
      <c r="Q160">
        <f t="shared" ref="Q160" si="776">F160*P160</f>
        <v>2905136.162500001</v>
      </c>
      <c r="R160">
        <f t="shared" ref="R160" si="777">R161+Q160</f>
        <v>-341625005.49218786</v>
      </c>
      <c r="S160">
        <f t="shared" ref="S160" si="778">R160/100000</f>
        <v>-3416.2500549218785</v>
      </c>
      <c r="T160">
        <f t="shared" ref="T160" si="779">S160/1000</f>
        <v>-3.4162500549218784</v>
      </c>
    </row>
    <row r="161" spans="1:20" x14ac:dyDescent="0.25">
      <c r="A161" s="5">
        <v>44432</v>
      </c>
      <c r="B161">
        <v>0.21260000000000001</v>
      </c>
      <c r="C161">
        <v>0.21260000000000001</v>
      </c>
      <c r="D161">
        <v>0.18740000000000001</v>
      </c>
      <c r="E161">
        <v>0.1905</v>
      </c>
      <c r="F161">
        <v>7531162.75</v>
      </c>
      <c r="G161">
        <v>0.1905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-0.75396825396825462</v>
      </c>
      <c r="Q161">
        <f t="shared" ref="Q161" si="781">F161*P161</f>
        <v>-5678257.6289682593</v>
      </c>
      <c r="R161">
        <f t="shared" ref="R161" si="782">R162+Q161</f>
        <v>-344530141.65468788</v>
      </c>
      <c r="S161">
        <f t="shared" ref="S161" si="783">R161/100000</f>
        <v>-3445.301416546879</v>
      </c>
      <c r="T161">
        <f t="shared" ref="T161" si="784">S161/1000</f>
        <v>-3.4453014165468789</v>
      </c>
    </row>
    <row r="162" spans="1:20" x14ac:dyDescent="0.25">
      <c r="A162" s="5">
        <v>44431</v>
      </c>
      <c r="B162">
        <v>0.1986</v>
      </c>
      <c r="C162">
        <v>0.22600000000000001</v>
      </c>
      <c r="D162">
        <v>0.19800000000000001</v>
      </c>
      <c r="E162">
        <v>0.21279999999999999</v>
      </c>
      <c r="F162">
        <v>21638551.899999999</v>
      </c>
      <c r="G162">
        <v>0.21279999999999999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5.7142857142855809E-2</v>
      </c>
      <c r="Q162">
        <f t="shared" ref="Q162" si="786">F162*P162</f>
        <v>1236488.6799999711</v>
      </c>
      <c r="R162">
        <f t="shared" ref="R162" si="787">R163+Q162</f>
        <v>-338851884.02571964</v>
      </c>
      <c r="S162">
        <f t="shared" ref="S162" si="788">R162/100000</f>
        <v>-3388.5188402571966</v>
      </c>
      <c r="T162">
        <f t="shared" ref="T162" si="789">S162/1000</f>
        <v>-3.3885188402571966</v>
      </c>
    </row>
    <row r="163" spans="1:20" x14ac:dyDescent="0.25">
      <c r="A163" s="5">
        <v>44430</v>
      </c>
      <c r="B163">
        <v>0.2</v>
      </c>
      <c r="C163">
        <v>0.2019</v>
      </c>
      <c r="D163">
        <v>0.1953</v>
      </c>
      <c r="E163">
        <v>0.19750000000000001</v>
      </c>
      <c r="F163">
        <v>1596061.55</v>
      </c>
      <c r="G163">
        <v>0.19750000000000001</v>
      </c>
      <c r="L163" t="s">
        <v>8</v>
      </c>
      <c r="M163" t="s">
        <v>7</v>
      </c>
      <c r="N163" t="s">
        <v>7</v>
      </c>
      <c r="P163">
        <f t="shared" ref="P163" si="790">IF(C163=D163,0,((E163-D163)-(C163-E163))/(C163-D163))</f>
        <v>-0.33333333333333054</v>
      </c>
      <c r="Q163">
        <f t="shared" ref="Q163" si="791">F163*P163</f>
        <v>-532020.51666666218</v>
      </c>
      <c r="R163">
        <f t="shared" ref="R163" si="792">R164+Q163</f>
        <v>-340088372.70571959</v>
      </c>
      <c r="S163">
        <f t="shared" ref="S163" si="793">R163/100000</f>
        <v>-3400.8837270571958</v>
      </c>
      <c r="T163">
        <f t="shared" ref="T163" si="794">S163/1000</f>
        <v>-3.4008837270571957</v>
      </c>
    </row>
    <row r="164" spans="1:20" x14ac:dyDescent="0.25">
      <c r="A164" s="5">
        <v>44429</v>
      </c>
      <c r="B164">
        <v>0.2</v>
      </c>
      <c r="C164">
        <v>0.2041</v>
      </c>
      <c r="D164">
        <v>0.19439999999999999</v>
      </c>
      <c r="E164">
        <v>0.20030000000000001</v>
      </c>
      <c r="F164">
        <v>7672585.96</v>
      </c>
      <c r="G164">
        <v>0.20030000000000001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0.21649484536082633</v>
      </c>
      <c r="Q164">
        <f t="shared" ref="Q164" si="796">F164*P164</f>
        <v>1661075.3109278472</v>
      </c>
      <c r="R164">
        <f t="shared" ref="R164" si="797">R165+Q164</f>
        <v>-339556352.18905294</v>
      </c>
      <c r="S164">
        <f t="shared" ref="S164" si="798">R164/100000</f>
        <v>-3395.5635218905295</v>
      </c>
      <c r="T164">
        <f t="shared" ref="T164" si="799">S164/1000</f>
        <v>-3.3955635218905296</v>
      </c>
    </row>
    <row r="165" spans="1:20" x14ac:dyDescent="0.25">
      <c r="A165" s="5">
        <v>44428</v>
      </c>
      <c r="B165">
        <v>0.20419999999999999</v>
      </c>
      <c r="C165">
        <v>0.2079</v>
      </c>
      <c r="D165">
        <v>0.19350000000000001</v>
      </c>
      <c r="E165">
        <v>0.19969999999999999</v>
      </c>
      <c r="F165">
        <v>8561091.2899999991</v>
      </c>
      <c r="G165">
        <v>0.19969999999999999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-0.13888888888889098</v>
      </c>
      <c r="Q165">
        <f t="shared" ref="Q165" si="801">F165*P165</f>
        <v>-1189040.4569444621</v>
      </c>
      <c r="R165">
        <f t="shared" ref="R165" si="802">R166+Q165</f>
        <v>-341217427.49998081</v>
      </c>
      <c r="S165">
        <f t="shared" ref="S165" si="803">R165/100000</f>
        <v>-3412.1742749998079</v>
      </c>
      <c r="T165">
        <f t="shared" ref="T165" si="804">S165/1000</f>
        <v>-3.4121742749998081</v>
      </c>
    </row>
    <row r="166" spans="1:20" x14ac:dyDescent="0.25">
      <c r="A166" s="5">
        <v>44427</v>
      </c>
      <c r="B166">
        <v>0.19009999999999999</v>
      </c>
      <c r="C166">
        <v>0.20899999999999999</v>
      </c>
      <c r="D166">
        <v>0.182</v>
      </c>
      <c r="E166">
        <v>0.20419999999999999</v>
      </c>
      <c r="F166">
        <v>14360309.16</v>
      </c>
      <c r="G166">
        <v>0.20419999999999999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0.64444444444444449</v>
      </c>
      <c r="Q166">
        <f t="shared" ref="Q166" si="806">F166*P166</f>
        <v>9254421.4586666673</v>
      </c>
      <c r="R166">
        <f t="shared" ref="R166" si="807">R167+Q166</f>
        <v>-340028387.04303634</v>
      </c>
      <c r="S166">
        <f t="shared" ref="S166" si="808">R166/100000</f>
        <v>-3400.2838704303635</v>
      </c>
      <c r="T166">
        <f t="shared" ref="T166" si="809">S166/1000</f>
        <v>-3.4002838704303637</v>
      </c>
    </row>
    <row r="167" spans="1:20" x14ac:dyDescent="0.25">
      <c r="A167" s="5">
        <v>44426</v>
      </c>
      <c r="B167">
        <v>0.188</v>
      </c>
      <c r="C167">
        <v>0.224</v>
      </c>
      <c r="D167">
        <v>0.17499999999999999</v>
      </c>
      <c r="E167">
        <v>0.19009999999999999</v>
      </c>
      <c r="F167">
        <v>19657609.899999999</v>
      </c>
      <c r="G167">
        <v>0.19009999999999999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-0.38367346938775521</v>
      </c>
      <c r="Q167">
        <f t="shared" ref="Q167" si="811">F167*P167</f>
        <v>-7542103.3902040832</v>
      </c>
      <c r="R167">
        <f t="shared" ref="R167" si="812">R168+Q167</f>
        <v>-349282808.50170302</v>
      </c>
      <c r="S167">
        <f t="shared" ref="S167" si="813">R167/100000</f>
        <v>-3492.8280850170304</v>
      </c>
      <c r="T167">
        <f t="shared" ref="T167" si="814">S167/1000</f>
        <v>-3.4928280850170306</v>
      </c>
    </row>
    <row r="168" spans="1:20" x14ac:dyDescent="0.25">
      <c r="A168" s="5">
        <v>44425</v>
      </c>
      <c r="B168">
        <v>0.2114</v>
      </c>
      <c r="C168">
        <v>0.2152</v>
      </c>
      <c r="D168">
        <v>0.18659999999999999</v>
      </c>
      <c r="E168">
        <v>0.188</v>
      </c>
      <c r="F168">
        <v>8326710.5800000001</v>
      </c>
      <c r="G168">
        <v>0.188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-0.90209790209790131</v>
      </c>
      <c r="Q168">
        <f t="shared" ref="Q168" si="816">F168*P168</f>
        <v>-7511508.1455943994</v>
      </c>
      <c r="R168">
        <f t="shared" ref="R168" si="817">R169+Q168</f>
        <v>-341740705.11149895</v>
      </c>
      <c r="S168">
        <f t="shared" ref="S168" si="818">R168/100000</f>
        <v>-3417.4070511149894</v>
      </c>
      <c r="T168">
        <f t="shared" ref="T168" si="819">S168/1000</f>
        <v>-3.4174070511149894</v>
      </c>
    </row>
    <row r="169" spans="1:20" x14ac:dyDescent="0.25">
      <c r="A169" s="5">
        <v>44424</v>
      </c>
      <c r="B169">
        <v>0.2205</v>
      </c>
      <c r="C169">
        <v>0.23150000000000001</v>
      </c>
      <c r="D169">
        <v>0.21029999999999999</v>
      </c>
      <c r="E169">
        <v>0.21160000000000001</v>
      </c>
      <c r="F169">
        <v>10961433.98</v>
      </c>
      <c r="G169">
        <v>0.21160000000000001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-0.87735849056603565</v>
      </c>
      <c r="Q169">
        <f t="shared" ref="Q169" si="821">F169*P169</f>
        <v>-9617107.1711320523</v>
      </c>
      <c r="R169">
        <f t="shared" ref="R169" si="822">R170+Q169</f>
        <v>-334229196.96590453</v>
      </c>
      <c r="S169">
        <f t="shared" ref="S169" si="823">R169/100000</f>
        <v>-3342.2919696590452</v>
      </c>
      <c r="T169">
        <f t="shared" ref="T169" si="824">S169/1000</f>
        <v>-3.3422919696590454</v>
      </c>
    </row>
    <row r="170" spans="1:20" x14ac:dyDescent="0.25">
      <c r="A170" s="5">
        <v>44423</v>
      </c>
      <c r="B170">
        <v>0.2218</v>
      </c>
      <c r="C170">
        <v>0.22939999999999999</v>
      </c>
      <c r="D170">
        <v>0.2102</v>
      </c>
      <c r="E170">
        <v>0.22040000000000001</v>
      </c>
      <c r="F170">
        <v>10762374.550000001</v>
      </c>
      <c r="G170">
        <v>0.22040000000000001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6.2500000000001804E-2</v>
      </c>
      <c r="Q170">
        <f t="shared" ref="Q170" si="826">F170*P170</f>
        <v>672648.40937501949</v>
      </c>
      <c r="R170">
        <f t="shared" ref="R170" si="827">R171+Q170</f>
        <v>-324612089.79477251</v>
      </c>
      <c r="S170">
        <f t="shared" ref="S170" si="828">R170/100000</f>
        <v>-3246.1208979477251</v>
      </c>
      <c r="T170">
        <f t="shared" ref="T170" si="829">S170/1000</f>
        <v>-3.246120897947725</v>
      </c>
    </row>
    <row r="171" spans="1:20" x14ac:dyDescent="0.25">
      <c r="A171" s="5">
        <v>44422</v>
      </c>
      <c r="B171">
        <v>0.23150000000000001</v>
      </c>
      <c r="C171">
        <v>0.23860000000000001</v>
      </c>
      <c r="D171">
        <v>0.21410000000000001</v>
      </c>
      <c r="E171">
        <v>0.22109999999999999</v>
      </c>
      <c r="F171">
        <v>12403594.84</v>
      </c>
      <c r="G171">
        <v>0.22109999999999999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-0.42857142857143021</v>
      </c>
      <c r="Q171">
        <f t="shared" ref="Q171" si="831">F171*P171</f>
        <v>-5315826.3600000199</v>
      </c>
      <c r="R171">
        <f t="shared" ref="R171" si="832">R172+Q171</f>
        <v>-325284738.20414752</v>
      </c>
      <c r="S171">
        <f t="shared" ref="S171" si="833">R171/100000</f>
        <v>-3252.8473820414752</v>
      </c>
      <c r="T171">
        <f t="shared" ref="T171" si="834">S171/1000</f>
        <v>-3.2528473820414749</v>
      </c>
    </row>
    <row r="172" spans="1:20" x14ac:dyDescent="0.25">
      <c r="A172" s="5">
        <v>44421</v>
      </c>
      <c r="B172">
        <v>0.21479999999999999</v>
      </c>
      <c r="C172">
        <v>0.24010000000000001</v>
      </c>
      <c r="D172">
        <v>0.2135</v>
      </c>
      <c r="E172">
        <v>0.23169999999999999</v>
      </c>
      <c r="F172">
        <v>13893577.43</v>
      </c>
      <c r="G172">
        <v>0.23169999999999999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0.36842105263157787</v>
      </c>
      <c r="Q172">
        <f t="shared" ref="Q172" si="836">F172*P172</f>
        <v>5118686.4215789326</v>
      </c>
      <c r="R172">
        <f t="shared" ref="R172" si="837">R173+Q172</f>
        <v>-319968911.8441475</v>
      </c>
      <c r="S172">
        <f t="shared" ref="S172" si="838">R172/100000</f>
        <v>-3199.6891184414749</v>
      </c>
      <c r="T172">
        <f t="shared" ref="T172" si="839">S172/1000</f>
        <v>-3.1996891184414751</v>
      </c>
    </row>
    <row r="173" spans="1:20" x14ac:dyDescent="0.25">
      <c r="A173" s="5">
        <v>44420</v>
      </c>
      <c r="B173">
        <v>0.20649999999999999</v>
      </c>
      <c r="C173">
        <v>0.251</v>
      </c>
      <c r="D173">
        <v>0.20200000000000001</v>
      </c>
      <c r="E173">
        <v>0.21479999999999999</v>
      </c>
      <c r="F173">
        <v>42975625.700000003</v>
      </c>
      <c r="G173">
        <v>0.21479999999999999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-0.47755102040816405</v>
      </c>
      <c r="Q173">
        <f t="shared" ref="Q173" si="841">F173*P173</f>
        <v>-20523053.905714322</v>
      </c>
      <c r="R173">
        <f t="shared" ref="R173" si="842">R174+Q173</f>
        <v>-325087598.26572645</v>
      </c>
      <c r="S173">
        <f t="shared" ref="S173" si="843">R173/100000</f>
        <v>-3250.8759826572646</v>
      </c>
      <c r="T173">
        <f t="shared" ref="T173" si="844">S173/1000</f>
        <v>-3.2508759826572646</v>
      </c>
    </row>
    <row r="174" spans="1:20" x14ac:dyDescent="0.25">
      <c r="A174" s="5">
        <v>44419</v>
      </c>
      <c r="B174">
        <v>0.20050000000000001</v>
      </c>
      <c r="C174">
        <v>0.22140000000000001</v>
      </c>
      <c r="D174">
        <v>0.19589999999999999</v>
      </c>
      <c r="E174">
        <v>0.20649999999999999</v>
      </c>
      <c r="F174">
        <v>19307871.390000001</v>
      </c>
      <c r="G174">
        <v>0.20649999999999999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-0.16862745098039303</v>
      </c>
      <c r="Q174">
        <f t="shared" ref="Q174" si="846">F174*P174</f>
        <v>-3255837.1363529582</v>
      </c>
      <c r="R174">
        <f t="shared" ref="R174" si="847">R175+Q174</f>
        <v>-304564544.36001211</v>
      </c>
      <c r="S174">
        <f t="shared" ref="S174" si="848">R174/100000</f>
        <v>-3045.6454436001213</v>
      </c>
      <c r="T174">
        <f t="shared" ref="T174" si="849">S174/1000</f>
        <v>-3.0456454436001215</v>
      </c>
    </row>
    <row r="175" spans="1:20" x14ac:dyDescent="0.25">
      <c r="A175" s="5">
        <v>44418</v>
      </c>
      <c r="B175">
        <v>0.21609999999999999</v>
      </c>
      <c r="C175">
        <v>0.2162</v>
      </c>
      <c r="D175">
        <v>0.19059999999999999</v>
      </c>
      <c r="E175">
        <v>0.20050000000000001</v>
      </c>
      <c r="F175">
        <v>13389338.050000001</v>
      </c>
      <c r="G175">
        <v>0.20050000000000001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-0.22656249999999881</v>
      </c>
      <c r="Q175">
        <f t="shared" ref="Q175" si="851">F175*P175</f>
        <v>-3033521.9019531091</v>
      </c>
      <c r="R175">
        <f t="shared" ref="R175" si="852">R176+Q175</f>
        <v>-301308707.22365916</v>
      </c>
      <c r="S175">
        <f t="shared" ref="S175" si="853">R175/100000</f>
        <v>-3013.0870722365917</v>
      </c>
      <c r="T175">
        <f t="shared" ref="T175" si="854">S175/1000</f>
        <v>-3.0130870722365914</v>
      </c>
    </row>
    <row r="176" spans="1:20" x14ac:dyDescent="0.25">
      <c r="A176" s="5">
        <v>44417</v>
      </c>
      <c r="B176">
        <v>0.2054</v>
      </c>
      <c r="C176">
        <v>0.22320000000000001</v>
      </c>
      <c r="D176">
        <v>0.19309999999999999</v>
      </c>
      <c r="E176">
        <v>0.21609999999999999</v>
      </c>
      <c r="F176">
        <v>34580103.420000002</v>
      </c>
      <c r="G176">
        <v>0.21609999999999999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0.528239202657806</v>
      </c>
      <c r="Q176">
        <f t="shared" ref="Q176" si="856">F176*P176</f>
        <v>18266566.258405272</v>
      </c>
      <c r="R176">
        <f t="shared" ref="R176" si="857">R177+Q176</f>
        <v>-298275185.32170606</v>
      </c>
      <c r="S176">
        <f t="shared" ref="S176" si="858">R176/100000</f>
        <v>-2982.7518532170607</v>
      </c>
      <c r="T176">
        <f t="shared" ref="T176" si="859">S176/1000</f>
        <v>-2.9827518532170605</v>
      </c>
    </row>
    <row r="177" spans="1:20" x14ac:dyDescent="0.25">
      <c r="A177" s="5">
        <v>44416</v>
      </c>
      <c r="B177">
        <v>0.18479999999999999</v>
      </c>
      <c r="C177">
        <v>0.23</v>
      </c>
      <c r="D177">
        <v>0.17</v>
      </c>
      <c r="E177">
        <v>0.20569999999999999</v>
      </c>
      <c r="F177">
        <v>38986796.079999998</v>
      </c>
      <c r="G177">
        <v>0.20569999999999999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0.18999999999999945</v>
      </c>
      <c r="Q177">
        <f t="shared" ref="Q177" si="861">F177*P177</f>
        <v>7407491.2551999781</v>
      </c>
      <c r="R177">
        <f t="shared" ref="R177" si="862">R178+Q177</f>
        <v>-316541751.58011132</v>
      </c>
      <c r="S177">
        <f t="shared" ref="S177" si="863">R177/100000</f>
        <v>-3165.417515801113</v>
      </c>
      <c r="T177">
        <f t="shared" ref="T177" si="864">S177/1000</f>
        <v>-3.1654175158011131</v>
      </c>
    </row>
    <row r="178" spans="1:20" x14ac:dyDescent="0.25">
      <c r="A178" s="5">
        <v>44415</v>
      </c>
      <c r="B178">
        <v>0.189</v>
      </c>
      <c r="C178">
        <v>0.19550000000000001</v>
      </c>
      <c r="D178">
        <v>0.17549999999999999</v>
      </c>
      <c r="E178">
        <v>0.18479999999999999</v>
      </c>
      <c r="F178">
        <v>13862478.59</v>
      </c>
      <c r="G178">
        <v>0.18479999999999999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-7.0000000000000562E-2</v>
      </c>
      <c r="Q178">
        <f t="shared" ref="Q178" si="866">F178*P178</f>
        <v>-970373.5013000078</v>
      </c>
      <c r="R178">
        <f t="shared" ref="R178" si="867">R179+Q178</f>
        <v>-323949242.83531129</v>
      </c>
      <c r="S178">
        <f t="shared" ref="S178" si="868">R178/100000</f>
        <v>-3239.4924283531132</v>
      </c>
      <c r="T178">
        <f t="shared" ref="T178" si="869">S178/1000</f>
        <v>-3.2394924283531132</v>
      </c>
    </row>
    <row r="179" spans="1:20" x14ac:dyDescent="0.25">
      <c r="A179" s="5">
        <v>44414</v>
      </c>
      <c r="B179">
        <v>0.17480000000000001</v>
      </c>
      <c r="C179">
        <v>0.20499999999999999</v>
      </c>
      <c r="D179">
        <v>0.16689999999999999</v>
      </c>
      <c r="E179">
        <v>0.18890000000000001</v>
      </c>
      <c r="F179">
        <v>28669920.84</v>
      </c>
      <c r="G179">
        <v>0.18890000000000001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0.1548556430446206</v>
      </c>
      <c r="Q179">
        <f t="shared" ref="Q179" si="871">F179*P179</f>
        <v>4439699.0277165696</v>
      </c>
      <c r="R179">
        <f t="shared" ref="R179" si="872">R180+Q179</f>
        <v>-322978869.33401126</v>
      </c>
      <c r="S179">
        <f t="shared" ref="S179" si="873">R179/100000</f>
        <v>-3229.7886933401128</v>
      </c>
      <c r="T179">
        <f t="shared" ref="T179" si="874">S179/1000</f>
        <v>-3.229788693340113</v>
      </c>
    </row>
    <row r="180" spans="1:20" x14ac:dyDescent="0.25">
      <c r="A180" s="5">
        <v>44413</v>
      </c>
      <c r="B180">
        <v>0.153</v>
      </c>
      <c r="C180">
        <v>0.23799999999999999</v>
      </c>
      <c r="D180">
        <v>0.15049999999999999</v>
      </c>
      <c r="E180">
        <v>0.17449999999999999</v>
      </c>
      <c r="F180">
        <v>68712610.900000006</v>
      </c>
      <c r="G180">
        <v>0.17449999999999999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-0.45142857142857157</v>
      </c>
      <c r="Q180">
        <f t="shared" ref="Q180" si="876">F180*P180</f>
        <v>-31018835.777714297</v>
      </c>
      <c r="R180">
        <f t="shared" ref="R180" si="877">R181+Q180</f>
        <v>-327418568.36172783</v>
      </c>
      <c r="S180">
        <f t="shared" ref="S180" si="878">R180/100000</f>
        <v>-3274.1856836172783</v>
      </c>
      <c r="T180">
        <f t="shared" ref="T180" si="879">S180/1000</f>
        <v>-3.2741856836172785</v>
      </c>
    </row>
    <row r="181" spans="1:20" x14ac:dyDescent="0.25">
      <c r="A181" s="5">
        <v>44412</v>
      </c>
      <c r="B181">
        <v>0.14430000000000001</v>
      </c>
      <c r="C181">
        <v>0.159</v>
      </c>
      <c r="D181">
        <v>0.14330000000000001</v>
      </c>
      <c r="E181">
        <v>0.153</v>
      </c>
      <c r="F181">
        <v>5195315.76</v>
      </c>
      <c r="G181">
        <v>0.153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0.23566878980891612</v>
      </c>
      <c r="Q181">
        <f t="shared" ref="Q181" si="881">F181*P181</f>
        <v>1224373.7778343894</v>
      </c>
      <c r="R181">
        <f t="shared" ref="R181" si="882">R182+Q181</f>
        <v>-296399732.58401352</v>
      </c>
      <c r="S181">
        <f t="shared" ref="S181" si="883">R181/100000</f>
        <v>-2963.9973258401351</v>
      </c>
      <c r="T181">
        <f t="shared" ref="T181" si="884">S181/1000</f>
        <v>-2.9639973258401353</v>
      </c>
    </row>
    <row r="182" spans="1:20" x14ac:dyDescent="0.25">
      <c r="A182" s="5">
        <v>44411</v>
      </c>
      <c r="B182">
        <v>0.14849999999999999</v>
      </c>
      <c r="C182">
        <v>0.15029999999999999</v>
      </c>
      <c r="D182">
        <v>0.14099999999999999</v>
      </c>
      <c r="E182">
        <v>0.14449999999999999</v>
      </c>
      <c r="F182">
        <v>3658863.72</v>
      </c>
      <c r="G182">
        <v>0.14449999999999999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-0.24731182795698881</v>
      </c>
      <c r="Q182">
        <f t="shared" ref="Q182" si="886">F182*P182</f>
        <v>-904880.27483870811</v>
      </c>
      <c r="R182">
        <f t="shared" ref="R182" si="887">R183+Q182</f>
        <v>-297624106.36184794</v>
      </c>
      <c r="S182">
        <f t="shared" ref="S182" si="888">R182/100000</f>
        <v>-2976.2410636184795</v>
      </c>
      <c r="T182">
        <f t="shared" ref="T182" si="889">S182/1000</f>
        <v>-2.9762410636184797</v>
      </c>
    </row>
    <row r="183" spans="1:20" x14ac:dyDescent="0.25">
      <c r="A183" s="5">
        <v>44410</v>
      </c>
      <c r="B183">
        <v>0.1507</v>
      </c>
      <c r="C183">
        <v>0.15260000000000001</v>
      </c>
      <c r="D183">
        <v>0.14380000000000001</v>
      </c>
      <c r="E183">
        <v>0.14849999999999999</v>
      </c>
      <c r="F183">
        <v>2574319.98</v>
      </c>
      <c r="G183">
        <v>0.14849999999999999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6.8181818181813805E-2</v>
      </c>
      <c r="Q183">
        <f t="shared" ref="Q183" si="891">F183*P183</f>
        <v>175521.81681817054</v>
      </c>
      <c r="R183">
        <f t="shared" ref="R183" si="892">R184+Q183</f>
        <v>-296719226.08700925</v>
      </c>
      <c r="S183">
        <f t="shared" ref="S183" si="893">R183/100000</f>
        <v>-2967.1922608700925</v>
      </c>
      <c r="T183">
        <f t="shared" ref="T183" si="894">S183/1000</f>
        <v>-2.9671922608700925</v>
      </c>
    </row>
    <row r="184" spans="1:20" x14ac:dyDescent="0.25">
      <c r="A184" s="5">
        <v>44409</v>
      </c>
      <c r="B184">
        <v>0.15260000000000001</v>
      </c>
      <c r="C184">
        <v>0.1638</v>
      </c>
      <c r="D184">
        <v>0.15</v>
      </c>
      <c r="E184">
        <v>0.15</v>
      </c>
      <c r="F184">
        <v>5320627.63</v>
      </c>
      <c r="G184">
        <v>0.15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-1</v>
      </c>
      <c r="Q184">
        <f t="shared" ref="Q184" si="896">F184*P184</f>
        <v>-5320627.63</v>
      </c>
      <c r="R184">
        <f t="shared" ref="R184" si="897">R185+Q184</f>
        <v>-296894747.90382743</v>
      </c>
      <c r="S184">
        <f t="shared" ref="S184" si="898">R184/100000</f>
        <v>-2968.9474790382742</v>
      </c>
      <c r="T184">
        <f t="shared" ref="T184" si="899">S184/1000</f>
        <v>-2.9689474790382744</v>
      </c>
    </row>
    <row r="185" spans="1:20" x14ac:dyDescent="0.25">
      <c r="A185" s="5">
        <v>44408</v>
      </c>
      <c r="B185">
        <v>0.151</v>
      </c>
      <c r="C185">
        <v>0.16900000000000001</v>
      </c>
      <c r="D185">
        <v>0.1467</v>
      </c>
      <c r="E185">
        <v>0.1525</v>
      </c>
      <c r="F185">
        <v>8061150.1299999999</v>
      </c>
      <c r="G185">
        <v>0.1525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-0.47982062780269097</v>
      </c>
      <c r="Q185">
        <f t="shared" ref="Q185" si="901">F185*P185</f>
        <v>-3867906.1161883441</v>
      </c>
      <c r="R185">
        <f t="shared" ref="R185" si="902">R186+Q185</f>
        <v>-291574120.27382743</v>
      </c>
      <c r="S185">
        <f t="shared" ref="S185" si="903">R185/100000</f>
        <v>-2915.7412027382743</v>
      </c>
      <c r="T185">
        <f t="shared" ref="T185" si="904">S185/1000</f>
        <v>-2.9157412027382743</v>
      </c>
    </row>
    <row r="186" spans="1:20" x14ac:dyDescent="0.25">
      <c r="A186" s="5">
        <v>44407</v>
      </c>
      <c r="B186">
        <v>0.15179999999999999</v>
      </c>
      <c r="C186">
        <v>0.15310000000000001</v>
      </c>
      <c r="D186">
        <v>0.13980000000000001</v>
      </c>
      <c r="E186">
        <v>0.15179999999999999</v>
      </c>
      <c r="F186">
        <v>5421358.1200000001</v>
      </c>
      <c r="G186">
        <v>0.15179999999999999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0.80451127819548529</v>
      </c>
      <c r="Q186">
        <f t="shared" ref="Q186" si="906">F186*P186</f>
        <v>4361543.7506766729</v>
      </c>
      <c r="R186">
        <f t="shared" ref="R186" si="907">R187+Q186</f>
        <v>-287706214.15763909</v>
      </c>
      <c r="S186">
        <f t="shared" ref="S186" si="908">R186/100000</f>
        <v>-2877.0621415763908</v>
      </c>
      <c r="T186">
        <f t="shared" ref="T186" si="909">S186/1000</f>
        <v>-2.8770621415763906</v>
      </c>
    </row>
    <row r="187" spans="1:20" x14ac:dyDescent="0.25">
      <c r="A187" s="5">
        <v>44406</v>
      </c>
      <c r="B187">
        <v>0.14979999999999999</v>
      </c>
      <c r="C187">
        <v>0.15329999999999999</v>
      </c>
      <c r="D187">
        <v>0.1447</v>
      </c>
      <c r="E187">
        <v>0.15190000000000001</v>
      </c>
      <c r="F187">
        <v>4887911.67</v>
      </c>
      <c r="G187">
        <v>0.15190000000000001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0.67441860465116621</v>
      </c>
      <c r="Q187">
        <f t="shared" ref="Q187" si="911">F187*P187</f>
        <v>3296498.5681395517</v>
      </c>
      <c r="R187">
        <f t="shared" ref="R187" si="912">R188+Q187</f>
        <v>-292067757.90831578</v>
      </c>
      <c r="S187">
        <f t="shared" ref="S187" si="913">R187/100000</f>
        <v>-2920.677579083158</v>
      </c>
      <c r="T187">
        <f t="shared" ref="T187" si="914">S187/1000</f>
        <v>-2.9206775790831578</v>
      </c>
    </row>
    <row r="188" spans="1:20" x14ac:dyDescent="0.25">
      <c r="A188" s="5">
        <v>44405</v>
      </c>
      <c r="B188">
        <v>0.15620000000000001</v>
      </c>
      <c r="C188">
        <v>0.16669999999999999</v>
      </c>
      <c r="D188">
        <v>0.14760000000000001</v>
      </c>
      <c r="E188">
        <v>0.1507</v>
      </c>
      <c r="F188">
        <v>8419771.25</v>
      </c>
      <c r="G188">
        <v>0.1507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-0.67539267015706861</v>
      </c>
      <c r="Q188">
        <f t="shared" ref="Q188" si="916">F188*P188</f>
        <v>-5686651.7866492197</v>
      </c>
      <c r="R188">
        <f t="shared" ref="R188" si="917">R189+Q188</f>
        <v>-295364256.47645533</v>
      </c>
      <c r="S188">
        <f t="shared" ref="S188" si="918">R188/100000</f>
        <v>-2953.6425647645533</v>
      </c>
      <c r="T188">
        <f t="shared" ref="T188" si="919">S188/1000</f>
        <v>-2.9536425647645532</v>
      </c>
    </row>
    <row r="189" spans="1:20" x14ac:dyDescent="0.25">
      <c r="A189" s="5">
        <v>44404</v>
      </c>
      <c r="B189">
        <v>0.158</v>
      </c>
      <c r="C189">
        <v>0.17499999999999999</v>
      </c>
      <c r="D189">
        <v>0.1482</v>
      </c>
      <c r="E189">
        <v>0.15620000000000001</v>
      </c>
      <c r="F189">
        <v>17508677.899999999</v>
      </c>
      <c r="G189">
        <v>0.15620000000000001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-0.40298507462686495</v>
      </c>
      <c r="Q189">
        <f t="shared" ref="Q189" si="921">F189*P189</f>
        <v>-7055735.8701492408</v>
      </c>
      <c r="R189">
        <f t="shared" ref="R189" si="922">R190+Q189</f>
        <v>-289677604.6898061</v>
      </c>
      <c r="S189">
        <f t="shared" ref="S189" si="923">R189/100000</f>
        <v>-2896.7760468980609</v>
      </c>
      <c r="T189">
        <f t="shared" ref="T189" si="924">S189/1000</f>
        <v>-2.896776046898061</v>
      </c>
    </row>
    <row r="190" spans="1:20" x14ac:dyDescent="0.25">
      <c r="A190" s="5">
        <v>44403</v>
      </c>
      <c r="B190">
        <v>0.1885</v>
      </c>
      <c r="C190">
        <v>0.21</v>
      </c>
      <c r="D190">
        <v>0.155</v>
      </c>
      <c r="E190">
        <v>0.158</v>
      </c>
      <c r="F190">
        <v>82148956.200000003</v>
      </c>
      <c r="G190">
        <v>0.158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-0.89090909090909076</v>
      </c>
      <c r="Q190">
        <f t="shared" ref="Q190" si="926">F190*P190</f>
        <v>-73187251.887272716</v>
      </c>
      <c r="R190">
        <f t="shared" ref="R190" si="927">R191+Q190</f>
        <v>-282621868.81965685</v>
      </c>
      <c r="S190">
        <f t="shared" ref="S190" si="928">R190/100000</f>
        <v>-2826.2186881965686</v>
      </c>
      <c r="T190">
        <f t="shared" ref="T190" si="929">S190/1000</f>
        <v>-2.8262186881965685</v>
      </c>
    </row>
    <row r="191" spans="1:20" x14ac:dyDescent="0.25">
      <c r="A191" s="5">
        <v>44402</v>
      </c>
      <c r="B191">
        <v>0.13400000000000001</v>
      </c>
      <c r="C191">
        <v>0.26</v>
      </c>
      <c r="D191">
        <v>0.12640000000000001</v>
      </c>
      <c r="E191">
        <v>0.18820000000000001</v>
      </c>
      <c r="F191">
        <v>157696191.05000001</v>
      </c>
      <c r="G191">
        <v>0.18820000000000001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-7.4850299401197667E-2</v>
      </c>
      <c r="Q191">
        <f t="shared" ref="Q191" si="931">F191*P191</f>
        <v>-11803607.114520969</v>
      </c>
      <c r="R191">
        <f t="shared" ref="R191" si="932">R192+Q191</f>
        <v>-209434616.93238413</v>
      </c>
      <c r="S191">
        <f t="shared" ref="S191" si="933">R191/100000</f>
        <v>-2094.3461693238414</v>
      </c>
      <c r="T191">
        <f t="shared" ref="T191:T197" si="934">S191/1000</f>
        <v>-2.0943461693238414</v>
      </c>
    </row>
    <row r="192" spans="1:20" x14ac:dyDescent="0.25">
      <c r="A192" s="5">
        <v>44401</v>
      </c>
      <c r="B192">
        <v>0.13020000000000001</v>
      </c>
      <c r="C192">
        <v>0.1376</v>
      </c>
      <c r="D192">
        <v>0.12590000000000001</v>
      </c>
      <c r="E192">
        <v>0.13400000000000001</v>
      </c>
      <c r="F192">
        <v>4257384.38</v>
      </c>
      <c r="G192">
        <v>0.13400000000000001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0.38461538461538536</v>
      </c>
      <c r="Q192">
        <f t="shared" ref="Q192" si="936">F192*P192</f>
        <v>1637455.5307692338</v>
      </c>
      <c r="R192">
        <f t="shared" ref="R192" si="937">R193+Q192</f>
        <v>-197631009.81786317</v>
      </c>
      <c r="S192">
        <f t="shared" ref="S192" si="938">R192/100000</f>
        <v>-1976.3100981786317</v>
      </c>
      <c r="T192">
        <f t="shared" si="934"/>
        <v>-1.9763100981786317</v>
      </c>
    </row>
    <row r="193" spans="1:20" x14ac:dyDescent="0.25">
      <c r="A193" s="5">
        <v>44400</v>
      </c>
      <c r="B193">
        <v>0.13189999999999999</v>
      </c>
      <c r="C193">
        <v>0.14849999999999999</v>
      </c>
      <c r="D193">
        <v>0.12429999999999999</v>
      </c>
      <c r="E193">
        <v>0.13020000000000001</v>
      </c>
      <c r="F193">
        <v>10679039.07</v>
      </c>
      <c r="G193">
        <v>0.13020000000000001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-0.51239669421487466</v>
      </c>
      <c r="Q193">
        <f t="shared" ref="Q193" si="940">F193*P193</f>
        <v>-5471904.3168594893</v>
      </c>
      <c r="R193">
        <f t="shared" ref="R193" si="941">R194+Q193</f>
        <v>-199268465.3486324</v>
      </c>
      <c r="S193">
        <f t="shared" ref="S193" si="942">R193/100000</f>
        <v>-1992.6846534863239</v>
      </c>
      <c r="T193">
        <f t="shared" si="934"/>
        <v>-1.9926846534863238</v>
      </c>
    </row>
    <row r="194" spans="1:20" x14ac:dyDescent="0.25">
      <c r="A194" s="5">
        <v>44399</v>
      </c>
      <c r="B194">
        <v>0.12189999999999999</v>
      </c>
      <c r="C194">
        <v>0.13320000000000001</v>
      </c>
      <c r="D194">
        <v>0.11749999999999999</v>
      </c>
      <c r="E194">
        <v>0.13189999999999999</v>
      </c>
      <c r="F194">
        <v>3235744.39</v>
      </c>
      <c r="G194">
        <v>0.13189999999999999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0.83439490445859599</v>
      </c>
      <c r="Q194">
        <f t="shared" ref="Q194" si="944">F194*P194</f>
        <v>2699888.6311464882</v>
      </c>
      <c r="R194">
        <f t="shared" ref="R194" si="945">R195+Q194</f>
        <v>-193796561.03177291</v>
      </c>
      <c r="S194">
        <f t="shared" ref="S194" si="946">R194/100000</f>
        <v>-1937.9656103177292</v>
      </c>
      <c r="T194">
        <f t="shared" si="934"/>
        <v>-1.9379656103177292</v>
      </c>
    </row>
    <row r="195" spans="1:20" x14ac:dyDescent="0.25">
      <c r="A195" s="5">
        <v>44398</v>
      </c>
      <c r="B195">
        <v>0.107</v>
      </c>
      <c r="C195">
        <v>0.12759999999999999</v>
      </c>
      <c r="D195">
        <v>0.105</v>
      </c>
      <c r="E195">
        <v>0.122</v>
      </c>
      <c r="F195">
        <v>3851271</v>
      </c>
      <c r="G195">
        <v>0.122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0.5044247787610624</v>
      </c>
      <c r="Q195">
        <f t="shared" ref="Q195" si="948">F195*P195</f>
        <v>1942676.5221238956</v>
      </c>
      <c r="R195">
        <f t="shared" ref="R195" si="949">R196+Q195</f>
        <v>-196496449.6629194</v>
      </c>
      <c r="S195">
        <f t="shared" ref="S195" si="950">R195/100000</f>
        <v>-1964.9644966291939</v>
      </c>
      <c r="T195">
        <f t="shared" si="934"/>
        <v>-1.9649644966291939</v>
      </c>
    </row>
    <row r="196" spans="1:20" x14ac:dyDescent="0.25">
      <c r="A196" s="5">
        <v>44397</v>
      </c>
      <c r="B196">
        <v>0.1123</v>
      </c>
      <c r="C196">
        <v>0.1134</v>
      </c>
      <c r="D196">
        <v>0.1014</v>
      </c>
      <c r="E196">
        <v>0.1066</v>
      </c>
      <c r="F196">
        <v>1889640.24</v>
      </c>
      <c r="G196">
        <v>0.1066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-0.13333333333333372</v>
      </c>
      <c r="Q196">
        <f t="shared" ref="Q196" si="952">F196*P196</f>
        <v>-251952.03200000073</v>
      </c>
      <c r="R196">
        <f t="shared" ref="R196" si="953">R197+Q196</f>
        <v>-198439126.18504331</v>
      </c>
      <c r="S196">
        <f t="shared" ref="S196" si="954">R196/100000</f>
        <v>-1984.391261850433</v>
      </c>
      <c r="T196">
        <f t="shared" si="934"/>
        <v>-1.9843912618504329</v>
      </c>
    </row>
    <row r="197" spans="1:20" x14ac:dyDescent="0.25">
      <c r="A197" s="5">
        <v>44396</v>
      </c>
      <c r="B197">
        <v>0.123</v>
      </c>
      <c r="C197">
        <v>0.1235</v>
      </c>
      <c r="D197">
        <v>0.1106</v>
      </c>
      <c r="E197">
        <v>0.1124</v>
      </c>
      <c r="F197">
        <v>1846617.7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-0.72093023255814004</v>
      </c>
      <c r="Q197">
        <f t="shared" ref="Q197" si="956">F197*P197</f>
        <v>-1331282.5279069776</v>
      </c>
      <c r="R197">
        <f t="shared" ref="R197" si="957">R198+Q197</f>
        <v>-198187174.1530433</v>
      </c>
      <c r="S197">
        <f t="shared" ref="S197" si="958">R197/100000</f>
        <v>-1981.8717415304329</v>
      </c>
      <c r="T197">
        <f t="shared" si="934"/>
        <v>-1.981871741530433</v>
      </c>
    </row>
    <row r="198" spans="1:20" x14ac:dyDescent="0.25">
      <c r="A198" s="5">
        <v>44395</v>
      </c>
      <c r="B198">
        <v>0.1174</v>
      </c>
      <c r="C198">
        <v>0.12640000000000001</v>
      </c>
      <c r="D198">
        <v>0.1173</v>
      </c>
      <c r="E198">
        <v>0.123</v>
      </c>
      <c r="F198">
        <v>2350247.64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0.25274725274725052</v>
      </c>
      <c r="Q198">
        <f t="shared" ref="Q198:Q261" si="960">F198*P198</f>
        <v>594018.63428570912</v>
      </c>
      <c r="R198">
        <f t="shared" ref="R198:R261" si="961">R199+Q198</f>
        <v>-196855891.62513632</v>
      </c>
      <c r="S198">
        <f t="shared" ref="S198:S261" si="962">R198/100000</f>
        <v>-1968.5589162513631</v>
      </c>
      <c r="T198">
        <f t="shared" ref="T198:T261" si="963">S198/1000</f>
        <v>-1.968558916251363</v>
      </c>
    </row>
    <row r="199" spans="1:20" x14ac:dyDescent="0.25">
      <c r="A199" s="5">
        <v>44394</v>
      </c>
      <c r="B199">
        <v>0.12039999999999999</v>
      </c>
      <c r="C199">
        <v>0.1215</v>
      </c>
      <c r="D199">
        <v>0.1159</v>
      </c>
      <c r="E199">
        <v>0.1174</v>
      </c>
      <c r="F199">
        <v>1331341.07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-0.46428571428571325</v>
      </c>
      <c r="Q199">
        <f t="shared" si="960"/>
        <v>-618122.63964285573</v>
      </c>
      <c r="R199">
        <f t="shared" si="961"/>
        <v>-197449910.25942203</v>
      </c>
      <c r="S199">
        <f t="shared" si="962"/>
        <v>-1974.4991025942204</v>
      </c>
      <c r="T199">
        <f t="shared" si="963"/>
        <v>-1.9744991025942205</v>
      </c>
    </row>
    <row r="200" spans="1:20" x14ac:dyDescent="0.25">
      <c r="A200" s="5">
        <v>44393</v>
      </c>
      <c r="B200">
        <v>0.1293</v>
      </c>
      <c r="C200">
        <v>0.12989999999999999</v>
      </c>
      <c r="D200">
        <v>0.12</v>
      </c>
      <c r="E200">
        <v>0.1203</v>
      </c>
      <c r="F200">
        <v>1979351.66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-0.93939393939393756</v>
      </c>
      <c r="Q200">
        <f t="shared" si="960"/>
        <v>-1859390.9533333296</v>
      </c>
      <c r="R200">
        <f t="shared" si="961"/>
        <v>-196831787.61977917</v>
      </c>
      <c r="S200">
        <f t="shared" si="962"/>
        <v>-1968.3178761977917</v>
      </c>
      <c r="T200">
        <f t="shared" si="963"/>
        <v>-1.9683178761977917</v>
      </c>
    </row>
    <row r="201" spans="1:20" x14ac:dyDescent="0.25">
      <c r="A201" s="5">
        <v>44392</v>
      </c>
      <c r="B201">
        <v>0.14000000000000001</v>
      </c>
      <c r="C201">
        <v>0.14000000000000001</v>
      </c>
      <c r="D201">
        <v>0.1258</v>
      </c>
      <c r="E201">
        <v>0.129</v>
      </c>
      <c r="F201">
        <v>5541128.0899999999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-0.5492957746478867</v>
      </c>
      <c r="Q201">
        <f t="shared" si="960"/>
        <v>-3043718.2466197149</v>
      </c>
      <c r="R201">
        <f t="shared" si="961"/>
        <v>-194972396.66644585</v>
      </c>
      <c r="S201">
        <f t="shared" si="962"/>
        <v>-1949.7239666644584</v>
      </c>
      <c r="T201">
        <f t="shared" si="963"/>
        <v>-1.9497239666644584</v>
      </c>
    </row>
    <row r="202" spans="1:20" x14ac:dyDescent="0.25">
      <c r="A202" s="5">
        <v>44391</v>
      </c>
      <c r="B202">
        <v>0.12939999999999999</v>
      </c>
      <c r="C202">
        <v>0.16800000000000001</v>
      </c>
      <c r="D202">
        <v>0.1275</v>
      </c>
      <c r="E202">
        <v>0.1406</v>
      </c>
      <c r="F202">
        <v>14136374.859999999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-0.35308641975308652</v>
      </c>
      <c r="Q202">
        <f t="shared" si="960"/>
        <v>-4991361.9876049394</v>
      </c>
      <c r="R202">
        <f t="shared" si="961"/>
        <v>-191928678.41982615</v>
      </c>
      <c r="S202">
        <f t="shared" si="962"/>
        <v>-1919.2867841982616</v>
      </c>
      <c r="T202">
        <f t="shared" si="963"/>
        <v>-1.9192867841982615</v>
      </c>
    </row>
    <row r="203" spans="1:20" x14ac:dyDescent="0.25">
      <c r="A203" s="5">
        <v>44390</v>
      </c>
      <c r="B203">
        <v>0.12690000000000001</v>
      </c>
      <c r="C203">
        <v>0.13500000000000001</v>
      </c>
      <c r="D203">
        <v>0.1245</v>
      </c>
      <c r="E203">
        <v>0.129</v>
      </c>
      <c r="F203">
        <v>1498592.05</v>
      </c>
      <c r="G203">
        <v>0</v>
      </c>
      <c r="L203" t="s">
        <v>8</v>
      </c>
      <c r="M203" t="s">
        <v>7</v>
      </c>
      <c r="N203" t="s">
        <v>7</v>
      </c>
      <c r="P203">
        <f t="shared" si="959"/>
        <v>-0.14285714285714285</v>
      </c>
      <c r="Q203">
        <f t="shared" si="960"/>
        <v>-214084.57857142857</v>
      </c>
      <c r="R203">
        <f t="shared" si="961"/>
        <v>-186937316.4322212</v>
      </c>
      <c r="S203">
        <f t="shared" si="962"/>
        <v>-1869.373164322212</v>
      </c>
      <c r="T203">
        <f t="shared" si="963"/>
        <v>-1.869373164322212</v>
      </c>
    </row>
    <row r="204" spans="1:20" x14ac:dyDescent="0.25">
      <c r="A204" s="5">
        <v>44389</v>
      </c>
      <c r="B204">
        <v>0.13239999999999999</v>
      </c>
      <c r="C204">
        <v>0.13300000000000001</v>
      </c>
      <c r="D204">
        <v>0.1244</v>
      </c>
      <c r="E204">
        <v>0.12659999999999999</v>
      </c>
      <c r="F204">
        <v>1227273.2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-0.4883720930232579</v>
      </c>
      <c r="Q204">
        <f t="shared" si="960"/>
        <v>-599365.98139535135</v>
      </c>
      <c r="R204">
        <f t="shared" si="961"/>
        <v>-186723231.85364977</v>
      </c>
      <c r="S204">
        <f t="shared" si="962"/>
        <v>-1867.2323185364976</v>
      </c>
      <c r="T204">
        <f t="shared" si="963"/>
        <v>-1.8672323185364976</v>
      </c>
    </row>
    <row r="205" spans="1:20" x14ac:dyDescent="0.25">
      <c r="A205" s="5">
        <v>44388</v>
      </c>
      <c r="B205">
        <v>0.13</v>
      </c>
      <c r="C205">
        <v>0.13869999999999999</v>
      </c>
      <c r="D205">
        <v>0.12690000000000001</v>
      </c>
      <c r="E205">
        <v>0.1321</v>
      </c>
      <c r="F205">
        <v>1208055.45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-0.11864406779661145</v>
      </c>
      <c r="Q205">
        <f t="shared" si="960"/>
        <v>-143328.61271186595</v>
      </c>
      <c r="R205">
        <f t="shared" si="961"/>
        <v>-186123865.8722544</v>
      </c>
      <c r="S205">
        <f t="shared" si="962"/>
        <v>-1861.238658722544</v>
      </c>
      <c r="T205">
        <f t="shared" si="963"/>
        <v>-1.861238658722544</v>
      </c>
    </row>
    <row r="206" spans="1:20" x14ac:dyDescent="0.25">
      <c r="A206" s="5">
        <v>44387</v>
      </c>
      <c r="B206">
        <v>0.13320000000000001</v>
      </c>
      <c r="C206">
        <v>0.1396</v>
      </c>
      <c r="D206">
        <v>0.129</v>
      </c>
      <c r="E206">
        <v>0.13</v>
      </c>
      <c r="F206">
        <v>1648073.34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-0.81132075471698095</v>
      </c>
      <c r="Q206">
        <f t="shared" si="960"/>
        <v>-1337116.1060377357</v>
      </c>
      <c r="R206">
        <f t="shared" si="961"/>
        <v>-185980537.25954252</v>
      </c>
      <c r="S206">
        <f t="shared" si="962"/>
        <v>-1859.8053725954253</v>
      </c>
      <c r="T206">
        <f t="shared" si="963"/>
        <v>-1.8598053725954253</v>
      </c>
    </row>
    <row r="207" spans="1:20" x14ac:dyDescent="0.25">
      <c r="A207" s="5">
        <v>44386</v>
      </c>
      <c r="B207">
        <v>0.13370000000000001</v>
      </c>
      <c r="C207">
        <v>0.13950000000000001</v>
      </c>
      <c r="D207">
        <v>0.128</v>
      </c>
      <c r="E207">
        <v>0.1336</v>
      </c>
      <c r="F207">
        <v>1583021.81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-2.6086956521741061E-2</v>
      </c>
      <c r="Q207">
        <f t="shared" si="960"/>
        <v>-41296.221130437843</v>
      </c>
      <c r="R207">
        <f t="shared" si="961"/>
        <v>-184643421.15350479</v>
      </c>
      <c r="S207">
        <f t="shared" si="962"/>
        <v>-1846.4342115350478</v>
      </c>
      <c r="T207">
        <f t="shared" si="963"/>
        <v>-1.8464342115350478</v>
      </c>
    </row>
    <row r="208" spans="1:20" x14ac:dyDescent="0.25">
      <c r="A208" s="5">
        <v>44385</v>
      </c>
      <c r="B208">
        <v>0.14779999999999999</v>
      </c>
      <c r="C208">
        <v>0.1492</v>
      </c>
      <c r="D208">
        <v>0.13120000000000001</v>
      </c>
      <c r="E208">
        <v>0.13370000000000001</v>
      </c>
      <c r="F208">
        <v>1816558.12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-0.72222222222222177</v>
      </c>
      <c r="Q208">
        <f t="shared" si="960"/>
        <v>-1311958.6422222215</v>
      </c>
      <c r="R208">
        <f t="shared" si="961"/>
        <v>-184602124.93237436</v>
      </c>
      <c r="S208">
        <f t="shared" si="962"/>
        <v>-1846.0212493237436</v>
      </c>
      <c r="T208">
        <f t="shared" si="963"/>
        <v>-1.8460212493237436</v>
      </c>
    </row>
    <row r="209" spans="1:20" x14ac:dyDescent="0.25">
      <c r="A209" s="5">
        <v>44384</v>
      </c>
      <c r="B209">
        <v>0.14130000000000001</v>
      </c>
      <c r="C209">
        <v>0.15609999999999999</v>
      </c>
      <c r="D209">
        <v>0.13719999999999999</v>
      </c>
      <c r="E209">
        <v>0.14729999999999999</v>
      </c>
      <c r="F209">
        <v>3784978.92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6.8783068783068543E-2</v>
      </c>
      <c r="Q209">
        <f t="shared" si="960"/>
        <v>260342.4653968245</v>
      </c>
      <c r="R209">
        <f t="shared" si="961"/>
        <v>-183290166.29015213</v>
      </c>
      <c r="S209">
        <f t="shared" si="962"/>
        <v>-1832.9016629015214</v>
      </c>
      <c r="T209">
        <f t="shared" si="963"/>
        <v>-1.8329016629015213</v>
      </c>
    </row>
    <row r="210" spans="1:20" x14ac:dyDescent="0.25">
      <c r="A210" s="5">
        <v>44383</v>
      </c>
      <c r="B210">
        <v>0.13550000000000001</v>
      </c>
      <c r="C210">
        <v>0.14269999999999999</v>
      </c>
      <c r="D210">
        <v>0.13450000000000001</v>
      </c>
      <c r="E210">
        <v>0.14130000000000001</v>
      </c>
      <c r="F210">
        <v>2344300.94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0.6585365853658568</v>
      </c>
      <c r="Q210">
        <f t="shared" si="960"/>
        <v>1543807.9360975684</v>
      </c>
      <c r="R210">
        <f t="shared" si="961"/>
        <v>-183550508.75554895</v>
      </c>
      <c r="S210">
        <f t="shared" si="962"/>
        <v>-1835.5050875554896</v>
      </c>
      <c r="T210">
        <f t="shared" si="963"/>
        <v>-1.8355050875554897</v>
      </c>
    </row>
    <row r="211" spans="1:20" x14ac:dyDescent="0.25">
      <c r="A211" s="5">
        <v>44382</v>
      </c>
      <c r="B211">
        <v>0.1406</v>
      </c>
      <c r="C211">
        <v>0.14299999999999999</v>
      </c>
      <c r="D211">
        <v>0.13139999999999999</v>
      </c>
      <c r="E211">
        <v>0.13550000000000001</v>
      </c>
      <c r="F211">
        <v>2238893.92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-0.29310344827585855</v>
      </c>
      <c r="Q211">
        <f t="shared" si="960"/>
        <v>-656227.52827585419</v>
      </c>
      <c r="R211">
        <f t="shared" si="961"/>
        <v>-185094316.69164652</v>
      </c>
      <c r="S211">
        <f t="shared" si="962"/>
        <v>-1850.9431669164651</v>
      </c>
      <c r="T211">
        <f t="shared" si="963"/>
        <v>-1.8509431669164651</v>
      </c>
    </row>
    <row r="212" spans="1:20" x14ac:dyDescent="0.25">
      <c r="A212" s="5">
        <v>44381</v>
      </c>
      <c r="B212">
        <v>0.13730000000000001</v>
      </c>
      <c r="C212">
        <v>0.1439</v>
      </c>
      <c r="D212">
        <v>0.13469999999999999</v>
      </c>
      <c r="E212">
        <v>0.1406</v>
      </c>
      <c r="F212">
        <v>2124961.64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0.28260869565217556</v>
      </c>
      <c r="Q212">
        <f t="shared" si="960"/>
        <v>600532.63739130786</v>
      </c>
      <c r="R212">
        <f t="shared" si="961"/>
        <v>-184438089.16337067</v>
      </c>
      <c r="S212">
        <f t="shared" si="962"/>
        <v>-1844.3808916337066</v>
      </c>
      <c r="T212">
        <f t="shared" si="963"/>
        <v>-1.8443808916337066</v>
      </c>
    </row>
    <row r="213" spans="1:20" x14ac:dyDescent="0.25">
      <c r="A213" s="5">
        <v>44380</v>
      </c>
      <c r="B213">
        <v>0.1368</v>
      </c>
      <c r="C213">
        <v>0.14130000000000001</v>
      </c>
      <c r="D213">
        <v>0.1328</v>
      </c>
      <c r="E213">
        <v>0.13800000000000001</v>
      </c>
      <c r="F213">
        <v>2064205.93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0.2235294117647072</v>
      </c>
      <c r="Q213">
        <f t="shared" si="960"/>
        <v>461410.73729412036</v>
      </c>
      <c r="R213">
        <f t="shared" si="961"/>
        <v>-185038621.80076197</v>
      </c>
      <c r="S213">
        <f t="shared" si="962"/>
        <v>-1850.3862180076196</v>
      </c>
      <c r="T213">
        <f t="shared" si="963"/>
        <v>-1.8503862180076196</v>
      </c>
    </row>
    <row r="214" spans="1:20" x14ac:dyDescent="0.25">
      <c r="A214" s="5">
        <v>44379</v>
      </c>
      <c r="B214">
        <v>0.13120000000000001</v>
      </c>
      <c r="C214">
        <v>0.14960000000000001</v>
      </c>
      <c r="D214">
        <v>0.1275</v>
      </c>
      <c r="E214">
        <v>0.1366</v>
      </c>
      <c r="F214">
        <v>4666253.04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-0.17647058823529471</v>
      </c>
      <c r="Q214">
        <f t="shared" si="960"/>
        <v>-823456.41882353218</v>
      </c>
      <c r="R214">
        <f t="shared" si="961"/>
        <v>-185500032.53805608</v>
      </c>
      <c r="S214">
        <f t="shared" si="962"/>
        <v>-1855.0003253805608</v>
      </c>
      <c r="T214">
        <f t="shared" si="963"/>
        <v>-1.8550003253805607</v>
      </c>
    </row>
    <row r="215" spans="1:20" x14ac:dyDescent="0.25">
      <c r="A215" s="5">
        <v>44378</v>
      </c>
      <c r="B215">
        <v>0.13619999999999999</v>
      </c>
      <c r="C215">
        <v>0.14000000000000001</v>
      </c>
      <c r="D215">
        <v>0.12909999999999999</v>
      </c>
      <c r="E215">
        <v>0.13109999999999999</v>
      </c>
      <c r="F215">
        <v>2758721.11</v>
      </c>
      <c r="G215">
        <v>0</v>
      </c>
      <c r="L215" t="s">
        <v>8</v>
      </c>
      <c r="M215" t="s">
        <v>7</v>
      </c>
      <c r="N215" t="s">
        <v>7</v>
      </c>
      <c r="P215">
        <f t="shared" si="959"/>
        <v>-0.63302752293578024</v>
      </c>
      <c r="Q215">
        <f t="shared" si="960"/>
        <v>-1746346.3907339461</v>
      </c>
      <c r="R215">
        <f t="shared" si="961"/>
        <v>-184676576.11923254</v>
      </c>
      <c r="S215">
        <f t="shared" si="962"/>
        <v>-1846.7657611923253</v>
      </c>
      <c r="T215">
        <f t="shared" si="963"/>
        <v>-1.8467657611923252</v>
      </c>
    </row>
    <row r="216" spans="1:20" x14ac:dyDescent="0.25">
      <c r="A216" s="5">
        <v>44377</v>
      </c>
      <c r="B216">
        <v>0.13170000000000001</v>
      </c>
      <c r="C216">
        <v>0.13919999999999999</v>
      </c>
      <c r="D216">
        <v>0.1244</v>
      </c>
      <c r="E216">
        <v>0.1363</v>
      </c>
      <c r="F216">
        <v>2452106.64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0.60810810810810989</v>
      </c>
      <c r="Q216">
        <f t="shared" si="960"/>
        <v>1491145.9297297341</v>
      </c>
      <c r="R216">
        <f t="shared" si="961"/>
        <v>-182930229.72849858</v>
      </c>
      <c r="S216">
        <f t="shared" si="962"/>
        <v>-1829.3022972849858</v>
      </c>
      <c r="T216">
        <f t="shared" si="963"/>
        <v>-1.8293022972849857</v>
      </c>
    </row>
    <row r="217" spans="1:20" x14ac:dyDescent="0.25">
      <c r="A217" s="5">
        <v>44376</v>
      </c>
      <c r="B217">
        <v>0.12859999999999999</v>
      </c>
      <c r="C217">
        <v>0.13900000000000001</v>
      </c>
      <c r="D217">
        <v>0.1275</v>
      </c>
      <c r="E217">
        <v>0.13189999999999999</v>
      </c>
      <c r="F217">
        <v>2565311.96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-0.23478260869565507</v>
      </c>
      <c r="Q217">
        <f t="shared" si="960"/>
        <v>-602290.63408696395</v>
      </c>
      <c r="R217">
        <f t="shared" si="961"/>
        <v>-184421375.65822831</v>
      </c>
      <c r="S217">
        <f t="shared" si="962"/>
        <v>-1844.2137565822832</v>
      </c>
      <c r="T217">
        <f t="shared" si="963"/>
        <v>-1.8442137565822831</v>
      </c>
    </row>
    <row r="218" spans="1:20" x14ac:dyDescent="0.25">
      <c r="A218" s="5">
        <v>44375</v>
      </c>
      <c r="B218">
        <v>0.12720000000000001</v>
      </c>
      <c r="C218">
        <v>0.13350000000000001</v>
      </c>
      <c r="D218">
        <v>0.12540000000000001</v>
      </c>
      <c r="E218">
        <v>0.12859999999999999</v>
      </c>
      <c r="F218">
        <v>3254824.84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-0.20987654320988094</v>
      </c>
      <c r="Q218">
        <f t="shared" si="960"/>
        <v>-683111.38617285376</v>
      </c>
      <c r="R218">
        <f t="shared" si="961"/>
        <v>-183819085.02414134</v>
      </c>
      <c r="S218">
        <f t="shared" si="962"/>
        <v>-1838.1908502414135</v>
      </c>
      <c r="T218">
        <f t="shared" si="963"/>
        <v>-1.8381908502414135</v>
      </c>
    </row>
    <row r="219" spans="1:20" x14ac:dyDescent="0.25">
      <c r="A219" s="5">
        <v>44374</v>
      </c>
      <c r="B219">
        <v>0.12379999999999999</v>
      </c>
      <c r="C219">
        <v>0.1366</v>
      </c>
      <c r="D219">
        <v>0.1201</v>
      </c>
      <c r="E219">
        <v>0.1278</v>
      </c>
      <c r="F219">
        <v>3525938.02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-6.6666666666666888E-2</v>
      </c>
      <c r="Q219">
        <f t="shared" si="960"/>
        <v>-235062.53466666746</v>
      </c>
      <c r="R219">
        <f t="shared" si="961"/>
        <v>-183135973.63796848</v>
      </c>
      <c r="S219">
        <f t="shared" si="962"/>
        <v>-1831.3597363796848</v>
      </c>
      <c r="T219">
        <f t="shared" si="963"/>
        <v>-1.8313597363796847</v>
      </c>
    </row>
    <row r="220" spans="1:20" x14ac:dyDescent="0.25">
      <c r="A220" s="5">
        <v>44373</v>
      </c>
      <c r="B220">
        <v>0.1255</v>
      </c>
      <c r="C220">
        <v>0.13</v>
      </c>
      <c r="D220">
        <v>0.11890000000000001</v>
      </c>
      <c r="E220">
        <v>0.1242</v>
      </c>
      <c r="F220">
        <v>2593183.09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-4.5045045045045091E-2</v>
      </c>
      <c r="Q220">
        <f t="shared" si="960"/>
        <v>-116810.04909909921</v>
      </c>
      <c r="R220">
        <f t="shared" si="961"/>
        <v>-182900911.10330182</v>
      </c>
      <c r="S220">
        <f t="shared" si="962"/>
        <v>-1829.0091110330181</v>
      </c>
      <c r="T220">
        <f t="shared" si="963"/>
        <v>-1.8290091110330182</v>
      </c>
    </row>
    <row r="221" spans="1:20" x14ac:dyDescent="0.25">
      <c r="A221" s="5">
        <v>44372</v>
      </c>
      <c r="B221">
        <v>0.1386</v>
      </c>
      <c r="C221">
        <v>0.1426</v>
      </c>
      <c r="D221">
        <v>0.12509999999999999</v>
      </c>
      <c r="E221">
        <v>0.1255</v>
      </c>
      <c r="F221">
        <v>2639217.5299999998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-0.95428571428571307</v>
      </c>
      <c r="Q221">
        <f t="shared" si="960"/>
        <v>-2518567.5857714252</v>
      </c>
      <c r="R221">
        <f t="shared" si="961"/>
        <v>-182784101.05420274</v>
      </c>
      <c r="S221">
        <f t="shared" si="962"/>
        <v>-1827.8410105420273</v>
      </c>
      <c r="T221">
        <f t="shared" si="963"/>
        <v>-1.8278410105420273</v>
      </c>
    </row>
    <row r="222" spans="1:20" x14ac:dyDescent="0.25">
      <c r="A222" s="5">
        <v>44371</v>
      </c>
      <c r="B222">
        <v>0.13950000000000001</v>
      </c>
      <c r="C222">
        <v>0.15840000000000001</v>
      </c>
      <c r="D222">
        <v>0.13189999999999999</v>
      </c>
      <c r="E222">
        <v>0.13789999999999999</v>
      </c>
      <c r="F222">
        <v>2828737.44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-0.54716981132075471</v>
      </c>
      <c r="Q222">
        <f t="shared" si="960"/>
        <v>-1547799.7313207546</v>
      </c>
      <c r="R222">
        <f t="shared" si="961"/>
        <v>-180265533.46843132</v>
      </c>
      <c r="S222">
        <f t="shared" si="962"/>
        <v>-1802.6553346843132</v>
      </c>
      <c r="T222">
        <f t="shared" si="963"/>
        <v>-1.8026553346843133</v>
      </c>
    </row>
    <row r="223" spans="1:20" x14ac:dyDescent="0.25">
      <c r="A223" s="5">
        <v>44370</v>
      </c>
      <c r="B223">
        <v>0.1333</v>
      </c>
      <c r="C223">
        <v>0.1482</v>
      </c>
      <c r="D223">
        <v>0.12790000000000001</v>
      </c>
      <c r="E223">
        <v>0.13950000000000001</v>
      </c>
      <c r="F223">
        <v>2842569.74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0.14285714285714363</v>
      </c>
      <c r="Q223">
        <f t="shared" si="960"/>
        <v>406081.39142857364</v>
      </c>
      <c r="R223">
        <f t="shared" si="961"/>
        <v>-178717733.73711056</v>
      </c>
      <c r="S223">
        <f t="shared" si="962"/>
        <v>-1787.1773373711055</v>
      </c>
      <c r="T223">
        <f t="shared" si="963"/>
        <v>-1.7871773373711055</v>
      </c>
    </row>
    <row r="224" spans="1:20" x14ac:dyDescent="0.25">
      <c r="A224" s="5">
        <v>44369</v>
      </c>
      <c r="B224">
        <v>0.13900000000000001</v>
      </c>
      <c r="C224">
        <v>0.16900000000000001</v>
      </c>
      <c r="D224">
        <v>0.11459999999999999</v>
      </c>
      <c r="E224">
        <v>0.13320000000000001</v>
      </c>
      <c r="F224">
        <v>6165795.2199999997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-0.31617647058823478</v>
      </c>
      <c r="Q224">
        <f t="shared" si="960"/>
        <v>-1949479.3710294084</v>
      </c>
      <c r="R224">
        <f t="shared" si="961"/>
        <v>-179123815.12853912</v>
      </c>
      <c r="S224">
        <f t="shared" si="962"/>
        <v>-1791.238151285391</v>
      </c>
      <c r="T224">
        <f t="shared" si="963"/>
        <v>-1.791238151285391</v>
      </c>
    </row>
    <row r="225" spans="1:20" x14ac:dyDescent="0.25">
      <c r="A225" s="5">
        <v>44368</v>
      </c>
      <c r="B225">
        <v>0.1709</v>
      </c>
      <c r="C225">
        <v>0.17100000000000001</v>
      </c>
      <c r="D225">
        <v>0.13900000000000001</v>
      </c>
      <c r="E225">
        <v>0.13900000000000001</v>
      </c>
      <c r="F225">
        <v>5813900.54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-5813900.54</v>
      </c>
      <c r="R225">
        <f t="shared" si="961"/>
        <v>-177174335.75750971</v>
      </c>
      <c r="S225">
        <f t="shared" si="962"/>
        <v>-1771.743357575097</v>
      </c>
      <c r="T225">
        <f t="shared" si="963"/>
        <v>-1.7717433575750969</v>
      </c>
    </row>
    <row r="226" spans="1:20" x14ac:dyDescent="0.25">
      <c r="A226" s="5">
        <v>44367</v>
      </c>
      <c r="B226">
        <v>0.16889999999999999</v>
      </c>
      <c r="C226">
        <v>0.188</v>
      </c>
      <c r="D226">
        <v>0.158</v>
      </c>
      <c r="E226">
        <v>0.17069999999999999</v>
      </c>
      <c r="F226">
        <v>7062684.8099999996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-0.15333333333333404</v>
      </c>
      <c r="Q226">
        <f t="shared" si="960"/>
        <v>-1082945.004200005</v>
      </c>
      <c r="R226">
        <f t="shared" si="961"/>
        <v>-171360435.21750972</v>
      </c>
      <c r="S226">
        <f t="shared" si="962"/>
        <v>-1713.6043521750971</v>
      </c>
      <c r="T226">
        <f t="shared" si="963"/>
        <v>-1.7136043521750972</v>
      </c>
    </row>
    <row r="227" spans="1:20" x14ac:dyDescent="0.25">
      <c r="A227" s="5">
        <v>44366</v>
      </c>
      <c r="B227">
        <v>0.1704</v>
      </c>
      <c r="C227">
        <v>0.21579999999999999</v>
      </c>
      <c r="D227">
        <v>0.1678</v>
      </c>
      <c r="E227">
        <v>0.16900000000000001</v>
      </c>
      <c r="F227">
        <v>23373416.489999998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-0.94999999999999973</v>
      </c>
      <c r="Q227">
        <f t="shared" si="960"/>
        <v>-22204745.665499993</v>
      </c>
      <c r="R227">
        <f t="shared" si="961"/>
        <v>-170277490.21330971</v>
      </c>
      <c r="S227">
        <f t="shared" si="962"/>
        <v>-1702.7749021330972</v>
      </c>
      <c r="T227">
        <f t="shared" si="963"/>
        <v>-1.7027749021330971</v>
      </c>
    </row>
    <row r="228" spans="1:20" x14ac:dyDescent="0.25">
      <c r="A228" s="5">
        <v>44365</v>
      </c>
      <c r="B228">
        <v>0.1749</v>
      </c>
      <c r="C228">
        <v>0.18149999999999999</v>
      </c>
      <c r="D228">
        <v>0.16700000000000001</v>
      </c>
      <c r="E228">
        <v>0.17050000000000001</v>
      </c>
      <c r="F228">
        <v>2394374.0299999998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-0.51724137931034386</v>
      </c>
      <c r="Q228">
        <f t="shared" si="960"/>
        <v>-1238469.3258620666</v>
      </c>
      <c r="R228">
        <f t="shared" si="961"/>
        <v>-148072744.54780972</v>
      </c>
      <c r="S228">
        <f t="shared" si="962"/>
        <v>-1480.7274454780973</v>
      </c>
      <c r="T228">
        <f t="shared" si="963"/>
        <v>-1.4807274454780972</v>
      </c>
    </row>
    <row r="229" spans="1:20" x14ac:dyDescent="0.25">
      <c r="A229" s="5">
        <v>44364</v>
      </c>
      <c r="B229">
        <v>0.17119999999999999</v>
      </c>
      <c r="C229">
        <v>0.18790000000000001</v>
      </c>
      <c r="D229">
        <v>0.1678</v>
      </c>
      <c r="E229">
        <v>0.17519999999999999</v>
      </c>
      <c r="F229">
        <v>4955918.0599999996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-0.26368159203980224</v>
      </c>
      <c r="Q229">
        <f t="shared" si="960"/>
        <v>-1306784.3640796081</v>
      </c>
      <c r="R229">
        <f t="shared" si="961"/>
        <v>-146834275.22194764</v>
      </c>
      <c r="S229">
        <f t="shared" si="962"/>
        <v>-1468.3427522194763</v>
      </c>
      <c r="T229">
        <f t="shared" si="963"/>
        <v>-1.4683427522194763</v>
      </c>
    </row>
    <row r="230" spans="1:20" x14ac:dyDescent="0.25">
      <c r="A230" s="5">
        <v>44363</v>
      </c>
      <c r="B230">
        <v>0.1973</v>
      </c>
      <c r="C230">
        <v>0.19800000000000001</v>
      </c>
      <c r="D230">
        <v>0.16589999999999999</v>
      </c>
      <c r="E230">
        <v>0.17130000000000001</v>
      </c>
      <c r="F230">
        <v>6561025.6500000004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-0.66355140186915806</v>
      </c>
      <c r="Q230">
        <f t="shared" si="960"/>
        <v>-4353577.7677570041</v>
      </c>
      <c r="R230">
        <f t="shared" si="961"/>
        <v>-145527490.85786805</v>
      </c>
      <c r="S230">
        <f t="shared" si="962"/>
        <v>-1455.2749085786804</v>
      </c>
      <c r="T230">
        <f t="shared" si="963"/>
        <v>-1.4552749085786805</v>
      </c>
    </row>
    <row r="231" spans="1:20" x14ac:dyDescent="0.25">
      <c r="A231" s="5">
        <v>44362</v>
      </c>
      <c r="B231">
        <v>0.21540000000000001</v>
      </c>
      <c r="C231">
        <v>0.224</v>
      </c>
      <c r="D231">
        <v>0.1903</v>
      </c>
      <c r="E231">
        <v>0.1971</v>
      </c>
      <c r="F231">
        <v>16913445.129999999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-0.59643916913946593</v>
      </c>
      <c r="Q231">
        <f t="shared" si="960"/>
        <v>-10087841.160623146</v>
      </c>
      <c r="R231">
        <f t="shared" si="961"/>
        <v>-141173913.09011105</v>
      </c>
      <c r="S231">
        <f t="shared" si="962"/>
        <v>-1411.7391309011105</v>
      </c>
      <c r="T231">
        <f t="shared" si="963"/>
        <v>-1.4117391309011105</v>
      </c>
    </row>
    <row r="232" spans="1:20" x14ac:dyDescent="0.25">
      <c r="A232" s="5">
        <v>44361</v>
      </c>
      <c r="B232">
        <v>0.1646</v>
      </c>
      <c r="C232">
        <v>0.28999999999999998</v>
      </c>
      <c r="D232">
        <v>0.1608</v>
      </c>
      <c r="E232">
        <v>0.21540000000000001</v>
      </c>
      <c r="F232">
        <v>75835075.75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-0.15479876160990685</v>
      </c>
      <c r="Q232">
        <f t="shared" si="960"/>
        <v>-11739175.812693479</v>
      </c>
      <c r="R232">
        <f t="shared" si="961"/>
        <v>-131086071.9294879</v>
      </c>
      <c r="S232">
        <f t="shared" si="962"/>
        <v>-1310.8607192948789</v>
      </c>
      <c r="T232">
        <f t="shared" si="963"/>
        <v>-1.3108607192948789</v>
      </c>
    </row>
    <row r="233" spans="1:20" x14ac:dyDescent="0.25">
      <c r="A233" s="5">
        <v>44360</v>
      </c>
      <c r="B233">
        <v>0.15260000000000001</v>
      </c>
      <c r="C233">
        <v>0.18</v>
      </c>
      <c r="D233">
        <v>0.14949999999999999</v>
      </c>
      <c r="E233">
        <v>0.1653</v>
      </c>
      <c r="F233">
        <v>1356179.18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3.6065573770492382E-2</v>
      </c>
      <c r="Q233">
        <f t="shared" si="960"/>
        <v>48911.380262295861</v>
      </c>
      <c r="R233">
        <f t="shared" si="961"/>
        <v>-119346896.11679442</v>
      </c>
      <c r="S233">
        <f t="shared" si="962"/>
        <v>-1193.4689611679441</v>
      </c>
      <c r="T233">
        <f t="shared" si="963"/>
        <v>-1.1934689611679441</v>
      </c>
    </row>
    <row r="234" spans="1:20" x14ac:dyDescent="0.25">
      <c r="A234" s="5">
        <v>44359</v>
      </c>
      <c r="B234">
        <v>0.16250000000000001</v>
      </c>
      <c r="C234">
        <v>0.16289999999999999</v>
      </c>
      <c r="D234">
        <v>0.15090000000000001</v>
      </c>
      <c r="E234">
        <v>0.152</v>
      </c>
      <c r="F234">
        <v>1080406.8899999999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-0.8166666666666681</v>
      </c>
      <c r="Q234">
        <f t="shared" si="960"/>
        <v>-882332.29350000143</v>
      </c>
      <c r="R234">
        <f t="shared" si="961"/>
        <v>-119395807.49705672</v>
      </c>
      <c r="S234">
        <f t="shared" si="962"/>
        <v>-1193.9580749705672</v>
      </c>
      <c r="T234">
        <f t="shared" si="963"/>
        <v>-1.1939580749705672</v>
      </c>
    </row>
    <row r="235" spans="1:20" x14ac:dyDescent="0.25">
      <c r="A235" s="5">
        <v>44358</v>
      </c>
      <c r="B235">
        <v>0.1648</v>
      </c>
      <c r="C235">
        <v>0.1726</v>
      </c>
      <c r="D235">
        <v>0.159</v>
      </c>
      <c r="E235">
        <v>0.16250000000000001</v>
      </c>
      <c r="F235">
        <v>1443757.84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-0.48529411764705838</v>
      </c>
      <c r="Q235">
        <f t="shared" si="960"/>
        <v>-700647.18705882295</v>
      </c>
      <c r="R235">
        <f t="shared" si="961"/>
        <v>-118513475.20355672</v>
      </c>
      <c r="S235">
        <f t="shared" si="962"/>
        <v>-1185.1347520355671</v>
      </c>
      <c r="T235">
        <f t="shared" si="963"/>
        <v>-1.1851347520355671</v>
      </c>
    </row>
    <row r="236" spans="1:20" x14ac:dyDescent="0.25">
      <c r="A236" s="5">
        <v>44357</v>
      </c>
      <c r="B236">
        <v>0.17119999999999999</v>
      </c>
      <c r="C236">
        <v>0.18</v>
      </c>
      <c r="D236">
        <v>0.1603</v>
      </c>
      <c r="E236">
        <v>0.16569999999999999</v>
      </c>
      <c r="F236">
        <v>3075229.26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-0.45177664974619397</v>
      </c>
      <c r="Q236">
        <f t="shared" si="960"/>
        <v>-1389316.7722842672</v>
      </c>
      <c r="R236">
        <f t="shared" si="961"/>
        <v>-117812828.0164979</v>
      </c>
      <c r="S236">
        <f t="shared" si="962"/>
        <v>-1178.1282801649791</v>
      </c>
      <c r="T236">
        <f t="shared" si="963"/>
        <v>-1.1781282801649791</v>
      </c>
    </row>
    <row r="237" spans="1:20" x14ac:dyDescent="0.25">
      <c r="A237" s="5">
        <v>44356</v>
      </c>
      <c r="B237">
        <v>0.16869999999999999</v>
      </c>
      <c r="C237">
        <v>0.17849999999999999</v>
      </c>
      <c r="D237">
        <v>0.161</v>
      </c>
      <c r="E237">
        <v>0.1706</v>
      </c>
      <c r="F237">
        <v>3250257.51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9.7142857142857614E-2</v>
      </c>
      <c r="Q237">
        <f t="shared" si="960"/>
        <v>315739.30097143009</v>
      </c>
      <c r="R237">
        <f t="shared" si="961"/>
        <v>-116423511.24421363</v>
      </c>
      <c r="S237">
        <f t="shared" si="962"/>
        <v>-1164.2351124421364</v>
      </c>
      <c r="T237">
        <f t="shared" si="963"/>
        <v>-1.1642351124421364</v>
      </c>
    </row>
    <row r="238" spans="1:20" x14ac:dyDescent="0.25">
      <c r="A238" s="5">
        <v>44355</v>
      </c>
      <c r="B238">
        <v>0.1933</v>
      </c>
      <c r="C238">
        <v>0.2084</v>
      </c>
      <c r="D238">
        <v>0.16039999999999999</v>
      </c>
      <c r="E238">
        <v>0.1694</v>
      </c>
      <c r="F238">
        <v>6665557.2199999997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-0.62499999999999978</v>
      </c>
      <c r="Q238">
        <f t="shared" si="960"/>
        <v>-4165973.2624999983</v>
      </c>
      <c r="R238">
        <f t="shared" si="961"/>
        <v>-116739250.54518506</v>
      </c>
      <c r="S238">
        <f t="shared" si="962"/>
        <v>-1167.3925054518506</v>
      </c>
      <c r="T238">
        <f t="shared" si="963"/>
        <v>-1.1673925054518506</v>
      </c>
    </row>
    <row r="239" spans="1:20" x14ac:dyDescent="0.25">
      <c r="A239" s="5">
        <v>44354</v>
      </c>
      <c r="B239">
        <v>0.18379999999999999</v>
      </c>
      <c r="C239">
        <v>0.2354</v>
      </c>
      <c r="D239">
        <v>0.18049999999999999</v>
      </c>
      <c r="E239">
        <v>0.19439999999999999</v>
      </c>
      <c r="F239">
        <v>7867991.9199999999</v>
      </c>
      <c r="G239">
        <v>0</v>
      </c>
      <c r="L239" t="s">
        <v>8</v>
      </c>
      <c r="M239" t="s">
        <v>8</v>
      </c>
      <c r="N239" t="s">
        <v>7</v>
      </c>
      <c r="P239">
        <f t="shared" si="959"/>
        <v>-0.4936247723132971</v>
      </c>
      <c r="Q239">
        <f t="shared" si="960"/>
        <v>-3883835.7200728613</v>
      </c>
      <c r="R239">
        <f t="shared" si="961"/>
        <v>-112573277.28268506</v>
      </c>
      <c r="S239">
        <f t="shared" si="962"/>
        <v>-1125.7327728268506</v>
      </c>
      <c r="T239">
        <f t="shared" si="963"/>
        <v>-1.1257327728268505</v>
      </c>
    </row>
    <row r="240" spans="1:20" x14ac:dyDescent="0.25">
      <c r="A240" s="5">
        <v>44353</v>
      </c>
      <c r="B240">
        <v>0.18279999999999999</v>
      </c>
      <c r="C240">
        <v>0.18740000000000001</v>
      </c>
      <c r="D240">
        <v>0.17829999999999999</v>
      </c>
      <c r="E240">
        <v>0.18379999999999999</v>
      </c>
      <c r="F240">
        <v>595396.85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0.20879120879120658</v>
      </c>
      <c r="Q240">
        <f t="shared" si="960"/>
        <v>124313.62802197671</v>
      </c>
      <c r="R240">
        <f t="shared" si="961"/>
        <v>-108689441.56261219</v>
      </c>
      <c r="S240">
        <f t="shared" si="962"/>
        <v>-1086.8944156261218</v>
      </c>
      <c r="T240">
        <f t="shared" si="963"/>
        <v>-1.0868944156261218</v>
      </c>
    </row>
    <row r="241" spans="1:20" x14ac:dyDescent="0.25">
      <c r="A241" s="5">
        <v>44352</v>
      </c>
      <c r="B241">
        <v>0.1915</v>
      </c>
      <c r="C241">
        <v>0.2044</v>
      </c>
      <c r="D241">
        <v>0.17929999999999999</v>
      </c>
      <c r="E241">
        <v>0.18190000000000001</v>
      </c>
      <c r="F241">
        <v>1143400.8500000001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-0.79282868525896277</v>
      </c>
      <c r="Q241">
        <f t="shared" si="960"/>
        <v>-906520.99262948055</v>
      </c>
      <c r="R241">
        <f t="shared" si="961"/>
        <v>-108813755.19063416</v>
      </c>
      <c r="S241">
        <f t="shared" si="962"/>
        <v>-1088.1375519063415</v>
      </c>
      <c r="T241">
        <f t="shared" si="963"/>
        <v>-1.0881375519063414</v>
      </c>
    </row>
    <row r="242" spans="1:20" x14ac:dyDescent="0.25">
      <c r="A242" s="5">
        <v>44351</v>
      </c>
      <c r="B242">
        <v>0.20979999999999999</v>
      </c>
      <c r="C242">
        <v>0.2104</v>
      </c>
      <c r="D242">
        <v>0.18129999999999999</v>
      </c>
      <c r="E242">
        <v>0.19270000000000001</v>
      </c>
      <c r="F242">
        <v>1623877.91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-0.21649484536082367</v>
      </c>
      <c r="Q242">
        <f t="shared" si="960"/>
        <v>-351561.19701030751</v>
      </c>
      <c r="R242">
        <f t="shared" si="961"/>
        <v>-107907234.19800468</v>
      </c>
      <c r="S242">
        <f t="shared" si="962"/>
        <v>-1079.0723419800468</v>
      </c>
      <c r="T242">
        <f t="shared" si="963"/>
        <v>-1.0790723419800468</v>
      </c>
    </row>
    <row r="243" spans="1:20" x14ac:dyDescent="0.25">
      <c r="A243" s="5">
        <v>44350</v>
      </c>
      <c r="B243">
        <v>0.2054</v>
      </c>
      <c r="C243">
        <v>0.215</v>
      </c>
      <c r="D243">
        <v>0.2021</v>
      </c>
      <c r="E243">
        <v>0.2102</v>
      </c>
      <c r="F243">
        <v>1670507.95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0.25581395348837199</v>
      </c>
      <c r="Q243">
        <f t="shared" si="960"/>
        <v>427339.24302325561</v>
      </c>
      <c r="R243">
        <f t="shared" si="961"/>
        <v>-107555673.00099437</v>
      </c>
      <c r="S243">
        <f t="shared" si="962"/>
        <v>-1075.5567300099437</v>
      </c>
      <c r="T243">
        <f t="shared" si="963"/>
        <v>-1.0755567300099438</v>
      </c>
    </row>
    <row r="244" spans="1:20" x14ac:dyDescent="0.25">
      <c r="A244" s="5">
        <v>44349</v>
      </c>
      <c r="B244">
        <v>0.2132</v>
      </c>
      <c r="C244">
        <v>0.2213</v>
      </c>
      <c r="D244">
        <v>0.2</v>
      </c>
      <c r="E244">
        <v>0.2054</v>
      </c>
      <c r="F244">
        <v>3416664.16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-0.49295774647887403</v>
      </c>
      <c r="Q244">
        <f t="shared" si="960"/>
        <v>-1684271.0647887352</v>
      </c>
      <c r="R244">
        <f t="shared" si="961"/>
        <v>-107983012.24401763</v>
      </c>
      <c r="S244">
        <f t="shared" si="962"/>
        <v>-1079.8301224401764</v>
      </c>
      <c r="T244">
        <f t="shared" si="963"/>
        <v>-1.0798301224401765</v>
      </c>
    </row>
    <row r="245" spans="1:20" x14ac:dyDescent="0.25">
      <c r="A245" s="5">
        <v>44348</v>
      </c>
      <c r="B245">
        <v>0.2172</v>
      </c>
      <c r="C245">
        <v>0.224</v>
      </c>
      <c r="D245">
        <v>0.2016</v>
      </c>
      <c r="E245">
        <v>0.21240000000000001</v>
      </c>
      <c r="F245">
        <v>3603215.24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-3.571428571428549E-2</v>
      </c>
      <c r="Q245">
        <f t="shared" si="960"/>
        <v>-128686.25857142777</v>
      </c>
      <c r="R245">
        <f t="shared" si="961"/>
        <v>-106298741.1792289</v>
      </c>
      <c r="S245">
        <f t="shared" si="962"/>
        <v>-1062.9874117922891</v>
      </c>
      <c r="T245">
        <f t="shared" si="963"/>
        <v>-1.0629874117922891</v>
      </c>
    </row>
    <row r="246" spans="1:20" x14ac:dyDescent="0.25">
      <c r="A246" s="5">
        <v>44347</v>
      </c>
      <c r="B246">
        <v>0.21199999999999999</v>
      </c>
      <c r="C246">
        <v>0.25640000000000002</v>
      </c>
      <c r="D246">
        <v>0.20219999999999999</v>
      </c>
      <c r="E246">
        <v>0.2172</v>
      </c>
      <c r="F246">
        <v>9817312.5999999996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-0.44649446494464923</v>
      </c>
      <c r="Q246">
        <f t="shared" si="960"/>
        <v>-4383375.7365313629</v>
      </c>
      <c r="R246">
        <f t="shared" si="961"/>
        <v>-106170054.92065747</v>
      </c>
      <c r="S246">
        <f t="shared" si="962"/>
        <v>-1061.7005492065748</v>
      </c>
      <c r="T246">
        <f t="shared" si="963"/>
        <v>-1.0617005492065748</v>
      </c>
    </row>
    <row r="247" spans="1:20" x14ac:dyDescent="0.25">
      <c r="A247" s="5">
        <v>44346</v>
      </c>
      <c r="B247">
        <v>0.1739</v>
      </c>
      <c r="C247">
        <v>0.25</v>
      </c>
      <c r="D247">
        <v>0.16550000000000001</v>
      </c>
      <c r="E247">
        <v>0.21210000000000001</v>
      </c>
      <c r="F247">
        <v>10916706.59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0.10295857988165698</v>
      </c>
      <c r="Q247">
        <f t="shared" si="960"/>
        <v>1123968.6074911261</v>
      </c>
      <c r="R247">
        <f t="shared" si="961"/>
        <v>-101786679.18412611</v>
      </c>
      <c r="S247">
        <f t="shared" si="962"/>
        <v>-1017.866791841261</v>
      </c>
      <c r="T247">
        <f t="shared" si="963"/>
        <v>-1.0178667918412609</v>
      </c>
    </row>
    <row r="248" spans="1:20" x14ac:dyDescent="0.25">
      <c r="A248" s="5">
        <v>44345</v>
      </c>
      <c r="B248">
        <v>0.18759999999999999</v>
      </c>
      <c r="C248">
        <v>0.1986</v>
      </c>
      <c r="D248">
        <v>0.16300000000000001</v>
      </c>
      <c r="E248">
        <v>0.17519999999999999</v>
      </c>
      <c r="F248">
        <v>1768803.17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-0.3146067415730342</v>
      </c>
      <c r="Q248">
        <f t="shared" si="960"/>
        <v>-556477.40179775364</v>
      </c>
      <c r="R248">
        <f t="shared" si="961"/>
        <v>-102910647.79161723</v>
      </c>
      <c r="S248">
        <f t="shared" si="962"/>
        <v>-1029.1064779161723</v>
      </c>
      <c r="T248">
        <f t="shared" si="963"/>
        <v>-1.0291064779161723</v>
      </c>
    </row>
    <row r="249" spans="1:20" x14ac:dyDescent="0.25">
      <c r="A249" s="5">
        <v>44344</v>
      </c>
      <c r="B249">
        <v>0.21379999999999999</v>
      </c>
      <c r="C249">
        <v>0.21510000000000001</v>
      </c>
      <c r="D249">
        <v>0.18</v>
      </c>
      <c r="E249">
        <v>0.18759999999999999</v>
      </c>
      <c r="F249">
        <v>2549073.41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-0.56695156695156745</v>
      </c>
      <c r="Q249">
        <f t="shared" si="960"/>
        <v>-1445201.1640740754</v>
      </c>
      <c r="R249">
        <f t="shared" si="961"/>
        <v>-102354170.38981947</v>
      </c>
      <c r="S249">
        <f t="shared" si="962"/>
        <v>-1023.5417038981948</v>
      </c>
      <c r="T249">
        <f t="shared" si="963"/>
        <v>-1.0235417038981949</v>
      </c>
    </row>
    <row r="250" spans="1:20" x14ac:dyDescent="0.25">
      <c r="A250" s="5">
        <v>44343</v>
      </c>
      <c r="B250">
        <v>0.2374</v>
      </c>
      <c r="C250">
        <v>0.2399</v>
      </c>
      <c r="D250">
        <v>0.2109</v>
      </c>
      <c r="E250">
        <v>0.21379999999999999</v>
      </c>
      <c r="F250">
        <v>5144356.3099999996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-0.80000000000000093</v>
      </c>
      <c r="Q250">
        <f t="shared" si="960"/>
        <v>-4115485.0480000046</v>
      </c>
      <c r="R250">
        <f t="shared" si="961"/>
        <v>-100908969.22574539</v>
      </c>
      <c r="S250">
        <f t="shared" si="962"/>
        <v>-1009.089692257454</v>
      </c>
      <c r="T250">
        <f t="shared" si="963"/>
        <v>-1.0090896922574539</v>
      </c>
    </row>
    <row r="251" spans="1:20" x14ac:dyDescent="0.25">
      <c r="A251" s="5">
        <v>44342</v>
      </c>
      <c r="B251">
        <v>0.23269999999999999</v>
      </c>
      <c r="C251">
        <v>0.28000000000000003</v>
      </c>
      <c r="D251">
        <v>0.22509999999999999</v>
      </c>
      <c r="E251">
        <v>0.23810000000000001</v>
      </c>
      <c r="F251">
        <v>11901551.800000001</v>
      </c>
      <c r="G251">
        <v>0</v>
      </c>
      <c r="L251" t="s">
        <v>7</v>
      </c>
      <c r="M251" t="s">
        <v>7</v>
      </c>
      <c r="N251" t="s">
        <v>7</v>
      </c>
      <c r="P251">
        <f t="shared" si="959"/>
        <v>-0.52641165755919839</v>
      </c>
      <c r="Q251">
        <f t="shared" si="960"/>
        <v>-6265115.6105646612</v>
      </c>
      <c r="R251">
        <f t="shared" si="961"/>
        <v>-96793484.177745387</v>
      </c>
      <c r="S251">
        <f t="shared" si="962"/>
        <v>-967.93484177745393</v>
      </c>
      <c r="T251">
        <f t="shared" si="963"/>
        <v>-0.96793484177745392</v>
      </c>
    </row>
    <row r="252" spans="1:20" x14ac:dyDescent="0.25">
      <c r="A252" s="5">
        <v>44341</v>
      </c>
      <c r="B252">
        <v>0.24349999999999999</v>
      </c>
      <c r="C252">
        <v>0.39</v>
      </c>
      <c r="D252">
        <v>0.223</v>
      </c>
      <c r="E252">
        <v>0.23230000000000001</v>
      </c>
      <c r="F252">
        <v>43465946.229999997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-0.88862275449101791</v>
      </c>
      <c r="Q252">
        <f t="shared" si="960"/>
        <v>-38624828.865461074</v>
      </c>
      <c r="R252">
        <f t="shared" si="961"/>
        <v>-90528368.567180723</v>
      </c>
      <c r="S252">
        <f t="shared" si="962"/>
        <v>-905.28368567180723</v>
      </c>
      <c r="T252">
        <f t="shared" si="963"/>
        <v>-0.90528368567180728</v>
      </c>
    </row>
    <row r="253" spans="1:20" x14ac:dyDescent="0.25">
      <c r="A253" s="5">
        <v>44340</v>
      </c>
      <c r="B253">
        <v>0.124</v>
      </c>
      <c r="C253">
        <v>0.3</v>
      </c>
      <c r="D253">
        <v>0.12039999999999999</v>
      </c>
      <c r="E253">
        <v>0.24279999999999999</v>
      </c>
      <c r="F253">
        <v>17346516.510000002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0.36302895322939865</v>
      </c>
      <c r="Q253">
        <f t="shared" si="960"/>
        <v>6297287.7308017826</v>
      </c>
      <c r="R253">
        <f t="shared" si="961"/>
        <v>-51903539.701719642</v>
      </c>
      <c r="S253">
        <f t="shared" si="962"/>
        <v>-519.03539701719637</v>
      </c>
      <c r="T253">
        <f t="shared" si="963"/>
        <v>-0.51903539701719636</v>
      </c>
    </row>
    <row r="254" spans="1:20" x14ac:dyDescent="0.25">
      <c r="A254" s="5">
        <v>44339</v>
      </c>
      <c r="B254">
        <v>0.1515</v>
      </c>
      <c r="C254">
        <v>0.1555</v>
      </c>
      <c r="D254">
        <v>0.1134</v>
      </c>
      <c r="E254">
        <v>0.1236</v>
      </c>
      <c r="F254">
        <v>2278974.0099999998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-0.51543942992874103</v>
      </c>
      <c r="Q254">
        <f t="shared" si="960"/>
        <v>-1174673.0645368169</v>
      </c>
      <c r="R254">
        <f t="shared" si="961"/>
        <v>-58200827.432521425</v>
      </c>
      <c r="S254">
        <f t="shared" si="962"/>
        <v>-582.0082743252143</v>
      </c>
      <c r="T254">
        <f t="shared" si="963"/>
        <v>-0.58200827432521429</v>
      </c>
    </row>
    <row r="255" spans="1:20" x14ac:dyDescent="0.25">
      <c r="A255" s="5">
        <v>44338</v>
      </c>
      <c r="B255">
        <v>0.15970000000000001</v>
      </c>
      <c r="C255">
        <v>0.18260000000000001</v>
      </c>
      <c r="D255">
        <v>0.14019999999999999</v>
      </c>
      <c r="E255">
        <v>0.1517</v>
      </c>
      <c r="F255">
        <v>1402279.82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-0.45754716981132054</v>
      </c>
      <c r="Q255">
        <f t="shared" si="960"/>
        <v>-641609.16292452801</v>
      </c>
      <c r="R255">
        <f t="shared" si="961"/>
        <v>-57026154.367984608</v>
      </c>
      <c r="S255">
        <f t="shared" si="962"/>
        <v>-570.26154367984611</v>
      </c>
      <c r="T255">
        <f t="shared" si="963"/>
        <v>-0.57026154367984616</v>
      </c>
    </row>
    <row r="256" spans="1:20" x14ac:dyDescent="0.25">
      <c r="A256" s="5">
        <v>44337</v>
      </c>
      <c r="B256">
        <v>0.189</v>
      </c>
      <c r="C256">
        <v>0.2054</v>
      </c>
      <c r="D256">
        <v>0.14560000000000001</v>
      </c>
      <c r="E256">
        <v>0.16039999999999999</v>
      </c>
      <c r="F256">
        <v>2022308.41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-0.50501672240802742</v>
      </c>
      <c r="Q256">
        <f t="shared" si="960"/>
        <v>-1021299.5649163893</v>
      </c>
      <c r="R256">
        <f t="shared" si="961"/>
        <v>-56384545.20506008</v>
      </c>
      <c r="S256">
        <f t="shared" si="962"/>
        <v>-563.84545205060078</v>
      </c>
      <c r="T256">
        <f t="shared" si="963"/>
        <v>-0.56384545205060077</v>
      </c>
    </row>
    <row r="257" spans="1:20" x14ac:dyDescent="0.25">
      <c r="A257" s="5">
        <v>44336</v>
      </c>
      <c r="B257">
        <v>0.16889999999999999</v>
      </c>
      <c r="C257">
        <v>0.2019</v>
      </c>
      <c r="D257">
        <v>0.15010000000000001</v>
      </c>
      <c r="E257">
        <v>0.18840000000000001</v>
      </c>
      <c r="F257">
        <v>1307203.8799999999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0.4787644787644792</v>
      </c>
      <c r="Q257">
        <f t="shared" si="960"/>
        <v>625842.78424710478</v>
      </c>
      <c r="R257">
        <f t="shared" si="961"/>
        <v>-55363245.640143692</v>
      </c>
      <c r="S257">
        <f t="shared" si="962"/>
        <v>-553.63245640143691</v>
      </c>
      <c r="T257">
        <f t="shared" si="963"/>
        <v>-0.55363245640143688</v>
      </c>
    </row>
    <row r="258" spans="1:20" x14ac:dyDescent="0.25">
      <c r="A258" s="5">
        <v>44335</v>
      </c>
      <c r="B258">
        <v>0.26650000000000001</v>
      </c>
      <c r="C258">
        <v>0.26650000000000001</v>
      </c>
      <c r="D258">
        <v>0.15</v>
      </c>
      <c r="E258">
        <v>0.1653</v>
      </c>
      <c r="F258">
        <v>3043840.75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-0.73733905579399128</v>
      </c>
      <c r="Q258">
        <f t="shared" si="960"/>
        <v>-2244342.6645922745</v>
      </c>
      <c r="R258">
        <f t="shared" si="961"/>
        <v>-55989088.4243908</v>
      </c>
      <c r="S258">
        <f t="shared" si="962"/>
        <v>-559.89088424390798</v>
      </c>
      <c r="T258">
        <f t="shared" si="963"/>
        <v>-0.55989088424390798</v>
      </c>
    </row>
    <row r="259" spans="1:20" x14ac:dyDescent="0.25">
      <c r="A259" s="5">
        <v>44334</v>
      </c>
      <c r="B259">
        <v>0.26269999999999999</v>
      </c>
      <c r="C259">
        <v>0.28060000000000002</v>
      </c>
      <c r="D259">
        <v>0.2535</v>
      </c>
      <c r="E259">
        <v>0.26650000000000001</v>
      </c>
      <c r="F259">
        <v>835497.27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-4.059040590405865E-2</v>
      </c>
      <c r="Q259">
        <f t="shared" si="960"/>
        <v>-33913.173321032882</v>
      </c>
      <c r="R259">
        <f t="shared" si="961"/>
        <v>-53744745.759798527</v>
      </c>
      <c r="S259">
        <f t="shared" si="962"/>
        <v>-537.44745759798525</v>
      </c>
      <c r="T259">
        <f t="shared" si="963"/>
        <v>-0.53744745759798529</v>
      </c>
    </row>
    <row r="260" spans="1:20" x14ac:dyDescent="0.25">
      <c r="A260" s="5">
        <v>44333</v>
      </c>
      <c r="B260">
        <v>0.28420000000000001</v>
      </c>
      <c r="C260">
        <v>0.28860000000000002</v>
      </c>
      <c r="D260">
        <v>0.24890000000000001</v>
      </c>
      <c r="E260">
        <v>0.26090000000000002</v>
      </c>
      <c r="F260">
        <v>1450868.31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-0.39546599496221629</v>
      </c>
      <c r="Q260">
        <f t="shared" si="960"/>
        <v>-573769.07977329928</v>
      </c>
      <c r="R260">
        <f t="shared" si="961"/>
        <v>-53710832.586477496</v>
      </c>
      <c r="S260">
        <f t="shared" si="962"/>
        <v>-537.108325864775</v>
      </c>
      <c r="T260">
        <f t="shared" si="963"/>
        <v>-0.53710832586477497</v>
      </c>
    </row>
    <row r="261" spans="1:20" x14ac:dyDescent="0.25">
      <c r="A261" s="5">
        <v>44332</v>
      </c>
      <c r="B261">
        <v>0.29210000000000003</v>
      </c>
      <c r="C261">
        <v>0.31580000000000003</v>
      </c>
      <c r="D261">
        <v>0.27</v>
      </c>
      <c r="E261">
        <v>0.28549999999999998</v>
      </c>
      <c r="F261">
        <v>854212.02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-0.32314410480349537</v>
      </c>
      <c r="Q261">
        <f t="shared" si="960"/>
        <v>-276033.57851528551</v>
      </c>
      <c r="R261">
        <f t="shared" si="961"/>
        <v>-53137063.506704196</v>
      </c>
      <c r="S261">
        <f t="shared" si="962"/>
        <v>-531.37063506704192</v>
      </c>
      <c r="T261">
        <f t="shared" si="963"/>
        <v>-0.53137063506704196</v>
      </c>
    </row>
    <row r="262" spans="1:20" x14ac:dyDescent="0.25">
      <c r="A262" s="5">
        <v>44331</v>
      </c>
      <c r="B262">
        <v>0.33489999999999998</v>
      </c>
      <c r="C262">
        <v>0.33639999999999998</v>
      </c>
      <c r="D262">
        <v>0.28889999999999999</v>
      </c>
      <c r="E262">
        <v>0.29239999999999999</v>
      </c>
      <c r="F262">
        <v>1852675.05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-0.8526315789473683</v>
      </c>
      <c r="Q262">
        <f t="shared" ref="Q262:Q325" si="965">F262*P262</f>
        <v>-1579649.2531578946</v>
      </c>
      <c r="R262">
        <f t="shared" ref="R262:R325" si="966">R263+Q262</f>
        <v>-52861029.928188913</v>
      </c>
      <c r="S262">
        <f t="shared" ref="S262:S325" si="967">R262/100000</f>
        <v>-528.61029928188907</v>
      </c>
      <c r="T262">
        <f t="shared" ref="T262:T325" si="968">S262/1000</f>
        <v>-0.52861029928188907</v>
      </c>
    </row>
    <row r="263" spans="1:20" x14ac:dyDescent="0.25">
      <c r="A263" s="5">
        <v>44330</v>
      </c>
      <c r="B263">
        <v>0.30690000000000001</v>
      </c>
      <c r="C263">
        <v>0.34949999999999998</v>
      </c>
      <c r="D263">
        <v>0.30270000000000002</v>
      </c>
      <c r="E263">
        <v>0.3357</v>
      </c>
      <c r="F263">
        <v>977817.39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0.41025641025641058</v>
      </c>
      <c r="Q263">
        <f t="shared" si="965"/>
        <v>401155.85230769264</v>
      </c>
      <c r="R263">
        <f t="shared" si="966"/>
        <v>-51281380.675031021</v>
      </c>
      <c r="S263">
        <f t="shared" si="967"/>
        <v>-512.81380675031016</v>
      </c>
      <c r="T263">
        <f t="shared" si="968"/>
        <v>-0.51281380675031019</v>
      </c>
    </row>
    <row r="264" spans="1:20" x14ac:dyDescent="0.25">
      <c r="A264" s="5">
        <v>44329</v>
      </c>
      <c r="B264">
        <v>0.31879999999999997</v>
      </c>
      <c r="C264">
        <v>0.36370000000000002</v>
      </c>
      <c r="D264">
        <v>0.29759999999999998</v>
      </c>
      <c r="E264">
        <v>0.30690000000000001</v>
      </c>
      <c r="F264">
        <v>7334871.3799999999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-0.71860816944024131</v>
      </c>
      <c r="Q264">
        <f t="shared" si="965"/>
        <v>-5270898.4954614164</v>
      </c>
      <c r="R264">
        <f t="shared" si="966"/>
        <v>-51682536.527338713</v>
      </c>
      <c r="S264">
        <f t="shared" si="967"/>
        <v>-516.82536527338709</v>
      </c>
      <c r="T264">
        <f t="shared" si="968"/>
        <v>-0.51682536527338707</v>
      </c>
    </row>
    <row r="265" spans="1:20" x14ac:dyDescent="0.25">
      <c r="A265" s="5">
        <v>44328</v>
      </c>
      <c r="B265">
        <v>0.3619</v>
      </c>
      <c r="C265">
        <v>0.37159999999999999</v>
      </c>
      <c r="D265">
        <v>0.31859999999999999</v>
      </c>
      <c r="E265">
        <v>0.31950000000000001</v>
      </c>
      <c r="F265">
        <v>2910028.57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-0.96603773584905617</v>
      </c>
      <c r="Q265">
        <f t="shared" si="965"/>
        <v>-2811197.4110188666</v>
      </c>
      <c r="R265">
        <f t="shared" si="966"/>
        <v>-46411638.031877294</v>
      </c>
      <c r="S265">
        <f t="shared" si="967"/>
        <v>-464.11638031877294</v>
      </c>
      <c r="T265">
        <f t="shared" si="968"/>
        <v>-0.46411638031877295</v>
      </c>
    </row>
    <row r="266" spans="1:20" x14ac:dyDescent="0.25">
      <c r="A266" s="5">
        <v>44327</v>
      </c>
      <c r="B266">
        <v>0.34920000000000001</v>
      </c>
      <c r="C266">
        <v>0.36830000000000002</v>
      </c>
      <c r="D266">
        <v>0.33800000000000002</v>
      </c>
      <c r="E266">
        <v>0.36170000000000002</v>
      </c>
      <c r="F266">
        <v>2367930.34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0.56435643564356464</v>
      </c>
      <c r="Q266">
        <f t="shared" si="965"/>
        <v>1336356.7265346542</v>
      </c>
      <c r="R266">
        <f t="shared" si="966"/>
        <v>-43600440.620858431</v>
      </c>
      <c r="S266">
        <f t="shared" si="967"/>
        <v>-436.00440620858433</v>
      </c>
      <c r="T266">
        <f t="shared" si="968"/>
        <v>-0.43600440620858433</v>
      </c>
    </row>
    <row r="267" spans="1:20" x14ac:dyDescent="0.25">
      <c r="A267" s="5">
        <v>44326</v>
      </c>
      <c r="B267">
        <v>0.39660000000000001</v>
      </c>
      <c r="C267">
        <v>0.40550000000000003</v>
      </c>
      <c r="D267">
        <v>0.34920000000000001</v>
      </c>
      <c r="E267">
        <v>0.34920000000000001</v>
      </c>
      <c r="F267">
        <v>2279223.27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-1</v>
      </c>
      <c r="Q267">
        <f t="shared" si="965"/>
        <v>-2279223.27</v>
      </c>
      <c r="R267">
        <f t="shared" si="966"/>
        <v>-44936797.347393088</v>
      </c>
      <c r="S267">
        <f t="shared" si="967"/>
        <v>-449.36797347393087</v>
      </c>
      <c r="T267">
        <f t="shared" si="968"/>
        <v>-0.44936797347393087</v>
      </c>
    </row>
    <row r="268" spans="1:20" x14ac:dyDescent="0.25">
      <c r="A268" s="5">
        <v>44325</v>
      </c>
      <c r="B268">
        <v>0.41239999999999999</v>
      </c>
      <c r="C268">
        <v>0.42749999999999999</v>
      </c>
      <c r="D268">
        <v>0.38750000000000001</v>
      </c>
      <c r="E268">
        <v>0.39660000000000001</v>
      </c>
      <c r="F268">
        <v>3948748.24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-0.54499999999999993</v>
      </c>
      <c r="Q268">
        <f t="shared" si="965"/>
        <v>-2152067.7907999996</v>
      </c>
      <c r="R268">
        <f t="shared" si="966"/>
        <v>-42657574.077393085</v>
      </c>
      <c r="S268">
        <f t="shared" si="967"/>
        <v>-426.57574077393087</v>
      </c>
      <c r="T268">
        <f t="shared" si="968"/>
        <v>-0.4265757407739309</v>
      </c>
    </row>
    <row r="269" spans="1:20" x14ac:dyDescent="0.25">
      <c r="A269" s="5">
        <v>44324</v>
      </c>
      <c r="B269">
        <v>0.40250000000000002</v>
      </c>
      <c r="C269">
        <v>0.45</v>
      </c>
      <c r="D269">
        <v>0.36459999999999998</v>
      </c>
      <c r="E269">
        <v>0.41320000000000001</v>
      </c>
      <c r="F269">
        <v>8155660.8399999999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0.13817330210772866</v>
      </c>
      <c r="Q269">
        <f t="shared" si="965"/>
        <v>1126894.589133492</v>
      </c>
      <c r="R269">
        <f t="shared" si="966"/>
        <v>-40505506.286593087</v>
      </c>
      <c r="S269">
        <f t="shared" si="967"/>
        <v>-405.05506286593089</v>
      </c>
      <c r="T269">
        <f t="shared" si="968"/>
        <v>-0.4050550628659309</v>
      </c>
    </row>
    <row r="270" spans="1:20" x14ac:dyDescent="0.25">
      <c r="A270" s="5">
        <v>44323</v>
      </c>
      <c r="B270">
        <v>0.3584</v>
      </c>
      <c r="C270">
        <v>0.42099999999999999</v>
      </c>
      <c r="D270">
        <v>0.34350000000000003</v>
      </c>
      <c r="E270">
        <v>0.40179999999999999</v>
      </c>
      <c r="F270">
        <v>4036151.79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0.50451612903225795</v>
      </c>
      <c r="Q270">
        <f t="shared" si="965"/>
        <v>2036303.677277419</v>
      </c>
      <c r="R270">
        <f t="shared" si="966"/>
        <v>-41632400.875726581</v>
      </c>
      <c r="S270">
        <f t="shared" si="967"/>
        <v>-416.3240087572658</v>
      </c>
      <c r="T270">
        <f t="shared" si="968"/>
        <v>-0.41632400875726583</v>
      </c>
    </row>
    <row r="271" spans="1:20" x14ac:dyDescent="0.25">
      <c r="A271" s="5">
        <v>44322</v>
      </c>
      <c r="B271">
        <v>0.35659999999999997</v>
      </c>
      <c r="C271">
        <v>0.40550000000000003</v>
      </c>
      <c r="D271">
        <v>0.33589999999999998</v>
      </c>
      <c r="E271">
        <v>0.35959999999999998</v>
      </c>
      <c r="F271">
        <v>3145436.5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-0.31896551724137984</v>
      </c>
      <c r="Q271">
        <f t="shared" si="965"/>
        <v>-1003285.7801724154</v>
      </c>
      <c r="R271">
        <f t="shared" si="966"/>
        <v>-43668704.553003997</v>
      </c>
      <c r="S271">
        <f t="shared" si="967"/>
        <v>-436.68704553003994</v>
      </c>
      <c r="T271">
        <f t="shared" si="968"/>
        <v>-0.43668704553003995</v>
      </c>
    </row>
    <row r="272" spans="1:20" x14ac:dyDescent="0.25">
      <c r="A272" s="5">
        <v>44321</v>
      </c>
      <c r="B272">
        <v>0.33679999999999999</v>
      </c>
      <c r="C272">
        <v>0.36470000000000002</v>
      </c>
      <c r="D272">
        <v>0.32950000000000002</v>
      </c>
      <c r="E272">
        <v>0.35759999999999997</v>
      </c>
      <c r="F272">
        <v>1825968.03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0.59659090909090629</v>
      </c>
      <c r="Q272">
        <f t="shared" si="965"/>
        <v>1089355.9269886313</v>
      </c>
      <c r="R272">
        <f t="shared" si="966"/>
        <v>-42665418.772831582</v>
      </c>
      <c r="S272">
        <f t="shared" si="967"/>
        <v>-426.65418772831583</v>
      </c>
      <c r="T272">
        <f t="shared" si="968"/>
        <v>-0.42665418772831581</v>
      </c>
    </row>
    <row r="273" spans="1:20" x14ac:dyDescent="0.25">
      <c r="A273" s="5">
        <v>44320</v>
      </c>
      <c r="B273">
        <v>0.40810000000000002</v>
      </c>
      <c r="C273">
        <v>0.40839999999999999</v>
      </c>
      <c r="D273">
        <v>0.33400000000000002</v>
      </c>
      <c r="E273">
        <v>0.33839999999999998</v>
      </c>
      <c r="F273">
        <v>4507352.5199999996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-0.88172043010752787</v>
      </c>
      <c r="Q273">
        <f t="shared" si="965"/>
        <v>-3974224.802580649</v>
      </c>
      <c r="R273">
        <f t="shared" si="966"/>
        <v>-43754774.699820213</v>
      </c>
      <c r="S273">
        <f t="shared" si="967"/>
        <v>-437.54774699820211</v>
      </c>
      <c r="T273">
        <f t="shared" si="968"/>
        <v>-0.43754774699820209</v>
      </c>
    </row>
    <row r="274" spans="1:20" x14ac:dyDescent="0.25">
      <c r="A274" s="5">
        <v>44319</v>
      </c>
      <c r="B274">
        <v>0.3836</v>
      </c>
      <c r="C274">
        <v>0.4501</v>
      </c>
      <c r="D274">
        <v>0.37930000000000003</v>
      </c>
      <c r="E274">
        <v>0.40810000000000002</v>
      </c>
      <c r="F274">
        <v>6193182.6200000001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-0.18644067796610161</v>
      </c>
      <c r="Q274">
        <f t="shared" si="965"/>
        <v>-1154661.1664406776</v>
      </c>
      <c r="R274">
        <f t="shared" si="966"/>
        <v>-39780549.897239566</v>
      </c>
      <c r="S274">
        <f t="shared" si="967"/>
        <v>-397.80549897239564</v>
      </c>
      <c r="T274">
        <f t="shared" si="968"/>
        <v>-0.39780549897239564</v>
      </c>
    </row>
    <row r="275" spans="1:20" x14ac:dyDescent="0.25">
      <c r="A275" s="5">
        <v>44318</v>
      </c>
      <c r="B275">
        <v>0.36520000000000002</v>
      </c>
      <c r="C275">
        <v>0.40179999999999999</v>
      </c>
      <c r="D275">
        <v>0.3498</v>
      </c>
      <c r="E275">
        <v>0.3836</v>
      </c>
      <c r="F275">
        <v>2535277.09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0.3000000000000001</v>
      </c>
      <c r="Q275">
        <f t="shared" si="965"/>
        <v>760583.12700000021</v>
      </c>
      <c r="R275">
        <f t="shared" si="966"/>
        <v>-38625888.730798885</v>
      </c>
      <c r="S275">
        <f t="shared" si="967"/>
        <v>-386.25888730798886</v>
      </c>
      <c r="T275">
        <f t="shared" si="968"/>
        <v>-0.38625888730798885</v>
      </c>
    </row>
    <row r="276" spans="1:20" x14ac:dyDescent="0.25">
      <c r="A276" s="5">
        <v>44317</v>
      </c>
      <c r="B276">
        <v>0.37719999999999998</v>
      </c>
      <c r="C276">
        <v>0.38519999999999999</v>
      </c>
      <c r="D276">
        <v>0.35</v>
      </c>
      <c r="E276">
        <v>0.36520000000000002</v>
      </c>
      <c r="F276">
        <v>1824901.95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-0.13636363636363394</v>
      </c>
      <c r="Q276">
        <f t="shared" si="965"/>
        <v>-248850.26590908648</v>
      </c>
      <c r="R276">
        <f t="shared" si="966"/>
        <v>-39386471.857798882</v>
      </c>
      <c r="S276">
        <f t="shared" si="967"/>
        <v>-393.86471857798881</v>
      </c>
      <c r="T276">
        <f t="shared" si="968"/>
        <v>-0.39386471857798883</v>
      </c>
    </row>
    <row r="277" spans="1:20" x14ac:dyDescent="0.25">
      <c r="A277" s="5">
        <v>44316</v>
      </c>
      <c r="B277">
        <v>0.3841</v>
      </c>
      <c r="C277">
        <v>0.41020000000000001</v>
      </c>
      <c r="D277">
        <v>0.3574</v>
      </c>
      <c r="E277">
        <v>0.375</v>
      </c>
      <c r="F277">
        <v>3885073.51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-0.33333333333333331</v>
      </c>
      <c r="Q277">
        <f t="shared" si="965"/>
        <v>-1295024.5033333332</v>
      </c>
      <c r="R277">
        <f t="shared" si="966"/>
        <v>-39137621.591889799</v>
      </c>
      <c r="S277">
        <f t="shared" si="967"/>
        <v>-391.37621591889797</v>
      </c>
      <c r="T277">
        <f t="shared" si="968"/>
        <v>-0.39137621591889799</v>
      </c>
    </row>
    <row r="278" spans="1:20" x14ac:dyDescent="0.25">
      <c r="A278" s="5">
        <v>44315</v>
      </c>
      <c r="B278">
        <v>0.33900000000000002</v>
      </c>
      <c r="C278">
        <v>0.44</v>
      </c>
      <c r="D278">
        <v>0.32229999999999998</v>
      </c>
      <c r="E278">
        <v>0.38400000000000001</v>
      </c>
      <c r="F278">
        <v>5464395.3600000003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4.8428207306712295E-2</v>
      </c>
      <c r="Q278">
        <f t="shared" si="965"/>
        <v>264630.87129991676</v>
      </c>
      <c r="R278">
        <f t="shared" si="966"/>
        <v>-37842597.088556468</v>
      </c>
      <c r="S278">
        <f t="shared" si="967"/>
        <v>-378.42597088556471</v>
      </c>
      <c r="T278">
        <f t="shared" si="968"/>
        <v>-0.37842597088556473</v>
      </c>
    </row>
    <row r="279" spans="1:20" x14ac:dyDescent="0.25">
      <c r="A279" s="5">
        <v>44314</v>
      </c>
      <c r="B279">
        <v>0.33119999999999999</v>
      </c>
      <c r="C279">
        <v>0.36370000000000002</v>
      </c>
      <c r="D279">
        <v>0.30640000000000001</v>
      </c>
      <c r="E279">
        <v>0.33789999999999998</v>
      </c>
      <c r="F279">
        <v>1759395.09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9.9476439790574619E-2</v>
      </c>
      <c r="Q279">
        <f t="shared" si="965"/>
        <v>175018.35973821761</v>
      </c>
      <c r="R279">
        <f t="shared" si="966"/>
        <v>-38107227.959856384</v>
      </c>
      <c r="S279">
        <f t="shared" si="967"/>
        <v>-381.07227959856385</v>
      </c>
      <c r="T279">
        <f t="shared" si="968"/>
        <v>-0.38107227959856388</v>
      </c>
    </row>
    <row r="280" spans="1:20" x14ac:dyDescent="0.25">
      <c r="A280" s="5">
        <v>44313</v>
      </c>
      <c r="B280">
        <v>0.3201</v>
      </c>
      <c r="C280">
        <v>0.3357</v>
      </c>
      <c r="D280">
        <v>0.30370000000000003</v>
      </c>
      <c r="E280">
        <v>0.33</v>
      </c>
      <c r="F280">
        <v>2065178.29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0.64375000000000082</v>
      </c>
      <c r="Q280">
        <f t="shared" si="965"/>
        <v>1329458.5241875018</v>
      </c>
      <c r="R280">
        <f t="shared" si="966"/>
        <v>-38282246.319594599</v>
      </c>
      <c r="S280">
        <f t="shared" si="967"/>
        <v>-382.822463195946</v>
      </c>
      <c r="T280">
        <f t="shared" si="968"/>
        <v>-0.38282246319594598</v>
      </c>
    </row>
    <row r="281" spans="1:20" x14ac:dyDescent="0.25">
      <c r="A281" s="5">
        <v>44312</v>
      </c>
      <c r="B281">
        <v>0.27660000000000001</v>
      </c>
      <c r="C281">
        <v>0.32979999999999998</v>
      </c>
      <c r="D281">
        <v>0.27389999999999998</v>
      </c>
      <c r="E281">
        <v>0.31890000000000002</v>
      </c>
      <c r="F281">
        <v>1576695.88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0.61001788908765786</v>
      </c>
      <c r="Q281">
        <f t="shared" si="965"/>
        <v>961812.69245080708</v>
      </c>
      <c r="R281">
        <f t="shared" si="966"/>
        <v>-39611704.843782105</v>
      </c>
      <c r="S281">
        <f t="shared" si="967"/>
        <v>-396.11704843782104</v>
      </c>
      <c r="T281">
        <f t="shared" si="968"/>
        <v>-0.39611704843782103</v>
      </c>
    </row>
    <row r="282" spans="1:20" x14ac:dyDescent="0.25">
      <c r="A282" s="5">
        <v>44311</v>
      </c>
      <c r="B282">
        <v>0.27389999999999998</v>
      </c>
      <c r="C282">
        <v>0.29580000000000001</v>
      </c>
      <c r="D282">
        <v>0.26960000000000001</v>
      </c>
      <c r="E282">
        <v>0.27729999999999999</v>
      </c>
      <c r="F282">
        <v>514032.05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-0.41221374045801645</v>
      </c>
      <c r="Q282">
        <f t="shared" si="965"/>
        <v>-211891.07404580212</v>
      </c>
      <c r="R282">
        <f t="shared" si="966"/>
        <v>-40573517.536232911</v>
      </c>
      <c r="S282">
        <f t="shared" si="967"/>
        <v>-405.73517536232913</v>
      </c>
      <c r="T282">
        <f t="shared" si="968"/>
        <v>-0.40573517536232911</v>
      </c>
    </row>
    <row r="283" spans="1:20" x14ac:dyDescent="0.25">
      <c r="A283" s="5">
        <v>44310</v>
      </c>
      <c r="B283">
        <v>0.29199999999999998</v>
      </c>
      <c r="C283">
        <v>0.29399999999999998</v>
      </c>
      <c r="D283">
        <v>0.26469999999999999</v>
      </c>
      <c r="E283">
        <v>0.2762</v>
      </c>
      <c r="F283">
        <v>872154.97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-0.2150170648464155</v>
      </c>
      <c r="Q283">
        <f t="shared" si="965"/>
        <v>-187528.20174061356</v>
      </c>
      <c r="R283">
        <f t="shared" si="966"/>
        <v>-40361626.462187111</v>
      </c>
      <c r="S283">
        <f t="shared" si="967"/>
        <v>-403.6162646218711</v>
      </c>
      <c r="T283">
        <f t="shared" si="968"/>
        <v>-0.40361626462187111</v>
      </c>
    </row>
    <row r="284" spans="1:20" x14ac:dyDescent="0.25">
      <c r="A284" s="5">
        <v>44309</v>
      </c>
      <c r="B284">
        <v>0.30009999999999998</v>
      </c>
      <c r="C284">
        <v>0.30049999999999999</v>
      </c>
      <c r="D284">
        <v>0.26069999999999999</v>
      </c>
      <c r="E284">
        <v>0.29039999999999999</v>
      </c>
      <c r="F284">
        <v>2328207.16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0.49246231155778908</v>
      </c>
      <c r="Q284">
        <f t="shared" si="965"/>
        <v>1146554.2797989955</v>
      </c>
      <c r="R284">
        <f t="shared" si="966"/>
        <v>-40174098.260446496</v>
      </c>
      <c r="S284">
        <f t="shared" si="967"/>
        <v>-401.74098260446499</v>
      </c>
      <c r="T284">
        <f t="shared" si="968"/>
        <v>-0.401740982604465</v>
      </c>
    </row>
    <row r="285" spans="1:20" x14ac:dyDescent="0.25">
      <c r="A285" s="5">
        <v>44308</v>
      </c>
      <c r="B285">
        <v>0.3024</v>
      </c>
      <c r="C285">
        <v>0.36680000000000001</v>
      </c>
      <c r="D285">
        <v>0.29780000000000001</v>
      </c>
      <c r="E285">
        <v>0.2999</v>
      </c>
      <c r="F285">
        <v>2381320.98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-0.93913043478260894</v>
      </c>
      <c r="Q285">
        <f t="shared" si="965"/>
        <v>-2236371.0073043485</v>
      </c>
      <c r="R285">
        <f t="shared" si="966"/>
        <v>-41320652.540245488</v>
      </c>
      <c r="S285">
        <f t="shared" si="967"/>
        <v>-413.20652540245487</v>
      </c>
      <c r="T285">
        <f t="shared" si="968"/>
        <v>-0.41320652540245489</v>
      </c>
    </row>
    <row r="286" spans="1:20" x14ac:dyDescent="0.25">
      <c r="A286" s="5">
        <v>44307</v>
      </c>
      <c r="B286">
        <v>0.3095</v>
      </c>
      <c r="C286">
        <v>0.33300000000000002</v>
      </c>
      <c r="D286">
        <v>0.29160000000000003</v>
      </c>
      <c r="E286">
        <v>0.3024</v>
      </c>
      <c r="F286">
        <v>1922151.89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-0.47826086956521846</v>
      </c>
      <c r="Q286">
        <f t="shared" si="965"/>
        <v>-919290.03434782813</v>
      </c>
      <c r="R286">
        <f t="shared" si="966"/>
        <v>-39084281.53294114</v>
      </c>
      <c r="S286">
        <f t="shared" si="967"/>
        <v>-390.84281532941139</v>
      </c>
      <c r="T286">
        <f t="shared" si="968"/>
        <v>-0.3908428153294114</v>
      </c>
    </row>
    <row r="287" spans="1:20" x14ac:dyDescent="0.25">
      <c r="A287" s="5">
        <v>44306</v>
      </c>
      <c r="B287">
        <v>0.2964</v>
      </c>
      <c r="C287">
        <v>0.32029999999999997</v>
      </c>
      <c r="D287">
        <v>0.27</v>
      </c>
      <c r="E287">
        <v>0.30880000000000002</v>
      </c>
      <c r="F287">
        <v>2157403.48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0.542743538767397</v>
      </c>
      <c r="Q287">
        <f t="shared" si="965"/>
        <v>1170916.7992842973</v>
      </c>
      <c r="R287">
        <f t="shared" si="966"/>
        <v>-38164991.498593315</v>
      </c>
      <c r="S287">
        <f t="shared" si="967"/>
        <v>-381.64991498593315</v>
      </c>
      <c r="T287">
        <f t="shared" si="968"/>
        <v>-0.38164991498593315</v>
      </c>
    </row>
    <row r="288" spans="1:20" x14ac:dyDescent="0.25">
      <c r="A288" s="5">
        <v>44305</v>
      </c>
      <c r="B288">
        <v>0.35820000000000002</v>
      </c>
      <c r="C288">
        <v>0.37459999999999999</v>
      </c>
      <c r="D288">
        <v>0.28000000000000003</v>
      </c>
      <c r="E288">
        <v>0.29630000000000001</v>
      </c>
      <c r="F288">
        <v>3302776.11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-0.65539112050739978</v>
      </c>
      <c r="Q288">
        <f t="shared" si="965"/>
        <v>-2164610.1355179711</v>
      </c>
      <c r="R288">
        <f t="shared" si="966"/>
        <v>-39335908.29787761</v>
      </c>
      <c r="S288">
        <f t="shared" si="967"/>
        <v>-393.35908297877609</v>
      </c>
      <c r="T288">
        <f t="shared" si="968"/>
        <v>-0.39335908297877609</v>
      </c>
    </row>
    <row r="289" spans="1:20" x14ac:dyDescent="0.25">
      <c r="A289" s="5">
        <v>44304</v>
      </c>
      <c r="B289">
        <v>0.42970000000000003</v>
      </c>
      <c r="C289">
        <v>0.43</v>
      </c>
      <c r="D289">
        <v>0.1883</v>
      </c>
      <c r="E289">
        <v>0.35610000000000003</v>
      </c>
      <c r="F289">
        <v>3623722.91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0.38849813818783646</v>
      </c>
      <c r="Q289">
        <f t="shared" si="965"/>
        <v>1407809.6038436089</v>
      </c>
      <c r="R289">
        <f t="shared" si="966"/>
        <v>-37171298.16235964</v>
      </c>
      <c r="S289">
        <f t="shared" si="967"/>
        <v>-371.71298162359642</v>
      </c>
      <c r="T289">
        <f t="shared" si="968"/>
        <v>-0.37171298162359639</v>
      </c>
    </row>
    <row r="290" spans="1:20" x14ac:dyDescent="0.25">
      <c r="A290" s="5">
        <v>44303</v>
      </c>
      <c r="B290">
        <v>0.4325</v>
      </c>
      <c r="C290">
        <v>0.44500000000000001</v>
      </c>
      <c r="D290">
        <v>0.41420000000000001</v>
      </c>
      <c r="E290">
        <v>0.42970000000000003</v>
      </c>
      <c r="F290">
        <v>1040718.15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6.4935064935075816E-3</v>
      </c>
      <c r="Q290">
        <f t="shared" si="965"/>
        <v>6757.9100649361972</v>
      </c>
      <c r="R290">
        <f t="shared" si="966"/>
        <v>-38579107.766203247</v>
      </c>
      <c r="S290">
        <f t="shared" si="967"/>
        <v>-385.79107766203248</v>
      </c>
      <c r="T290">
        <f t="shared" si="968"/>
        <v>-0.38579107766203247</v>
      </c>
    </row>
    <row r="291" spans="1:20" x14ac:dyDescent="0.25">
      <c r="A291" s="5">
        <v>44302</v>
      </c>
      <c r="B291">
        <v>0.45400000000000001</v>
      </c>
      <c r="C291">
        <v>0.45600000000000002</v>
      </c>
      <c r="D291">
        <v>0.42</v>
      </c>
      <c r="E291">
        <v>0.43219999999999997</v>
      </c>
      <c r="F291">
        <v>1446233.2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-0.32222222222222346</v>
      </c>
      <c r="Q291">
        <f t="shared" si="965"/>
        <v>-466008.47555555735</v>
      </c>
      <c r="R291">
        <f t="shared" si="966"/>
        <v>-38585865.676268183</v>
      </c>
      <c r="S291">
        <f t="shared" si="967"/>
        <v>-385.85865676268185</v>
      </c>
      <c r="T291">
        <f t="shared" si="968"/>
        <v>-0.38585865676268183</v>
      </c>
    </row>
    <row r="292" spans="1:20" x14ac:dyDescent="0.25">
      <c r="A292" s="5">
        <v>44301</v>
      </c>
      <c r="B292">
        <v>0.44669999999999999</v>
      </c>
      <c r="C292">
        <v>0.47570000000000001</v>
      </c>
      <c r="D292">
        <v>0.43969999999999998</v>
      </c>
      <c r="E292">
        <v>0.45400000000000001</v>
      </c>
      <c r="F292">
        <v>1532945.54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-0.20555555555555433</v>
      </c>
      <c r="Q292">
        <f t="shared" si="965"/>
        <v>-315105.47211110924</v>
      </c>
      <c r="R292">
        <f t="shared" si="966"/>
        <v>-38119857.200712629</v>
      </c>
      <c r="S292">
        <f t="shared" si="967"/>
        <v>-381.1985720071263</v>
      </c>
      <c r="T292">
        <f t="shared" si="968"/>
        <v>-0.38119857200712631</v>
      </c>
    </row>
    <row r="293" spans="1:20" x14ac:dyDescent="0.25">
      <c r="A293" s="5">
        <v>44300</v>
      </c>
      <c r="B293">
        <v>0.45229999999999998</v>
      </c>
      <c r="C293">
        <v>0.48110000000000003</v>
      </c>
      <c r="D293">
        <v>0.43930000000000002</v>
      </c>
      <c r="E293">
        <v>0.44669999999999999</v>
      </c>
      <c r="F293">
        <v>2392985.29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-0.6459330143540688</v>
      </c>
      <c r="Q293">
        <f t="shared" si="965"/>
        <v>-1545708.2016746455</v>
      </c>
      <c r="R293">
        <f t="shared" si="966"/>
        <v>-37804751.728601523</v>
      </c>
      <c r="S293">
        <f t="shared" si="967"/>
        <v>-378.04751728601525</v>
      </c>
      <c r="T293">
        <f t="shared" si="968"/>
        <v>-0.37804751728601527</v>
      </c>
    </row>
    <row r="294" spans="1:20" x14ac:dyDescent="0.25">
      <c r="A294" s="5">
        <v>44299</v>
      </c>
      <c r="B294">
        <v>0.46450000000000002</v>
      </c>
      <c r="C294">
        <v>0.55000000000000004</v>
      </c>
      <c r="D294">
        <v>0.42680000000000001</v>
      </c>
      <c r="E294">
        <v>0.4511</v>
      </c>
      <c r="F294">
        <v>4897712.63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-0.60551948051948079</v>
      </c>
      <c r="Q294">
        <f t="shared" si="965"/>
        <v>-2965660.4074513</v>
      </c>
      <c r="R294">
        <f t="shared" si="966"/>
        <v>-36259043.526926875</v>
      </c>
      <c r="S294">
        <f t="shared" si="967"/>
        <v>-362.59043526926877</v>
      </c>
      <c r="T294">
        <f t="shared" si="968"/>
        <v>-0.36259043526926876</v>
      </c>
    </row>
    <row r="295" spans="1:20" x14ac:dyDescent="0.25">
      <c r="A295" s="5">
        <v>44298</v>
      </c>
      <c r="B295">
        <v>0.44219999999999998</v>
      </c>
      <c r="C295">
        <v>0.498</v>
      </c>
      <c r="D295">
        <v>0.42270000000000002</v>
      </c>
      <c r="E295">
        <v>0.46200000000000002</v>
      </c>
      <c r="F295">
        <v>4291849.5999999996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4.3824701195219473E-2</v>
      </c>
      <c r="Q295">
        <f t="shared" si="965"/>
        <v>188089.02629482219</v>
      </c>
      <c r="R295">
        <f t="shared" si="966"/>
        <v>-33293383.119475573</v>
      </c>
      <c r="S295">
        <f t="shared" si="967"/>
        <v>-332.93383119475573</v>
      </c>
      <c r="T295">
        <f t="shared" si="968"/>
        <v>-0.33293383119475572</v>
      </c>
    </row>
    <row r="296" spans="1:20" x14ac:dyDescent="0.25">
      <c r="A296" s="5">
        <v>44297</v>
      </c>
      <c r="B296">
        <v>0.42309999999999998</v>
      </c>
      <c r="C296">
        <v>0.4733</v>
      </c>
      <c r="D296">
        <v>0.41870000000000002</v>
      </c>
      <c r="E296">
        <v>0.44219999999999998</v>
      </c>
      <c r="F296">
        <v>2461858.39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-0.13919413919414017</v>
      </c>
      <c r="Q296">
        <f t="shared" si="965"/>
        <v>-342676.25941392186</v>
      </c>
      <c r="R296">
        <f t="shared" si="966"/>
        <v>-33481472.145770397</v>
      </c>
      <c r="S296">
        <f t="shared" si="967"/>
        <v>-334.81472145770397</v>
      </c>
      <c r="T296">
        <f t="shared" si="968"/>
        <v>-0.33481472145770397</v>
      </c>
    </row>
    <row r="297" spans="1:20" x14ac:dyDescent="0.25">
      <c r="A297" s="5">
        <v>44296</v>
      </c>
      <c r="B297">
        <v>0.45129999999999998</v>
      </c>
      <c r="C297">
        <v>0.47839999999999999</v>
      </c>
      <c r="D297">
        <v>0.41299999999999998</v>
      </c>
      <c r="E297">
        <v>0.4244</v>
      </c>
      <c r="F297">
        <v>2211855.15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-0.65137614678899025</v>
      </c>
      <c r="Q297">
        <f t="shared" si="965"/>
        <v>-1440749.6848623839</v>
      </c>
      <c r="R297">
        <f t="shared" si="966"/>
        <v>-33138795.886356477</v>
      </c>
      <c r="S297">
        <f t="shared" si="967"/>
        <v>-331.38795886356479</v>
      </c>
      <c r="T297">
        <f t="shared" si="968"/>
        <v>-0.33138795886356481</v>
      </c>
    </row>
    <row r="298" spans="1:20" x14ac:dyDescent="0.25">
      <c r="A298" s="5">
        <v>44295</v>
      </c>
      <c r="B298">
        <v>0.40529999999999999</v>
      </c>
      <c r="C298">
        <v>0.45739999999999997</v>
      </c>
      <c r="D298">
        <v>0.39850000000000002</v>
      </c>
      <c r="E298">
        <v>0.45119999999999999</v>
      </c>
      <c r="F298">
        <v>1313868.33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0.78947368421052666</v>
      </c>
      <c r="Q298">
        <f t="shared" si="965"/>
        <v>1037264.4710526321</v>
      </c>
      <c r="R298">
        <f t="shared" si="966"/>
        <v>-31698046.201494094</v>
      </c>
      <c r="S298">
        <f t="shared" si="967"/>
        <v>-316.98046201494094</v>
      </c>
      <c r="T298">
        <f t="shared" si="968"/>
        <v>-0.31698046201494096</v>
      </c>
    </row>
    <row r="299" spans="1:20" x14ac:dyDescent="0.25">
      <c r="A299" s="5">
        <v>44294</v>
      </c>
      <c r="B299">
        <v>0.37290000000000001</v>
      </c>
      <c r="C299">
        <v>0.42859999999999998</v>
      </c>
      <c r="D299">
        <v>0.3679</v>
      </c>
      <c r="E299">
        <v>0.40550000000000003</v>
      </c>
      <c r="F299">
        <v>1240299.57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0.23887973640856794</v>
      </c>
      <c r="Q299">
        <f t="shared" si="965"/>
        <v>296282.43434926018</v>
      </c>
      <c r="R299">
        <f t="shared" si="966"/>
        <v>-32735310.672546726</v>
      </c>
      <c r="S299">
        <f t="shared" si="967"/>
        <v>-327.35310672546728</v>
      </c>
      <c r="T299">
        <f t="shared" si="968"/>
        <v>-0.3273531067254673</v>
      </c>
    </row>
    <row r="300" spans="1:20" x14ac:dyDescent="0.25">
      <c r="A300" s="5">
        <v>44293</v>
      </c>
      <c r="B300">
        <v>0.42649999999999999</v>
      </c>
      <c r="C300">
        <v>0.43940000000000001</v>
      </c>
      <c r="D300">
        <v>0.36009999999999998</v>
      </c>
      <c r="E300">
        <v>0.37080000000000002</v>
      </c>
      <c r="F300">
        <v>1105037.73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-0.73013871374527017</v>
      </c>
      <c r="Q300">
        <f t="shared" si="965"/>
        <v>-806830.82682219311</v>
      </c>
      <c r="R300">
        <f t="shared" si="966"/>
        <v>-33031593.106895987</v>
      </c>
      <c r="S300">
        <f t="shared" si="967"/>
        <v>-330.31593106895986</v>
      </c>
      <c r="T300">
        <f t="shared" si="968"/>
        <v>-0.33031593106895984</v>
      </c>
    </row>
    <row r="301" spans="1:20" x14ac:dyDescent="0.25">
      <c r="A301" s="5">
        <v>44292</v>
      </c>
      <c r="B301">
        <v>0.43640000000000001</v>
      </c>
      <c r="C301">
        <v>0.4672</v>
      </c>
      <c r="D301">
        <v>0.40200000000000002</v>
      </c>
      <c r="E301">
        <v>0.42649999999999999</v>
      </c>
      <c r="F301">
        <v>1743098.18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-0.24846625766871247</v>
      </c>
      <c r="Q301">
        <f t="shared" si="965"/>
        <v>-433101.08153374371</v>
      </c>
      <c r="R301">
        <f t="shared" si="966"/>
        <v>-32224762.280073795</v>
      </c>
      <c r="S301">
        <f t="shared" si="967"/>
        <v>-322.24762280073793</v>
      </c>
      <c r="T301">
        <f t="shared" si="968"/>
        <v>-0.32224762280073793</v>
      </c>
    </row>
    <row r="302" spans="1:20" x14ac:dyDescent="0.25">
      <c r="A302" s="5">
        <v>44291</v>
      </c>
      <c r="B302">
        <v>0.39300000000000002</v>
      </c>
      <c r="C302">
        <v>0.4728</v>
      </c>
      <c r="D302">
        <v>0.37719999999999998</v>
      </c>
      <c r="E302">
        <v>0.43430000000000002</v>
      </c>
      <c r="F302">
        <v>2600308.09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0.19456066945606754</v>
      </c>
      <c r="Q302">
        <f t="shared" si="965"/>
        <v>505917.68278242828</v>
      </c>
      <c r="R302">
        <f t="shared" si="966"/>
        <v>-31791661.198540051</v>
      </c>
      <c r="S302">
        <f t="shared" si="967"/>
        <v>-317.91661198540049</v>
      </c>
      <c r="T302">
        <f t="shared" si="968"/>
        <v>-0.3179166119854005</v>
      </c>
    </row>
    <row r="303" spans="1:20" x14ac:dyDescent="0.25">
      <c r="A303" s="5">
        <v>44290</v>
      </c>
      <c r="B303">
        <v>0.3634</v>
      </c>
      <c r="C303">
        <v>0.40129999999999999</v>
      </c>
      <c r="D303">
        <v>0.3548</v>
      </c>
      <c r="E303">
        <v>0.39100000000000001</v>
      </c>
      <c r="F303">
        <v>1023900.47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0.55698924731182886</v>
      </c>
      <c r="Q303">
        <f t="shared" si="965"/>
        <v>570301.55210752774</v>
      </c>
      <c r="R303">
        <f t="shared" si="966"/>
        <v>-32297578.881322477</v>
      </c>
      <c r="S303">
        <f t="shared" si="967"/>
        <v>-322.97578881322477</v>
      </c>
      <c r="T303">
        <f t="shared" si="968"/>
        <v>-0.32297578881322475</v>
      </c>
    </row>
    <row r="304" spans="1:20" x14ac:dyDescent="0.25">
      <c r="A304" s="5">
        <v>44289</v>
      </c>
      <c r="B304">
        <v>0.37680000000000002</v>
      </c>
      <c r="C304">
        <v>0.3921</v>
      </c>
      <c r="D304">
        <v>0.36299999999999999</v>
      </c>
      <c r="E304">
        <v>0.36420000000000002</v>
      </c>
      <c r="F304">
        <v>1034685.74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-0.91752577319587392</v>
      </c>
      <c r="Q304">
        <f t="shared" si="965"/>
        <v>-949350.83360824501</v>
      </c>
      <c r="R304">
        <f t="shared" si="966"/>
        <v>-32867880.433430005</v>
      </c>
      <c r="S304">
        <f t="shared" si="967"/>
        <v>-328.67880433430003</v>
      </c>
      <c r="T304">
        <f t="shared" si="968"/>
        <v>-0.32867880433430002</v>
      </c>
    </row>
    <row r="305" spans="1:20" x14ac:dyDescent="0.25">
      <c r="A305" s="5">
        <v>44288</v>
      </c>
      <c r="B305">
        <v>0.36059999999999998</v>
      </c>
      <c r="C305">
        <v>0.38419999999999999</v>
      </c>
      <c r="D305">
        <v>0.35</v>
      </c>
      <c r="E305">
        <v>0.37609999999999999</v>
      </c>
      <c r="F305">
        <v>1054252.5900000001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0.52631578947368451</v>
      </c>
      <c r="Q305">
        <f t="shared" si="965"/>
        <v>554869.78421052673</v>
      </c>
      <c r="R305">
        <f t="shared" si="966"/>
        <v>-31918529.599821761</v>
      </c>
      <c r="S305">
        <f t="shared" si="967"/>
        <v>-319.18529599821761</v>
      </c>
      <c r="T305">
        <f t="shared" si="968"/>
        <v>-0.3191852959982176</v>
      </c>
    </row>
    <row r="306" spans="1:20" x14ac:dyDescent="0.25">
      <c r="A306" s="5">
        <v>44287</v>
      </c>
      <c r="B306">
        <v>0.37819999999999998</v>
      </c>
      <c r="C306">
        <v>0.38080000000000003</v>
      </c>
      <c r="D306">
        <v>0.35549999999999998</v>
      </c>
      <c r="E306">
        <v>0.3614</v>
      </c>
      <c r="F306">
        <v>1074183.72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-0.53359683794466362</v>
      </c>
      <c r="Q306">
        <f t="shared" si="965"/>
        <v>-573181.03636363591</v>
      </c>
      <c r="R306">
        <f t="shared" si="966"/>
        <v>-32473399.384032287</v>
      </c>
      <c r="S306">
        <f t="shared" si="967"/>
        <v>-324.73399384032285</v>
      </c>
      <c r="T306">
        <f t="shared" si="968"/>
        <v>-0.32473399384032287</v>
      </c>
    </row>
    <row r="307" spans="1:20" x14ac:dyDescent="0.25">
      <c r="A307" s="5">
        <v>44286</v>
      </c>
      <c r="B307">
        <v>0.39600000000000002</v>
      </c>
      <c r="C307">
        <v>0.40500000000000003</v>
      </c>
      <c r="D307">
        <v>0.3604</v>
      </c>
      <c r="E307">
        <v>0.38090000000000002</v>
      </c>
      <c r="F307">
        <v>1180985.4099999999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-8.0717488789237443E-2</v>
      </c>
      <c r="Q307">
        <f t="shared" si="965"/>
        <v>-95326.176591927971</v>
      </c>
      <c r="R307">
        <f t="shared" si="966"/>
        <v>-31900218.347668651</v>
      </c>
      <c r="S307">
        <f t="shared" si="967"/>
        <v>-319.00218347668653</v>
      </c>
      <c r="T307">
        <f t="shared" si="968"/>
        <v>-0.31900218347668652</v>
      </c>
    </row>
    <row r="308" spans="1:20" x14ac:dyDescent="0.25">
      <c r="A308" s="5">
        <v>44285</v>
      </c>
      <c r="B308">
        <v>0.38919999999999999</v>
      </c>
      <c r="C308">
        <v>0.41870000000000002</v>
      </c>
      <c r="D308">
        <v>0.38169999999999998</v>
      </c>
      <c r="E308">
        <v>0.39600000000000002</v>
      </c>
      <c r="F308">
        <v>1173172.1599999999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-0.22702702702702582</v>
      </c>
      <c r="Q308">
        <f t="shared" si="965"/>
        <v>-266341.78767567425</v>
      </c>
      <c r="R308">
        <f t="shared" si="966"/>
        <v>-31804892.171076722</v>
      </c>
      <c r="S308">
        <f t="shared" si="967"/>
        <v>-318.04892171076722</v>
      </c>
      <c r="T308">
        <f t="shared" si="968"/>
        <v>-0.31804892171076721</v>
      </c>
    </row>
    <row r="309" spans="1:20" x14ac:dyDescent="0.25">
      <c r="A309" s="5">
        <v>44284</v>
      </c>
      <c r="B309">
        <v>0.35780000000000001</v>
      </c>
      <c r="C309">
        <v>0.40360000000000001</v>
      </c>
      <c r="D309">
        <v>0.3553</v>
      </c>
      <c r="E309">
        <v>0.38569999999999999</v>
      </c>
      <c r="F309">
        <v>1845786.99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0.25879917184264911</v>
      </c>
      <c r="Q309">
        <f t="shared" si="965"/>
        <v>477688.14440993604</v>
      </c>
      <c r="R309">
        <f t="shared" si="966"/>
        <v>-31538550.383401047</v>
      </c>
      <c r="S309">
        <f t="shared" si="967"/>
        <v>-315.38550383401048</v>
      </c>
      <c r="T309">
        <f t="shared" si="968"/>
        <v>-0.31538550383401048</v>
      </c>
    </row>
    <row r="310" spans="1:20" x14ac:dyDescent="0.25">
      <c r="A310" s="5">
        <v>44283</v>
      </c>
      <c r="B310">
        <v>0.36659999999999998</v>
      </c>
      <c r="C310">
        <v>0.37569999999999998</v>
      </c>
      <c r="D310">
        <v>0.35199999999999998</v>
      </c>
      <c r="E310">
        <v>0.35809999999999997</v>
      </c>
      <c r="F310">
        <v>1071216.3999999999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-0.48523206751054898</v>
      </c>
      <c r="Q310">
        <f t="shared" si="965"/>
        <v>-519788.5485232072</v>
      </c>
      <c r="R310">
        <f t="shared" si="966"/>
        <v>-32016238.527810983</v>
      </c>
      <c r="S310">
        <f t="shared" si="967"/>
        <v>-320.16238527810981</v>
      </c>
      <c r="T310">
        <f t="shared" si="968"/>
        <v>-0.32016238527810981</v>
      </c>
    </row>
    <row r="311" spans="1:20" x14ac:dyDescent="0.25">
      <c r="A311" s="5">
        <v>44282</v>
      </c>
      <c r="B311">
        <v>0.36530000000000001</v>
      </c>
      <c r="C311">
        <v>0.41</v>
      </c>
      <c r="D311">
        <v>0.35449999999999998</v>
      </c>
      <c r="E311">
        <v>0.3674</v>
      </c>
      <c r="F311">
        <v>1217754.3799999999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-0.53513513513513422</v>
      </c>
      <c r="Q311">
        <f t="shared" si="965"/>
        <v>-651663.15470270149</v>
      </c>
      <c r="R311">
        <f t="shared" si="966"/>
        <v>-31496449.979287777</v>
      </c>
      <c r="S311">
        <f t="shared" si="967"/>
        <v>-314.96449979287775</v>
      </c>
      <c r="T311">
        <f t="shared" si="968"/>
        <v>-0.31496449979287777</v>
      </c>
    </row>
    <row r="312" spans="1:20" x14ac:dyDescent="0.25">
      <c r="A312" s="5">
        <v>44281</v>
      </c>
      <c r="B312">
        <v>0.3352</v>
      </c>
      <c r="C312">
        <v>0.3896</v>
      </c>
      <c r="D312">
        <v>0.33169999999999999</v>
      </c>
      <c r="E312">
        <v>0.36530000000000001</v>
      </c>
      <c r="F312">
        <v>1205715.55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0.1606217616580316</v>
      </c>
      <c r="Q312">
        <f t="shared" si="965"/>
        <v>193664.15569948251</v>
      </c>
      <c r="R312">
        <f t="shared" si="966"/>
        <v>-30844786.824585076</v>
      </c>
      <c r="S312">
        <f t="shared" si="967"/>
        <v>-308.44786824585077</v>
      </c>
      <c r="T312">
        <f t="shared" si="968"/>
        <v>-0.3084478682458508</v>
      </c>
    </row>
    <row r="313" spans="1:20" x14ac:dyDescent="0.25">
      <c r="A313" s="5">
        <v>44280</v>
      </c>
      <c r="B313">
        <v>0.35149999999999998</v>
      </c>
      <c r="C313">
        <v>0.36</v>
      </c>
      <c r="D313">
        <v>0.32</v>
      </c>
      <c r="E313">
        <v>0.33500000000000002</v>
      </c>
      <c r="F313">
        <v>961507.07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-0.24999999999999895</v>
      </c>
      <c r="Q313">
        <f t="shared" si="965"/>
        <v>-240376.76749999897</v>
      </c>
      <c r="R313">
        <f t="shared" si="966"/>
        <v>-31038450.98028456</v>
      </c>
      <c r="S313">
        <f t="shared" si="967"/>
        <v>-310.38450980284563</v>
      </c>
      <c r="T313">
        <f t="shared" si="968"/>
        <v>-0.31038450980284565</v>
      </c>
    </row>
    <row r="314" spans="1:20" x14ac:dyDescent="0.25">
      <c r="A314" s="5">
        <v>44279</v>
      </c>
      <c r="B314">
        <v>0.35460000000000003</v>
      </c>
      <c r="C314">
        <v>0.42849999999999999</v>
      </c>
      <c r="D314">
        <v>0.34599999999999997</v>
      </c>
      <c r="E314">
        <v>0.35420000000000001</v>
      </c>
      <c r="F314">
        <v>1021252.75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-0.80121212121212027</v>
      </c>
      <c r="Q314">
        <f t="shared" si="965"/>
        <v>-818240.0821212111</v>
      </c>
      <c r="R314">
        <f t="shared" si="966"/>
        <v>-30798074.212784562</v>
      </c>
      <c r="S314">
        <f t="shared" si="967"/>
        <v>-307.98074212784564</v>
      </c>
      <c r="T314">
        <f t="shared" si="968"/>
        <v>-0.30798074212784565</v>
      </c>
    </row>
    <row r="315" spans="1:20" x14ac:dyDescent="0.25">
      <c r="A315" s="5">
        <v>44278</v>
      </c>
      <c r="B315">
        <v>0.3604</v>
      </c>
      <c r="C315">
        <v>0.37819999999999998</v>
      </c>
      <c r="D315">
        <v>0.34499999999999997</v>
      </c>
      <c r="E315">
        <v>0.35560000000000003</v>
      </c>
      <c r="F315">
        <v>748953.3</v>
      </c>
      <c r="G315">
        <v>0</v>
      </c>
      <c r="L315" t="s">
        <v>7</v>
      </c>
      <c r="M315" t="s">
        <v>8</v>
      </c>
      <c r="N315" t="s">
        <v>7</v>
      </c>
      <c r="P315">
        <f t="shared" si="964"/>
        <v>-0.36144578313252701</v>
      </c>
      <c r="Q315">
        <f t="shared" si="965"/>
        <v>-270706.01204819046</v>
      </c>
      <c r="R315">
        <f t="shared" si="966"/>
        <v>-29979834.13066335</v>
      </c>
      <c r="S315">
        <f t="shared" si="967"/>
        <v>-299.79834130663352</v>
      </c>
      <c r="T315">
        <f t="shared" si="968"/>
        <v>-0.29979834130663352</v>
      </c>
    </row>
    <row r="316" spans="1:20" x14ac:dyDescent="0.25">
      <c r="A316" s="5">
        <v>44277</v>
      </c>
      <c r="B316">
        <v>0.37319999999999998</v>
      </c>
      <c r="C316">
        <v>0.4032</v>
      </c>
      <c r="D316">
        <v>0.35149999999999998</v>
      </c>
      <c r="E316">
        <v>0.36</v>
      </c>
      <c r="F316">
        <v>1843046.13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-0.67117988394584127</v>
      </c>
      <c r="Q316">
        <f t="shared" si="965"/>
        <v>-1237015.4876402318</v>
      </c>
      <c r="R316">
        <f t="shared" si="966"/>
        <v>-29709128.118615162</v>
      </c>
      <c r="S316">
        <f t="shared" si="967"/>
        <v>-297.0912811861516</v>
      </c>
      <c r="T316">
        <f t="shared" si="968"/>
        <v>-0.29709128118615158</v>
      </c>
    </row>
    <row r="317" spans="1:20" x14ac:dyDescent="0.25">
      <c r="A317" s="5">
        <v>44276</v>
      </c>
      <c r="B317">
        <v>0.42899999999999999</v>
      </c>
      <c r="C317">
        <v>0.4375</v>
      </c>
      <c r="D317">
        <v>0.32679999999999998</v>
      </c>
      <c r="E317">
        <v>0.37330000000000002</v>
      </c>
      <c r="F317">
        <v>4436379.4000000004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-0.15989159891598856</v>
      </c>
      <c r="Q317">
        <f t="shared" si="965"/>
        <v>-709339.79566395399</v>
      </c>
      <c r="R317">
        <f t="shared" si="966"/>
        <v>-28472112.63097493</v>
      </c>
      <c r="S317">
        <f t="shared" si="967"/>
        <v>-284.72112630974931</v>
      </c>
      <c r="T317">
        <f t="shared" si="968"/>
        <v>-0.28472112630974933</v>
      </c>
    </row>
    <row r="318" spans="1:20" x14ac:dyDescent="0.25">
      <c r="A318" s="5">
        <v>44275</v>
      </c>
      <c r="B318">
        <v>0.41860000000000003</v>
      </c>
      <c r="C318">
        <v>0.43830000000000002</v>
      </c>
      <c r="D318">
        <v>0.4052</v>
      </c>
      <c r="E318">
        <v>0.42899999999999999</v>
      </c>
      <c r="F318">
        <v>836724.63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0.43806646525679604</v>
      </c>
      <c r="Q318">
        <f t="shared" si="965"/>
        <v>366541.00105740054</v>
      </c>
      <c r="R318">
        <f t="shared" si="966"/>
        <v>-27762772.835310977</v>
      </c>
      <c r="S318">
        <f t="shared" si="967"/>
        <v>-277.62772835310977</v>
      </c>
      <c r="T318">
        <f t="shared" si="968"/>
        <v>-0.27762772835310978</v>
      </c>
    </row>
    <row r="319" spans="1:20" x14ac:dyDescent="0.25">
      <c r="A319" s="5">
        <v>44274</v>
      </c>
      <c r="B319">
        <v>0.44800000000000001</v>
      </c>
      <c r="C319">
        <v>0.49990000000000001</v>
      </c>
      <c r="D319">
        <v>0.41320000000000001</v>
      </c>
      <c r="E319">
        <v>0.41849999999999998</v>
      </c>
      <c r="F319">
        <v>1144251.3700000001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-0.8777393310265289</v>
      </c>
      <c r="Q319">
        <f t="shared" si="965"/>
        <v>-1004354.4320299893</v>
      </c>
      <c r="R319">
        <f t="shared" si="966"/>
        <v>-28129313.836368378</v>
      </c>
      <c r="S319">
        <f t="shared" si="967"/>
        <v>-281.29313836368379</v>
      </c>
      <c r="T319">
        <f t="shared" si="968"/>
        <v>-0.2812931383636838</v>
      </c>
    </row>
    <row r="320" spans="1:20" x14ac:dyDescent="0.25">
      <c r="A320" s="5">
        <v>44273</v>
      </c>
      <c r="B320">
        <v>0.47860000000000003</v>
      </c>
      <c r="C320">
        <v>0.49619999999999997</v>
      </c>
      <c r="D320">
        <v>0.4355</v>
      </c>
      <c r="E320">
        <v>0.44309999999999999</v>
      </c>
      <c r="F320">
        <v>1294209.08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-0.74958813838550253</v>
      </c>
      <c r="Q320">
        <f t="shared" si="965"/>
        <v>-970123.77495881403</v>
      </c>
      <c r="R320">
        <f t="shared" si="966"/>
        <v>-27124959.40433839</v>
      </c>
      <c r="S320">
        <f t="shared" si="967"/>
        <v>-271.24959404338392</v>
      </c>
      <c r="T320">
        <f t="shared" si="968"/>
        <v>-0.27124959404338395</v>
      </c>
    </row>
    <row r="321" spans="1:20" x14ac:dyDescent="0.25">
      <c r="A321" s="5">
        <v>44272</v>
      </c>
      <c r="B321">
        <v>0.52329999999999999</v>
      </c>
      <c r="C321">
        <v>0.5494</v>
      </c>
      <c r="D321">
        <v>0.44900000000000001</v>
      </c>
      <c r="E321">
        <v>0.47860000000000003</v>
      </c>
      <c r="F321">
        <v>2405418.33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-0.41035856573705143</v>
      </c>
      <c r="Q321">
        <f t="shared" si="965"/>
        <v>-987084.01589641348</v>
      </c>
      <c r="R321">
        <f t="shared" si="966"/>
        <v>-26154835.629379574</v>
      </c>
      <c r="S321">
        <f t="shared" si="967"/>
        <v>-261.54835629379573</v>
      </c>
      <c r="T321">
        <f t="shared" si="968"/>
        <v>-0.26154835629379575</v>
      </c>
    </row>
    <row r="322" spans="1:20" x14ac:dyDescent="0.25">
      <c r="A322" s="5">
        <v>44271</v>
      </c>
      <c r="B322">
        <v>0.4642</v>
      </c>
      <c r="C322">
        <v>0.61599999999999999</v>
      </c>
      <c r="D322">
        <v>0.42830000000000001</v>
      </c>
      <c r="E322">
        <v>0.52090000000000003</v>
      </c>
      <c r="F322">
        <v>3213203.84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-1.3319126265316714E-2</v>
      </c>
      <c r="Q322">
        <f t="shared" si="965"/>
        <v>-42797.067661160523</v>
      </c>
      <c r="R322">
        <f t="shared" si="966"/>
        <v>-25167751.613483161</v>
      </c>
      <c r="S322">
        <f t="shared" si="967"/>
        <v>-251.67751613483162</v>
      </c>
      <c r="T322">
        <f t="shared" si="968"/>
        <v>-0.25167751613483164</v>
      </c>
    </row>
    <row r="323" spans="1:20" x14ac:dyDescent="0.25">
      <c r="A323" s="5">
        <v>44270</v>
      </c>
      <c r="B323">
        <v>0.45</v>
      </c>
      <c r="C323">
        <v>0.5</v>
      </c>
      <c r="D323">
        <v>0.4168</v>
      </c>
      <c r="E323">
        <v>0.46870000000000001</v>
      </c>
      <c r="F323">
        <v>3006735.73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0.24759615384615394</v>
      </c>
      <c r="Q323">
        <f t="shared" si="965"/>
        <v>744456.20237980795</v>
      </c>
      <c r="R323">
        <f t="shared" si="966"/>
        <v>-25124954.545822002</v>
      </c>
      <c r="S323">
        <f t="shared" si="967"/>
        <v>-251.24954545822001</v>
      </c>
      <c r="T323">
        <f t="shared" si="968"/>
        <v>-0.25124954545822004</v>
      </c>
    </row>
    <row r="324" spans="1:20" x14ac:dyDescent="0.25">
      <c r="A324" s="5">
        <v>44269</v>
      </c>
      <c r="B324">
        <v>0.42670000000000002</v>
      </c>
      <c r="C324">
        <v>0.7</v>
      </c>
      <c r="D324">
        <v>0.39350000000000002</v>
      </c>
      <c r="E324">
        <v>0.44929999999999998</v>
      </c>
      <c r="F324">
        <v>6475640.8300000001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-0.63588907014681906</v>
      </c>
      <c r="Q324">
        <f t="shared" si="965"/>
        <v>-4117789.2259934754</v>
      </c>
      <c r="R324">
        <f t="shared" si="966"/>
        <v>-25869410.74820181</v>
      </c>
      <c r="S324">
        <f t="shared" si="967"/>
        <v>-258.69410748201813</v>
      </c>
      <c r="T324">
        <f t="shared" si="968"/>
        <v>-0.2586941074820181</v>
      </c>
    </row>
    <row r="325" spans="1:20" x14ac:dyDescent="0.25">
      <c r="A325" s="5">
        <v>44268</v>
      </c>
      <c r="B325">
        <v>0.34100000000000003</v>
      </c>
      <c r="C325">
        <v>0.45490000000000003</v>
      </c>
      <c r="D325">
        <v>0.3286</v>
      </c>
      <c r="E325">
        <v>0.4234</v>
      </c>
      <c r="F325">
        <v>3253345.93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0.50118764845605668</v>
      </c>
      <c r="Q325">
        <f t="shared" si="965"/>
        <v>1630536.7962707828</v>
      </c>
      <c r="R325">
        <f t="shared" si="966"/>
        <v>-21751621.522208333</v>
      </c>
      <c r="S325">
        <f t="shared" si="967"/>
        <v>-217.51621522208333</v>
      </c>
      <c r="T325">
        <f t="shared" si="968"/>
        <v>-0.21751621522208334</v>
      </c>
    </row>
    <row r="326" spans="1:20" x14ac:dyDescent="0.25">
      <c r="A326" s="5">
        <v>44267</v>
      </c>
      <c r="B326">
        <v>0.34229999999999999</v>
      </c>
      <c r="C326">
        <v>0.35699999999999998</v>
      </c>
      <c r="D326">
        <v>0.32640000000000002</v>
      </c>
      <c r="E326">
        <v>0.34110000000000001</v>
      </c>
      <c r="F326">
        <v>1026187.31</v>
      </c>
      <c r="G326">
        <v>0</v>
      </c>
      <c r="L326" t="s">
        <v>8</v>
      </c>
      <c r="M326" t="s">
        <v>7</v>
      </c>
      <c r="N326" t="s">
        <v>7</v>
      </c>
      <c r="P326">
        <f t="shared" ref="P326:P389" si="969">IF(C326=D326,0,((E326-D326)-(C326-E326))/(C326-D326))</f>
        <v>-3.9215686274509165E-2</v>
      </c>
      <c r="Q326">
        <f t="shared" ref="Q326:Q389" si="970">F326*P326</f>
        <v>-40242.63960784248</v>
      </c>
      <c r="R326">
        <f t="shared" ref="R326:R389" si="971">R327+Q326</f>
        <v>-23382158.318479117</v>
      </c>
      <c r="S326">
        <f t="shared" ref="S326:S389" si="972">R326/100000</f>
        <v>-233.82158318479117</v>
      </c>
      <c r="T326">
        <f t="shared" ref="T326:T389" si="973">S326/1000</f>
        <v>-0.23382158318479115</v>
      </c>
    </row>
    <row r="327" spans="1:20" x14ac:dyDescent="0.25">
      <c r="A327" s="5">
        <v>44266</v>
      </c>
      <c r="B327">
        <v>0.34649999999999997</v>
      </c>
      <c r="C327">
        <v>0.37369999999999998</v>
      </c>
      <c r="D327">
        <v>0.32550000000000001</v>
      </c>
      <c r="E327">
        <v>0.34229999999999999</v>
      </c>
      <c r="F327">
        <v>1098110.3500000001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-0.30290456431535295</v>
      </c>
      <c r="Q327">
        <f t="shared" si="970"/>
        <v>-332622.63713692978</v>
      </c>
      <c r="R327">
        <f t="shared" si="971"/>
        <v>-23341915.678871274</v>
      </c>
      <c r="S327">
        <f t="shared" si="972"/>
        <v>-233.41915678871274</v>
      </c>
      <c r="T327">
        <f t="shared" si="973"/>
        <v>-0.23341915678871275</v>
      </c>
    </row>
    <row r="328" spans="1:20" x14ac:dyDescent="0.25">
      <c r="A328" s="5">
        <v>44265</v>
      </c>
      <c r="B328">
        <v>0.36870000000000003</v>
      </c>
      <c r="C328">
        <v>0.4</v>
      </c>
      <c r="D328">
        <v>0.34449999999999997</v>
      </c>
      <c r="E328">
        <v>0.34699999999999998</v>
      </c>
      <c r="F328">
        <v>1558633.94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-0.90990990990990994</v>
      </c>
      <c r="Q328">
        <f t="shared" si="970"/>
        <v>-1418216.4679279278</v>
      </c>
      <c r="R328">
        <f t="shared" si="971"/>
        <v>-23009293.041734345</v>
      </c>
      <c r="S328">
        <f t="shared" si="972"/>
        <v>-230.09293041734344</v>
      </c>
      <c r="T328">
        <f t="shared" si="973"/>
        <v>-0.23009293041734344</v>
      </c>
    </row>
    <row r="329" spans="1:20" x14ac:dyDescent="0.25">
      <c r="A329" s="5">
        <v>44264</v>
      </c>
      <c r="B329">
        <v>0.38390000000000002</v>
      </c>
      <c r="C329">
        <v>0.4</v>
      </c>
      <c r="D329">
        <v>0.34749999999999998</v>
      </c>
      <c r="E329">
        <v>0.36870000000000003</v>
      </c>
      <c r="F329">
        <v>1684292.31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-0.19238095238095113</v>
      </c>
      <c r="Q329">
        <f t="shared" si="970"/>
        <v>-324025.75868571218</v>
      </c>
      <c r="R329">
        <f t="shared" si="971"/>
        <v>-21591076.573806416</v>
      </c>
      <c r="S329">
        <f t="shared" si="972"/>
        <v>-215.91076573806416</v>
      </c>
      <c r="T329">
        <f t="shared" si="973"/>
        <v>-0.21591076573806417</v>
      </c>
    </row>
    <row r="330" spans="1:20" x14ac:dyDescent="0.25">
      <c r="A330" s="5">
        <v>44263</v>
      </c>
      <c r="B330">
        <v>0.33989999999999998</v>
      </c>
      <c r="C330">
        <v>0.38990000000000002</v>
      </c>
      <c r="D330">
        <v>0.31719999999999998</v>
      </c>
      <c r="E330">
        <v>0.38419999999999999</v>
      </c>
      <c r="F330">
        <v>1671831.53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0.84319119669876108</v>
      </c>
      <c r="Q330">
        <f t="shared" si="970"/>
        <v>1409673.6284594208</v>
      </c>
      <c r="R330">
        <f t="shared" si="971"/>
        <v>-21267050.815120704</v>
      </c>
      <c r="S330">
        <f t="shared" si="972"/>
        <v>-212.67050815120703</v>
      </c>
      <c r="T330">
        <f t="shared" si="973"/>
        <v>-0.21267050815120703</v>
      </c>
    </row>
    <row r="331" spans="1:20" x14ac:dyDescent="0.25">
      <c r="A331" s="5">
        <v>44262</v>
      </c>
      <c r="B331">
        <v>0.33139999999999997</v>
      </c>
      <c r="C331">
        <v>0.35599999999999998</v>
      </c>
      <c r="D331">
        <v>0.33</v>
      </c>
      <c r="E331">
        <v>0.33929999999999999</v>
      </c>
      <c r="F331">
        <v>667012.06999999995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-0.28461538461538566</v>
      </c>
      <c r="Q331">
        <f t="shared" si="970"/>
        <v>-189841.89684615453</v>
      </c>
      <c r="R331">
        <f t="shared" si="971"/>
        <v>-22676724.443580125</v>
      </c>
      <c r="S331">
        <f t="shared" si="972"/>
        <v>-226.76724443580125</v>
      </c>
      <c r="T331">
        <f t="shared" si="973"/>
        <v>-0.22676724443580124</v>
      </c>
    </row>
    <row r="332" spans="1:20" x14ac:dyDescent="0.25">
      <c r="A332" s="5">
        <v>44261</v>
      </c>
      <c r="B332">
        <v>0.3165</v>
      </c>
      <c r="C332">
        <v>0.37259999999999999</v>
      </c>
      <c r="D332">
        <v>0.31480000000000002</v>
      </c>
      <c r="E332">
        <v>0.32950000000000002</v>
      </c>
      <c r="F332">
        <v>1589367.94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-0.49134948096885811</v>
      </c>
      <c r="Q332">
        <f t="shared" si="970"/>
        <v>-780935.11238754319</v>
      </c>
      <c r="R332">
        <f t="shared" si="971"/>
        <v>-22486882.546733972</v>
      </c>
      <c r="S332">
        <f t="shared" si="972"/>
        <v>-224.86882546733972</v>
      </c>
      <c r="T332">
        <f t="shared" si="973"/>
        <v>-0.22486882546733972</v>
      </c>
    </row>
    <row r="333" spans="1:20" x14ac:dyDescent="0.25">
      <c r="A333" s="5">
        <v>44260</v>
      </c>
      <c r="B333">
        <v>0.32679999999999998</v>
      </c>
      <c r="C333">
        <v>0.32700000000000001</v>
      </c>
      <c r="D333">
        <v>0.30009999999999998</v>
      </c>
      <c r="E333">
        <v>0.315</v>
      </c>
      <c r="F333">
        <v>699074.04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0.1078066914498145</v>
      </c>
      <c r="Q333">
        <f t="shared" si="970"/>
        <v>75364.859330855281</v>
      </c>
      <c r="R333">
        <f t="shared" si="971"/>
        <v>-21705947.43434643</v>
      </c>
      <c r="S333">
        <f t="shared" si="972"/>
        <v>-217.0594743434643</v>
      </c>
      <c r="T333">
        <f t="shared" si="973"/>
        <v>-0.21705947434346431</v>
      </c>
    </row>
    <row r="334" spans="1:20" x14ac:dyDescent="0.25">
      <c r="A334" s="5">
        <v>44259</v>
      </c>
      <c r="B334">
        <v>0.35539999999999999</v>
      </c>
      <c r="C334">
        <v>0.38</v>
      </c>
      <c r="D334">
        <v>0.31979999999999997</v>
      </c>
      <c r="E334">
        <v>0.32690000000000002</v>
      </c>
      <c r="F334">
        <v>1656191.12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-0.76411960132890211</v>
      </c>
      <c r="Q334">
        <f t="shared" si="970"/>
        <v>-1265528.098338868</v>
      </c>
      <c r="R334">
        <f t="shared" si="971"/>
        <v>-21781312.293677285</v>
      </c>
      <c r="S334">
        <f t="shared" si="972"/>
        <v>-217.81312293677286</v>
      </c>
      <c r="T334">
        <f t="shared" si="973"/>
        <v>-0.21781312293677285</v>
      </c>
    </row>
    <row r="335" spans="1:20" x14ac:dyDescent="0.25">
      <c r="A335" s="5">
        <v>44258</v>
      </c>
      <c r="B335">
        <v>0.3614</v>
      </c>
      <c r="C335">
        <v>0.36699999999999999</v>
      </c>
      <c r="D335">
        <v>0.3362</v>
      </c>
      <c r="E335">
        <v>0.35349999999999998</v>
      </c>
      <c r="F335">
        <v>1703801.9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0.12337662337662243</v>
      </c>
      <c r="Q335">
        <f t="shared" si="970"/>
        <v>210209.3253246737</v>
      </c>
      <c r="R335">
        <f t="shared" si="971"/>
        <v>-20515784.195338417</v>
      </c>
      <c r="S335">
        <f t="shared" si="972"/>
        <v>-205.15784195338418</v>
      </c>
      <c r="T335">
        <f t="shared" si="973"/>
        <v>-0.20515784195338418</v>
      </c>
    </row>
    <row r="336" spans="1:20" x14ac:dyDescent="0.25">
      <c r="A336" s="5">
        <v>44257</v>
      </c>
      <c r="B336">
        <v>0.3997</v>
      </c>
      <c r="C336">
        <v>0.41760000000000003</v>
      </c>
      <c r="D336">
        <v>0.33660000000000001</v>
      </c>
      <c r="E336">
        <v>0.3619</v>
      </c>
      <c r="F336">
        <v>4165183.36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-0.37530864197530905</v>
      </c>
      <c r="Q336">
        <f t="shared" si="970"/>
        <v>-1563229.3104197548</v>
      </c>
      <c r="R336">
        <f t="shared" si="971"/>
        <v>-20725993.52066309</v>
      </c>
      <c r="S336">
        <f t="shared" si="972"/>
        <v>-207.2599352066309</v>
      </c>
      <c r="T336">
        <f t="shared" si="973"/>
        <v>-0.20725993520663091</v>
      </c>
    </row>
    <row r="337" spans="1:20" x14ac:dyDescent="0.25">
      <c r="A337" s="5">
        <v>44256</v>
      </c>
      <c r="B337">
        <v>0.27160000000000001</v>
      </c>
      <c r="C337">
        <v>0.43719999999999998</v>
      </c>
      <c r="D337">
        <v>0.26219999999999999</v>
      </c>
      <c r="E337">
        <v>0.40010000000000001</v>
      </c>
      <c r="F337">
        <v>5319643.74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0.5760000000000004</v>
      </c>
      <c r="Q337">
        <f t="shared" si="970"/>
        <v>3064114.7942400021</v>
      </c>
      <c r="R337">
        <f t="shared" si="971"/>
        <v>-19162764.210243337</v>
      </c>
      <c r="S337">
        <f t="shared" si="972"/>
        <v>-191.62764210243336</v>
      </c>
      <c r="T337">
        <f t="shared" si="973"/>
        <v>-0.19162764210243335</v>
      </c>
    </row>
    <row r="338" spans="1:20" x14ac:dyDescent="0.25">
      <c r="A338" s="5">
        <v>44255</v>
      </c>
      <c r="B338">
        <v>0.3145</v>
      </c>
      <c r="C338">
        <v>0.32329999999999998</v>
      </c>
      <c r="D338">
        <v>0.24640000000000001</v>
      </c>
      <c r="E338">
        <v>0.27</v>
      </c>
      <c r="F338">
        <v>1549254.23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-0.38621586475942732</v>
      </c>
      <c r="Q338">
        <f t="shared" si="970"/>
        <v>-598346.5621716507</v>
      </c>
      <c r="R338">
        <f t="shared" si="971"/>
        <v>-22226879.004483338</v>
      </c>
      <c r="S338">
        <f t="shared" si="972"/>
        <v>-222.26879004483339</v>
      </c>
      <c r="T338">
        <f t="shared" si="973"/>
        <v>-0.22226879004483341</v>
      </c>
    </row>
    <row r="339" spans="1:20" x14ac:dyDescent="0.25">
      <c r="A339" s="5">
        <v>44254</v>
      </c>
      <c r="B339">
        <v>0.30509999999999998</v>
      </c>
      <c r="C339">
        <v>0.33179999999999998</v>
      </c>
      <c r="D339">
        <v>0.2954</v>
      </c>
      <c r="E339">
        <v>0.31030000000000002</v>
      </c>
      <c r="F339">
        <v>1012495.18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-0.1813186813186797</v>
      </c>
      <c r="Q339">
        <f t="shared" si="970"/>
        <v>-183584.29087911925</v>
      </c>
      <c r="R339">
        <f t="shared" si="971"/>
        <v>-21628532.442311689</v>
      </c>
      <c r="S339">
        <f t="shared" si="972"/>
        <v>-216.28532442311689</v>
      </c>
      <c r="T339">
        <f t="shared" si="973"/>
        <v>-0.2162853244231169</v>
      </c>
    </row>
    <row r="340" spans="1:20" x14ac:dyDescent="0.25">
      <c r="A340" s="5">
        <v>44253</v>
      </c>
      <c r="B340">
        <v>0.307</v>
      </c>
      <c r="C340">
        <v>0.36</v>
      </c>
      <c r="D340">
        <v>0.26440000000000002</v>
      </c>
      <c r="E340">
        <v>0.30740000000000001</v>
      </c>
      <c r="F340">
        <v>1972950.07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-0.10041841004184102</v>
      </c>
      <c r="Q340">
        <f t="shared" si="970"/>
        <v>-198120.50912133895</v>
      </c>
      <c r="R340">
        <f t="shared" si="971"/>
        <v>-21444948.15143257</v>
      </c>
      <c r="S340">
        <f t="shared" si="972"/>
        <v>-214.4494815143257</v>
      </c>
      <c r="T340">
        <f t="shared" si="973"/>
        <v>-0.21444948151432569</v>
      </c>
    </row>
    <row r="341" spans="1:20" x14ac:dyDescent="0.25">
      <c r="A341" s="5">
        <v>44252</v>
      </c>
      <c r="B341">
        <v>0.34039999999999998</v>
      </c>
      <c r="C341">
        <v>0.39</v>
      </c>
      <c r="D341">
        <v>0.307</v>
      </c>
      <c r="E341">
        <v>0.307</v>
      </c>
      <c r="F341">
        <v>1168486.0900000001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-1</v>
      </c>
      <c r="Q341">
        <f t="shared" si="970"/>
        <v>-1168486.0900000001</v>
      </c>
      <c r="R341">
        <f t="shared" si="971"/>
        <v>-21246827.64231123</v>
      </c>
      <c r="S341">
        <f t="shared" si="972"/>
        <v>-212.46827642311231</v>
      </c>
      <c r="T341">
        <f t="shared" si="973"/>
        <v>-0.21246827642311231</v>
      </c>
    </row>
    <row r="342" spans="1:20" x14ac:dyDescent="0.25">
      <c r="A342" s="5">
        <v>44251</v>
      </c>
      <c r="B342">
        <v>0.33450000000000002</v>
      </c>
      <c r="C342">
        <v>0.39500000000000002</v>
      </c>
      <c r="D342">
        <v>0.30599999999999999</v>
      </c>
      <c r="E342">
        <v>0.34050000000000002</v>
      </c>
      <c r="F342">
        <v>1585274.62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-0.22471910112359503</v>
      </c>
      <c r="Q342">
        <f t="shared" si="970"/>
        <v>-356241.48764044873</v>
      </c>
      <c r="R342">
        <f t="shared" si="971"/>
        <v>-20078341.55231123</v>
      </c>
      <c r="S342">
        <f t="shared" si="972"/>
        <v>-200.7834155231123</v>
      </c>
      <c r="T342">
        <f t="shared" si="973"/>
        <v>-0.2007834155231123</v>
      </c>
    </row>
    <row r="343" spans="1:20" x14ac:dyDescent="0.25">
      <c r="A343" s="5">
        <v>44250</v>
      </c>
      <c r="B343">
        <v>0.41549999999999998</v>
      </c>
      <c r="C343">
        <v>0.41549999999999998</v>
      </c>
      <c r="D343">
        <v>0.29110000000000003</v>
      </c>
      <c r="E343">
        <v>0.33279999999999998</v>
      </c>
      <c r="F343">
        <v>2730166.38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-0.32958199356913226</v>
      </c>
      <c r="Q343">
        <f t="shared" si="970"/>
        <v>-899813.67829582107</v>
      </c>
      <c r="R343">
        <f t="shared" si="971"/>
        <v>-19722100.064670783</v>
      </c>
      <c r="S343">
        <f t="shared" si="972"/>
        <v>-197.22100064670784</v>
      </c>
      <c r="T343">
        <f t="shared" si="973"/>
        <v>-0.19722100064670783</v>
      </c>
    </row>
    <row r="344" spans="1:20" x14ac:dyDescent="0.25">
      <c r="A344" s="5">
        <v>44249</v>
      </c>
      <c r="B344">
        <v>0.47799999999999998</v>
      </c>
      <c r="C344">
        <v>0.47799999999999998</v>
      </c>
      <c r="D344">
        <v>0.37330000000000002</v>
      </c>
      <c r="E344">
        <v>0.41260000000000002</v>
      </c>
      <c r="F344">
        <v>3068730.48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-0.24928366762177617</v>
      </c>
      <c r="Q344">
        <f t="shared" si="970"/>
        <v>-764984.3889971337</v>
      </c>
      <c r="R344">
        <f t="shared" si="971"/>
        <v>-18822286.386374962</v>
      </c>
      <c r="S344">
        <f t="shared" si="972"/>
        <v>-188.22286386374961</v>
      </c>
      <c r="T344">
        <f t="shared" si="973"/>
        <v>-0.18822286386374962</v>
      </c>
    </row>
    <row r="345" spans="1:20" x14ac:dyDescent="0.25">
      <c r="A345" s="5">
        <v>44248</v>
      </c>
      <c r="B345">
        <v>0.4194</v>
      </c>
      <c r="C345">
        <v>0.6</v>
      </c>
      <c r="D345">
        <v>0.40260000000000001</v>
      </c>
      <c r="E345">
        <v>0.47620000000000001</v>
      </c>
      <c r="F345">
        <v>4990430.4800000004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-0.25430597771023289</v>
      </c>
      <c r="Q345">
        <f t="shared" si="970"/>
        <v>-1269096.3024113469</v>
      </c>
      <c r="R345">
        <f t="shared" si="971"/>
        <v>-18057301.997377828</v>
      </c>
      <c r="S345">
        <f t="shared" si="972"/>
        <v>-180.57301997377829</v>
      </c>
      <c r="T345">
        <f t="shared" si="973"/>
        <v>-0.18057301997377828</v>
      </c>
    </row>
    <row r="346" spans="1:20" x14ac:dyDescent="0.25">
      <c r="A346" s="5">
        <v>44247</v>
      </c>
      <c r="B346">
        <v>0.43070000000000003</v>
      </c>
      <c r="C346">
        <v>0.46200000000000002</v>
      </c>
      <c r="D346">
        <v>0.41020000000000001</v>
      </c>
      <c r="E346">
        <v>0.42130000000000001</v>
      </c>
      <c r="F346">
        <v>2603264.44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-0.57142857142857162</v>
      </c>
      <c r="Q346">
        <f t="shared" si="970"/>
        <v>-1487579.6800000004</v>
      </c>
      <c r="R346">
        <f t="shared" si="971"/>
        <v>-16788205.69496648</v>
      </c>
      <c r="S346">
        <f t="shared" si="972"/>
        <v>-167.88205694966481</v>
      </c>
      <c r="T346">
        <f t="shared" si="973"/>
        <v>-0.16788205694966482</v>
      </c>
    </row>
    <row r="347" spans="1:20" x14ac:dyDescent="0.25">
      <c r="A347" s="5">
        <v>44246</v>
      </c>
      <c r="B347">
        <v>0.43109999999999998</v>
      </c>
      <c r="C347">
        <v>0.49840000000000001</v>
      </c>
      <c r="D347">
        <v>0.40110000000000001</v>
      </c>
      <c r="E347">
        <v>0.43059999999999998</v>
      </c>
      <c r="F347">
        <v>6085890.4299999997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-0.39362795477903451</v>
      </c>
      <c r="Q347">
        <f t="shared" si="970"/>
        <v>-2395576.6029701987</v>
      </c>
      <c r="R347">
        <f t="shared" si="971"/>
        <v>-15300626.01496648</v>
      </c>
      <c r="S347">
        <f t="shared" si="972"/>
        <v>-153.0062601496648</v>
      </c>
      <c r="T347">
        <f t="shared" si="973"/>
        <v>-0.15300626014966479</v>
      </c>
    </row>
    <row r="348" spans="1:20" x14ac:dyDescent="0.25">
      <c r="A348" s="5">
        <v>44245</v>
      </c>
      <c r="B348">
        <v>0.6</v>
      </c>
      <c r="C348">
        <v>0.64500000000000002</v>
      </c>
      <c r="D348">
        <v>0.40010000000000001</v>
      </c>
      <c r="E348">
        <v>0.43109999999999998</v>
      </c>
      <c r="F348">
        <v>25030305.449999999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-0.74683544303797489</v>
      </c>
      <c r="Q348">
        <f t="shared" si="970"/>
        <v>-18693519.260126587</v>
      </c>
      <c r="R348">
        <f t="shared" si="971"/>
        <v>-12905049.411996283</v>
      </c>
      <c r="S348">
        <f t="shared" si="972"/>
        <v>-129.05049411996282</v>
      </c>
      <c r="T348">
        <f t="shared" si="973"/>
        <v>-0.12905049411996283</v>
      </c>
    </row>
    <row r="349" spans="1:20" x14ac:dyDescent="0.25">
      <c r="A349" s="5">
        <v>44244</v>
      </c>
      <c r="B349">
        <v>0.27239999999999998</v>
      </c>
      <c r="C349">
        <v>0.9</v>
      </c>
      <c r="D349">
        <v>0.26079999999999998</v>
      </c>
      <c r="E349">
        <v>0.6</v>
      </c>
      <c r="F349">
        <v>30113976.760000002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6.1326658322903564E-2</v>
      </c>
      <c r="Q349">
        <f t="shared" si="970"/>
        <v>1846789.5635043785</v>
      </c>
      <c r="R349">
        <f t="shared" si="971"/>
        <v>5788469.8481303044</v>
      </c>
      <c r="S349">
        <f t="shared" si="972"/>
        <v>57.88469848130304</v>
      </c>
      <c r="T349">
        <f t="shared" si="973"/>
        <v>5.7884698481303037E-2</v>
      </c>
    </row>
    <row r="350" spans="1:20" x14ac:dyDescent="0.25">
      <c r="A350" s="5">
        <v>44243</v>
      </c>
      <c r="B350">
        <v>0.25380000000000003</v>
      </c>
      <c r="C350">
        <v>0.2893</v>
      </c>
      <c r="D350">
        <v>0.25319999999999998</v>
      </c>
      <c r="E350">
        <v>0.27600000000000002</v>
      </c>
      <c r="F350">
        <v>1159196.49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0.2631578947368437</v>
      </c>
      <c r="Q350">
        <f t="shared" si="970"/>
        <v>305051.70789473871</v>
      </c>
      <c r="R350">
        <f t="shared" si="971"/>
        <v>3941680.2846259261</v>
      </c>
      <c r="S350">
        <f t="shared" si="972"/>
        <v>39.416802846259259</v>
      </c>
      <c r="T350">
        <f t="shared" si="973"/>
        <v>3.9416802846259258E-2</v>
      </c>
    </row>
    <row r="351" spans="1:20" x14ac:dyDescent="0.25">
      <c r="A351" s="5">
        <v>44242</v>
      </c>
      <c r="B351">
        <v>0.27489999999999998</v>
      </c>
      <c r="C351">
        <v>0.28000000000000003</v>
      </c>
      <c r="D351">
        <v>0.2319</v>
      </c>
      <c r="E351">
        <v>0.25380000000000003</v>
      </c>
      <c r="F351">
        <v>1142487.04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-8.9397089397088722E-2</v>
      </c>
      <c r="Q351">
        <f t="shared" si="970"/>
        <v>-102135.01604989528</v>
      </c>
      <c r="R351">
        <f t="shared" si="971"/>
        <v>3636628.5767311873</v>
      </c>
      <c r="S351">
        <f t="shared" si="972"/>
        <v>36.366285767311872</v>
      </c>
      <c r="T351">
        <f t="shared" si="973"/>
        <v>3.6366285767311872E-2</v>
      </c>
    </row>
    <row r="352" spans="1:20" x14ac:dyDescent="0.25">
      <c r="A352" s="5">
        <v>44241</v>
      </c>
      <c r="B352">
        <v>0.30099999999999999</v>
      </c>
      <c r="C352">
        <v>0.30249999999999999</v>
      </c>
      <c r="D352">
        <v>0.26419999999999999</v>
      </c>
      <c r="E352">
        <v>0.27539999999999998</v>
      </c>
      <c r="F352">
        <v>1517534.96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-0.4151436031331599</v>
      </c>
      <c r="Q352">
        <f t="shared" si="970"/>
        <v>-629994.93117493566</v>
      </c>
      <c r="R352">
        <f t="shared" si="971"/>
        <v>3738763.5927810827</v>
      </c>
      <c r="S352">
        <f t="shared" si="972"/>
        <v>37.387635927810827</v>
      </c>
      <c r="T352">
        <f t="shared" si="973"/>
        <v>3.7387635927810824E-2</v>
      </c>
    </row>
    <row r="353" spans="1:20" x14ac:dyDescent="0.25">
      <c r="A353" s="5">
        <v>44240</v>
      </c>
      <c r="B353">
        <v>0.29380000000000001</v>
      </c>
      <c r="C353">
        <v>0.32</v>
      </c>
      <c r="D353">
        <v>0.28410000000000002</v>
      </c>
      <c r="E353">
        <v>0.30099999999999999</v>
      </c>
      <c r="F353">
        <v>959582.66</v>
      </c>
      <c r="G353">
        <v>0</v>
      </c>
      <c r="L353" t="s">
        <v>8</v>
      </c>
      <c r="M353" t="s">
        <v>7</v>
      </c>
      <c r="N353" t="s">
        <v>8</v>
      </c>
      <c r="P353">
        <f t="shared" si="969"/>
        <v>-5.8495821727020808E-2</v>
      </c>
      <c r="Q353">
        <f t="shared" si="970"/>
        <v>-56131.57621170042</v>
      </c>
      <c r="R353">
        <f t="shared" si="971"/>
        <v>4368758.5239560185</v>
      </c>
      <c r="S353">
        <f t="shared" si="972"/>
        <v>43.687585239560185</v>
      </c>
      <c r="T353">
        <f t="shared" si="973"/>
        <v>4.3687585239560185E-2</v>
      </c>
    </row>
    <row r="354" spans="1:20" x14ac:dyDescent="0.25">
      <c r="A354" s="5">
        <v>44239</v>
      </c>
      <c r="B354">
        <v>0.30730000000000002</v>
      </c>
      <c r="C354">
        <v>0.30930000000000002</v>
      </c>
      <c r="D354">
        <v>0.2727</v>
      </c>
      <c r="E354">
        <v>0.29389999999999999</v>
      </c>
      <c r="F354">
        <v>1223623.83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0.15846994535519041</v>
      </c>
      <c r="Q354">
        <f t="shared" si="970"/>
        <v>193907.6014754088</v>
      </c>
      <c r="R354">
        <f t="shared" si="971"/>
        <v>4424890.1001677187</v>
      </c>
      <c r="S354">
        <f t="shared" si="972"/>
        <v>44.24890100167719</v>
      </c>
      <c r="T354">
        <f t="shared" si="973"/>
        <v>4.4248901001677193E-2</v>
      </c>
    </row>
    <row r="355" spans="1:20" x14ac:dyDescent="0.25">
      <c r="A355" s="5">
        <v>44238</v>
      </c>
      <c r="B355">
        <v>0.26150000000000001</v>
      </c>
      <c r="C355">
        <v>0.38</v>
      </c>
      <c r="D355">
        <v>0.24929999999999999</v>
      </c>
      <c r="E355">
        <v>0.308</v>
      </c>
      <c r="F355">
        <v>1691970.37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-0.10175975516449889</v>
      </c>
      <c r="Q355">
        <f t="shared" si="970"/>
        <v>-172174.49059678661</v>
      </c>
      <c r="R355">
        <f t="shared" si="971"/>
        <v>4230982.4986923095</v>
      </c>
      <c r="S355">
        <f t="shared" si="972"/>
        <v>42.309824986923097</v>
      </c>
      <c r="T355">
        <f t="shared" si="973"/>
        <v>4.2309824986923095E-2</v>
      </c>
    </row>
    <row r="356" spans="1:20" x14ac:dyDescent="0.25">
      <c r="A356" s="5">
        <v>44237</v>
      </c>
      <c r="B356">
        <v>0.24729999999999999</v>
      </c>
      <c r="C356">
        <v>0.27460000000000001</v>
      </c>
      <c r="D356">
        <v>0.2427</v>
      </c>
      <c r="E356">
        <v>0.26</v>
      </c>
      <c r="F356">
        <v>1487654.2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8.46394984326021E-2</v>
      </c>
      <c r="Q356">
        <f t="shared" si="970"/>
        <v>125914.30532915393</v>
      </c>
      <c r="R356">
        <f t="shared" si="971"/>
        <v>4403156.9892890966</v>
      </c>
      <c r="S356">
        <f t="shared" si="972"/>
        <v>44.031569892890964</v>
      </c>
      <c r="T356">
        <f t="shared" si="973"/>
        <v>4.4031569892890962E-2</v>
      </c>
    </row>
    <row r="357" spans="1:20" x14ac:dyDescent="0.25">
      <c r="A357" s="5">
        <v>44236</v>
      </c>
      <c r="B357">
        <v>0.23499999999999999</v>
      </c>
      <c r="C357">
        <v>0.25669999999999998</v>
      </c>
      <c r="D357">
        <v>0.21840000000000001</v>
      </c>
      <c r="E357">
        <v>0.24610000000000001</v>
      </c>
      <c r="F357">
        <v>870658.19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0.44647519582245543</v>
      </c>
      <c r="Q357">
        <f t="shared" si="970"/>
        <v>388727.28587467456</v>
      </c>
      <c r="R357">
        <f t="shared" si="971"/>
        <v>4277242.6839599423</v>
      </c>
      <c r="S357">
        <f t="shared" si="972"/>
        <v>42.772426839599426</v>
      </c>
      <c r="T357">
        <f t="shared" si="973"/>
        <v>4.2772426839599427E-2</v>
      </c>
    </row>
    <row r="358" spans="1:20" x14ac:dyDescent="0.25">
      <c r="A358" s="5">
        <v>44235</v>
      </c>
      <c r="B358">
        <v>0.2155</v>
      </c>
      <c r="C358">
        <v>0.24490000000000001</v>
      </c>
      <c r="D358">
        <v>0.2117</v>
      </c>
      <c r="E358">
        <v>0.23499999999999999</v>
      </c>
      <c r="F358">
        <v>1079829.76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0.40361445783132421</v>
      </c>
      <c r="Q358">
        <f t="shared" si="970"/>
        <v>435834.90313252894</v>
      </c>
      <c r="R358">
        <f t="shared" si="971"/>
        <v>3888515.3980852673</v>
      </c>
      <c r="S358">
        <f t="shared" si="972"/>
        <v>38.885153980852671</v>
      </c>
      <c r="T358">
        <f t="shared" si="973"/>
        <v>3.8885153980852669E-2</v>
      </c>
    </row>
    <row r="359" spans="1:20" x14ac:dyDescent="0.25">
      <c r="A359" s="5">
        <v>44234</v>
      </c>
      <c r="B359">
        <v>0.22520000000000001</v>
      </c>
      <c r="C359">
        <v>0.23230000000000001</v>
      </c>
      <c r="D359">
        <v>0.1986</v>
      </c>
      <c r="E359">
        <v>0.21790000000000001</v>
      </c>
      <c r="F359">
        <v>1037859.98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0.1454005934718105</v>
      </c>
      <c r="Q359">
        <f t="shared" si="970"/>
        <v>150905.45703264137</v>
      </c>
      <c r="R359">
        <f t="shared" si="971"/>
        <v>3452680.4949527383</v>
      </c>
      <c r="S359">
        <f t="shared" si="972"/>
        <v>34.526804949527381</v>
      </c>
      <c r="T359">
        <f t="shared" si="973"/>
        <v>3.4526804949527382E-2</v>
      </c>
    </row>
    <row r="360" spans="1:20" x14ac:dyDescent="0.25">
      <c r="A360" s="5">
        <v>44233</v>
      </c>
      <c r="B360">
        <v>0.25069999999999998</v>
      </c>
      <c r="C360">
        <v>0.25090000000000001</v>
      </c>
      <c r="D360">
        <v>0.22220000000000001</v>
      </c>
      <c r="E360">
        <v>0.223</v>
      </c>
      <c r="F360">
        <v>1817037.69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-0.94425087108013972</v>
      </c>
      <c r="Q360">
        <f t="shared" si="970"/>
        <v>-1715739.4215679448</v>
      </c>
      <c r="R360">
        <f t="shared" si="971"/>
        <v>3301775.0379200969</v>
      </c>
      <c r="S360">
        <f t="shared" si="972"/>
        <v>33.017750379200969</v>
      </c>
      <c r="T360">
        <f t="shared" si="973"/>
        <v>3.3017750379200968E-2</v>
      </c>
    </row>
    <row r="361" spans="1:20" x14ac:dyDescent="0.25">
      <c r="A361" s="5">
        <v>44232</v>
      </c>
      <c r="B361">
        <v>0.2344</v>
      </c>
      <c r="C361">
        <v>0.25640000000000002</v>
      </c>
      <c r="D361">
        <v>0.22509999999999999</v>
      </c>
      <c r="E361">
        <v>0.24940000000000001</v>
      </c>
      <c r="F361">
        <v>1313991.46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0.55271565495207664</v>
      </c>
      <c r="Q361">
        <f t="shared" si="970"/>
        <v>726263.65041533543</v>
      </c>
      <c r="R361">
        <f t="shared" si="971"/>
        <v>5017514.4594880417</v>
      </c>
      <c r="S361">
        <f t="shared" si="972"/>
        <v>50.175144594880415</v>
      </c>
      <c r="T361">
        <f t="shared" si="973"/>
        <v>5.0175144594880414E-2</v>
      </c>
    </row>
    <row r="362" spans="1:20" x14ac:dyDescent="0.25">
      <c r="A362" s="5">
        <v>44231</v>
      </c>
      <c r="B362">
        <v>0.22889999999999999</v>
      </c>
      <c r="C362">
        <v>0.2442</v>
      </c>
      <c r="D362">
        <v>0.21129999999999999</v>
      </c>
      <c r="E362">
        <v>0.23400000000000001</v>
      </c>
      <c r="F362">
        <v>1335253.8999999999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0.37993920972644479</v>
      </c>
      <c r="Q362">
        <f t="shared" si="970"/>
        <v>507315.3115501533</v>
      </c>
      <c r="R362">
        <f t="shared" si="971"/>
        <v>4291250.8090727059</v>
      </c>
      <c r="S362">
        <f t="shared" si="972"/>
        <v>42.912508090727059</v>
      </c>
      <c r="T362">
        <f t="shared" si="973"/>
        <v>4.291250809072706E-2</v>
      </c>
    </row>
    <row r="363" spans="1:20" x14ac:dyDescent="0.25">
      <c r="A363" s="5">
        <v>44230</v>
      </c>
      <c r="B363">
        <v>0.2656</v>
      </c>
      <c r="C363">
        <v>0.26879999999999998</v>
      </c>
      <c r="D363">
        <v>0.20780000000000001</v>
      </c>
      <c r="E363">
        <v>0.22720000000000001</v>
      </c>
      <c r="F363">
        <v>2482926.19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-0.36393442622950789</v>
      </c>
      <c r="Q363">
        <f t="shared" si="970"/>
        <v>-903622.31832786812</v>
      </c>
      <c r="R363">
        <f t="shared" si="971"/>
        <v>3783935.4975225525</v>
      </c>
      <c r="S363">
        <f t="shared" si="972"/>
        <v>37.839354975225525</v>
      </c>
      <c r="T363">
        <f t="shared" si="973"/>
        <v>3.7839354975225524E-2</v>
      </c>
    </row>
    <row r="364" spans="1:20" x14ac:dyDescent="0.25">
      <c r="A364" s="5">
        <v>44229</v>
      </c>
      <c r="B364">
        <v>0.1741</v>
      </c>
      <c r="C364">
        <v>0.28599999999999998</v>
      </c>
      <c r="D364">
        <v>0.16719999999999999</v>
      </c>
      <c r="E364">
        <v>0.26879999999999998</v>
      </c>
      <c r="F364">
        <v>4190829.86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0.71043771043771053</v>
      </c>
      <c r="Q364">
        <f t="shared" si="970"/>
        <v>2977323.5705723907</v>
      </c>
      <c r="R364">
        <f t="shared" si="971"/>
        <v>4687557.8158504209</v>
      </c>
      <c r="S364">
        <f t="shared" si="972"/>
        <v>46.875578158504212</v>
      </c>
      <c r="T364">
        <f t="shared" si="973"/>
        <v>4.6875578158504211E-2</v>
      </c>
    </row>
    <row r="365" spans="1:20" x14ac:dyDescent="0.25">
      <c r="A365" s="5">
        <v>44228</v>
      </c>
      <c r="B365">
        <v>0.16689999999999999</v>
      </c>
      <c r="C365">
        <v>0.17949999999999999</v>
      </c>
      <c r="D365">
        <v>0.16209999999999999</v>
      </c>
      <c r="E365">
        <v>0.17280000000000001</v>
      </c>
      <c r="F365">
        <v>1241861.77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0.2298850574712662</v>
      </c>
      <c r="Q365">
        <f t="shared" si="970"/>
        <v>285485.46436781838</v>
      </c>
      <c r="R365">
        <f t="shared" si="971"/>
        <v>1710234.2452780304</v>
      </c>
      <c r="S365">
        <f t="shared" si="972"/>
        <v>17.102342452780302</v>
      </c>
      <c r="T365">
        <f t="shared" si="973"/>
        <v>1.7102342452780302E-2</v>
      </c>
    </row>
    <row r="366" spans="1:20" x14ac:dyDescent="0.25">
      <c r="A366" s="5">
        <v>44227</v>
      </c>
      <c r="B366">
        <v>0.17419999999999999</v>
      </c>
      <c r="C366">
        <v>0.18</v>
      </c>
      <c r="D366">
        <v>0.16</v>
      </c>
      <c r="E366">
        <v>0.16689999999999999</v>
      </c>
      <c r="F366">
        <v>1265056.02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-0.31000000000000072</v>
      </c>
      <c r="Q366">
        <f t="shared" si="970"/>
        <v>-392167.36620000092</v>
      </c>
      <c r="R366">
        <f t="shared" si="971"/>
        <v>1424748.7809102121</v>
      </c>
      <c r="S366">
        <f t="shared" si="972"/>
        <v>14.24748780910212</v>
      </c>
      <c r="T366">
        <f t="shared" si="973"/>
        <v>1.424748780910212E-2</v>
      </c>
    </row>
    <row r="367" spans="1:20" x14ac:dyDescent="0.25">
      <c r="A367" s="5">
        <v>44226</v>
      </c>
      <c r="B367">
        <v>0.16309999999999999</v>
      </c>
      <c r="C367">
        <v>0.17780000000000001</v>
      </c>
      <c r="D367">
        <v>0.14879999999999999</v>
      </c>
      <c r="E367">
        <v>0.17419999999999999</v>
      </c>
      <c r="F367">
        <v>1184734.22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0.75172413793103332</v>
      </c>
      <c r="Q367">
        <f t="shared" si="970"/>
        <v>890593.31020689511</v>
      </c>
      <c r="R367">
        <f t="shared" si="971"/>
        <v>1816916.1471102131</v>
      </c>
      <c r="S367">
        <f t="shared" si="972"/>
        <v>18.169161471102132</v>
      </c>
      <c r="T367">
        <f t="shared" si="973"/>
        <v>1.8169161471102133E-2</v>
      </c>
    </row>
    <row r="368" spans="1:20" x14ac:dyDescent="0.25">
      <c r="A368" s="5">
        <v>44225</v>
      </c>
      <c r="B368">
        <v>0.1512</v>
      </c>
      <c r="C368">
        <v>0.1678</v>
      </c>
      <c r="D368">
        <v>0.14449999999999999</v>
      </c>
      <c r="E368">
        <v>0.16309999999999999</v>
      </c>
      <c r="F368">
        <v>947228.83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0.59656652360514961</v>
      </c>
      <c r="Q368">
        <f t="shared" si="970"/>
        <v>565085.01017167326</v>
      </c>
      <c r="R368">
        <f t="shared" si="971"/>
        <v>926322.83690331783</v>
      </c>
      <c r="S368">
        <f t="shared" si="972"/>
        <v>9.2632283690331789</v>
      </c>
      <c r="T368">
        <f t="shared" si="973"/>
        <v>9.2632283690331791E-3</v>
      </c>
    </row>
    <row r="369" spans="1:20" x14ac:dyDescent="0.25">
      <c r="A369" s="5">
        <v>44224</v>
      </c>
      <c r="B369">
        <v>0.13969999999999999</v>
      </c>
      <c r="C369">
        <v>0.15379999999999999</v>
      </c>
      <c r="D369">
        <v>0.1363</v>
      </c>
      <c r="E369">
        <v>0.15210000000000001</v>
      </c>
      <c r="F369">
        <v>616902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0.80571428571428794</v>
      </c>
      <c r="Q369">
        <f t="shared" si="970"/>
        <v>497046.75428571564</v>
      </c>
      <c r="R369">
        <f t="shared" si="971"/>
        <v>361237.82673164457</v>
      </c>
      <c r="S369">
        <f t="shared" si="972"/>
        <v>3.6123782673164455</v>
      </c>
      <c r="T369">
        <f t="shared" si="973"/>
        <v>3.6123782673164453E-3</v>
      </c>
    </row>
    <row r="370" spans="1:20" x14ac:dyDescent="0.25">
      <c r="A370" s="5">
        <v>44223</v>
      </c>
      <c r="B370">
        <v>0.153</v>
      </c>
      <c r="C370">
        <v>0.155</v>
      </c>
      <c r="D370">
        <v>0.13830000000000001</v>
      </c>
      <c r="E370">
        <v>0.13969999999999999</v>
      </c>
      <c r="F370">
        <v>643012.06000000006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-0.83233532934131915</v>
      </c>
      <c r="Q370">
        <f t="shared" si="970"/>
        <v>-535201.65473054012</v>
      </c>
      <c r="R370">
        <f t="shared" si="971"/>
        <v>-135808.92755407107</v>
      </c>
      <c r="S370">
        <f t="shared" si="972"/>
        <v>-1.3580892755407106</v>
      </c>
      <c r="T370">
        <f t="shared" si="973"/>
        <v>-1.3580892755407105E-3</v>
      </c>
    </row>
    <row r="371" spans="1:20" x14ac:dyDescent="0.25">
      <c r="A371" s="5">
        <v>44222</v>
      </c>
      <c r="B371">
        <v>0.15110000000000001</v>
      </c>
      <c r="C371">
        <v>0.15989999999999999</v>
      </c>
      <c r="D371">
        <v>0.14299999999999999</v>
      </c>
      <c r="E371">
        <v>0.15429999999999999</v>
      </c>
      <c r="F371">
        <v>575500.15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0.33727810650887641</v>
      </c>
      <c r="Q371">
        <f t="shared" si="970"/>
        <v>194103.60088757434</v>
      </c>
      <c r="R371">
        <f t="shared" si="971"/>
        <v>399392.72717646905</v>
      </c>
      <c r="S371">
        <f t="shared" si="972"/>
        <v>3.9939272717646905</v>
      </c>
      <c r="T371">
        <f t="shared" si="973"/>
        <v>3.9939272717646902E-3</v>
      </c>
    </row>
    <row r="372" spans="1:20" x14ac:dyDescent="0.25">
      <c r="A372" s="5">
        <v>44221</v>
      </c>
      <c r="B372">
        <v>0.1525</v>
      </c>
      <c r="C372">
        <v>0.1699</v>
      </c>
      <c r="D372">
        <v>0.14760000000000001</v>
      </c>
      <c r="E372">
        <v>0.153</v>
      </c>
      <c r="F372">
        <v>1021540.82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-0.51569506726457481</v>
      </c>
      <c r="Q372">
        <f t="shared" si="970"/>
        <v>-526803.56188340893</v>
      </c>
      <c r="R372">
        <f t="shared" si="971"/>
        <v>205289.12628889468</v>
      </c>
      <c r="S372">
        <f t="shared" si="972"/>
        <v>2.0528912628889469</v>
      </c>
      <c r="T372">
        <f t="shared" si="973"/>
        <v>2.052891262888947E-3</v>
      </c>
    </row>
    <row r="373" spans="1:20" x14ac:dyDescent="0.25">
      <c r="A373" s="5">
        <v>44220</v>
      </c>
      <c r="B373">
        <v>0.1462</v>
      </c>
      <c r="C373">
        <v>0.1603</v>
      </c>
      <c r="D373">
        <v>0.14510000000000001</v>
      </c>
      <c r="E373">
        <v>0.1525</v>
      </c>
      <c r="F373">
        <v>1021033.47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-2.6315789473684979E-2</v>
      </c>
      <c r="Q373">
        <f t="shared" si="970"/>
        <v>-26869.301842106048</v>
      </c>
      <c r="R373">
        <f t="shared" si="971"/>
        <v>732092.68817230361</v>
      </c>
      <c r="S373">
        <f t="shared" si="972"/>
        <v>7.320926881723036</v>
      </c>
      <c r="T373">
        <f t="shared" si="973"/>
        <v>7.3209268817230359E-3</v>
      </c>
    </row>
    <row r="374" spans="1:20" x14ac:dyDescent="0.25">
      <c r="A374" s="5">
        <v>44219</v>
      </c>
      <c r="B374">
        <v>0.14380000000000001</v>
      </c>
      <c r="C374">
        <v>0.15</v>
      </c>
      <c r="D374">
        <v>0.1391</v>
      </c>
      <c r="E374">
        <v>0.14480000000000001</v>
      </c>
      <c r="F374">
        <v>633284.82999999996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4.5871559633030141E-2</v>
      </c>
      <c r="Q374">
        <f t="shared" si="970"/>
        <v>29049.762844038352</v>
      </c>
      <c r="R374">
        <f t="shared" si="971"/>
        <v>758961.99001440965</v>
      </c>
      <c r="S374">
        <f t="shared" si="972"/>
        <v>7.589619900144096</v>
      </c>
      <c r="T374">
        <f t="shared" si="973"/>
        <v>7.5896199001440961E-3</v>
      </c>
    </row>
    <row r="375" spans="1:20" x14ac:dyDescent="0.25">
      <c r="A375" s="5">
        <v>44218</v>
      </c>
      <c r="B375">
        <v>0.13500000000000001</v>
      </c>
      <c r="C375">
        <v>0.1515</v>
      </c>
      <c r="D375">
        <v>0.1227</v>
      </c>
      <c r="E375">
        <v>0.1447</v>
      </c>
      <c r="F375">
        <v>1266475.6100000001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0.52777777777777757</v>
      </c>
      <c r="Q375">
        <f t="shared" si="970"/>
        <v>668417.68305555533</v>
      </c>
      <c r="R375">
        <f t="shared" si="971"/>
        <v>729912.22717037133</v>
      </c>
      <c r="S375">
        <f t="shared" si="972"/>
        <v>7.2991222717037134</v>
      </c>
      <c r="T375">
        <f t="shared" si="973"/>
        <v>7.2991222717037132E-3</v>
      </c>
    </row>
    <row r="376" spans="1:20" x14ac:dyDescent="0.25">
      <c r="A376" s="5">
        <v>44217</v>
      </c>
      <c r="B376">
        <v>0.1583</v>
      </c>
      <c r="C376">
        <v>0.16270000000000001</v>
      </c>
      <c r="D376">
        <v>0.1338</v>
      </c>
      <c r="E376">
        <v>0.1338</v>
      </c>
      <c r="F376">
        <v>608374.49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-1</v>
      </c>
      <c r="Q376">
        <f t="shared" si="970"/>
        <v>-608374.49</v>
      </c>
      <c r="R376">
        <f t="shared" si="971"/>
        <v>61494.544114816003</v>
      </c>
      <c r="S376">
        <f t="shared" si="972"/>
        <v>0.61494544114816008</v>
      </c>
      <c r="T376">
        <f t="shared" si="973"/>
        <v>6.1494544114816009E-4</v>
      </c>
    </row>
    <row r="377" spans="1:20" x14ac:dyDescent="0.25">
      <c r="A377" s="5">
        <v>44216</v>
      </c>
      <c r="B377">
        <v>0.16220000000000001</v>
      </c>
      <c r="C377">
        <v>0.18559999999999999</v>
      </c>
      <c r="D377">
        <v>0.1447</v>
      </c>
      <c r="E377">
        <v>0.16</v>
      </c>
      <c r="F377">
        <v>1917916.89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-0.25183374083129528</v>
      </c>
      <c r="Q377">
        <f t="shared" si="970"/>
        <v>-482996.18501222384</v>
      </c>
      <c r="R377">
        <f t="shared" si="971"/>
        <v>669869.03411481599</v>
      </c>
      <c r="S377">
        <f t="shared" si="972"/>
        <v>6.6986903411481595</v>
      </c>
      <c r="T377">
        <f t="shared" si="973"/>
        <v>6.6986903411481594E-3</v>
      </c>
    </row>
    <row r="378" spans="1:20" x14ac:dyDescent="0.25">
      <c r="A378" s="5">
        <v>44215</v>
      </c>
      <c r="B378">
        <v>0.17979999999999999</v>
      </c>
      <c r="C378">
        <v>0.18720000000000001</v>
      </c>
      <c r="D378">
        <v>0.16209999999999999</v>
      </c>
      <c r="E378">
        <v>0.16220000000000001</v>
      </c>
      <c r="F378">
        <v>1037739.5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-0.99203187250995883</v>
      </c>
      <c r="Q378">
        <f t="shared" si="970"/>
        <v>-1029470.6593625484</v>
      </c>
      <c r="R378">
        <f t="shared" si="971"/>
        <v>1152865.2191270399</v>
      </c>
      <c r="S378">
        <f t="shared" si="972"/>
        <v>11.5286521912704</v>
      </c>
      <c r="T378">
        <f t="shared" si="973"/>
        <v>1.1528652191270399E-2</v>
      </c>
    </row>
    <row r="379" spans="1:20" x14ac:dyDescent="0.25">
      <c r="A379" s="5">
        <v>44214</v>
      </c>
      <c r="B379">
        <v>0.16500000000000001</v>
      </c>
      <c r="C379">
        <v>0.19</v>
      </c>
      <c r="D379">
        <v>0.15440000000000001</v>
      </c>
      <c r="E379">
        <v>0.1787</v>
      </c>
      <c r="F379">
        <v>1861709.89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0.36516853932584231</v>
      </c>
      <c r="Q379">
        <f t="shared" si="970"/>
        <v>679837.88117977453</v>
      </c>
      <c r="R379">
        <f t="shared" si="971"/>
        <v>2182335.8784895884</v>
      </c>
      <c r="S379">
        <f t="shared" si="972"/>
        <v>21.823358784895884</v>
      </c>
      <c r="T379">
        <f t="shared" si="973"/>
        <v>2.1823358784895885E-2</v>
      </c>
    </row>
    <row r="380" spans="1:20" x14ac:dyDescent="0.25">
      <c r="A380" s="5">
        <v>44213</v>
      </c>
      <c r="B380">
        <v>0.16900000000000001</v>
      </c>
      <c r="C380">
        <v>0.18590000000000001</v>
      </c>
      <c r="D380">
        <v>0.15010000000000001</v>
      </c>
      <c r="E380">
        <v>0.1648</v>
      </c>
      <c r="F380">
        <v>1523080.83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-0.17877094972067087</v>
      </c>
      <c r="Q380">
        <f t="shared" si="970"/>
        <v>-272282.60648044769</v>
      </c>
      <c r="R380">
        <f t="shared" si="971"/>
        <v>1502497.9973098137</v>
      </c>
      <c r="S380">
        <f t="shared" si="972"/>
        <v>15.024979973098137</v>
      </c>
      <c r="T380">
        <f t="shared" si="973"/>
        <v>1.5024979973098138E-2</v>
      </c>
    </row>
    <row r="381" spans="1:20" x14ac:dyDescent="0.25">
      <c r="A381" s="5">
        <v>44212</v>
      </c>
      <c r="B381">
        <v>0.13689999999999999</v>
      </c>
      <c r="C381">
        <v>0.18970000000000001</v>
      </c>
      <c r="D381">
        <v>0.1366</v>
      </c>
      <c r="E381">
        <v>0.1699</v>
      </c>
      <c r="F381">
        <v>3610031.04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0.25423728813559288</v>
      </c>
      <c r="Q381">
        <f t="shared" si="970"/>
        <v>917804.50169491407</v>
      </c>
      <c r="R381">
        <f t="shared" si="971"/>
        <v>1774780.6037902613</v>
      </c>
      <c r="S381">
        <f t="shared" si="972"/>
        <v>17.747806037902613</v>
      </c>
      <c r="T381">
        <f t="shared" si="973"/>
        <v>1.7747806037902613E-2</v>
      </c>
    </row>
    <row r="382" spans="1:20" x14ac:dyDescent="0.25">
      <c r="A382" s="5">
        <v>44211</v>
      </c>
      <c r="B382">
        <v>0.14299999999999999</v>
      </c>
      <c r="C382">
        <v>0.14990000000000001</v>
      </c>
      <c r="D382">
        <v>0.1206</v>
      </c>
      <c r="E382">
        <v>0.13500000000000001</v>
      </c>
      <c r="F382">
        <v>1224452.77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-1.7064846416381792E-2</v>
      </c>
      <c r="Q382">
        <f t="shared" si="970"/>
        <v>-20895.09846416326</v>
      </c>
      <c r="R382">
        <f t="shared" si="971"/>
        <v>856976.10209534725</v>
      </c>
      <c r="S382">
        <f t="shared" si="972"/>
        <v>8.5697610209534716</v>
      </c>
      <c r="T382">
        <f t="shared" si="973"/>
        <v>8.569761020953472E-3</v>
      </c>
    </row>
    <row r="383" spans="1:20" x14ac:dyDescent="0.25">
      <c r="A383" s="5">
        <v>44210</v>
      </c>
      <c r="B383">
        <v>0.13250000000000001</v>
      </c>
      <c r="C383">
        <v>0.1522</v>
      </c>
      <c r="D383">
        <v>0.1275</v>
      </c>
      <c r="E383">
        <v>0.14180000000000001</v>
      </c>
      <c r="F383">
        <v>1213452.02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0.15789473684210587</v>
      </c>
      <c r="Q383">
        <f t="shared" si="970"/>
        <v>191597.68736842179</v>
      </c>
      <c r="R383">
        <f t="shared" si="971"/>
        <v>877871.2005595105</v>
      </c>
      <c r="S383">
        <f t="shared" si="972"/>
        <v>8.7787120055951053</v>
      </c>
      <c r="T383">
        <f t="shared" si="973"/>
        <v>8.7787120055951053E-3</v>
      </c>
    </row>
    <row r="384" spans="1:20" x14ac:dyDescent="0.25">
      <c r="A384" s="5">
        <v>44209</v>
      </c>
      <c r="B384">
        <v>0.12620000000000001</v>
      </c>
      <c r="C384">
        <v>0.13850000000000001</v>
      </c>
      <c r="D384">
        <v>0.1201</v>
      </c>
      <c r="E384">
        <v>0.1323</v>
      </c>
      <c r="F384">
        <v>1067144.18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0.32608695652173841</v>
      </c>
      <c r="Q384">
        <f t="shared" si="970"/>
        <v>347981.79782608617</v>
      </c>
      <c r="R384">
        <f t="shared" si="971"/>
        <v>686273.51319108868</v>
      </c>
      <c r="S384">
        <f t="shared" si="972"/>
        <v>6.8627351319108865</v>
      </c>
      <c r="T384">
        <f t="shared" si="973"/>
        <v>6.8627351319108867E-3</v>
      </c>
    </row>
    <row r="385" spans="1:20" x14ac:dyDescent="0.25">
      <c r="A385" s="5">
        <v>44208</v>
      </c>
      <c r="B385">
        <v>0.1179</v>
      </c>
      <c r="C385">
        <v>0.14799999999999999</v>
      </c>
      <c r="D385">
        <v>0.1101</v>
      </c>
      <c r="E385">
        <v>0.12759999999999999</v>
      </c>
      <c r="F385">
        <v>1169004.7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-7.6517150395778749E-2</v>
      </c>
      <c r="Q385">
        <f t="shared" si="970"/>
        <v>-89448.908443272216</v>
      </c>
      <c r="R385">
        <f t="shared" si="971"/>
        <v>338291.71536500251</v>
      </c>
      <c r="S385">
        <f t="shared" si="972"/>
        <v>3.3829171536500251</v>
      </c>
      <c r="T385">
        <f t="shared" si="973"/>
        <v>3.382917153650025E-3</v>
      </c>
    </row>
    <row r="386" spans="1:20" x14ac:dyDescent="0.25">
      <c r="A386" s="5">
        <v>44207</v>
      </c>
      <c r="B386">
        <v>0.13589999999999999</v>
      </c>
      <c r="C386">
        <v>0.13969999999999999</v>
      </c>
      <c r="D386">
        <v>0.1086</v>
      </c>
      <c r="E386">
        <v>0.1188</v>
      </c>
      <c r="F386">
        <v>1111557.3799999999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-0.34405144694533735</v>
      </c>
      <c r="Q386">
        <f t="shared" si="970"/>
        <v>-382432.92495176813</v>
      </c>
      <c r="R386">
        <f t="shared" si="971"/>
        <v>427740.62380827474</v>
      </c>
      <c r="S386">
        <f t="shared" si="972"/>
        <v>4.2774062380827473</v>
      </c>
      <c r="T386">
        <f t="shared" si="973"/>
        <v>4.2774062380827472E-3</v>
      </c>
    </row>
    <row r="387" spans="1:20" x14ac:dyDescent="0.25">
      <c r="A387" s="5">
        <v>44206</v>
      </c>
      <c r="B387">
        <v>0.14680000000000001</v>
      </c>
      <c r="C387">
        <v>0.15640000000000001</v>
      </c>
      <c r="D387">
        <v>0.13239999999999999</v>
      </c>
      <c r="E387">
        <v>0.13700000000000001</v>
      </c>
      <c r="F387">
        <v>543169.56999999995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-0.61666666666666525</v>
      </c>
      <c r="Q387">
        <f t="shared" si="970"/>
        <v>-334954.56816666585</v>
      </c>
      <c r="R387">
        <f t="shared" si="971"/>
        <v>810173.54876004288</v>
      </c>
      <c r="S387">
        <f t="shared" si="972"/>
        <v>8.1017354876004291</v>
      </c>
      <c r="T387">
        <f t="shared" si="973"/>
        <v>8.1017354876004293E-3</v>
      </c>
    </row>
    <row r="388" spans="1:20" x14ac:dyDescent="0.25">
      <c r="A388" s="5">
        <v>44205</v>
      </c>
      <c r="B388">
        <v>0.14119999999999999</v>
      </c>
      <c r="C388">
        <v>0.16</v>
      </c>
      <c r="D388">
        <v>0.13769999999999999</v>
      </c>
      <c r="E388">
        <v>0.1469</v>
      </c>
      <c r="F388">
        <v>1073571.1399999999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-0.1748878923766809</v>
      </c>
      <c r="Q388">
        <f t="shared" si="970"/>
        <v>-187754.59399103059</v>
      </c>
      <c r="R388">
        <f t="shared" si="971"/>
        <v>1145128.1169267087</v>
      </c>
      <c r="S388">
        <f t="shared" si="972"/>
        <v>11.451281169267087</v>
      </c>
      <c r="T388">
        <f t="shared" si="973"/>
        <v>1.1451281169267087E-2</v>
      </c>
    </row>
    <row r="389" spans="1:20" x14ac:dyDescent="0.25">
      <c r="A389" s="5">
        <v>44204</v>
      </c>
      <c r="B389">
        <v>0.1399</v>
      </c>
      <c r="C389">
        <v>0.14330000000000001</v>
      </c>
      <c r="D389">
        <v>0.123</v>
      </c>
      <c r="E389">
        <v>0.1391</v>
      </c>
      <c r="F389">
        <v>884596.03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0.58620689655172353</v>
      </c>
      <c r="Q389">
        <f t="shared" si="970"/>
        <v>518556.29344827536</v>
      </c>
      <c r="R389">
        <f t="shared" si="971"/>
        <v>1332882.7109177392</v>
      </c>
      <c r="S389">
        <f t="shared" si="972"/>
        <v>13.328827109177391</v>
      </c>
      <c r="T389">
        <f t="shared" si="973"/>
        <v>1.3328827109177391E-2</v>
      </c>
    </row>
    <row r="390" spans="1:20" x14ac:dyDescent="0.25">
      <c r="A390" s="5">
        <v>44203</v>
      </c>
      <c r="B390">
        <v>0.13370000000000001</v>
      </c>
      <c r="C390">
        <v>0.16500000000000001</v>
      </c>
      <c r="D390">
        <v>0.13</v>
      </c>
      <c r="E390">
        <v>0.1409</v>
      </c>
      <c r="F390">
        <v>1446387.14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-0.37714285714285761</v>
      </c>
      <c r="Q390">
        <f t="shared" ref="Q390:Q453" si="975">F390*P390</f>
        <v>-545494.57851428632</v>
      </c>
      <c r="R390">
        <f t="shared" ref="R390:R453" si="976">R391+Q390</f>
        <v>814326.41746946378</v>
      </c>
      <c r="S390">
        <f t="shared" ref="S390:S453" si="977">R390/100000</f>
        <v>8.1432641746946377</v>
      </c>
      <c r="T390">
        <f t="shared" ref="T390:T453" si="978">S390/1000</f>
        <v>8.143264174694638E-3</v>
      </c>
    </row>
    <row r="391" spans="1:20" x14ac:dyDescent="0.25">
      <c r="A391" s="5">
        <v>44202</v>
      </c>
      <c r="B391">
        <v>0.1406</v>
      </c>
      <c r="C391">
        <v>0.14319999999999999</v>
      </c>
      <c r="D391">
        <v>0.12640000000000001</v>
      </c>
      <c r="E391">
        <v>0.13370000000000001</v>
      </c>
      <c r="F391">
        <v>1227337.3999999999</v>
      </c>
      <c r="G391">
        <v>0</v>
      </c>
      <c r="L391" t="s">
        <v>7</v>
      </c>
      <c r="M391" t="s">
        <v>7</v>
      </c>
      <c r="N391" t="s">
        <v>8</v>
      </c>
      <c r="P391">
        <f t="shared" si="974"/>
        <v>-0.13095238095237988</v>
      </c>
      <c r="Q391">
        <f t="shared" si="975"/>
        <v>-160722.75476190343</v>
      </c>
      <c r="R391">
        <f t="shared" si="976"/>
        <v>1359820.9959837501</v>
      </c>
      <c r="S391">
        <f t="shared" si="977"/>
        <v>13.598209959837501</v>
      </c>
      <c r="T391">
        <f t="shared" si="978"/>
        <v>1.3598209959837501E-2</v>
      </c>
    </row>
    <row r="392" spans="1:20" x14ac:dyDescent="0.25">
      <c r="A392" s="5">
        <v>44201</v>
      </c>
      <c r="B392">
        <v>0.1157</v>
      </c>
      <c r="C392">
        <v>0.15</v>
      </c>
      <c r="D392">
        <v>0.11020000000000001</v>
      </c>
      <c r="E392">
        <v>0.1419</v>
      </c>
      <c r="F392">
        <v>1803920.63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0.59296482412060314</v>
      </c>
      <c r="Q392">
        <f t="shared" si="975"/>
        <v>1069661.4790954776</v>
      </c>
      <c r="R392">
        <f t="shared" si="976"/>
        <v>1520543.7507456534</v>
      </c>
      <c r="S392">
        <f t="shared" si="977"/>
        <v>15.205437507456534</v>
      </c>
      <c r="T392">
        <f t="shared" si="978"/>
        <v>1.5205437507456534E-2</v>
      </c>
    </row>
    <row r="393" spans="1:20" x14ac:dyDescent="0.25">
      <c r="A393" s="5">
        <v>44200</v>
      </c>
      <c r="B393">
        <v>0.1196</v>
      </c>
      <c r="C393">
        <v>0.13819999999999999</v>
      </c>
      <c r="D393">
        <v>0.1101</v>
      </c>
      <c r="E393">
        <v>0.1177</v>
      </c>
      <c r="F393">
        <v>1403243.73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-0.45907473309608543</v>
      </c>
      <c r="Q393">
        <f t="shared" si="975"/>
        <v>-644193.74081850541</v>
      </c>
      <c r="R393">
        <f t="shared" si="976"/>
        <v>450882.2716501758</v>
      </c>
      <c r="S393">
        <f t="shared" si="977"/>
        <v>4.5088227165017578</v>
      </c>
      <c r="T393">
        <f t="shared" si="978"/>
        <v>4.5088227165017581E-3</v>
      </c>
    </row>
    <row r="394" spans="1:20" x14ac:dyDescent="0.25">
      <c r="A394" s="5">
        <v>44199</v>
      </c>
      <c r="B394">
        <v>0.1164</v>
      </c>
      <c r="C394">
        <v>0.1348</v>
      </c>
      <c r="D394">
        <v>0.1128</v>
      </c>
      <c r="E394">
        <v>0.1181</v>
      </c>
      <c r="F394">
        <v>1166511.72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-0.51818181818181841</v>
      </c>
      <c r="Q394">
        <f t="shared" si="975"/>
        <v>-604465.16400000022</v>
      </c>
      <c r="R394">
        <f t="shared" si="976"/>
        <v>1095076.0124686812</v>
      </c>
      <c r="S394">
        <f t="shared" si="977"/>
        <v>10.950760124686813</v>
      </c>
      <c r="T394">
        <f t="shared" si="978"/>
        <v>1.0950760124686813E-2</v>
      </c>
    </row>
    <row r="395" spans="1:20" x14ac:dyDescent="0.25">
      <c r="A395" s="5">
        <v>44198</v>
      </c>
      <c r="B395">
        <v>0.1159</v>
      </c>
      <c r="C395">
        <v>0.1245</v>
      </c>
      <c r="D395">
        <v>0.11</v>
      </c>
      <c r="E395">
        <v>0.1187</v>
      </c>
      <c r="F395">
        <v>1298847.8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0.2</v>
      </c>
      <c r="Q395">
        <f t="shared" si="975"/>
        <v>259769.56000000003</v>
      </c>
      <c r="R395">
        <f t="shared" si="976"/>
        <v>1699541.1764686813</v>
      </c>
      <c r="S395">
        <f t="shared" si="977"/>
        <v>16.995411764686814</v>
      </c>
      <c r="T395">
        <f t="shared" si="978"/>
        <v>1.6995411764686816E-2</v>
      </c>
    </row>
    <row r="396" spans="1:20" x14ac:dyDescent="0.25">
      <c r="A396" s="5">
        <v>44197</v>
      </c>
      <c r="B396">
        <v>0.1124</v>
      </c>
      <c r="C396">
        <v>0.11940000000000001</v>
      </c>
      <c r="D396">
        <v>0.11</v>
      </c>
      <c r="E396">
        <v>0.1157</v>
      </c>
      <c r="F396">
        <v>866513.74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0.2127659574468071</v>
      </c>
      <c r="Q396">
        <f t="shared" si="975"/>
        <v>184364.62553191365</v>
      </c>
      <c r="R396">
        <f t="shared" si="976"/>
        <v>1439771.6164686813</v>
      </c>
      <c r="S396">
        <f t="shared" si="977"/>
        <v>14.397716164686813</v>
      </c>
      <c r="T396">
        <f t="shared" si="978"/>
        <v>1.4397716164686812E-2</v>
      </c>
    </row>
    <row r="397" spans="1:20" x14ac:dyDescent="0.25">
      <c r="A397" s="5">
        <v>44196</v>
      </c>
      <c r="B397">
        <v>0.1137</v>
      </c>
      <c r="C397">
        <v>0.11799999999999999</v>
      </c>
      <c r="D397">
        <v>0.108</v>
      </c>
      <c r="E397">
        <v>0.11310000000000001</v>
      </c>
      <c r="F397">
        <v>657538.18000000005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2.0000000000001971E-2</v>
      </c>
      <c r="Q397">
        <f t="shared" si="975"/>
        <v>13150.763600001297</v>
      </c>
      <c r="R397">
        <f t="shared" si="976"/>
        <v>1255406.9909367675</v>
      </c>
      <c r="S397">
        <f t="shared" si="977"/>
        <v>12.554069909367675</v>
      </c>
      <c r="T397">
        <f t="shared" si="978"/>
        <v>1.2554069909367674E-2</v>
      </c>
    </row>
    <row r="398" spans="1:20" x14ac:dyDescent="0.25">
      <c r="A398" s="5">
        <v>44195</v>
      </c>
      <c r="B398">
        <v>0.1143</v>
      </c>
      <c r="C398">
        <v>0.1237</v>
      </c>
      <c r="D398">
        <v>0.1118</v>
      </c>
      <c r="E398">
        <v>0.1128</v>
      </c>
      <c r="F398">
        <v>517244.09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-0.83193277310924363</v>
      </c>
      <c r="Q398">
        <f t="shared" si="975"/>
        <v>-430312.31016806723</v>
      </c>
      <c r="R398">
        <f t="shared" si="976"/>
        <v>1242256.2273367662</v>
      </c>
      <c r="S398">
        <f t="shared" si="977"/>
        <v>12.422562273367662</v>
      </c>
      <c r="T398">
        <f t="shared" si="978"/>
        <v>1.2422562273367662E-2</v>
      </c>
    </row>
    <row r="399" spans="1:20" x14ac:dyDescent="0.25">
      <c r="A399" s="5">
        <v>44194</v>
      </c>
      <c r="B399">
        <v>0.12189999999999999</v>
      </c>
      <c r="C399">
        <v>0.125</v>
      </c>
      <c r="D399">
        <v>0.104</v>
      </c>
      <c r="E399">
        <v>0.1137</v>
      </c>
      <c r="F399">
        <v>789336.97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-7.6190476190476378E-2</v>
      </c>
      <c r="Q399">
        <f t="shared" si="975"/>
        <v>-60139.959619047768</v>
      </c>
      <c r="R399">
        <f t="shared" si="976"/>
        <v>1672568.5375048334</v>
      </c>
      <c r="S399">
        <f t="shared" si="977"/>
        <v>16.725685375048336</v>
      </c>
      <c r="T399">
        <f t="shared" si="978"/>
        <v>1.6725685375048337E-2</v>
      </c>
    </row>
    <row r="400" spans="1:20" x14ac:dyDescent="0.25">
      <c r="A400" s="5">
        <v>44193</v>
      </c>
      <c r="B400">
        <v>0.1221</v>
      </c>
      <c r="C400">
        <v>0.13880000000000001</v>
      </c>
      <c r="D400">
        <v>0.11840000000000001</v>
      </c>
      <c r="E400">
        <v>0.1205</v>
      </c>
      <c r="F400">
        <v>2521673.5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-0.79411764705882448</v>
      </c>
      <c r="Q400">
        <f t="shared" si="975"/>
        <v>-2002505.4264705908</v>
      </c>
      <c r="R400">
        <f t="shared" si="976"/>
        <v>1732708.4971238812</v>
      </c>
      <c r="S400">
        <f t="shared" si="977"/>
        <v>17.327084971238811</v>
      </c>
      <c r="T400">
        <f t="shared" si="978"/>
        <v>1.7327084971238811E-2</v>
      </c>
    </row>
    <row r="401" spans="1:20" x14ac:dyDescent="0.25">
      <c r="A401" s="5">
        <v>44192</v>
      </c>
      <c r="B401">
        <v>0.1164</v>
      </c>
      <c r="C401">
        <v>0.1888</v>
      </c>
      <c r="D401">
        <v>0.11509999999999999</v>
      </c>
      <c r="E401">
        <v>0.12180000000000001</v>
      </c>
      <c r="F401">
        <v>8303140.1900000004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-0.8181818181818179</v>
      </c>
      <c r="Q401">
        <f t="shared" si="975"/>
        <v>-6793478.3372727251</v>
      </c>
      <c r="R401">
        <f t="shared" si="976"/>
        <v>3735213.923594472</v>
      </c>
      <c r="S401">
        <f t="shared" si="977"/>
        <v>37.352139235944719</v>
      </c>
      <c r="T401">
        <f t="shared" si="978"/>
        <v>3.7352139235944722E-2</v>
      </c>
    </row>
    <row r="402" spans="1:20" x14ac:dyDescent="0.25">
      <c r="A402" s="5">
        <v>44191</v>
      </c>
      <c r="B402">
        <v>0.1096</v>
      </c>
      <c r="C402">
        <v>0.11700000000000001</v>
      </c>
      <c r="D402">
        <v>0.1079</v>
      </c>
      <c r="E402">
        <v>0.11700000000000001</v>
      </c>
      <c r="F402">
        <v>363841.17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1</v>
      </c>
      <c r="Q402">
        <f t="shared" si="975"/>
        <v>363841.17</v>
      </c>
      <c r="R402">
        <f t="shared" si="976"/>
        <v>10528692.260867197</v>
      </c>
      <c r="S402">
        <f t="shared" si="977"/>
        <v>105.28692260867197</v>
      </c>
      <c r="T402">
        <f t="shared" si="978"/>
        <v>0.10528692260867198</v>
      </c>
    </row>
    <row r="403" spans="1:20" x14ac:dyDescent="0.25">
      <c r="A403" s="5">
        <v>44190</v>
      </c>
      <c r="B403">
        <v>0.1125</v>
      </c>
      <c r="C403">
        <v>0.1217</v>
      </c>
      <c r="D403">
        <v>0.1087</v>
      </c>
      <c r="E403">
        <v>0.10970000000000001</v>
      </c>
      <c r="F403">
        <v>740691.04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-0.84615384615384603</v>
      </c>
      <c r="Q403">
        <f t="shared" si="975"/>
        <v>-626738.57230769226</v>
      </c>
      <c r="R403">
        <f t="shared" si="976"/>
        <v>10164851.090867197</v>
      </c>
      <c r="S403">
        <f t="shared" si="977"/>
        <v>101.64851090867197</v>
      </c>
      <c r="T403">
        <f t="shared" si="978"/>
        <v>0.10164851090867197</v>
      </c>
    </row>
    <row r="404" spans="1:20" x14ac:dyDescent="0.25">
      <c r="A404" s="5">
        <v>44189</v>
      </c>
      <c r="B404">
        <v>0.106</v>
      </c>
      <c r="C404">
        <v>0.125</v>
      </c>
      <c r="D404">
        <v>9.9900000000000003E-2</v>
      </c>
      <c r="E404">
        <v>0.1115</v>
      </c>
      <c r="F404">
        <v>1285589.69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-7.5697211155378447E-2</v>
      </c>
      <c r="Q404">
        <f t="shared" si="975"/>
        <v>-97315.554223107509</v>
      </c>
      <c r="R404">
        <f t="shared" si="976"/>
        <v>10791589.66317489</v>
      </c>
      <c r="S404">
        <f t="shared" si="977"/>
        <v>107.91589663174889</v>
      </c>
      <c r="T404">
        <f t="shared" si="978"/>
        <v>0.10791589663174889</v>
      </c>
    </row>
    <row r="405" spans="1:20" x14ac:dyDescent="0.25">
      <c r="A405" s="5">
        <v>44188</v>
      </c>
      <c r="B405">
        <v>0.1258</v>
      </c>
      <c r="C405">
        <v>0.128</v>
      </c>
      <c r="D405">
        <v>0.10100000000000001</v>
      </c>
      <c r="E405">
        <v>0.106</v>
      </c>
      <c r="F405">
        <v>1884701.43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-0.62962962962963032</v>
      </c>
      <c r="Q405">
        <f t="shared" si="975"/>
        <v>-1186663.8633333347</v>
      </c>
      <c r="R405">
        <f t="shared" si="976"/>
        <v>10888905.217397997</v>
      </c>
      <c r="S405">
        <f t="shared" si="977"/>
        <v>108.88905217397998</v>
      </c>
      <c r="T405">
        <f t="shared" si="978"/>
        <v>0.10888905217397998</v>
      </c>
    </row>
    <row r="406" spans="1:20" x14ac:dyDescent="0.25">
      <c r="A406" s="5">
        <v>44187</v>
      </c>
      <c r="B406">
        <v>0.1477</v>
      </c>
      <c r="C406">
        <v>0.15459999999999999</v>
      </c>
      <c r="D406">
        <v>0.1212</v>
      </c>
      <c r="E406">
        <v>0.12720000000000001</v>
      </c>
      <c r="F406">
        <v>2635677.4500000002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-0.640718562874251</v>
      </c>
      <c r="Q406">
        <f t="shared" si="975"/>
        <v>-1688727.4679640706</v>
      </c>
      <c r="R406">
        <f t="shared" si="976"/>
        <v>12075569.080731332</v>
      </c>
      <c r="S406">
        <f t="shared" si="977"/>
        <v>120.75569080731333</v>
      </c>
      <c r="T406">
        <f t="shared" si="978"/>
        <v>0.12075569080731333</v>
      </c>
    </row>
    <row r="407" spans="1:20" x14ac:dyDescent="0.25">
      <c r="A407" s="5">
        <v>44186</v>
      </c>
      <c r="B407">
        <v>0.13880000000000001</v>
      </c>
      <c r="C407">
        <v>0.1598</v>
      </c>
      <c r="D407">
        <v>0.128</v>
      </c>
      <c r="E407">
        <v>0.1477</v>
      </c>
      <c r="F407">
        <v>4426214.0199999996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0.23899371069182379</v>
      </c>
      <c r="Q407">
        <f t="shared" si="975"/>
        <v>1057837.3129559744</v>
      </c>
      <c r="R407">
        <f t="shared" si="976"/>
        <v>13764296.548695402</v>
      </c>
      <c r="S407">
        <f t="shared" si="977"/>
        <v>137.64296548695401</v>
      </c>
      <c r="T407">
        <f t="shared" si="978"/>
        <v>0.13764296548695401</v>
      </c>
    </row>
    <row r="408" spans="1:20" x14ac:dyDescent="0.25">
      <c r="A408" s="5">
        <v>44185</v>
      </c>
      <c r="B408">
        <v>0.15709999999999999</v>
      </c>
      <c r="C408">
        <v>0.1583</v>
      </c>
      <c r="D408">
        <v>0.1343</v>
      </c>
      <c r="E408">
        <v>0.1386</v>
      </c>
      <c r="F408">
        <v>1775148.55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-0.64166666666666672</v>
      </c>
      <c r="Q408">
        <f t="shared" si="975"/>
        <v>-1139053.6529166668</v>
      </c>
      <c r="R408">
        <f t="shared" si="976"/>
        <v>12706459.235739429</v>
      </c>
      <c r="S408">
        <f t="shared" si="977"/>
        <v>127.06459235739429</v>
      </c>
      <c r="T408">
        <f t="shared" si="978"/>
        <v>0.12706459235739428</v>
      </c>
    </row>
    <row r="409" spans="1:20" x14ac:dyDescent="0.25">
      <c r="A409" s="5">
        <v>44184</v>
      </c>
      <c r="B409">
        <v>0.1477</v>
      </c>
      <c r="C409">
        <v>0.1701</v>
      </c>
      <c r="D409">
        <v>0.1474</v>
      </c>
      <c r="E409">
        <v>0.157</v>
      </c>
      <c r="F409">
        <v>4111908.07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-0.15418502202643186</v>
      </c>
      <c r="Q409">
        <f t="shared" si="975"/>
        <v>-633994.63634361292</v>
      </c>
      <c r="R409">
        <f t="shared" si="976"/>
        <v>13845512.888656095</v>
      </c>
      <c r="S409">
        <f t="shared" si="977"/>
        <v>138.45512888656094</v>
      </c>
      <c r="T409">
        <f t="shared" si="978"/>
        <v>0.13845512888656095</v>
      </c>
    </row>
    <row r="410" spans="1:20" x14ac:dyDescent="0.25">
      <c r="A410" s="5">
        <v>44183</v>
      </c>
      <c r="B410">
        <v>0.15409999999999999</v>
      </c>
      <c r="C410">
        <v>0.16900000000000001</v>
      </c>
      <c r="D410">
        <v>0.14099999999999999</v>
      </c>
      <c r="E410">
        <v>0.1474</v>
      </c>
      <c r="F410">
        <v>3934497.14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-0.54285714285714204</v>
      </c>
      <c r="Q410">
        <f t="shared" si="975"/>
        <v>-2135869.8759999969</v>
      </c>
      <c r="R410">
        <f t="shared" si="976"/>
        <v>14479507.524999708</v>
      </c>
      <c r="S410">
        <f t="shared" si="977"/>
        <v>144.79507524999707</v>
      </c>
      <c r="T410">
        <f t="shared" si="978"/>
        <v>0.14479507524999707</v>
      </c>
    </row>
    <row r="411" spans="1:20" x14ac:dyDescent="0.25">
      <c r="A411" s="5">
        <v>44182</v>
      </c>
      <c r="B411">
        <v>0.1714</v>
      </c>
      <c r="C411">
        <v>0.18329999999999999</v>
      </c>
      <c r="D411">
        <v>0.14899999999999999</v>
      </c>
      <c r="E411">
        <v>0.15409999999999999</v>
      </c>
      <c r="F411">
        <v>5024936.67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-0.70262390670553976</v>
      </c>
      <c r="Q411">
        <f t="shared" si="975"/>
        <v>-3530640.6340233255</v>
      </c>
      <c r="R411">
        <f t="shared" si="976"/>
        <v>16615377.400999704</v>
      </c>
      <c r="S411">
        <f t="shared" si="977"/>
        <v>166.15377400999705</v>
      </c>
      <c r="T411">
        <f t="shared" si="978"/>
        <v>0.16615377400999706</v>
      </c>
    </row>
    <row r="412" spans="1:20" x14ac:dyDescent="0.25">
      <c r="A412" s="5">
        <v>44181</v>
      </c>
      <c r="B412">
        <v>0.17730000000000001</v>
      </c>
      <c r="C412">
        <v>0.19969999999999999</v>
      </c>
      <c r="D412">
        <v>0.16750000000000001</v>
      </c>
      <c r="E412">
        <v>0.17119999999999999</v>
      </c>
      <c r="F412">
        <v>8219322.5599999996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-0.77018633540372772</v>
      </c>
      <c r="Q412">
        <f t="shared" si="975"/>
        <v>-6330409.9219875857</v>
      </c>
      <c r="R412">
        <f t="shared" si="976"/>
        <v>20146018.03502303</v>
      </c>
      <c r="S412">
        <f t="shared" si="977"/>
        <v>201.4601803502303</v>
      </c>
      <c r="T412">
        <f t="shared" si="978"/>
        <v>0.20146018035023031</v>
      </c>
    </row>
    <row r="413" spans="1:20" x14ac:dyDescent="0.25">
      <c r="A413" s="5">
        <v>44180</v>
      </c>
      <c r="B413">
        <v>0.21279999999999999</v>
      </c>
      <c r="C413">
        <v>0.2165</v>
      </c>
      <c r="D413">
        <v>0.17</v>
      </c>
      <c r="E413">
        <v>0.17649999999999999</v>
      </c>
      <c r="F413">
        <v>7608022.6799999997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-0.72043010752688263</v>
      </c>
      <c r="Q413">
        <f t="shared" si="975"/>
        <v>-5481048.5974193616</v>
      </c>
      <c r="R413">
        <f t="shared" si="976"/>
        <v>26476427.957010616</v>
      </c>
      <c r="S413">
        <f t="shared" si="977"/>
        <v>264.76427957010617</v>
      </c>
      <c r="T413">
        <f t="shared" si="978"/>
        <v>0.26476427957010618</v>
      </c>
    </row>
    <row r="414" spans="1:20" x14ac:dyDescent="0.25">
      <c r="A414" s="5">
        <v>44179</v>
      </c>
      <c r="B414">
        <v>0.2384</v>
      </c>
      <c r="C414">
        <v>0.25</v>
      </c>
      <c r="D414">
        <v>0.21</v>
      </c>
      <c r="E414">
        <v>0.21290000000000001</v>
      </c>
      <c r="F414">
        <v>7572766.7599999998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-0.85499999999999932</v>
      </c>
      <c r="Q414">
        <f t="shared" si="975"/>
        <v>-6474715.5797999948</v>
      </c>
      <c r="R414">
        <f t="shared" si="976"/>
        <v>31957476.554429978</v>
      </c>
      <c r="S414">
        <f t="shared" si="977"/>
        <v>319.57476554429979</v>
      </c>
      <c r="T414">
        <f t="shared" si="978"/>
        <v>0.31957476554429981</v>
      </c>
    </row>
    <row r="415" spans="1:20" x14ac:dyDescent="0.25">
      <c r="A415" s="5">
        <v>44178</v>
      </c>
      <c r="B415">
        <v>0.2828</v>
      </c>
      <c r="C415">
        <v>0.28299999999999997</v>
      </c>
      <c r="D415">
        <v>0.2056</v>
      </c>
      <c r="E415">
        <v>0.2384</v>
      </c>
      <c r="F415">
        <v>21052817.370000001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-0.15245478036175686</v>
      </c>
      <c r="Q415">
        <f t="shared" si="975"/>
        <v>-3209602.6481395299</v>
      </c>
      <c r="R415">
        <f t="shared" si="976"/>
        <v>38432192.134229973</v>
      </c>
      <c r="S415">
        <f t="shared" si="977"/>
        <v>384.32192134229973</v>
      </c>
      <c r="T415">
        <f t="shared" si="978"/>
        <v>0.38432192134229975</v>
      </c>
    </row>
    <row r="416" spans="1:20" x14ac:dyDescent="0.25">
      <c r="A416" s="5">
        <v>44177</v>
      </c>
      <c r="B416">
        <v>0.16089999999999999</v>
      </c>
      <c r="C416">
        <v>0.30909999999999999</v>
      </c>
      <c r="D416">
        <v>0.158</v>
      </c>
      <c r="E416">
        <v>0.28299999999999997</v>
      </c>
      <c r="F416">
        <v>66306095.880000003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0.65453342157511563</v>
      </c>
      <c r="Q416">
        <f t="shared" si="975"/>
        <v>43399555.807624079</v>
      </c>
      <c r="R416">
        <f t="shared" si="976"/>
        <v>41641794.782369502</v>
      </c>
      <c r="S416">
        <f t="shared" si="977"/>
        <v>416.41794782369504</v>
      </c>
      <c r="T416">
        <f t="shared" si="978"/>
        <v>0.41641794782369507</v>
      </c>
    </row>
    <row r="417" spans="1:20" x14ac:dyDescent="0.25">
      <c r="A417" s="5">
        <v>44176</v>
      </c>
      <c r="B417">
        <v>9.06E-2</v>
      </c>
      <c r="C417">
        <v>0.2379</v>
      </c>
      <c r="D417">
        <v>9.06E-2</v>
      </c>
      <c r="E417">
        <v>0.16200000000000001</v>
      </c>
      <c r="F417">
        <v>57537377.560000002</v>
      </c>
      <c r="G417">
        <v>0</v>
      </c>
      <c r="P417">
        <f t="shared" si="974"/>
        <v>-3.0549898167006047E-2</v>
      </c>
      <c r="Q417">
        <f t="shared" si="975"/>
        <v>-1757761.025254579</v>
      </c>
      <c r="R417">
        <f t="shared" si="976"/>
        <v>-1757761.025254579</v>
      </c>
      <c r="S417">
        <f t="shared" si="977"/>
        <v>-17.577610252545789</v>
      </c>
      <c r="T417">
        <f t="shared" si="978"/>
        <v>-1.757761025254579E-2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X701" sqref="HX7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$A$700</v>
      </c>
      <c r="D111" s="1" t="str">
        <f>ADDRESS(C121-1,D121,1,1)</f>
        <v>$HX$700</v>
      </c>
      <c r="E111"/>
    </row>
    <row r="112" spans="1:5" x14ac:dyDescent="0.25">
      <c r="A112" s="7">
        <v>12164.144957890772</v>
      </c>
      <c r="C112" s="1" t="str">
        <f>ADDRESS(C121,1,1,1)</f>
        <v>$A$701</v>
      </c>
      <c r="D112" s="1" t="str">
        <f>ADDRESS(C121,D121-1,1,1)</f>
        <v>$HW$701</v>
      </c>
      <c r="E112"/>
    </row>
    <row r="113" spans="1:5" x14ac:dyDescent="0.25">
      <c r="A113" s="7">
        <v>11925.63231165762</v>
      </c>
      <c r="C113" s="1" t="str">
        <f>ADDRESS(C121+1,1,1,1)</f>
        <v>$A$702</v>
      </c>
      <c r="D113" s="1" t="str">
        <f>ADDRESS(C121-1,D121+1,1,1)</f>
        <v>$HY$700</v>
      </c>
    </row>
    <row r="114" spans="1:5" x14ac:dyDescent="0.25">
      <c r="A114" s="7">
        <v>11691.796383978059</v>
      </c>
      <c r="C114" s="1" t="str">
        <f>ADDRESS(C121,D121,1,1)</f>
        <v>$HX$701</v>
      </c>
      <c r="D114" s="1" t="str">
        <f>ADDRESS(C121+1,D121+1,1,1)</f>
        <v>$HY$702</v>
      </c>
    </row>
    <row r="115" spans="1:5" x14ac:dyDescent="0.25">
      <c r="A115" s="7">
        <v>11462.545474488292</v>
      </c>
      <c r="C115" s="1" t="str">
        <f>ADDRESS(C121+1,D121,1,1)</f>
        <v>$HX$702</v>
      </c>
    </row>
    <row r="116" spans="1:5" x14ac:dyDescent="0.25">
      <c r="A116" s="7">
        <v>11237.789680870874</v>
      </c>
      <c r="C116" s="1">
        <f>C117-1</f>
        <v>700</v>
      </c>
    </row>
    <row r="117" spans="1:5" x14ac:dyDescent="0.25">
      <c r="A117" s="7">
        <v>11017.440863598895</v>
      </c>
      <c r="C117" s="1">
        <f>C121</f>
        <v>701</v>
      </c>
      <c r="D117" s="1">
        <f>D121</f>
        <v>232</v>
      </c>
    </row>
    <row r="118" spans="1:5" x14ac:dyDescent="0.25">
      <c r="A118" s="7">
        <v>10801.412611371465</v>
      </c>
      <c r="C118" s="1">
        <f>C117+1</f>
        <v>702</v>
      </c>
      <c r="D118" s="1">
        <f>D117+1</f>
        <v>233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701</v>
      </c>
      <c r="D121" s="19">
        <v>232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R701</v>
      </c>
      <c r="D123" s="1" t="str">
        <f>"C"&amp;D121</f>
        <v>C232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0.1046117384089861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58" x14ac:dyDescent="0.25">
      <c r="A593" s="7">
        <v>0.8879713821861922</v>
      </c>
      <c r="B593"/>
      <c r="C593"/>
      <c r="D593"/>
      <c r="E593"/>
      <c r="F593" s="27" t="s">
        <v>7</v>
      </c>
      <c r="AQ593" s="27" t="s">
        <v>8</v>
      </c>
    </row>
    <row r="594" spans="1:58" x14ac:dyDescent="0.25">
      <c r="A594" s="7">
        <v>0.87056017861391399</v>
      </c>
      <c r="B594"/>
      <c r="C594"/>
      <c r="D594"/>
      <c r="E594"/>
      <c r="F594" s="27" t="s">
        <v>7</v>
      </c>
      <c r="AQ594" s="27" t="s">
        <v>8</v>
      </c>
      <c r="AR594" s="27" t="s">
        <v>7</v>
      </c>
    </row>
    <row r="595" spans="1:58" x14ac:dyDescent="0.25">
      <c r="A595" s="7">
        <v>0.85349037119011173</v>
      </c>
      <c r="B595"/>
      <c r="C595"/>
      <c r="D595"/>
      <c r="E595"/>
      <c r="F595" s="27" t="s">
        <v>7</v>
      </c>
      <c r="AQ595" s="27" t="s">
        <v>8</v>
      </c>
      <c r="AR595" s="27" t="s">
        <v>7</v>
      </c>
    </row>
    <row r="596" spans="1:58" x14ac:dyDescent="0.25">
      <c r="A596" s="7">
        <v>0.83675526587265858</v>
      </c>
      <c r="B596"/>
      <c r="C596"/>
      <c r="D596"/>
      <c r="E596"/>
      <c r="F596" s="27" t="s">
        <v>7</v>
      </c>
      <c r="AQ596" s="27" t="s">
        <v>8</v>
      </c>
      <c r="AR596" s="27" t="s">
        <v>7</v>
      </c>
    </row>
    <row r="597" spans="1:58" x14ac:dyDescent="0.25">
      <c r="A597" s="7">
        <v>0.82034829987515545</v>
      </c>
      <c r="B597"/>
      <c r="C597"/>
      <c r="D597"/>
      <c r="E597"/>
      <c r="F597" s="27" t="s">
        <v>7</v>
      </c>
      <c r="AQ597" s="27" t="s">
        <v>8</v>
      </c>
      <c r="AR597" s="27" t="s">
        <v>7</v>
      </c>
    </row>
    <row r="598" spans="1:58" x14ac:dyDescent="0.25">
      <c r="A598" s="7">
        <v>0.80426303909328967</v>
      </c>
      <c r="B598"/>
      <c r="C598"/>
      <c r="D598"/>
      <c r="E598"/>
      <c r="F598" s="27" t="s">
        <v>7</v>
      </c>
      <c r="AQ598" s="27" t="s">
        <v>8</v>
      </c>
      <c r="AR598" s="27" t="s">
        <v>7</v>
      </c>
    </row>
    <row r="599" spans="1:58" x14ac:dyDescent="0.25">
      <c r="A599" s="7">
        <v>0.78849317558165644</v>
      </c>
      <c r="B599"/>
      <c r="C599"/>
      <c r="D599"/>
      <c r="E599"/>
      <c r="F599" s="27" t="s">
        <v>7</v>
      </c>
      <c r="AQ599" s="27" t="s">
        <v>8</v>
      </c>
      <c r="AR599" s="27" t="s">
        <v>7</v>
      </c>
    </row>
    <row r="600" spans="1:58" x14ac:dyDescent="0.25">
      <c r="A600" s="7">
        <v>0.77303252508005538</v>
      </c>
      <c r="B600"/>
      <c r="C600"/>
      <c r="D600"/>
      <c r="E600"/>
      <c r="F600" s="27" t="s">
        <v>7</v>
      </c>
      <c r="AQ600" s="27" t="s">
        <v>8</v>
      </c>
      <c r="AR600" s="27" t="s">
        <v>7</v>
      </c>
    </row>
    <row r="601" spans="1:58" x14ac:dyDescent="0.25">
      <c r="A601" s="7">
        <v>0.75787502458828959</v>
      </c>
      <c r="B601"/>
      <c r="C601"/>
      <c r="D601"/>
      <c r="E601"/>
      <c r="F601" s="27" t="s">
        <v>7</v>
      </c>
      <c r="AQ601" s="27" t="s">
        <v>8</v>
      </c>
      <c r="AR601" s="27" t="s">
        <v>7</v>
      </c>
    </row>
    <row r="602" spans="1:58" x14ac:dyDescent="0.25">
      <c r="A602" s="7">
        <v>0.74301472998851925</v>
      </c>
      <c r="B602"/>
      <c r="C602"/>
      <c r="D602"/>
      <c r="E602"/>
      <c r="F602" s="27" t="s">
        <v>7</v>
      </c>
      <c r="AQ602" s="27" t="s">
        <v>8</v>
      </c>
      <c r="AR602" s="27" t="s">
        <v>7</v>
      </c>
    </row>
    <row r="603" spans="1:58" x14ac:dyDescent="0.25">
      <c r="A603" s="7">
        <v>0.72844581371423456</v>
      </c>
      <c r="B603"/>
      <c r="C603"/>
      <c r="D603"/>
      <c r="E603"/>
      <c r="F603" s="27" t="s">
        <v>7</v>
      </c>
      <c r="AQ603" s="27" t="s">
        <v>8</v>
      </c>
      <c r="AR603" s="27" t="s">
        <v>7</v>
      </c>
    </row>
    <row r="604" spans="1:58" x14ac:dyDescent="0.25">
      <c r="A604" s="7">
        <v>0.71416256246493581</v>
      </c>
      <c r="B604"/>
      <c r="C604"/>
      <c r="D604"/>
      <c r="E604"/>
      <c r="F604" s="27" t="s">
        <v>7</v>
      </c>
      <c r="AQ604" s="27" t="s">
        <v>8</v>
      </c>
      <c r="AR604" s="27" t="s">
        <v>7</v>
      </c>
    </row>
    <row r="605" spans="1:58" x14ac:dyDescent="0.25">
      <c r="A605" s="7">
        <v>0.7001593749656233</v>
      </c>
      <c r="B605"/>
      <c r="C605"/>
      <c r="D605"/>
      <c r="E605"/>
      <c r="F605" s="27" t="s">
        <v>7</v>
      </c>
      <c r="AQ605" s="27" t="s">
        <v>8</v>
      </c>
      <c r="AR605" s="27" t="s">
        <v>7</v>
      </c>
    </row>
    <row r="606" spans="1:58" x14ac:dyDescent="0.25">
      <c r="A606" s="7">
        <v>0.68643075977021883</v>
      </c>
      <c r="B606"/>
      <c r="C606"/>
      <c r="D606"/>
      <c r="E606"/>
      <c r="F606" s="27" t="s">
        <v>7</v>
      </c>
      <c r="AQ606" s="27" t="s">
        <v>8</v>
      </c>
      <c r="AR606" s="27" t="s">
        <v>7</v>
      </c>
      <c r="BE606" s="27" t="s">
        <v>8</v>
      </c>
    </row>
    <row r="607" spans="1:58" x14ac:dyDescent="0.25">
      <c r="A607" s="7">
        <v>0.67297133310805768</v>
      </c>
      <c r="B607"/>
      <c r="C607"/>
      <c r="D607"/>
      <c r="E607"/>
      <c r="F607" s="27" t="s">
        <v>7</v>
      </c>
      <c r="AQ607" s="27" t="s">
        <v>8</v>
      </c>
      <c r="AR607" s="27" t="s">
        <v>7</v>
      </c>
      <c r="BE607" s="27" t="s">
        <v>8</v>
      </c>
      <c r="BF607" s="27" t="s">
        <v>7</v>
      </c>
    </row>
    <row r="608" spans="1:58" x14ac:dyDescent="0.25">
      <c r="A608" s="7">
        <v>0.65977581677260566</v>
      </c>
      <c r="B608"/>
      <c r="C608"/>
      <c r="D608"/>
      <c r="E608"/>
      <c r="F608" s="27" t="s">
        <v>7</v>
      </c>
      <c r="AQ608" s="27" t="s">
        <v>8</v>
      </c>
      <c r="AR608" s="27" t="s">
        <v>7</v>
      </c>
      <c r="BE608" s="27" t="s">
        <v>8</v>
      </c>
      <c r="BF608" s="27" t="s">
        <v>7</v>
      </c>
    </row>
    <row r="609" spans="1:157" x14ac:dyDescent="0.25">
      <c r="A609" s="7">
        <v>0.64683903605157422</v>
      </c>
      <c r="B609"/>
      <c r="C609"/>
      <c r="D609"/>
      <c r="E609"/>
      <c r="F609" s="27" t="s">
        <v>7</v>
      </c>
      <c r="AQ609" s="27" t="s">
        <v>8</v>
      </c>
      <c r="AR609" s="27" t="s">
        <v>7</v>
      </c>
      <c r="BE609" s="27" t="s">
        <v>8</v>
      </c>
      <c r="BF609" s="27" t="s">
        <v>7</v>
      </c>
    </row>
    <row r="610" spans="1:157" x14ac:dyDescent="0.25">
      <c r="A610" s="7">
        <v>0.63415591769762181</v>
      </c>
      <c r="B610"/>
      <c r="C610"/>
      <c r="D610"/>
      <c r="E610"/>
      <c r="F610" s="27" t="s">
        <v>7</v>
      </c>
      <c r="AQ610" s="27" t="s">
        <v>8</v>
      </c>
      <c r="AR610" s="27" t="s">
        <v>7</v>
      </c>
      <c r="BE610" s="27" t="s">
        <v>8</v>
      </c>
      <c r="BF610" s="27" t="s">
        <v>7</v>
      </c>
    </row>
    <row r="611" spans="1:157" x14ac:dyDescent="0.25">
      <c r="A611" s="7">
        <v>0.62172148793884496</v>
      </c>
      <c r="B611"/>
      <c r="C611"/>
      <c r="D611"/>
      <c r="E611"/>
      <c r="F611" s="27" t="s">
        <v>7</v>
      </c>
      <c r="AQ611" s="27" t="s">
        <v>8</v>
      </c>
      <c r="AR611" s="27" t="s">
        <v>7</v>
      </c>
      <c r="BE611" s="27" t="s">
        <v>8</v>
      </c>
      <c r="BF611" s="27" t="s">
        <v>7</v>
      </c>
    </row>
    <row r="612" spans="1:157" x14ac:dyDescent="0.25">
      <c r="A612" s="7">
        <v>0.60953087052827937</v>
      </c>
      <c r="B612"/>
      <c r="C612"/>
      <c r="D612"/>
      <c r="E612"/>
      <c r="F612" s="27" t="s">
        <v>7</v>
      </c>
      <c r="AQ612" s="27" t="s">
        <v>8</v>
      </c>
      <c r="AR612" s="27" t="s">
        <v>7</v>
      </c>
      <c r="BE612" s="27" t="s">
        <v>8</v>
      </c>
      <c r="BF612" s="27" t="s">
        <v>7</v>
      </c>
      <c r="BG612" s="27" t="s">
        <v>8</v>
      </c>
    </row>
    <row r="613" spans="1:157" x14ac:dyDescent="0.25">
      <c r="A613" s="7">
        <v>0.59757928483164646</v>
      </c>
      <c r="B613"/>
      <c r="C613"/>
      <c r="D613"/>
      <c r="E613"/>
      <c r="F613" s="27" t="s">
        <v>7</v>
      </c>
      <c r="AQ613" s="27" t="s">
        <v>8</v>
      </c>
      <c r="AR613" s="27" t="s">
        <v>7</v>
      </c>
      <c r="BE613" s="27" t="s">
        <v>8</v>
      </c>
      <c r="BF613" s="27" t="s">
        <v>7</v>
      </c>
      <c r="BG613" s="27" t="s">
        <v>8</v>
      </c>
      <c r="BH613" s="27" t="s">
        <v>7</v>
      </c>
    </row>
    <row r="614" spans="1:157" x14ac:dyDescent="0.25">
      <c r="A614" s="7">
        <v>0.58586204395259456</v>
      </c>
      <c r="B614"/>
      <c r="C614"/>
      <c r="D614"/>
      <c r="E614"/>
      <c r="F614" s="27" t="s">
        <v>7</v>
      </c>
      <c r="AQ614" s="27" t="s">
        <v>8</v>
      </c>
      <c r="AR614" s="27" t="s">
        <v>7</v>
      </c>
      <c r="BE614" s="27" t="s">
        <v>8</v>
      </c>
      <c r="BF614" s="27" t="s">
        <v>7</v>
      </c>
      <c r="BG614" s="27" t="s">
        <v>8</v>
      </c>
      <c r="BH614" s="27" t="s">
        <v>7</v>
      </c>
    </row>
    <row r="615" spans="1:157" x14ac:dyDescent="0.25">
      <c r="A615" s="7">
        <v>0.57437455289470052</v>
      </c>
      <c r="B615"/>
      <c r="C615"/>
      <c r="D615"/>
      <c r="E615"/>
      <c r="F615" s="27" t="s">
        <v>7</v>
      </c>
      <c r="AQ615" s="27" t="s">
        <v>8</v>
      </c>
      <c r="AR615" s="27" t="s">
        <v>7</v>
      </c>
      <c r="BE615" s="27" t="s">
        <v>8</v>
      </c>
      <c r="BF615" s="27" t="s">
        <v>7</v>
      </c>
      <c r="BG615" s="27" t="s">
        <v>8</v>
      </c>
      <c r="BH615" s="27" t="s">
        <v>7</v>
      </c>
    </row>
    <row r="616" spans="1:157" x14ac:dyDescent="0.25">
      <c r="A616" s="7">
        <v>0.56311230675951029</v>
      </c>
      <c r="B616"/>
      <c r="C616"/>
      <c r="D616"/>
      <c r="E616"/>
      <c r="F616" s="27" t="s">
        <v>7</v>
      </c>
      <c r="AQ616" s="27" t="s">
        <v>8</v>
      </c>
      <c r="AR616" s="27" t="s">
        <v>7</v>
      </c>
      <c r="BE616" s="27" t="s">
        <v>8</v>
      </c>
      <c r="BF616" s="27" t="s">
        <v>7</v>
      </c>
      <c r="BG616" s="27" t="s">
        <v>8</v>
      </c>
      <c r="BH616" s="27" t="s">
        <v>7</v>
      </c>
    </row>
    <row r="617" spans="1:157" x14ac:dyDescent="0.25">
      <c r="A617" s="7">
        <v>0.55207088897991208</v>
      </c>
      <c r="B617"/>
      <c r="C617"/>
      <c r="D617"/>
      <c r="E617"/>
      <c r="F617" s="27" t="s">
        <v>7</v>
      </c>
      <c r="AQ617" s="27" t="s">
        <v>8</v>
      </c>
      <c r="AR617" s="27" t="s">
        <v>7</v>
      </c>
      <c r="BE617" s="27" t="s">
        <v>8</v>
      </c>
      <c r="BF617" s="27" t="s">
        <v>7</v>
      </c>
      <c r="BG617" s="27" t="s">
        <v>8</v>
      </c>
      <c r="BH617" s="27" t="s">
        <v>7</v>
      </c>
    </row>
    <row r="618" spans="1:157" x14ac:dyDescent="0.25">
      <c r="A618" s="7">
        <v>0.54124596958814908</v>
      </c>
      <c r="B618"/>
      <c r="C618"/>
      <c r="D618"/>
      <c r="E618"/>
      <c r="F618" s="27" t="s">
        <v>7</v>
      </c>
      <c r="AQ618" s="27" t="s">
        <v>8</v>
      </c>
      <c r="AR618" s="27" t="s">
        <v>7</v>
      </c>
      <c r="BE618" s="27" t="s">
        <v>8</v>
      </c>
      <c r="BF618" s="27" t="s">
        <v>7</v>
      </c>
      <c r="BG618" s="27" t="s">
        <v>8</v>
      </c>
      <c r="BH618" s="27" t="s">
        <v>7</v>
      </c>
      <c r="BU618" s="27" t="s">
        <v>8</v>
      </c>
    </row>
    <row r="619" spans="1:157" x14ac:dyDescent="0.25">
      <c r="A619" s="7">
        <v>0.53063330351779314</v>
      </c>
      <c r="B619"/>
      <c r="C619"/>
      <c r="D619"/>
      <c r="E619"/>
      <c r="F619" s="27" t="s">
        <v>7</v>
      </c>
      <c r="AQ619" s="27" t="s">
        <v>8</v>
      </c>
      <c r="AR619" s="27" t="s">
        <v>7</v>
      </c>
      <c r="BE619" s="27" t="s">
        <v>8</v>
      </c>
      <c r="BF619" s="27" t="s">
        <v>7</v>
      </c>
      <c r="BG619" s="27" t="s">
        <v>8</v>
      </c>
      <c r="BH619" s="27" t="s">
        <v>7</v>
      </c>
      <c r="BU619" s="27" t="s">
        <v>8</v>
      </c>
      <c r="BV619" s="27" t="s">
        <v>7</v>
      </c>
    </row>
    <row r="620" spans="1:157" x14ac:dyDescent="0.25">
      <c r="A620" s="7">
        <v>0.52022872893901284</v>
      </c>
      <c r="B620"/>
      <c r="C620"/>
      <c r="D620"/>
      <c r="E620"/>
      <c r="F620" s="27" t="s">
        <v>7</v>
      </c>
      <c r="AQ620" s="27" t="s">
        <v>8</v>
      </c>
      <c r="AR620" s="27" t="s">
        <v>7</v>
      </c>
      <c r="BE620" s="27" t="s">
        <v>8</v>
      </c>
      <c r="BF620" s="27" t="s">
        <v>7</v>
      </c>
      <c r="BG620" s="27" t="s">
        <v>8</v>
      </c>
      <c r="BH620" s="27" t="s">
        <v>7</v>
      </c>
      <c r="BU620" s="27" t="s">
        <v>8</v>
      </c>
      <c r="BV620" s="27" t="s">
        <v>7</v>
      </c>
    </row>
    <row r="621" spans="1:157" x14ac:dyDescent="0.25">
      <c r="A621" s="7">
        <v>0.51002816562648323</v>
      </c>
      <c r="B621"/>
      <c r="C621"/>
      <c r="D621"/>
      <c r="E621"/>
      <c r="F621" s="27" t="s">
        <v>7</v>
      </c>
      <c r="AQ621" s="27" t="s">
        <v>8</v>
      </c>
      <c r="AR621" s="27" t="s">
        <v>7</v>
      </c>
      <c r="BE621" s="27" t="s">
        <v>8</v>
      </c>
      <c r="BF621" s="27" t="s">
        <v>7</v>
      </c>
      <c r="BG621" s="27" t="s">
        <v>8</v>
      </c>
      <c r="BH621" s="27" t="s">
        <v>7</v>
      </c>
      <c r="BU621" s="27" t="s">
        <v>8</v>
      </c>
      <c r="BV621" s="27" t="s">
        <v>7</v>
      </c>
    </row>
    <row r="622" spans="1:157" x14ac:dyDescent="0.25">
      <c r="A622" s="7">
        <v>0.50002761335929735</v>
      </c>
      <c r="B622"/>
      <c r="C622"/>
      <c r="D622"/>
      <c r="E622"/>
      <c r="F622" s="27" t="s">
        <v>7</v>
      </c>
      <c r="AQ622" s="27" t="s">
        <v>8</v>
      </c>
      <c r="AR622" s="27" t="s">
        <v>7</v>
      </c>
      <c r="BE622" s="27" t="s">
        <v>8</v>
      </c>
      <c r="BF622" s="27" t="s">
        <v>7</v>
      </c>
      <c r="BG622" s="27" t="s">
        <v>8</v>
      </c>
      <c r="BH622" s="27" t="s">
        <v>7</v>
      </c>
      <c r="BU622" s="27" t="s">
        <v>8</v>
      </c>
      <c r="BV622" s="27" t="s">
        <v>7</v>
      </c>
    </row>
    <row r="623" spans="1:157" x14ac:dyDescent="0.25">
      <c r="A623" s="7">
        <v>0.49022315035225228</v>
      </c>
      <c r="B623"/>
      <c r="C623"/>
      <c r="D623"/>
      <c r="E623"/>
      <c r="F623" s="27" t="s">
        <v>7</v>
      </c>
      <c r="AQ623" s="27" t="s">
        <v>8</v>
      </c>
      <c r="AR623" s="27" t="s">
        <v>7</v>
      </c>
      <c r="AS623" s="27" t="s">
        <v>8</v>
      </c>
      <c r="BE623" s="27" t="s">
        <v>8</v>
      </c>
      <c r="BF623" s="27" t="s">
        <v>7</v>
      </c>
      <c r="BG623" s="27" t="s">
        <v>8</v>
      </c>
      <c r="BH623" s="27" t="s">
        <v>7</v>
      </c>
      <c r="BU623" s="27" t="s">
        <v>8</v>
      </c>
      <c r="BV623" s="27" t="s">
        <v>7</v>
      </c>
    </row>
    <row r="624" spans="1:157" x14ac:dyDescent="0.25">
      <c r="A624" s="7">
        <v>0.48061093171789437</v>
      </c>
      <c r="B624"/>
      <c r="C624"/>
      <c r="D624"/>
      <c r="E624"/>
      <c r="F624" s="27" t="s">
        <v>7</v>
      </c>
      <c r="AQ624" s="27" t="s">
        <v>8</v>
      </c>
      <c r="AR624" s="27" t="s">
        <v>7</v>
      </c>
      <c r="AS624" s="27" t="s">
        <v>8</v>
      </c>
      <c r="AT624" s="27" t="s">
        <v>7</v>
      </c>
      <c r="BE624" s="27" t="s">
        <v>8</v>
      </c>
      <c r="BF624" s="27" t="s">
        <v>7</v>
      </c>
      <c r="BG624" s="27" t="s">
        <v>8</v>
      </c>
      <c r="BH624" s="27" t="s">
        <v>7</v>
      </c>
      <c r="BU624" s="27" t="s">
        <v>8</v>
      </c>
      <c r="BV624" s="27" t="s">
        <v>7</v>
      </c>
      <c r="FA624" s="27" t="s">
        <v>8</v>
      </c>
    </row>
    <row r="625" spans="1:158" x14ac:dyDescent="0.25">
      <c r="A625" s="7">
        <v>0.47118718795871994</v>
      </c>
      <c r="B625"/>
      <c r="C625"/>
      <c r="D625"/>
      <c r="E625"/>
      <c r="F625" s="27" t="s">
        <v>7</v>
      </c>
      <c r="AQ625" s="27" t="s">
        <v>8</v>
      </c>
      <c r="AR625" s="27" t="s">
        <v>7</v>
      </c>
      <c r="AS625" s="27" t="s">
        <v>8</v>
      </c>
      <c r="AT625" s="27" t="s">
        <v>7</v>
      </c>
      <c r="BE625" s="27" t="s">
        <v>8</v>
      </c>
      <c r="BF625" s="27" t="s">
        <v>7</v>
      </c>
      <c r="BG625" s="27" t="s">
        <v>8</v>
      </c>
      <c r="BH625" s="27" t="s">
        <v>7</v>
      </c>
      <c r="BQ625" s="27" t="s">
        <v>8</v>
      </c>
      <c r="BS625" s="27" t="s">
        <v>8</v>
      </c>
      <c r="BU625" s="27" t="s">
        <v>8</v>
      </c>
      <c r="BV625" s="27" t="s">
        <v>7</v>
      </c>
      <c r="BW625" s="27" t="s">
        <v>8</v>
      </c>
      <c r="FA625" s="27" t="s">
        <v>8</v>
      </c>
      <c r="FB625" s="27" t="s">
        <v>7</v>
      </c>
    </row>
    <row r="626" spans="1:158" x14ac:dyDescent="0.25">
      <c r="A626" s="7">
        <v>0.46194822348894116</v>
      </c>
      <c r="B626"/>
      <c r="C626"/>
      <c r="D626"/>
      <c r="E626"/>
      <c r="F626" s="27" t="s">
        <v>7</v>
      </c>
      <c r="AQ626" s="27" t="s">
        <v>8</v>
      </c>
      <c r="AR626" s="27" t="s">
        <v>7</v>
      </c>
      <c r="AS626" s="27" t="s">
        <v>8</v>
      </c>
      <c r="AT626" s="27" t="s">
        <v>7</v>
      </c>
      <c r="BE626" s="27" t="s">
        <v>8</v>
      </c>
      <c r="BF626" s="27" t="s">
        <v>7</v>
      </c>
      <c r="BG626" s="27" t="s">
        <v>8</v>
      </c>
      <c r="BH626" s="27" t="s">
        <v>7</v>
      </c>
      <c r="BQ626" s="27" t="s">
        <v>8</v>
      </c>
      <c r="BR626" s="27" t="s">
        <v>7</v>
      </c>
      <c r="BS626" s="27" t="s">
        <v>8</v>
      </c>
      <c r="BT626" s="27" t="s">
        <v>7</v>
      </c>
      <c r="BU626" s="27" t="s">
        <v>8</v>
      </c>
      <c r="BV626" s="27" t="s">
        <v>7</v>
      </c>
      <c r="BW626" s="27" t="s">
        <v>8</v>
      </c>
      <c r="BX626" s="27" t="s">
        <v>7</v>
      </c>
      <c r="FA626" s="27" t="s">
        <v>8</v>
      </c>
      <c r="FB626" s="27" t="s">
        <v>7</v>
      </c>
    </row>
    <row r="627" spans="1:158" x14ac:dyDescent="0.25">
      <c r="A627" s="7">
        <v>0.45289041518523643</v>
      </c>
      <c r="B627"/>
      <c r="C627"/>
      <c r="D627"/>
      <c r="E627"/>
      <c r="F627" s="27" t="s">
        <v>7</v>
      </c>
      <c r="AQ627" s="27" t="s">
        <v>8</v>
      </c>
      <c r="AR627" s="27" t="s">
        <v>7</v>
      </c>
      <c r="AS627" s="27" t="s">
        <v>8</v>
      </c>
      <c r="AT627" s="27" t="s">
        <v>7</v>
      </c>
      <c r="BE627" s="27" t="s">
        <v>8</v>
      </c>
      <c r="BF627" s="27" t="s">
        <v>7</v>
      </c>
      <c r="BG627" s="27" t="s">
        <v>8</v>
      </c>
      <c r="BH627" s="27" t="s">
        <v>7</v>
      </c>
      <c r="BQ627" s="27" t="s">
        <v>8</v>
      </c>
      <c r="BR627" s="27" t="s">
        <v>7</v>
      </c>
      <c r="BS627" s="27" t="s">
        <v>8</v>
      </c>
      <c r="BT627" s="27" t="s">
        <v>7</v>
      </c>
      <c r="BU627" s="27" t="s">
        <v>8</v>
      </c>
      <c r="BV627" s="27" t="s">
        <v>7</v>
      </c>
      <c r="BW627" s="27" t="s">
        <v>8</v>
      </c>
      <c r="BX627" s="27" t="s">
        <v>7</v>
      </c>
      <c r="FA627" s="27" t="s">
        <v>8</v>
      </c>
      <c r="FB627" s="27" t="s">
        <v>7</v>
      </c>
    </row>
    <row r="628" spans="1:158" x14ac:dyDescent="0.25">
      <c r="A628" s="7">
        <v>0.44401021096591808</v>
      </c>
      <c r="B628"/>
      <c r="C628"/>
      <c r="D628"/>
      <c r="E628"/>
      <c r="F628" s="27" t="s">
        <v>7</v>
      </c>
      <c r="AQ628" s="27" t="s">
        <v>8</v>
      </c>
      <c r="AR628" s="27" t="s">
        <v>7</v>
      </c>
      <c r="AS628" s="27" t="s">
        <v>8</v>
      </c>
      <c r="AT628" s="27" t="s">
        <v>7</v>
      </c>
      <c r="BE628" s="27" t="s">
        <v>8</v>
      </c>
      <c r="BF628" s="27" t="s">
        <v>7</v>
      </c>
      <c r="BG628" s="27" t="s">
        <v>8</v>
      </c>
      <c r="BH628" s="27" t="s">
        <v>7</v>
      </c>
      <c r="BQ628" s="27" t="s">
        <v>8</v>
      </c>
      <c r="BR628" s="27" t="s">
        <v>7</v>
      </c>
      <c r="BS628" s="27" t="s">
        <v>8</v>
      </c>
      <c r="BT628" s="27" t="s">
        <v>7</v>
      </c>
      <c r="BU628" s="27" t="s">
        <v>8</v>
      </c>
      <c r="BV628" s="27" t="s">
        <v>7</v>
      </c>
      <c r="BX628" s="27" t="s">
        <v>7</v>
      </c>
      <c r="CG628" s="27" t="s">
        <v>8</v>
      </c>
      <c r="CI628" s="27" t="s">
        <v>8</v>
      </c>
      <c r="FA628" s="27" t="s">
        <v>8</v>
      </c>
      <c r="FB628" s="27" t="s">
        <v>7</v>
      </c>
    </row>
    <row r="629" spans="1:158" x14ac:dyDescent="0.25">
      <c r="A629" s="7">
        <v>0.4353041283979589</v>
      </c>
      <c r="B629"/>
      <c r="C629"/>
      <c r="D629"/>
      <c r="E629"/>
      <c r="F629" s="27" t="s">
        <v>7</v>
      </c>
      <c r="AQ629" s="27" t="s">
        <v>8</v>
      </c>
      <c r="AR629" s="27" t="s">
        <v>7</v>
      </c>
      <c r="AS629" s="27" t="s">
        <v>8</v>
      </c>
      <c r="AT629" s="27" t="s">
        <v>7</v>
      </c>
      <c r="AY629" s="27" t="s">
        <v>8</v>
      </c>
      <c r="BE629" s="27" t="s">
        <v>8</v>
      </c>
      <c r="BF629" s="27" t="s">
        <v>7</v>
      </c>
      <c r="BG629" s="27" t="s">
        <v>8</v>
      </c>
      <c r="BH629" s="27" t="s">
        <v>7</v>
      </c>
      <c r="BQ629" s="27" t="s">
        <v>8</v>
      </c>
      <c r="BR629" s="27" t="s">
        <v>7</v>
      </c>
      <c r="BS629" s="27" t="s">
        <v>8</v>
      </c>
      <c r="BT629" s="27" t="s">
        <v>7</v>
      </c>
      <c r="BU629" s="27" t="s">
        <v>8</v>
      </c>
      <c r="BX629" s="27" t="s">
        <v>7</v>
      </c>
      <c r="CE629" s="27" t="s">
        <v>8</v>
      </c>
      <c r="CG629" s="27" t="s">
        <v>8</v>
      </c>
      <c r="CH629" s="27" t="s">
        <v>7</v>
      </c>
      <c r="CI629" s="27" t="s">
        <v>8</v>
      </c>
      <c r="CJ629" s="27" t="s">
        <v>7</v>
      </c>
      <c r="FA629" s="27" t="s">
        <v>8</v>
      </c>
      <c r="FB629" s="27" t="s">
        <v>7</v>
      </c>
    </row>
    <row r="630" spans="1:158" x14ac:dyDescent="0.25">
      <c r="A630" s="7">
        <v>0.4267687533313323</v>
      </c>
      <c r="B630"/>
      <c r="C630"/>
      <c r="D630"/>
      <c r="E630"/>
      <c r="F630" s="27" t="s">
        <v>7</v>
      </c>
      <c r="AQ630" s="27" t="s">
        <v>8</v>
      </c>
      <c r="AR630" s="27" t="s">
        <v>7</v>
      </c>
      <c r="AS630" s="27" t="s">
        <v>8</v>
      </c>
      <c r="AT630" s="27" t="s">
        <v>7</v>
      </c>
      <c r="AY630" s="27" t="s">
        <v>8</v>
      </c>
      <c r="AZ630" s="27" t="s">
        <v>7</v>
      </c>
      <c r="BE630" s="27" t="s">
        <v>8</v>
      </c>
      <c r="BF630" s="27" t="s">
        <v>7</v>
      </c>
      <c r="BG630" s="27" t="s">
        <v>8</v>
      </c>
      <c r="BH630" s="27" t="s">
        <v>7</v>
      </c>
      <c r="BK630" s="27" t="s">
        <v>8</v>
      </c>
      <c r="BQ630" s="27" t="s">
        <v>8</v>
      </c>
      <c r="BR630" s="27" t="s">
        <v>7</v>
      </c>
      <c r="BS630" s="27" t="s">
        <v>8</v>
      </c>
      <c r="BT630" s="27" t="s">
        <v>7</v>
      </c>
      <c r="BX630" s="27" t="s">
        <v>7</v>
      </c>
      <c r="CE630" s="27" t="s">
        <v>8</v>
      </c>
      <c r="CF630" s="27" t="s">
        <v>7</v>
      </c>
      <c r="CG630" s="27" t="s">
        <v>8</v>
      </c>
      <c r="CH630" s="27" t="s">
        <v>7</v>
      </c>
      <c r="CI630" s="27" t="s">
        <v>8</v>
      </c>
      <c r="CJ630" s="27" t="s">
        <v>7</v>
      </c>
      <c r="FA630" s="27" t="s">
        <v>8</v>
      </c>
      <c r="FB630" s="27" t="s">
        <v>7</v>
      </c>
    </row>
    <row r="631" spans="1:158" x14ac:dyDescent="0.25">
      <c r="A631" s="7">
        <v>0.41840073856012971</v>
      </c>
      <c r="B631"/>
      <c r="C631"/>
      <c r="D631"/>
      <c r="E631"/>
      <c r="F631" s="27" t="s">
        <v>7</v>
      </c>
      <c r="AQ631" s="27" t="s">
        <v>8</v>
      </c>
      <c r="AR631" s="27" t="s">
        <v>7</v>
      </c>
      <c r="AS631" s="27" t="s">
        <v>8</v>
      </c>
      <c r="AT631" s="27" t="s">
        <v>7</v>
      </c>
      <c r="AY631" s="27" t="s">
        <v>8</v>
      </c>
      <c r="AZ631" s="27" t="s">
        <v>7</v>
      </c>
      <c r="BE631" s="27" t="s">
        <v>8</v>
      </c>
      <c r="BF631" s="27" t="s">
        <v>7</v>
      </c>
      <c r="BH631" s="27" t="s">
        <v>7</v>
      </c>
      <c r="BK631" s="27" t="s">
        <v>8</v>
      </c>
      <c r="BL631" s="27" t="s">
        <v>7</v>
      </c>
      <c r="BO631" s="27" t="s">
        <v>8</v>
      </c>
      <c r="BQ631" s="27" t="s">
        <v>8</v>
      </c>
      <c r="BR631" s="27" t="s">
        <v>7</v>
      </c>
      <c r="BS631" s="27" t="s">
        <v>8</v>
      </c>
      <c r="BX631" s="27" t="s">
        <v>7</v>
      </c>
      <c r="CE631" s="27" t="s">
        <v>8</v>
      </c>
      <c r="CF631" s="27" t="s">
        <v>7</v>
      </c>
      <c r="CG631" s="27" t="s">
        <v>8</v>
      </c>
      <c r="CH631" s="27" t="s">
        <v>7</v>
      </c>
      <c r="CI631" s="27" t="s">
        <v>8</v>
      </c>
      <c r="CJ631" s="27" t="s">
        <v>7</v>
      </c>
      <c r="FA631" s="27" t="s">
        <v>8</v>
      </c>
      <c r="FB631" s="27" t="s">
        <v>7</v>
      </c>
    </row>
    <row r="632" spans="1:158" x14ac:dyDescent="0.25">
      <c r="A632" s="7">
        <v>0.41019680250993112</v>
      </c>
      <c r="B632"/>
      <c r="C632"/>
      <c r="D632"/>
      <c r="E632"/>
      <c r="F632" s="27" t="s">
        <v>7</v>
      </c>
      <c r="AQ632" s="27" t="s">
        <v>8</v>
      </c>
      <c r="AR632" s="27" t="s">
        <v>7</v>
      </c>
      <c r="AS632" s="27" t="s">
        <v>8</v>
      </c>
      <c r="AT632" s="27" t="s">
        <v>7</v>
      </c>
      <c r="AY632" s="27" t="s">
        <v>8</v>
      </c>
      <c r="AZ632" s="27" t="s">
        <v>7</v>
      </c>
      <c r="BE632" s="27" t="s">
        <v>8</v>
      </c>
      <c r="BH632" s="27" t="s">
        <v>7</v>
      </c>
      <c r="BK632" s="27" t="s">
        <v>8</v>
      </c>
      <c r="BL632" s="27" t="s">
        <v>7</v>
      </c>
      <c r="BO632" s="27" t="s">
        <v>8</v>
      </c>
      <c r="BP632" s="27" t="s">
        <v>7</v>
      </c>
      <c r="BQ632" s="27" t="s">
        <v>8</v>
      </c>
      <c r="BR632" s="27" t="s">
        <v>7</v>
      </c>
      <c r="BS632" s="27" t="s">
        <v>8</v>
      </c>
      <c r="BX632" s="27" t="s">
        <v>7</v>
      </c>
      <c r="CE632" s="27" t="s">
        <v>8</v>
      </c>
      <c r="CF632" s="27" t="s">
        <v>7</v>
      </c>
      <c r="CG632" s="27" t="s">
        <v>8</v>
      </c>
      <c r="CH632" s="27" t="s">
        <v>7</v>
      </c>
      <c r="CI632" s="27" t="s">
        <v>8</v>
      </c>
      <c r="CJ632" s="27" t="s">
        <v>7</v>
      </c>
      <c r="FA632" s="27" t="s">
        <v>8</v>
      </c>
      <c r="FB632" s="27" t="s">
        <v>7</v>
      </c>
    </row>
    <row r="633" spans="1:158" x14ac:dyDescent="0.25">
      <c r="A633" s="7">
        <v>0.40215372795091286</v>
      </c>
      <c r="B633"/>
      <c r="C633"/>
      <c r="D633"/>
      <c r="E633"/>
      <c r="F633" s="27" t="s">
        <v>7</v>
      </c>
      <c r="AQ633" s="27" t="s">
        <v>8</v>
      </c>
      <c r="AR633" s="27" t="s">
        <v>7</v>
      </c>
      <c r="AT633" s="27" t="s">
        <v>7</v>
      </c>
      <c r="AY633" s="27" t="s">
        <v>8</v>
      </c>
      <c r="AZ633" s="27" t="s">
        <v>7</v>
      </c>
      <c r="BE633" s="27" t="s">
        <v>8</v>
      </c>
      <c r="BH633" s="27" t="s">
        <v>7</v>
      </c>
      <c r="BI633" s="27" t="s">
        <v>8</v>
      </c>
      <c r="BK633" s="27" t="s">
        <v>8</v>
      </c>
      <c r="BL633" s="27" t="s">
        <v>7</v>
      </c>
      <c r="BM633" s="27" t="s">
        <v>8</v>
      </c>
      <c r="BO633" s="27" t="s">
        <v>8</v>
      </c>
      <c r="BP633" s="27" t="s">
        <v>7</v>
      </c>
      <c r="BQ633" s="27" t="s">
        <v>8</v>
      </c>
      <c r="BR633" s="27" t="s">
        <v>7</v>
      </c>
      <c r="BS633" s="27" t="s">
        <v>8</v>
      </c>
      <c r="BX633" s="27" t="s">
        <v>7</v>
      </c>
      <c r="CE633" s="27" t="s">
        <v>8</v>
      </c>
      <c r="CF633" s="27" t="s">
        <v>7</v>
      </c>
      <c r="CG633" s="27" t="s">
        <v>8</v>
      </c>
      <c r="CH633" s="27" t="s">
        <v>7</v>
      </c>
      <c r="CI633" s="27" t="s">
        <v>8</v>
      </c>
      <c r="CJ633" s="27" t="s">
        <v>7</v>
      </c>
      <c r="FA633" s="27" t="s">
        <v>8</v>
      </c>
      <c r="FB633" s="27" t="s">
        <v>7</v>
      </c>
    </row>
    <row r="634" spans="1:158" x14ac:dyDescent="0.25">
      <c r="A634" s="7">
        <v>0.39426836073618904</v>
      </c>
      <c r="B634"/>
      <c r="C634"/>
      <c r="D634"/>
      <c r="E634"/>
      <c r="F634" s="27" t="s">
        <v>7</v>
      </c>
      <c r="AQ634" s="27" t="s">
        <v>8</v>
      </c>
      <c r="AT634" s="27" t="s">
        <v>7</v>
      </c>
      <c r="AU634" s="27" t="s">
        <v>8</v>
      </c>
      <c r="AY634" s="27" t="s">
        <v>8</v>
      </c>
      <c r="AZ634" s="27" t="s">
        <v>7</v>
      </c>
      <c r="BC634" s="27" t="s">
        <v>8</v>
      </c>
      <c r="BE634" s="27" t="s">
        <v>8</v>
      </c>
      <c r="BH634" s="27" t="s">
        <v>7</v>
      </c>
      <c r="BI634" s="27" t="s">
        <v>8</v>
      </c>
      <c r="BJ634" s="27" t="s">
        <v>7</v>
      </c>
      <c r="BK634" s="27" t="s">
        <v>8</v>
      </c>
      <c r="BL634" s="27" t="s">
        <v>7</v>
      </c>
      <c r="BM634" s="27" t="s">
        <v>8</v>
      </c>
      <c r="BN634" s="27" t="s">
        <v>7</v>
      </c>
      <c r="BO634" s="27" t="s">
        <v>8</v>
      </c>
      <c r="BP634" s="27" t="s">
        <v>7</v>
      </c>
      <c r="BQ634" s="27" t="s">
        <v>8</v>
      </c>
      <c r="BR634" s="27" t="s">
        <v>7</v>
      </c>
      <c r="BS634" s="27" t="s">
        <v>8</v>
      </c>
      <c r="BX634" s="27" t="s">
        <v>7</v>
      </c>
      <c r="CE634" s="27" t="s">
        <v>8</v>
      </c>
      <c r="CF634" s="27" t="s">
        <v>7</v>
      </c>
      <c r="CG634" s="27" t="s">
        <v>8</v>
      </c>
      <c r="CH634" s="27" t="s">
        <v>7</v>
      </c>
      <c r="CI634" s="27" t="s">
        <v>8</v>
      </c>
      <c r="CJ634" s="27" t="s">
        <v>7</v>
      </c>
      <c r="FA634" s="27" t="s">
        <v>8</v>
      </c>
      <c r="FB634" s="27" t="s">
        <v>7</v>
      </c>
    </row>
    <row r="635" spans="1:158" x14ac:dyDescent="0.25">
      <c r="A635" s="7">
        <v>0.38653760856489122</v>
      </c>
      <c r="B635"/>
      <c r="C635"/>
      <c r="D635"/>
      <c r="E635"/>
      <c r="F635" s="27" t="s">
        <v>7</v>
      </c>
      <c r="AQ635" s="27" t="s">
        <v>8</v>
      </c>
      <c r="AT635" s="27" t="s">
        <v>7</v>
      </c>
      <c r="AU635" s="27" t="s">
        <v>8</v>
      </c>
      <c r="AV635" s="27" t="s">
        <v>7</v>
      </c>
      <c r="AY635" s="27" t="s">
        <v>8</v>
      </c>
      <c r="AZ635" s="27" t="s">
        <v>7</v>
      </c>
      <c r="BC635" s="27" t="s">
        <v>8</v>
      </c>
      <c r="BD635" s="27" t="s">
        <v>7</v>
      </c>
      <c r="BE635" s="27" t="s">
        <v>8</v>
      </c>
      <c r="BH635" s="27" t="s">
        <v>7</v>
      </c>
      <c r="BI635" s="27" t="s">
        <v>8</v>
      </c>
      <c r="BJ635" s="27" t="s">
        <v>7</v>
      </c>
      <c r="BK635" s="27" t="s">
        <v>8</v>
      </c>
      <c r="BL635" s="27" t="s">
        <v>7</v>
      </c>
      <c r="BM635" s="27" t="s">
        <v>8</v>
      </c>
      <c r="BN635" s="27" t="s">
        <v>7</v>
      </c>
      <c r="BO635" s="27" t="s">
        <v>8</v>
      </c>
      <c r="BP635" s="27" t="s">
        <v>7</v>
      </c>
      <c r="BQ635" s="27" t="s">
        <v>8</v>
      </c>
      <c r="BR635" s="27" t="s">
        <v>7</v>
      </c>
      <c r="BS635" s="27" t="s">
        <v>8</v>
      </c>
      <c r="BX635" s="27" t="s">
        <v>7</v>
      </c>
      <c r="CE635" s="27" t="s">
        <v>8</v>
      </c>
      <c r="CF635" s="27" t="s">
        <v>7</v>
      </c>
      <c r="CG635" s="27" t="s">
        <v>8</v>
      </c>
      <c r="CH635" s="27" t="s">
        <v>7</v>
      </c>
      <c r="CI635" s="27" t="s">
        <v>8</v>
      </c>
      <c r="CJ635" s="27" t="s">
        <v>7</v>
      </c>
      <c r="CQ635" s="27" t="s">
        <v>8</v>
      </c>
      <c r="FA635" s="27" t="s">
        <v>8</v>
      </c>
      <c r="FB635" s="27" t="s">
        <v>7</v>
      </c>
    </row>
    <row r="636" spans="1:158" x14ac:dyDescent="0.25">
      <c r="A636" s="7">
        <v>0.37895843976950117</v>
      </c>
      <c r="B636"/>
      <c r="C636"/>
      <c r="D636"/>
      <c r="E636"/>
      <c r="F636" s="27" t="s">
        <v>7</v>
      </c>
      <c r="AM636" s="27" t="s">
        <v>8</v>
      </c>
      <c r="AQ636" s="27" t="s">
        <v>8</v>
      </c>
      <c r="AT636" s="27" t="s">
        <v>7</v>
      </c>
      <c r="AU636" s="27" t="s">
        <v>8</v>
      </c>
      <c r="AV636" s="27" t="s">
        <v>7</v>
      </c>
      <c r="AY636" s="27" t="s">
        <v>8</v>
      </c>
      <c r="AZ636" s="27" t="s">
        <v>7</v>
      </c>
      <c r="BC636" s="27" t="s">
        <v>8</v>
      </c>
      <c r="BD636" s="27" t="s">
        <v>7</v>
      </c>
      <c r="BE636" s="27" t="s">
        <v>8</v>
      </c>
      <c r="BH636" s="27" t="s">
        <v>7</v>
      </c>
      <c r="BI636" s="27" t="s">
        <v>8</v>
      </c>
      <c r="BJ636" s="27" t="s">
        <v>7</v>
      </c>
      <c r="BK636" s="27" t="s">
        <v>8</v>
      </c>
      <c r="BL636" s="27" t="s">
        <v>7</v>
      </c>
      <c r="BM636" s="27" t="s">
        <v>8</v>
      </c>
      <c r="BN636" s="27" t="s">
        <v>7</v>
      </c>
      <c r="BO636" s="27" t="s">
        <v>8</v>
      </c>
      <c r="BP636" s="27" t="s">
        <v>7</v>
      </c>
      <c r="BQ636" s="27" t="s">
        <v>8</v>
      </c>
      <c r="BR636" s="27" t="s">
        <v>7</v>
      </c>
      <c r="BS636" s="27" t="s">
        <v>8</v>
      </c>
      <c r="BX636" s="27" t="s">
        <v>7</v>
      </c>
      <c r="CE636" s="27" t="s">
        <v>8</v>
      </c>
      <c r="CF636" s="27" t="s">
        <v>7</v>
      </c>
      <c r="CG636" s="27" t="s">
        <v>8</v>
      </c>
      <c r="CH636" s="27" t="s">
        <v>7</v>
      </c>
      <c r="CI636" s="27" t="s">
        <v>8</v>
      </c>
      <c r="CJ636" s="27" t="s">
        <v>7</v>
      </c>
      <c r="CQ636" s="27" t="s">
        <v>8</v>
      </c>
      <c r="CR636" s="27" t="s">
        <v>7</v>
      </c>
      <c r="FA636" s="27" t="s">
        <v>8</v>
      </c>
      <c r="FB636" s="27" t="s">
        <v>7</v>
      </c>
    </row>
    <row r="637" spans="1:158" x14ac:dyDescent="0.25">
      <c r="A637" s="7">
        <v>0.37152788212696197</v>
      </c>
      <c r="B637"/>
      <c r="C637"/>
      <c r="D637"/>
      <c r="E637"/>
      <c r="F637" s="27" t="s">
        <v>7</v>
      </c>
      <c r="AM637" s="27" t="s">
        <v>8</v>
      </c>
      <c r="AN637" s="27" t="s">
        <v>7</v>
      </c>
      <c r="AQ637" s="27" t="s">
        <v>8</v>
      </c>
      <c r="AT637" s="27" t="s">
        <v>7</v>
      </c>
      <c r="AU637" s="27" t="s">
        <v>8</v>
      </c>
      <c r="AV637" s="27" t="s">
        <v>7</v>
      </c>
      <c r="AY637" s="27" t="s">
        <v>8</v>
      </c>
      <c r="AZ637" s="27" t="s">
        <v>7</v>
      </c>
      <c r="BA637" s="27" t="s">
        <v>8</v>
      </c>
      <c r="BC637" s="27" t="s">
        <v>8</v>
      </c>
      <c r="BD637" s="27" t="s">
        <v>7</v>
      </c>
      <c r="BE637" s="27" t="s">
        <v>8</v>
      </c>
      <c r="BH637" s="27" t="s">
        <v>7</v>
      </c>
      <c r="BI637" s="27" t="s">
        <v>8</v>
      </c>
      <c r="BJ637" s="27" t="s">
        <v>7</v>
      </c>
      <c r="BK637" s="27" t="s">
        <v>8</v>
      </c>
      <c r="BL637" s="27" t="s">
        <v>7</v>
      </c>
      <c r="BM637" s="27" t="s">
        <v>8</v>
      </c>
      <c r="BN637" s="27" t="s">
        <v>7</v>
      </c>
      <c r="BO637" s="27" t="s">
        <v>8</v>
      </c>
      <c r="BP637" s="27" t="s">
        <v>7</v>
      </c>
      <c r="BQ637" s="27" t="s">
        <v>8</v>
      </c>
      <c r="BR637" s="27" t="s">
        <v>7</v>
      </c>
      <c r="BS637" s="27" t="s">
        <v>8</v>
      </c>
      <c r="BX637" s="27" t="s">
        <v>7</v>
      </c>
      <c r="BY637" s="27" t="s">
        <v>8</v>
      </c>
      <c r="CE637" s="27" t="s">
        <v>8</v>
      </c>
      <c r="CF637" s="27" t="s">
        <v>7</v>
      </c>
      <c r="CG637" s="27" t="s">
        <v>8</v>
      </c>
      <c r="CH637" s="27" t="s">
        <v>7</v>
      </c>
      <c r="CI637" s="27" t="s">
        <v>8</v>
      </c>
      <c r="CJ637" s="27" t="s">
        <v>7</v>
      </c>
      <c r="CQ637" s="27" t="s">
        <v>8</v>
      </c>
      <c r="CR637" s="27" t="s">
        <v>7</v>
      </c>
      <c r="FA637" s="27" t="s">
        <v>8</v>
      </c>
      <c r="FB637" s="27" t="s">
        <v>7</v>
      </c>
    </row>
    <row r="638" spans="1:158" x14ac:dyDescent="0.25">
      <c r="A638" s="7">
        <v>0.36424302169310002</v>
      </c>
      <c r="B638"/>
      <c r="C638"/>
      <c r="D638"/>
      <c r="E638"/>
      <c r="F638" s="27" t="s">
        <v>7</v>
      </c>
      <c r="AM638" s="27" t="s">
        <v>8</v>
      </c>
      <c r="AN638" s="27" t="s">
        <v>7</v>
      </c>
      <c r="AQ638" s="27" t="s">
        <v>8</v>
      </c>
      <c r="AT638" s="27" t="s">
        <v>7</v>
      </c>
      <c r="AU638" s="27" t="s">
        <v>8</v>
      </c>
      <c r="AV638" s="27" t="s">
        <v>7</v>
      </c>
      <c r="AY638" s="27" t="s">
        <v>8</v>
      </c>
      <c r="AZ638" s="27" t="s">
        <v>7</v>
      </c>
      <c r="BA638" s="27" t="s">
        <v>8</v>
      </c>
      <c r="BB638" s="27" t="s">
        <v>7</v>
      </c>
      <c r="BC638" s="27" t="s">
        <v>8</v>
      </c>
      <c r="BD638" s="27" t="s">
        <v>7</v>
      </c>
      <c r="BE638" s="27" t="s">
        <v>8</v>
      </c>
      <c r="BH638" s="27" t="s">
        <v>7</v>
      </c>
      <c r="BI638" s="27" t="s">
        <v>8</v>
      </c>
      <c r="BJ638" s="27" t="s">
        <v>7</v>
      </c>
      <c r="BK638" s="27" t="s">
        <v>8</v>
      </c>
      <c r="BL638" s="27" t="s">
        <v>7</v>
      </c>
      <c r="BM638" s="27" t="s">
        <v>8</v>
      </c>
      <c r="BN638" s="27" t="s">
        <v>7</v>
      </c>
      <c r="BO638" s="27" t="s">
        <v>8</v>
      </c>
      <c r="BP638" s="27" t="s">
        <v>7</v>
      </c>
      <c r="BQ638" s="27" t="s">
        <v>8</v>
      </c>
      <c r="BR638" s="27" t="s">
        <v>7</v>
      </c>
      <c r="BX638" s="27" t="s">
        <v>7</v>
      </c>
      <c r="BY638" s="27" t="s">
        <v>8</v>
      </c>
      <c r="BZ638" s="27" t="s">
        <v>7</v>
      </c>
      <c r="CA638" s="27" t="s">
        <v>8</v>
      </c>
      <c r="CE638" s="27" t="s">
        <v>8</v>
      </c>
      <c r="CF638" s="27" t="s">
        <v>7</v>
      </c>
      <c r="CG638" s="27" t="s">
        <v>8</v>
      </c>
      <c r="CH638" s="27" t="s">
        <v>7</v>
      </c>
      <c r="CI638" s="27" t="s">
        <v>8</v>
      </c>
      <c r="CJ638" s="27" t="s">
        <v>7</v>
      </c>
      <c r="CQ638" s="27" t="s">
        <v>8</v>
      </c>
      <c r="CR638" s="27" t="s">
        <v>7</v>
      </c>
      <c r="FA638" s="27" t="s">
        <v>8</v>
      </c>
      <c r="FB638" s="27" t="s">
        <v>7</v>
      </c>
    </row>
    <row r="639" spans="1:158" x14ac:dyDescent="0.25">
      <c r="A639" s="7">
        <v>0.35710100165990194</v>
      </c>
      <c r="B639"/>
      <c r="C639"/>
      <c r="D639"/>
      <c r="E639"/>
      <c r="F639" s="27" t="s">
        <v>7</v>
      </c>
      <c r="AM639" s="27" t="s">
        <v>8</v>
      </c>
      <c r="AN639" s="27" t="s">
        <v>7</v>
      </c>
      <c r="AQ639" s="27" t="s">
        <v>8</v>
      </c>
      <c r="AT639" s="27" t="s">
        <v>7</v>
      </c>
      <c r="AU639" s="27" t="s">
        <v>8</v>
      </c>
      <c r="AV639" s="27" t="s">
        <v>7</v>
      </c>
      <c r="AY639" s="27" t="s">
        <v>8</v>
      </c>
      <c r="AZ639" s="27" t="s">
        <v>7</v>
      </c>
      <c r="BA639" s="27" t="s">
        <v>8</v>
      </c>
      <c r="BB639" s="27" t="s">
        <v>7</v>
      </c>
      <c r="BC639" s="27" t="s">
        <v>8</v>
      </c>
      <c r="BD639" s="27" t="s">
        <v>7</v>
      </c>
      <c r="BE639" s="27" t="s">
        <v>8</v>
      </c>
      <c r="BH639" s="27" t="s">
        <v>7</v>
      </c>
      <c r="BI639" s="27" t="s">
        <v>8</v>
      </c>
      <c r="BJ639" s="27" t="s">
        <v>7</v>
      </c>
      <c r="BK639" s="27" t="s">
        <v>8</v>
      </c>
      <c r="BL639" s="27" t="s">
        <v>7</v>
      </c>
      <c r="BM639" s="27" t="s">
        <v>8</v>
      </c>
      <c r="BN639" s="27" t="s">
        <v>7</v>
      </c>
      <c r="BP639" s="27" t="s">
        <v>7</v>
      </c>
      <c r="BQ639" s="27" t="s">
        <v>8</v>
      </c>
      <c r="BX639" s="27" t="s">
        <v>7</v>
      </c>
      <c r="BY639" s="27" t="s">
        <v>8</v>
      </c>
      <c r="BZ639" s="27" t="s">
        <v>7</v>
      </c>
      <c r="CA639" s="27" t="s">
        <v>8</v>
      </c>
      <c r="CB639" s="27" t="s">
        <v>7</v>
      </c>
      <c r="CE639" s="27" t="s">
        <v>8</v>
      </c>
      <c r="CF639" s="27" t="s">
        <v>7</v>
      </c>
      <c r="CG639" s="27" t="s">
        <v>8</v>
      </c>
      <c r="CH639" s="27" t="s">
        <v>7</v>
      </c>
      <c r="CI639" s="27" t="s">
        <v>8</v>
      </c>
      <c r="CJ639" s="27" t="s">
        <v>7</v>
      </c>
      <c r="CQ639" s="27" t="s">
        <v>8</v>
      </c>
      <c r="CR639" s="27" t="s">
        <v>7</v>
      </c>
      <c r="FA639" s="27" t="s">
        <v>8</v>
      </c>
      <c r="FB639" s="27" t="s">
        <v>7</v>
      </c>
    </row>
    <row r="640" spans="1:158" x14ac:dyDescent="0.25">
      <c r="A640" s="7">
        <v>0.35009902123519804</v>
      </c>
      <c r="B640"/>
      <c r="C640"/>
      <c r="D640"/>
      <c r="E640"/>
      <c r="F640" s="27" t="s">
        <v>7</v>
      </c>
      <c r="AM640" s="27" t="s">
        <v>8</v>
      </c>
      <c r="AN640" s="27" t="s">
        <v>7</v>
      </c>
      <c r="AQ640" s="27" t="s">
        <v>8</v>
      </c>
      <c r="AT640" s="27" t="s">
        <v>7</v>
      </c>
      <c r="AU640" s="27" t="s">
        <v>8</v>
      </c>
      <c r="AV640" s="27" t="s">
        <v>7</v>
      </c>
      <c r="AY640" s="27" t="s">
        <v>8</v>
      </c>
      <c r="AZ640" s="27" t="s">
        <v>7</v>
      </c>
      <c r="BA640" s="27" t="s">
        <v>8</v>
      </c>
      <c r="BB640" s="27" t="s">
        <v>7</v>
      </c>
      <c r="BC640" s="27" t="s">
        <v>8</v>
      </c>
      <c r="BD640" s="27" t="s">
        <v>7</v>
      </c>
      <c r="BE640" s="27" t="s">
        <v>8</v>
      </c>
      <c r="BH640" s="27" t="s">
        <v>7</v>
      </c>
      <c r="BI640" s="27" t="s">
        <v>8</v>
      </c>
      <c r="BJ640" s="27" t="s">
        <v>7</v>
      </c>
      <c r="BL640" s="27" t="s">
        <v>7</v>
      </c>
      <c r="BM640" s="27" t="s">
        <v>8</v>
      </c>
      <c r="BP640" s="27" t="s">
        <v>7</v>
      </c>
      <c r="BX640" s="27" t="s">
        <v>7</v>
      </c>
      <c r="BY640" s="27" t="s">
        <v>8</v>
      </c>
      <c r="BZ640" s="27" t="s">
        <v>7</v>
      </c>
      <c r="CA640" s="27" t="s">
        <v>8</v>
      </c>
      <c r="CB640" s="27" t="s">
        <v>7</v>
      </c>
      <c r="CE640" s="27" t="s">
        <v>8</v>
      </c>
      <c r="CF640" s="27" t="s">
        <v>7</v>
      </c>
      <c r="CH640" s="27" t="s">
        <v>7</v>
      </c>
      <c r="CI640" s="27" t="s">
        <v>8</v>
      </c>
      <c r="CJ640" s="27" t="s">
        <v>7</v>
      </c>
      <c r="CQ640" s="27" t="s">
        <v>8</v>
      </c>
      <c r="CR640" s="27" t="s">
        <v>7</v>
      </c>
      <c r="FA640" s="27" t="s">
        <v>8</v>
      </c>
      <c r="FB640" s="27" t="s">
        <v>7</v>
      </c>
    </row>
    <row r="641" spans="1:178" x14ac:dyDescent="0.25">
      <c r="A641" s="7">
        <v>0.34323433454431179</v>
      </c>
      <c r="B641"/>
      <c r="C641"/>
      <c r="D641"/>
      <c r="E641"/>
      <c r="F641" s="27" t="s">
        <v>7</v>
      </c>
      <c r="AM641" s="27" t="s">
        <v>8</v>
      </c>
      <c r="AN641" s="27" t="s">
        <v>7</v>
      </c>
      <c r="AQ641" s="27" t="s">
        <v>8</v>
      </c>
      <c r="AT641" s="27" t="s">
        <v>7</v>
      </c>
      <c r="AU641" s="27" t="s">
        <v>8</v>
      </c>
      <c r="AV641" s="27" t="s">
        <v>7</v>
      </c>
      <c r="AY641" s="27" t="s">
        <v>8</v>
      </c>
      <c r="AZ641" s="27" t="s">
        <v>7</v>
      </c>
      <c r="BA641" s="27" t="s">
        <v>8</v>
      </c>
      <c r="BB641" s="27" t="s">
        <v>7</v>
      </c>
      <c r="BC641" s="27" t="s">
        <v>8</v>
      </c>
      <c r="BD641" s="27" t="s">
        <v>7</v>
      </c>
      <c r="BE641" s="27" t="s">
        <v>8</v>
      </c>
      <c r="BH641" s="27" t="s">
        <v>7</v>
      </c>
      <c r="BI641" s="27" t="s">
        <v>8</v>
      </c>
      <c r="BL641" s="27" t="s">
        <v>7</v>
      </c>
      <c r="BM641" s="27" t="s">
        <v>8</v>
      </c>
      <c r="BX641" s="27" t="s">
        <v>7</v>
      </c>
      <c r="BY641" s="27" t="s">
        <v>8</v>
      </c>
      <c r="BZ641" s="27" t="s">
        <v>7</v>
      </c>
      <c r="CA641" s="27" t="s">
        <v>8</v>
      </c>
      <c r="CB641" s="27" t="s">
        <v>7</v>
      </c>
      <c r="CE641" s="27" t="s">
        <v>8</v>
      </c>
      <c r="CH641" s="27" t="s">
        <v>7</v>
      </c>
      <c r="CI641" s="27" t="s">
        <v>8</v>
      </c>
      <c r="CJ641" s="27" t="s">
        <v>7</v>
      </c>
      <c r="CK641" s="27" t="s">
        <v>8</v>
      </c>
      <c r="CQ641" s="27" t="s">
        <v>8</v>
      </c>
      <c r="CR641" s="27" t="s">
        <v>7</v>
      </c>
      <c r="FA641" s="27" t="s">
        <v>8</v>
      </c>
      <c r="FB641" s="27" t="s">
        <v>7</v>
      </c>
      <c r="FI641" s="27" t="s">
        <v>8</v>
      </c>
    </row>
    <row r="642" spans="1:178" x14ac:dyDescent="0.25">
      <c r="A642" s="7">
        <v>0.33650424955324681</v>
      </c>
      <c r="B642"/>
      <c r="C642"/>
      <c r="D642"/>
      <c r="E642"/>
      <c r="F642" s="27" t="s">
        <v>7</v>
      </c>
      <c r="AM642" s="27" t="s">
        <v>8</v>
      </c>
      <c r="AN642" s="27" t="s">
        <v>7</v>
      </c>
      <c r="AQ642" s="27" t="s">
        <v>8</v>
      </c>
      <c r="AT642" s="27" t="s">
        <v>7</v>
      </c>
      <c r="AU642" s="27" t="s">
        <v>8</v>
      </c>
      <c r="AV642" s="27" t="s">
        <v>7</v>
      </c>
      <c r="AY642" s="27" t="s">
        <v>8</v>
      </c>
      <c r="AZ642" s="27" t="s">
        <v>7</v>
      </c>
      <c r="BA642" s="27" t="s">
        <v>8</v>
      </c>
      <c r="BB642" s="27" t="s">
        <v>7</v>
      </c>
      <c r="BC642" s="27" t="s">
        <v>8</v>
      </c>
      <c r="BD642" s="27" t="s">
        <v>7</v>
      </c>
      <c r="BE642" s="27" t="s">
        <v>8</v>
      </c>
      <c r="BH642" s="27" t="s">
        <v>7</v>
      </c>
      <c r="BI642" s="27" t="s">
        <v>8</v>
      </c>
      <c r="BL642" s="27" t="s">
        <v>7</v>
      </c>
      <c r="BM642" s="27" t="s">
        <v>8</v>
      </c>
      <c r="BX642" s="27" t="s">
        <v>7</v>
      </c>
      <c r="BY642" s="27" t="s">
        <v>8</v>
      </c>
      <c r="BZ642" s="27" t="s">
        <v>7</v>
      </c>
      <c r="CA642" s="27" t="s">
        <v>8</v>
      </c>
      <c r="CB642" s="27" t="s">
        <v>7</v>
      </c>
      <c r="CE642" s="27" t="s">
        <v>8</v>
      </c>
      <c r="CH642" s="27" t="s">
        <v>7</v>
      </c>
      <c r="CI642" s="27" t="s">
        <v>8</v>
      </c>
      <c r="CJ642" s="27" t="s">
        <v>7</v>
      </c>
      <c r="CK642" s="27" t="s">
        <v>8</v>
      </c>
      <c r="CL642" s="27" t="s">
        <v>7</v>
      </c>
      <c r="CQ642" s="27" t="s">
        <v>8</v>
      </c>
      <c r="CR642" s="27" t="s">
        <v>7</v>
      </c>
      <c r="FA642" s="27" t="s">
        <v>8</v>
      </c>
      <c r="FB642" s="27" t="s">
        <v>7</v>
      </c>
      <c r="FI642" s="27" t="s">
        <v>8</v>
      </c>
      <c r="FJ642" s="27" t="s">
        <v>7</v>
      </c>
    </row>
    <row r="643" spans="1:178" x14ac:dyDescent="0.25">
      <c r="A643" s="7">
        <v>0.3299061270129871</v>
      </c>
      <c r="B643"/>
      <c r="C643"/>
      <c r="D643"/>
      <c r="E643"/>
      <c r="F643" s="27" t="s">
        <v>7</v>
      </c>
      <c r="AM643" s="27" t="s">
        <v>8</v>
      </c>
      <c r="AN643" s="27" t="s">
        <v>7</v>
      </c>
      <c r="AQ643" s="27" t="s">
        <v>8</v>
      </c>
      <c r="AT643" s="27" t="s">
        <v>7</v>
      </c>
      <c r="AU643" s="27" t="s">
        <v>8</v>
      </c>
      <c r="AV643" s="27" t="s">
        <v>7</v>
      </c>
      <c r="AW643" s="27" t="s">
        <v>8</v>
      </c>
      <c r="AY643" s="27" t="s">
        <v>8</v>
      </c>
      <c r="AZ643" s="27" t="s">
        <v>7</v>
      </c>
      <c r="BA643" s="27" t="s">
        <v>8</v>
      </c>
      <c r="BB643" s="27" t="s">
        <v>7</v>
      </c>
      <c r="BC643" s="27" t="s">
        <v>8</v>
      </c>
      <c r="BD643" s="27" t="s">
        <v>7</v>
      </c>
      <c r="BH643" s="27" t="s">
        <v>7</v>
      </c>
      <c r="BL643" s="27" t="s">
        <v>7</v>
      </c>
      <c r="BM643" s="27" t="s">
        <v>8</v>
      </c>
      <c r="BX643" s="27" t="s">
        <v>7</v>
      </c>
      <c r="BY643" s="27" t="s">
        <v>8</v>
      </c>
      <c r="BZ643" s="27" t="s">
        <v>7</v>
      </c>
      <c r="CA643" s="27" t="s">
        <v>8</v>
      </c>
      <c r="CB643" s="27" t="s">
        <v>7</v>
      </c>
      <c r="CE643" s="27" t="s">
        <v>8</v>
      </c>
      <c r="CH643" s="27" t="s">
        <v>7</v>
      </c>
      <c r="CJ643" s="27" t="s">
        <v>7</v>
      </c>
      <c r="CK643" s="27" t="s">
        <v>8</v>
      </c>
      <c r="CL643" s="27" t="s">
        <v>7</v>
      </c>
      <c r="CQ643" s="27" t="s">
        <v>8</v>
      </c>
      <c r="CR643" s="27" t="s">
        <v>7</v>
      </c>
      <c r="FA643" s="27" t="s">
        <v>8</v>
      </c>
      <c r="FB643" s="27" t="s">
        <v>7</v>
      </c>
      <c r="FI643" s="27" t="s">
        <v>8</v>
      </c>
      <c r="FJ643" s="27" t="s">
        <v>7</v>
      </c>
    </row>
    <row r="644" spans="1:178" x14ac:dyDescent="0.25">
      <c r="A644" s="7">
        <v>0.32343737942449713</v>
      </c>
      <c r="B644"/>
      <c r="C644"/>
      <c r="D644"/>
      <c r="E644"/>
      <c r="F644" s="27" t="s">
        <v>7</v>
      </c>
      <c r="AM644" s="27" t="s">
        <v>8</v>
      </c>
      <c r="AN644" s="27" t="s">
        <v>7</v>
      </c>
      <c r="AQ644" s="27" t="s">
        <v>8</v>
      </c>
      <c r="AT644" s="27" t="s">
        <v>7</v>
      </c>
      <c r="AU644" s="27" t="s">
        <v>8</v>
      </c>
      <c r="AV644" s="27" t="s">
        <v>7</v>
      </c>
      <c r="AW644" s="27" t="s">
        <v>8</v>
      </c>
      <c r="AX644" s="27" t="s">
        <v>7</v>
      </c>
      <c r="AY644" s="27" t="s">
        <v>8</v>
      </c>
      <c r="AZ644" s="27" t="s">
        <v>7</v>
      </c>
      <c r="BA644" s="27" t="s">
        <v>8</v>
      </c>
      <c r="BB644" s="27" t="s">
        <v>7</v>
      </c>
      <c r="BL644" s="27" t="s">
        <v>7</v>
      </c>
      <c r="BX644" s="27" t="s">
        <v>7</v>
      </c>
      <c r="BY644" s="27" t="s">
        <v>8</v>
      </c>
      <c r="BZ644" s="27" t="s">
        <v>7</v>
      </c>
      <c r="CA644" s="27" t="s">
        <v>8</v>
      </c>
      <c r="CB644" s="27" t="s">
        <v>7</v>
      </c>
      <c r="CE644" s="27" t="s">
        <v>8</v>
      </c>
      <c r="CJ644" s="27" t="s">
        <v>7</v>
      </c>
      <c r="CK644" s="27" t="s">
        <v>8</v>
      </c>
      <c r="CL644" s="27" t="s">
        <v>7</v>
      </c>
      <c r="CQ644" s="27" t="s">
        <v>8</v>
      </c>
      <c r="CR644" s="27" t="s">
        <v>7</v>
      </c>
      <c r="FA644" s="27" t="s">
        <v>8</v>
      </c>
      <c r="FB644" s="27" t="s">
        <v>7</v>
      </c>
      <c r="FI644" s="27" t="s">
        <v>8</v>
      </c>
      <c r="FJ644" s="27" t="s">
        <v>7</v>
      </c>
    </row>
    <row r="645" spans="1:178" x14ac:dyDescent="0.25">
      <c r="A645" s="7">
        <v>0.31709547002401678</v>
      </c>
      <c r="B645"/>
      <c r="C645"/>
      <c r="D645"/>
      <c r="E645"/>
      <c r="F645" s="27" t="s">
        <v>7</v>
      </c>
      <c r="AM645" s="27" t="s">
        <v>8</v>
      </c>
      <c r="AN645" s="27" t="s">
        <v>7</v>
      </c>
      <c r="AO645" s="27" t="s">
        <v>8</v>
      </c>
      <c r="AQ645" s="27" t="s">
        <v>8</v>
      </c>
      <c r="AT645" s="27" t="s">
        <v>7</v>
      </c>
      <c r="AU645" s="27" t="s">
        <v>8</v>
      </c>
      <c r="AV645" s="27" t="s">
        <v>7</v>
      </c>
      <c r="AW645" s="27" t="s">
        <v>8</v>
      </c>
      <c r="AX645" s="27" t="s">
        <v>7</v>
      </c>
      <c r="AY645" s="27" t="s">
        <v>8</v>
      </c>
      <c r="AZ645" s="27" t="s">
        <v>7</v>
      </c>
      <c r="BA645" s="27" t="s">
        <v>8</v>
      </c>
      <c r="BX645" s="27" t="s">
        <v>7</v>
      </c>
      <c r="BY645" s="27" t="s">
        <v>8</v>
      </c>
      <c r="BZ645" s="27" t="s">
        <v>7</v>
      </c>
      <c r="CA645" s="27" t="s">
        <v>8</v>
      </c>
      <c r="CB645" s="27" t="s">
        <v>7</v>
      </c>
      <c r="CE645" s="27" t="s">
        <v>8</v>
      </c>
      <c r="CJ645" s="27" t="s">
        <v>7</v>
      </c>
      <c r="CK645" s="27" t="s">
        <v>8</v>
      </c>
      <c r="CL645" s="27" t="s">
        <v>7</v>
      </c>
      <c r="CQ645" s="27" t="s">
        <v>8</v>
      </c>
      <c r="CR645" s="27" t="s">
        <v>7</v>
      </c>
      <c r="FA645" s="27" t="s">
        <v>8</v>
      </c>
      <c r="FB645" s="27" t="s">
        <v>7</v>
      </c>
      <c r="FI645" s="27" t="s">
        <v>8</v>
      </c>
      <c r="FJ645" s="27" t="s">
        <v>7</v>
      </c>
    </row>
    <row r="646" spans="1:178" x14ac:dyDescent="0.25">
      <c r="A646" s="7">
        <v>0.31087791178825175</v>
      </c>
      <c r="B646"/>
      <c r="C646"/>
      <c r="D646"/>
      <c r="E646"/>
      <c r="F646" s="27" t="s">
        <v>7</v>
      </c>
      <c r="AM646" s="27" t="s">
        <v>8</v>
      </c>
      <c r="AN646" s="27" t="s">
        <v>7</v>
      </c>
      <c r="AO646" s="27" t="s">
        <v>8</v>
      </c>
      <c r="AP646" s="27" t="s">
        <v>7</v>
      </c>
      <c r="AQ646" s="27" t="s">
        <v>8</v>
      </c>
      <c r="AT646" s="27" t="s">
        <v>7</v>
      </c>
      <c r="AU646" s="27" t="s">
        <v>8</v>
      </c>
      <c r="AV646" s="27" t="s">
        <v>7</v>
      </c>
      <c r="AW646" s="27" t="s">
        <v>8</v>
      </c>
      <c r="AX646" s="27" t="s">
        <v>7</v>
      </c>
      <c r="AY646" s="27" t="s">
        <v>8</v>
      </c>
      <c r="AZ646" s="27" t="s">
        <v>7</v>
      </c>
      <c r="BA646" s="27" t="s">
        <v>8</v>
      </c>
      <c r="BX646" s="27" t="s">
        <v>7</v>
      </c>
      <c r="BY646" s="27" t="s">
        <v>8</v>
      </c>
      <c r="BZ646" s="27" t="s">
        <v>7</v>
      </c>
      <c r="CA646" s="27" t="s">
        <v>8</v>
      </c>
      <c r="CB646" s="27" t="s">
        <v>7</v>
      </c>
      <c r="CE646" s="27" t="s">
        <v>8</v>
      </c>
      <c r="CJ646" s="27" t="s">
        <v>7</v>
      </c>
      <c r="CK646" s="27" t="s">
        <v>8</v>
      </c>
      <c r="CL646" s="27" t="s">
        <v>7</v>
      </c>
      <c r="CQ646" s="27" t="s">
        <v>8</v>
      </c>
      <c r="CR646" s="27" t="s">
        <v>7</v>
      </c>
      <c r="FA646" s="27" t="s">
        <v>8</v>
      </c>
      <c r="FB646" s="27" t="s">
        <v>7</v>
      </c>
      <c r="FI646" s="27" t="s">
        <v>8</v>
      </c>
      <c r="FJ646" s="27" t="s">
        <v>7</v>
      </c>
    </row>
    <row r="647" spans="1:178" x14ac:dyDescent="0.25">
      <c r="A647" s="7">
        <v>0.30478226645907036</v>
      </c>
      <c r="B647"/>
      <c r="C647"/>
      <c r="D647"/>
      <c r="E647"/>
      <c r="F647" s="27" t="s">
        <v>7</v>
      </c>
      <c r="AM647" s="27" t="s">
        <v>8</v>
      </c>
      <c r="AN647" s="27" t="s">
        <v>7</v>
      </c>
      <c r="AO647" s="27" t="s">
        <v>8</v>
      </c>
      <c r="AP647" s="27" t="s">
        <v>7</v>
      </c>
      <c r="AQ647" s="27" t="s">
        <v>8</v>
      </c>
      <c r="AT647" s="27" t="s">
        <v>7</v>
      </c>
      <c r="AU647" s="27" t="s">
        <v>8</v>
      </c>
      <c r="AV647" s="27" t="s">
        <v>7</v>
      </c>
      <c r="AW647" s="27" t="s">
        <v>8</v>
      </c>
      <c r="AX647" s="27" t="s">
        <v>7</v>
      </c>
      <c r="AY647" s="27" t="s">
        <v>8</v>
      </c>
      <c r="AZ647" s="27" t="s">
        <v>7</v>
      </c>
      <c r="BX647" s="27" t="s">
        <v>7</v>
      </c>
      <c r="BY647" s="27" t="s">
        <v>8</v>
      </c>
      <c r="BZ647" s="27" t="s">
        <v>7</v>
      </c>
      <c r="CA647" s="27" t="s">
        <v>8</v>
      </c>
      <c r="CB647" s="27" t="s">
        <v>7</v>
      </c>
      <c r="CE647" s="27" t="s">
        <v>8</v>
      </c>
      <c r="CJ647" s="27" t="s">
        <v>7</v>
      </c>
      <c r="CK647" s="27" t="s">
        <v>8</v>
      </c>
      <c r="CL647" s="27" t="s">
        <v>7</v>
      </c>
      <c r="CQ647" s="27" t="s">
        <v>8</v>
      </c>
      <c r="CR647" s="27" t="s">
        <v>7</v>
      </c>
      <c r="FA647" s="27" t="s">
        <v>8</v>
      </c>
      <c r="FB647" s="27" t="s">
        <v>7</v>
      </c>
      <c r="FI647" s="27" t="s">
        <v>8</v>
      </c>
      <c r="FJ647" s="27" t="s">
        <v>7</v>
      </c>
    </row>
    <row r="648" spans="1:178" x14ac:dyDescent="0.25">
      <c r="A648" s="7">
        <v>0.29880614358732388</v>
      </c>
      <c r="B648"/>
      <c r="C648"/>
      <c r="D648"/>
      <c r="E648"/>
      <c r="F648" s="27" t="s">
        <v>7</v>
      </c>
      <c r="AM648" s="27" t="s">
        <v>8</v>
      </c>
      <c r="AN648" s="27" t="s">
        <v>7</v>
      </c>
      <c r="AO648" s="27" t="s">
        <v>8</v>
      </c>
      <c r="AP648" s="27" t="s">
        <v>7</v>
      </c>
      <c r="AQ648" s="27" t="s">
        <v>8</v>
      </c>
      <c r="AT648" s="27" t="s">
        <v>7</v>
      </c>
      <c r="AU648" s="27" t="s">
        <v>8</v>
      </c>
      <c r="AV648" s="27" t="s">
        <v>7</v>
      </c>
      <c r="AW648" s="27" t="s">
        <v>8</v>
      </c>
      <c r="AX648" s="27" t="s">
        <v>7</v>
      </c>
      <c r="AY648" s="27" t="s">
        <v>8</v>
      </c>
      <c r="BX648" s="27" t="s">
        <v>7</v>
      </c>
      <c r="BY648" s="27" t="s">
        <v>8</v>
      </c>
      <c r="BZ648" s="27" t="s">
        <v>7</v>
      </c>
      <c r="CA648" s="27" t="s">
        <v>8</v>
      </c>
      <c r="CB648" s="27" t="s">
        <v>7</v>
      </c>
      <c r="CE648" s="27" t="s">
        <v>8</v>
      </c>
      <c r="CJ648" s="27" t="s">
        <v>7</v>
      </c>
      <c r="CL648" s="27" t="s">
        <v>7</v>
      </c>
      <c r="CQ648" s="27" t="s">
        <v>8</v>
      </c>
      <c r="CR648" s="27" t="s">
        <v>7</v>
      </c>
      <c r="FA648" s="27" t="s">
        <v>8</v>
      </c>
      <c r="FB648" s="27" t="s">
        <v>7</v>
      </c>
      <c r="FI648" s="27" t="s">
        <v>8</v>
      </c>
      <c r="FJ648" s="27" t="s">
        <v>7</v>
      </c>
    </row>
    <row r="649" spans="1:178" x14ac:dyDescent="0.25">
      <c r="A649" s="7">
        <v>0.2929471995954156</v>
      </c>
      <c r="B649"/>
      <c r="C649"/>
      <c r="D649"/>
      <c r="E649"/>
      <c r="F649" s="27" t="s">
        <v>7</v>
      </c>
      <c r="AM649" s="27" t="s">
        <v>8</v>
      </c>
      <c r="AN649" s="27" t="s">
        <v>7</v>
      </c>
      <c r="AO649" s="27" t="s">
        <v>8</v>
      </c>
      <c r="AP649" s="27" t="s">
        <v>7</v>
      </c>
      <c r="AQ649" s="27" t="s">
        <v>8</v>
      </c>
      <c r="AT649" s="27" t="s">
        <v>7</v>
      </c>
      <c r="AV649" s="27" t="s">
        <v>7</v>
      </c>
      <c r="AW649" s="27" t="s">
        <v>8</v>
      </c>
      <c r="AX649" s="27" t="s">
        <v>7</v>
      </c>
      <c r="AY649" s="27" t="s">
        <v>8</v>
      </c>
      <c r="BX649" s="27" t="s">
        <v>7</v>
      </c>
      <c r="BY649" s="27" t="s">
        <v>8</v>
      </c>
      <c r="BZ649" s="27" t="s">
        <v>7</v>
      </c>
      <c r="CA649" s="27" t="s">
        <v>8</v>
      </c>
      <c r="CB649" s="27" t="s">
        <v>7</v>
      </c>
      <c r="CC649" s="27" t="s">
        <v>8</v>
      </c>
      <c r="CE649" s="27" t="s">
        <v>8</v>
      </c>
      <c r="CL649" s="27" t="s">
        <v>7</v>
      </c>
      <c r="CQ649" s="27" t="s">
        <v>8</v>
      </c>
      <c r="CR649" s="27" t="s">
        <v>7</v>
      </c>
      <c r="FA649" s="27" t="s">
        <v>8</v>
      </c>
      <c r="FB649" s="27" t="s">
        <v>7</v>
      </c>
      <c r="FI649" s="27" t="s">
        <v>8</v>
      </c>
      <c r="FJ649" s="27" t="s">
        <v>7</v>
      </c>
      <c r="FU649" s="27" t="s">
        <v>8</v>
      </c>
    </row>
    <row r="650" spans="1:178" x14ac:dyDescent="0.25">
      <c r="A650" s="7">
        <v>0.28720313685825055</v>
      </c>
      <c r="B650"/>
      <c r="C650"/>
      <c r="D650"/>
      <c r="E650"/>
      <c r="F650" s="27" t="s">
        <v>7</v>
      </c>
      <c r="AM650" s="27" t="s">
        <v>8</v>
      </c>
      <c r="AN650" s="27" t="s">
        <v>7</v>
      </c>
      <c r="AO650" s="27" t="s">
        <v>8</v>
      </c>
      <c r="AP650" s="27" t="s">
        <v>7</v>
      </c>
      <c r="AQ650" s="27" t="s">
        <v>8</v>
      </c>
      <c r="AV650" s="27" t="s">
        <v>7</v>
      </c>
      <c r="AW650" s="27" t="s">
        <v>8</v>
      </c>
      <c r="AX650" s="27" t="s">
        <v>7</v>
      </c>
      <c r="AY650" s="27" t="s">
        <v>8</v>
      </c>
      <c r="BX650" s="27" t="s">
        <v>7</v>
      </c>
      <c r="BY650" s="27" t="s">
        <v>8</v>
      </c>
      <c r="BZ650" s="27" t="s">
        <v>7</v>
      </c>
      <c r="CA650" s="27" t="s">
        <v>8</v>
      </c>
      <c r="CB650" s="27" t="s">
        <v>7</v>
      </c>
      <c r="CC650" s="27" t="s">
        <v>8</v>
      </c>
      <c r="CD650" s="27" t="s">
        <v>7</v>
      </c>
      <c r="CE650" s="27" t="s">
        <v>8</v>
      </c>
      <c r="CL650" s="27" t="s">
        <v>7</v>
      </c>
      <c r="CQ650" s="27" t="s">
        <v>8</v>
      </c>
      <c r="CR650" s="27" t="s">
        <v>7</v>
      </c>
      <c r="DC650" s="27" t="s">
        <v>8</v>
      </c>
      <c r="FA650" s="27" t="s">
        <v>8</v>
      </c>
      <c r="FB650" s="27" t="s">
        <v>7</v>
      </c>
      <c r="FI650" s="27" t="s">
        <v>8</v>
      </c>
      <c r="FJ650" s="27" t="s">
        <v>7</v>
      </c>
      <c r="FU650" s="27" t="s">
        <v>8</v>
      </c>
      <c r="FV650" s="27" t="s">
        <v>7</v>
      </c>
    </row>
    <row r="651" spans="1:178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AI651" s="27" t="s">
        <v>8</v>
      </c>
      <c r="AM651" s="27" t="s">
        <v>8</v>
      </c>
      <c r="AN651" s="27" t="s">
        <v>7</v>
      </c>
      <c r="AO651" s="27" t="s">
        <v>8</v>
      </c>
      <c r="AP651" s="27" t="s">
        <v>7</v>
      </c>
      <c r="AQ651" s="27" t="s">
        <v>8</v>
      </c>
      <c r="AV651" s="27" t="s">
        <v>7</v>
      </c>
      <c r="AW651" s="27" t="s">
        <v>8</v>
      </c>
      <c r="AX651" s="27" t="s">
        <v>7</v>
      </c>
      <c r="AY651" s="27" t="s">
        <v>8</v>
      </c>
      <c r="BX651" s="27" t="s">
        <v>7</v>
      </c>
      <c r="BY651" s="27" t="s">
        <v>8</v>
      </c>
      <c r="BZ651" s="27" t="s">
        <v>7</v>
      </c>
      <c r="CA651" s="27" t="s">
        <v>8</v>
      </c>
      <c r="CB651" s="27" t="s">
        <v>7</v>
      </c>
      <c r="CC651" s="27" t="s">
        <v>8</v>
      </c>
      <c r="CD651" s="27" t="s">
        <v>7</v>
      </c>
      <c r="CE651" s="27" t="s">
        <v>8</v>
      </c>
      <c r="CL651" s="27" t="s">
        <v>7</v>
      </c>
      <c r="CQ651" s="27" t="s">
        <v>8</v>
      </c>
      <c r="CR651" s="27" t="s">
        <v>7</v>
      </c>
      <c r="DC651" s="27" t="s">
        <v>8</v>
      </c>
      <c r="DD651" s="27" t="s">
        <v>7</v>
      </c>
      <c r="FA651" s="27" t="s">
        <v>8</v>
      </c>
      <c r="FB651" s="27" t="s">
        <v>7</v>
      </c>
      <c r="FC651" s="27" t="s">
        <v>8</v>
      </c>
      <c r="FI651" s="27" t="s">
        <v>8</v>
      </c>
      <c r="FJ651" s="27" t="s">
        <v>7</v>
      </c>
      <c r="FU651" s="27" t="s">
        <v>8</v>
      </c>
      <c r="FV651" s="27" t="s">
        <v>7</v>
      </c>
    </row>
    <row r="652" spans="1:178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H652" s="27" t="s">
        <v>7</v>
      </c>
      <c r="AI652" s="27" t="s">
        <v>8</v>
      </c>
      <c r="AJ652" s="27" t="s">
        <v>7</v>
      </c>
      <c r="AM652" s="27" t="s">
        <v>8</v>
      </c>
      <c r="AN652" s="27" t="s">
        <v>7</v>
      </c>
      <c r="AP652" s="27" t="s">
        <v>7</v>
      </c>
      <c r="AQ652" s="27" t="s">
        <v>8</v>
      </c>
      <c r="AV652" s="27" t="s">
        <v>7</v>
      </c>
      <c r="AW652" s="27" t="s">
        <v>8</v>
      </c>
      <c r="AX652" s="27" t="s">
        <v>7</v>
      </c>
      <c r="AY652" s="27" t="s">
        <v>8</v>
      </c>
      <c r="BX652" s="27" t="s">
        <v>7</v>
      </c>
      <c r="BY652" s="27" t="s">
        <v>8</v>
      </c>
      <c r="BZ652" s="27" t="s">
        <v>7</v>
      </c>
      <c r="CA652" s="27" t="s">
        <v>8</v>
      </c>
      <c r="CB652" s="27" t="s">
        <v>7</v>
      </c>
      <c r="CC652" s="27" t="s">
        <v>8</v>
      </c>
      <c r="CD652" s="27" t="s">
        <v>7</v>
      </c>
      <c r="CE652" s="27" t="s">
        <v>8</v>
      </c>
      <c r="CL652" s="27" t="s">
        <v>7</v>
      </c>
      <c r="CM652" s="27" t="s">
        <v>8</v>
      </c>
      <c r="CQ652" s="27" t="s">
        <v>8</v>
      </c>
      <c r="CR652" s="27" t="s">
        <v>7</v>
      </c>
      <c r="DC652" s="27" t="s">
        <v>8</v>
      </c>
      <c r="DD652" s="27" t="s">
        <v>7</v>
      </c>
      <c r="FA652" s="27" t="s">
        <v>8</v>
      </c>
      <c r="FB652" s="27" t="s">
        <v>7</v>
      </c>
      <c r="FC652" s="27" t="s">
        <v>8</v>
      </c>
      <c r="FD652" s="27" t="s">
        <v>7</v>
      </c>
      <c r="FI652" s="27" t="s">
        <v>8</v>
      </c>
      <c r="FJ652" s="27" t="s">
        <v>7</v>
      </c>
      <c r="FU652" s="27" t="s">
        <v>8</v>
      </c>
      <c r="FV652" s="27" t="s">
        <v>7</v>
      </c>
    </row>
    <row r="653" spans="1:178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H653" s="27" t="s">
        <v>7</v>
      </c>
      <c r="AI653" s="27" t="s">
        <v>8</v>
      </c>
      <c r="AJ653" s="27" t="s">
        <v>7</v>
      </c>
      <c r="AM653" s="27" t="s">
        <v>8</v>
      </c>
      <c r="AP653" s="27" t="s">
        <v>7</v>
      </c>
      <c r="AQ653" s="27" t="s">
        <v>8</v>
      </c>
      <c r="AV653" s="27" t="s">
        <v>7</v>
      </c>
      <c r="AW653" s="27" t="s">
        <v>8</v>
      </c>
      <c r="AX653" s="27" t="s">
        <v>7</v>
      </c>
      <c r="AY653" s="27" t="s">
        <v>8</v>
      </c>
      <c r="BX653" s="27" t="s">
        <v>7</v>
      </c>
      <c r="BY653" s="27" t="s">
        <v>8</v>
      </c>
      <c r="BZ653" s="27" t="s">
        <v>7</v>
      </c>
      <c r="CB653" s="27" t="s">
        <v>7</v>
      </c>
      <c r="CC653" s="27" t="s">
        <v>8</v>
      </c>
      <c r="CD653" s="27" t="s">
        <v>7</v>
      </c>
      <c r="CL653" s="27" t="s">
        <v>7</v>
      </c>
      <c r="CM653" s="27" t="s">
        <v>8</v>
      </c>
      <c r="CN653" s="27" t="s">
        <v>7</v>
      </c>
      <c r="CQ653" s="27" t="s">
        <v>8</v>
      </c>
      <c r="CR653" s="27" t="s">
        <v>7</v>
      </c>
      <c r="DC653" s="27" t="s">
        <v>8</v>
      </c>
      <c r="DD653" s="27" t="s">
        <v>7</v>
      </c>
      <c r="FA653" s="27" t="s">
        <v>8</v>
      </c>
      <c r="FB653" s="27" t="s">
        <v>7</v>
      </c>
      <c r="FC653" s="27" t="s">
        <v>8</v>
      </c>
      <c r="FD653" s="27" t="s">
        <v>7</v>
      </c>
      <c r="FG653" s="27" t="s">
        <v>8</v>
      </c>
      <c r="FI653" s="27" t="s">
        <v>8</v>
      </c>
      <c r="FJ653" s="27" t="s">
        <v>7</v>
      </c>
      <c r="FU653" s="27" t="s">
        <v>8</v>
      </c>
      <c r="FV653" s="27" t="s">
        <v>7</v>
      </c>
    </row>
    <row r="654" spans="1:178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H654" s="27" t="s">
        <v>7</v>
      </c>
      <c r="AI654" s="27" t="s">
        <v>8</v>
      </c>
      <c r="AJ654" s="27" t="s">
        <v>7</v>
      </c>
      <c r="AM654" s="27" t="s">
        <v>8</v>
      </c>
      <c r="AP654" s="27" t="s">
        <v>7</v>
      </c>
      <c r="AQ654" s="27" t="s">
        <v>8</v>
      </c>
      <c r="AV654" s="27" t="s">
        <v>7</v>
      </c>
      <c r="AX654" s="27" t="s">
        <v>7</v>
      </c>
      <c r="AY654" s="27" t="s">
        <v>8</v>
      </c>
      <c r="BX654" s="27" t="s">
        <v>7</v>
      </c>
      <c r="BY654" s="27" t="s">
        <v>8</v>
      </c>
      <c r="CB654" s="27" t="s">
        <v>7</v>
      </c>
      <c r="CL654" s="27" t="s">
        <v>7</v>
      </c>
      <c r="CM654" s="27" t="s">
        <v>8</v>
      </c>
      <c r="CN654" s="27" t="s">
        <v>7</v>
      </c>
      <c r="CQ654" s="27" t="s">
        <v>8</v>
      </c>
      <c r="CR654" s="27" t="s">
        <v>7</v>
      </c>
      <c r="DC654" s="27" t="s">
        <v>8</v>
      </c>
      <c r="DD654" s="27" t="s">
        <v>7</v>
      </c>
      <c r="FA654" s="27" t="s">
        <v>8</v>
      </c>
      <c r="FB654" s="27" t="s">
        <v>7</v>
      </c>
      <c r="FC654" s="27" t="s">
        <v>8</v>
      </c>
      <c r="FD654" s="27" t="s">
        <v>7</v>
      </c>
      <c r="FG654" s="27" t="s">
        <v>8</v>
      </c>
      <c r="FH654" s="27" t="s">
        <v>7</v>
      </c>
      <c r="FI654" s="27" t="s">
        <v>8</v>
      </c>
      <c r="FJ654" s="27" t="s">
        <v>7</v>
      </c>
      <c r="FK654" s="27" t="s">
        <v>8</v>
      </c>
      <c r="FU654" s="27" t="s">
        <v>8</v>
      </c>
      <c r="FV654" s="27" t="s">
        <v>7</v>
      </c>
    </row>
    <row r="655" spans="1:178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AI655" s="27" t="s">
        <v>8</v>
      </c>
      <c r="AJ655" s="27" t="s">
        <v>7</v>
      </c>
      <c r="AM655" s="27" t="s">
        <v>8</v>
      </c>
      <c r="AP655" s="27" t="s">
        <v>7</v>
      </c>
      <c r="AQ655" s="27" t="s">
        <v>8</v>
      </c>
      <c r="AX655" s="27" t="s">
        <v>7</v>
      </c>
      <c r="AY655" s="27" t="s">
        <v>8</v>
      </c>
      <c r="BX655" s="27" t="s">
        <v>7</v>
      </c>
      <c r="BY655" s="27" t="s">
        <v>8</v>
      </c>
      <c r="CL655" s="27" t="s">
        <v>7</v>
      </c>
      <c r="CM655" s="27" t="s">
        <v>8</v>
      </c>
      <c r="CN655" s="27" t="s">
        <v>7</v>
      </c>
      <c r="CQ655" s="27" t="s">
        <v>8</v>
      </c>
      <c r="CR655" s="27" t="s">
        <v>7</v>
      </c>
      <c r="DC655" s="27" t="s">
        <v>8</v>
      </c>
      <c r="DD655" s="27" t="s">
        <v>7</v>
      </c>
      <c r="FA655" s="27" t="s">
        <v>8</v>
      </c>
      <c r="FB655" s="27" t="s">
        <v>7</v>
      </c>
      <c r="FC655" s="27" t="s">
        <v>8</v>
      </c>
      <c r="FD655" s="27" t="s">
        <v>7</v>
      </c>
      <c r="FG655" s="27" t="s">
        <v>8</v>
      </c>
      <c r="FH655" s="27" t="s">
        <v>7</v>
      </c>
      <c r="FI655" s="27" t="s">
        <v>8</v>
      </c>
      <c r="FJ655" s="27" t="s">
        <v>7</v>
      </c>
      <c r="FK655" s="27" t="s">
        <v>8</v>
      </c>
      <c r="FL655" s="27" t="s">
        <v>7</v>
      </c>
      <c r="FU655" s="27" t="s">
        <v>8</v>
      </c>
      <c r="FV655" s="27" t="s">
        <v>7</v>
      </c>
    </row>
    <row r="656" spans="1:178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AI656" s="27" t="s">
        <v>8</v>
      </c>
      <c r="AJ656" s="27" t="s">
        <v>7</v>
      </c>
      <c r="AK656" s="27" t="s">
        <v>8</v>
      </c>
      <c r="AM656" s="27" t="s">
        <v>8</v>
      </c>
      <c r="AP656" s="27" t="s">
        <v>7</v>
      </c>
      <c r="AQ656" s="27" t="s">
        <v>8</v>
      </c>
      <c r="AX656" s="27" t="s">
        <v>7</v>
      </c>
      <c r="AY656" s="27" t="s">
        <v>8</v>
      </c>
      <c r="BX656" s="27" t="s">
        <v>7</v>
      </c>
      <c r="BY656" s="27" t="s">
        <v>8</v>
      </c>
      <c r="CL656" s="27" t="s">
        <v>7</v>
      </c>
      <c r="CM656" s="27" t="s">
        <v>8</v>
      </c>
      <c r="CN656" s="27" t="s">
        <v>7</v>
      </c>
      <c r="CQ656" s="27" t="s">
        <v>8</v>
      </c>
      <c r="CR656" s="27" t="s">
        <v>7</v>
      </c>
      <c r="CS656" s="27" t="s">
        <v>8</v>
      </c>
      <c r="DC656" s="27" t="s">
        <v>8</v>
      </c>
      <c r="DD656" s="27" t="s">
        <v>7</v>
      </c>
      <c r="EC656" s="27" t="s">
        <v>8</v>
      </c>
      <c r="FA656" s="27" t="s">
        <v>8</v>
      </c>
      <c r="FB656" s="27" t="s">
        <v>7</v>
      </c>
      <c r="FC656" s="27" t="s">
        <v>8</v>
      </c>
      <c r="FD656" s="27" t="s">
        <v>7</v>
      </c>
      <c r="FG656" s="27" t="s">
        <v>8</v>
      </c>
      <c r="FH656" s="27" t="s">
        <v>7</v>
      </c>
      <c r="FI656" s="27" t="s">
        <v>8</v>
      </c>
      <c r="FJ656" s="27" t="s">
        <v>7</v>
      </c>
      <c r="FK656" s="27" t="s">
        <v>8</v>
      </c>
      <c r="FL656" s="27" t="s">
        <v>7</v>
      </c>
      <c r="FU656" s="27" t="s">
        <v>8</v>
      </c>
      <c r="FV656" s="27" t="s">
        <v>7</v>
      </c>
    </row>
    <row r="657" spans="1:206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AI657" s="27" t="s">
        <v>8</v>
      </c>
      <c r="AJ657" s="27" t="s">
        <v>7</v>
      </c>
      <c r="AK657" s="27" t="s">
        <v>8</v>
      </c>
      <c r="AL657" s="27" t="s">
        <v>7</v>
      </c>
      <c r="AM657" s="27" t="s">
        <v>8</v>
      </c>
      <c r="AP657" s="27" t="s">
        <v>7</v>
      </c>
      <c r="AQ657" s="27" t="s">
        <v>8</v>
      </c>
      <c r="AX657" s="27" t="s">
        <v>7</v>
      </c>
      <c r="BX657" s="27" t="s">
        <v>7</v>
      </c>
      <c r="BY657" s="27" t="s">
        <v>8</v>
      </c>
      <c r="CL657" s="27" t="s">
        <v>7</v>
      </c>
      <c r="CN657" s="27" t="s">
        <v>7</v>
      </c>
      <c r="CQ657" s="27" t="s">
        <v>8</v>
      </c>
      <c r="CR657" s="27" t="s">
        <v>7</v>
      </c>
      <c r="CS657" s="27" t="s">
        <v>8</v>
      </c>
      <c r="CT657" s="27" t="s">
        <v>7</v>
      </c>
      <c r="DC657" s="27" t="s">
        <v>8</v>
      </c>
      <c r="DD657" s="27" t="s">
        <v>7</v>
      </c>
      <c r="EC657" s="27" t="s">
        <v>8</v>
      </c>
      <c r="ED657" s="27" t="s">
        <v>7</v>
      </c>
      <c r="EM657" s="27" t="s">
        <v>8</v>
      </c>
      <c r="FA657" s="27" t="s">
        <v>8</v>
      </c>
      <c r="FB657" s="27" t="s">
        <v>7</v>
      </c>
      <c r="FC657" s="27" t="s">
        <v>8</v>
      </c>
      <c r="FD657" s="27" t="s">
        <v>7</v>
      </c>
      <c r="FE657" s="27" t="s">
        <v>8</v>
      </c>
      <c r="FG657" s="27" t="s">
        <v>8</v>
      </c>
      <c r="FH657" s="27" t="s">
        <v>7</v>
      </c>
      <c r="FI657" s="27" t="s">
        <v>8</v>
      </c>
      <c r="FJ657" s="27" t="s">
        <v>7</v>
      </c>
      <c r="FK657" s="27" t="s">
        <v>8</v>
      </c>
      <c r="FL657" s="27" t="s">
        <v>7</v>
      </c>
      <c r="FU657" s="27" t="s">
        <v>8</v>
      </c>
      <c r="FV657" s="27" t="s">
        <v>7</v>
      </c>
    </row>
    <row r="658" spans="1:206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H658" s="27" t="s">
        <v>7</v>
      </c>
      <c r="AI658" s="27" t="s">
        <v>8</v>
      </c>
      <c r="AJ658" s="27" t="s">
        <v>7</v>
      </c>
      <c r="AK658" s="27" t="s">
        <v>8</v>
      </c>
      <c r="AL658" s="27" t="s">
        <v>7</v>
      </c>
      <c r="AM658" s="27" t="s">
        <v>8</v>
      </c>
      <c r="AP658" s="27" t="s">
        <v>7</v>
      </c>
      <c r="AQ658" s="27" t="s">
        <v>8</v>
      </c>
      <c r="BX658" s="27" t="s">
        <v>7</v>
      </c>
      <c r="BY658" s="27" t="s">
        <v>8</v>
      </c>
      <c r="CN658" s="27" t="s">
        <v>7</v>
      </c>
      <c r="CQ658" s="27" t="s">
        <v>8</v>
      </c>
      <c r="CR658" s="27" t="s">
        <v>7</v>
      </c>
      <c r="CS658" s="27" t="s">
        <v>8</v>
      </c>
      <c r="CT658" s="27" t="s">
        <v>7</v>
      </c>
      <c r="DC658" s="27" t="s">
        <v>8</v>
      </c>
      <c r="DD658" s="27" t="s">
        <v>7</v>
      </c>
      <c r="EC658" s="27" t="s">
        <v>8</v>
      </c>
      <c r="ED658" s="27" t="s">
        <v>7</v>
      </c>
      <c r="EM658" s="27" t="s">
        <v>8</v>
      </c>
      <c r="EN658" s="27" t="s">
        <v>7</v>
      </c>
      <c r="FA658" s="27" t="s">
        <v>8</v>
      </c>
      <c r="FB658" s="27" t="s">
        <v>7</v>
      </c>
      <c r="FC658" s="27" t="s">
        <v>8</v>
      </c>
      <c r="FD658" s="27" t="s">
        <v>7</v>
      </c>
      <c r="FE658" s="27" t="s">
        <v>8</v>
      </c>
      <c r="FF658" s="27" t="s">
        <v>7</v>
      </c>
      <c r="FG658" s="27" t="s">
        <v>8</v>
      </c>
      <c r="FH658" s="27" t="s">
        <v>7</v>
      </c>
      <c r="FI658" s="27" t="s">
        <v>8</v>
      </c>
      <c r="FJ658" s="27" t="s">
        <v>7</v>
      </c>
      <c r="FK658" s="27" t="s">
        <v>8</v>
      </c>
      <c r="FL658" s="27" t="s">
        <v>7</v>
      </c>
      <c r="FU658" s="27" t="s">
        <v>8</v>
      </c>
      <c r="FV658" s="27" t="s">
        <v>7</v>
      </c>
    </row>
    <row r="659" spans="1:206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H659" s="27" t="s">
        <v>7</v>
      </c>
      <c r="AI659" s="27" t="s">
        <v>8</v>
      </c>
      <c r="AJ659" s="27" t="s">
        <v>7</v>
      </c>
      <c r="AK659" s="27" t="s">
        <v>8</v>
      </c>
      <c r="AL659" s="27" t="s">
        <v>7</v>
      </c>
      <c r="AM659" s="27" t="s">
        <v>8</v>
      </c>
      <c r="AP659" s="27" t="s">
        <v>7</v>
      </c>
      <c r="AQ659" s="27" t="s">
        <v>8</v>
      </c>
      <c r="BX659" s="27" t="s">
        <v>7</v>
      </c>
      <c r="BY659" s="27" t="s">
        <v>8</v>
      </c>
      <c r="CN659" s="27" t="s">
        <v>7</v>
      </c>
      <c r="CQ659" s="27" t="s">
        <v>8</v>
      </c>
      <c r="CR659" s="27" t="s">
        <v>7</v>
      </c>
      <c r="CS659" s="27" t="s">
        <v>8</v>
      </c>
      <c r="CT659" s="27" t="s">
        <v>7</v>
      </c>
      <c r="DC659" s="27" t="s">
        <v>8</v>
      </c>
      <c r="DD659" s="27" t="s">
        <v>7</v>
      </c>
      <c r="EC659" s="27" t="s">
        <v>8</v>
      </c>
      <c r="ED659" s="27" t="s">
        <v>7</v>
      </c>
      <c r="EM659" s="27" t="s">
        <v>8</v>
      </c>
      <c r="EN659" s="27" t="s">
        <v>7</v>
      </c>
      <c r="FA659" s="27" t="s">
        <v>8</v>
      </c>
      <c r="FB659" s="27" t="s">
        <v>7</v>
      </c>
      <c r="FC659" s="27" t="s">
        <v>8</v>
      </c>
      <c r="FD659" s="27" t="s">
        <v>7</v>
      </c>
      <c r="FE659" s="27" t="s">
        <v>8</v>
      </c>
      <c r="FF659" s="27" t="s">
        <v>7</v>
      </c>
      <c r="FG659" s="27" t="s">
        <v>8</v>
      </c>
      <c r="FH659" s="27" t="s">
        <v>7</v>
      </c>
      <c r="FI659" s="27" t="s">
        <v>8</v>
      </c>
      <c r="FJ659" s="27" t="s">
        <v>7</v>
      </c>
      <c r="FK659" s="27" t="s">
        <v>8</v>
      </c>
      <c r="FL659" s="27" t="s">
        <v>7</v>
      </c>
      <c r="FU659" s="27" t="s">
        <v>8</v>
      </c>
      <c r="FV659" s="27" t="s">
        <v>7</v>
      </c>
    </row>
    <row r="660" spans="1:206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H660" s="27" t="s">
        <v>7</v>
      </c>
      <c r="AI660" s="27" t="s">
        <v>8</v>
      </c>
      <c r="AJ660" s="27" t="s">
        <v>7</v>
      </c>
      <c r="AK660" s="27" t="s">
        <v>8</v>
      </c>
      <c r="AL660" s="27" t="s">
        <v>7</v>
      </c>
      <c r="AM660" s="27" t="s">
        <v>8</v>
      </c>
      <c r="AP660" s="27" t="s">
        <v>7</v>
      </c>
      <c r="BX660" s="27" t="s">
        <v>7</v>
      </c>
      <c r="BY660" s="27" t="s">
        <v>8</v>
      </c>
      <c r="CN660" s="27" t="s">
        <v>7</v>
      </c>
      <c r="CQ660" s="27" t="s">
        <v>8</v>
      </c>
      <c r="CR660" s="27" t="s">
        <v>7</v>
      </c>
      <c r="CS660" s="27" t="s">
        <v>8</v>
      </c>
      <c r="CT660" s="27" t="s">
        <v>7</v>
      </c>
      <c r="DC660" s="27" t="s">
        <v>8</v>
      </c>
      <c r="DD660" s="27" t="s">
        <v>7</v>
      </c>
      <c r="EC660" s="27" t="s">
        <v>8</v>
      </c>
      <c r="ED660" s="27" t="s">
        <v>7</v>
      </c>
      <c r="EI660" s="27" t="s">
        <v>8</v>
      </c>
      <c r="EM660" s="27" t="s">
        <v>8</v>
      </c>
      <c r="EN660" s="27" t="s">
        <v>7</v>
      </c>
      <c r="EO660" s="27" t="s">
        <v>8</v>
      </c>
      <c r="FA660" s="27" t="s">
        <v>8</v>
      </c>
      <c r="FB660" s="27" t="s">
        <v>7</v>
      </c>
      <c r="FD660" s="27" t="s">
        <v>7</v>
      </c>
      <c r="FE660" s="27" t="s">
        <v>8</v>
      </c>
      <c r="FF660" s="27" t="s">
        <v>7</v>
      </c>
      <c r="FG660" s="27" t="s">
        <v>8</v>
      </c>
      <c r="FH660" s="27" t="s">
        <v>7</v>
      </c>
      <c r="FI660" s="27" t="s">
        <v>8</v>
      </c>
      <c r="FJ660" s="27" t="s">
        <v>7</v>
      </c>
      <c r="FK660" s="27" t="s">
        <v>8</v>
      </c>
      <c r="FL660" s="27" t="s">
        <v>7</v>
      </c>
      <c r="FS660" s="27" t="s">
        <v>8</v>
      </c>
      <c r="FU660" s="27" t="s">
        <v>8</v>
      </c>
      <c r="FV660" s="27" t="s">
        <v>7</v>
      </c>
    </row>
    <row r="661" spans="1:206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H661" s="27" t="s">
        <v>7</v>
      </c>
      <c r="AI661" s="27" t="s">
        <v>8</v>
      </c>
      <c r="AJ661" s="27" t="s">
        <v>7</v>
      </c>
      <c r="AK661" s="27" t="s">
        <v>8</v>
      </c>
      <c r="AL661" s="27" t="s">
        <v>7</v>
      </c>
      <c r="AM661" s="27" t="s">
        <v>8</v>
      </c>
      <c r="BX661" s="27" t="s">
        <v>7</v>
      </c>
      <c r="BY661" s="27" t="s">
        <v>8</v>
      </c>
      <c r="CN661" s="27" t="s">
        <v>7</v>
      </c>
      <c r="CQ661" s="27" t="s">
        <v>8</v>
      </c>
      <c r="CR661" s="27" t="s">
        <v>7</v>
      </c>
      <c r="CS661" s="27" t="s">
        <v>8</v>
      </c>
      <c r="CT661" s="27" t="s">
        <v>7</v>
      </c>
      <c r="CY661" s="27" t="s">
        <v>8</v>
      </c>
      <c r="DC661" s="27" t="s">
        <v>8</v>
      </c>
      <c r="DD661" s="27" t="s">
        <v>7</v>
      </c>
      <c r="EC661" s="27" t="s">
        <v>8</v>
      </c>
      <c r="ED661" s="27" t="s">
        <v>7</v>
      </c>
      <c r="EI661" s="27" t="s">
        <v>8</v>
      </c>
      <c r="EJ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EQ661" s="27" t="s">
        <v>8</v>
      </c>
      <c r="FA661" s="27" t="s">
        <v>8</v>
      </c>
      <c r="FD661" s="27" t="s">
        <v>7</v>
      </c>
      <c r="FE661" s="27" t="s">
        <v>8</v>
      </c>
      <c r="FF661" s="27" t="s">
        <v>7</v>
      </c>
      <c r="FG661" s="27" t="s">
        <v>8</v>
      </c>
      <c r="FH661" s="27" t="s">
        <v>7</v>
      </c>
      <c r="FI661" s="27" t="s">
        <v>8</v>
      </c>
      <c r="FJ661" s="27" t="s">
        <v>7</v>
      </c>
      <c r="FK661" s="27" t="s">
        <v>8</v>
      </c>
      <c r="FL661" s="27" t="s">
        <v>7</v>
      </c>
      <c r="FO661" s="27" t="s">
        <v>8</v>
      </c>
      <c r="FS661" s="27" t="s">
        <v>8</v>
      </c>
      <c r="FT661" s="27" t="s">
        <v>7</v>
      </c>
      <c r="FU661" s="27" t="s">
        <v>8</v>
      </c>
      <c r="FV661" s="27" t="s">
        <v>7</v>
      </c>
    </row>
    <row r="662" spans="1:206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H662" s="27" t="s">
        <v>7</v>
      </c>
      <c r="AI662" s="27" t="s">
        <v>8</v>
      </c>
      <c r="AJ662" s="27" t="s">
        <v>7</v>
      </c>
      <c r="AK662" s="27" t="s">
        <v>8</v>
      </c>
      <c r="AL662" s="27" t="s">
        <v>7</v>
      </c>
      <c r="AM662" s="27" t="s">
        <v>8</v>
      </c>
      <c r="BX662" s="27" t="s">
        <v>7</v>
      </c>
      <c r="BY662" s="27" t="s">
        <v>8</v>
      </c>
      <c r="CN662" s="27" t="s">
        <v>7</v>
      </c>
      <c r="CQ662" s="27" t="s">
        <v>8</v>
      </c>
      <c r="CR662" s="27" t="s">
        <v>7</v>
      </c>
      <c r="CS662" s="27" t="s">
        <v>8</v>
      </c>
      <c r="CT662" s="27" t="s">
        <v>7</v>
      </c>
      <c r="CY662" s="27" t="s">
        <v>8</v>
      </c>
      <c r="CZ662" s="27" t="s">
        <v>7</v>
      </c>
      <c r="DC662" s="27" t="s">
        <v>8</v>
      </c>
      <c r="DD662" s="27" t="s">
        <v>7</v>
      </c>
      <c r="EC662" s="27" t="s">
        <v>8</v>
      </c>
      <c r="ED662" s="27" t="s">
        <v>7</v>
      </c>
      <c r="EI662" s="27" t="s">
        <v>8</v>
      </c>
      <c r="EJ662" s="27" t="s">
        <v>7</v>
      </c>
      <c r="EK662" s="27" t="s">
        <v>8</v>
      </c>
      <c r="EM662" s="27" t="s">
        <v>8</v>
      </c>
      <c r="EN662" s="27" t="s">
        <v>7</v>
      </c>
      <c r="EO662" s="27" t="s">
        <v>8</v>
      </c>
      <c r="EP662" s="27" t="s">
        <v>7</v>
      </c>
      <c r="EQ662" s="27" t="s">
        <v>8</v>
      </c>
      <c r="ER662" s="27" t="s">
        <v>7</v>
      </c>
      <c r="EY662" s="27" t="s">
        <v>8</v>
      </c>
      <c r="FA662" s="27" t="s">
        <v>8</v>
      </c>
      <c r="FD662" s="27" t="s">
        <v>7</v>
      </c>
      <c r="FE662" s="27" t="s">
        <v>8</v>
      </c>
      <c r="FF662" s="27" t="s">
        <v>7</v>
      </c>
      <c r="FG662" s="27" t="s">
        <v>8</v>
      </c>
      <c r="FH662" s="27" t="s">
        <v>7</v>
      </c>
      <c r="FI662" s="27" t="s">
        <v>8</v>
      </c>
      <c r="FJ662" s="27" t="s">
        <v>7</v>
      </c>
      <c r="FK662" s="27" t="s">
        <v>8</v>
      </c>
      <c r="FL662" s="27" t="s">
        <v>7</v>
      </c>
      <c r="FM662" s="27" t="s">
        <v>8</v>
      </c>
      <c r="FO662" s="27" t="s">
        <v>8</v>
      </c>
      <c r="FP662" s="27" t="s">
        <v>7</v>
      </c>
      <c r="FS662" s="27" t="s">
        <v>8</v>
      </c>
      <c r="FT662" s="27" t="s">
        <v>7</v>
      </c>
      <c r="FU662" s="27" t="s">
        <v>8</v>
      </c>
      <c r="FV662" s="27" t="s">
        <v>7</v>
      </c>
      <c r="FW662" s="27" t="s">
        <v>8</v>
      </c>
    </row>
    <row r="663" spans="1:206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H663" s="27" t="s">
        <v>7</v>
      </c>
      <c r="AI663" s="27" t="s">
        <v>8</v>
      </c>
      <c r="AJ663" s="27" t="s">
        <v>7</v>
      </c>
      <c r="AK663" s="27" t="s">
        <v>8</v>
      </c>
      <c r="AL663" s="27" t="s">
        <v>7</v>
      </c>
      <c r="AM663" s="27" t="s">
        <v>8</v>
      </c>
      <c r="BX663" s="27" t="s">
        <v>7</v>
      </c>
      <c r="BY663" s="27" t="s">
        <v>8</v>
      </c>
      <c r="CN663" s="27" t="s">
        <v>7</v>
      </c>
      <c r="CQ663" s="27" t="s">
        <v>8</v>
      </c>
      <c r="CR663" s="27" t="s">
        <v>7</v>
      </c>
      <c r="CS663" s="27" t="s">
        <v>8</v>
      </c>
      <c r="CT663" s="27" t="s">
        <v>7</v>
      </c>
      <c r="CY663" s="27" t="s">
        <v>8</v>
      </c>
      <c r="CZ663" s="27" t="s">
        <v>7</v>
      </c>
      <c r="DC663" s="27" t="s">
        <v>8</v>
      </c>
      <c r="DD663" s="27" t="s">
        <v>7</v>
      </c>
      <c r="EC663" s="27" t="s">
        <v>8</v>
      </c>
      <c r="ED663" s="27" t="s">
        <v>7</v>
      </c>
      <c r="EI663" s="27" t="s">
        <v>8</v>
      </c>
      <c r="EJ663" s="27" t="s">
        <v>7</v>
      </c>
      <c r="EK663" s="27" t="s">
        <v>8</v>
      </c>
      <c r="EL663" s="27" t="s">
        <v>7</v>
      </c>
      <c r="EM663" s="27" t="s">
        <v>8</v>
      </c>
      <c r="EN663" s="27" t="s">
        <v>7</v>
      </c>
      <c r="EO663" s="27" t="s">
        <v>8</v>
      </c>
      <c r="EP663" s="27" t="s">
        <v>7</v>
      </c>
      <c r="EQ663" s="27" t="s">
        <v>8</v>
      </c>
      <c r="ER663" s="27" t="s">
        <v>7</v>
      </c>
      <c r="ES663" s="27" t="s">
        <v>8</v>
      </c>
      <c r="EY663" s="27" t="s">
        <v>8</v>
      </c>
      <c r="EZ663" s="27" t="s">
        <v>7</v>
      </c>
      <c r="FA663" s="27" t="s">
        <v>8</v>
      </c>
      <c r="FD663" s="27" t="s">
        <v>7</v>
      </c>
      <c r="FF663" s="27" t="s">
        <v>7</v>
      </c>
      <c r="FG663" s="27" t="s">
        <v>8</v>
      </c>
      <c r="FH663" s="27" t="s">
        <v>7</v>
      </c>
      <c r="FI663" s="27" t="s">
        <v>8</v>
      </c>
      <c r="FJ663" s="27" t="s">
        <v>7</v>
      </c>
      <c r="FK663" s="27" t="s">
        <v>8</v>
      </c>
      <c r="FL663" s="27" t="s">
        <v>7</v>
      </c>
      <c r="FM663" s="27" t="s">
        <v>8</v>
      </c>
      <c r="FN663" s="27" t="s">
        <v>7</v>
      </c>
      <c r="FO663" s="27" t="s">
        <v>8</v>
      </c>
      <c r="FP663" s="27" t="s">
        <v>7</v>
      </c>
      <c r="FS663" s="27" t="s">
        <v>8</v>
      </c>
      <c r="FT663" s="27" t="s">
        <v>7</v>
      </c>
      <c r="FU663" s="27" t="s">
        <v>8</v>
      </c>
      <c r="FV663" s="27" t="s">
        <v>7</v>
      </c>
      <c r="FW663" s="27" t="s">
        <v>8</v>
      </c>
      <c r="FX663" s="27" t="s">
        <v>7</v>
      </c>
      <c r="FY663" s="27" t="s">
        <v>8</v>
      </c>
      <c r="GQ663" s="27" t="s">
        <v>8</v>
      </c>
    </row>
    <row r="664" spans="1:206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H664" s="27" t="s">
        <v>7</v>
      </c>
      <c r="AI664" s="27" t="s">
        <v>8</v>
      </c>
      <c r="AJ664" s="27" t="s">
        <v>7</v>
      </c>
      <c r="AK664" s="27" t="s">
        <v>8</v>
      </c>
      <c r="AL664" s="27" t="s">
        <v>7</v>
      </c>
      <c r="AM664" s="27" t="s">
        <v>8</v>
      </c>
      <c r="BX664" s="27" t="s">
        <v>7</v>
      </c>
      <c r="BY664" s="27" t="s">
        <v>8</v>
      </c>
      <c r="CN664" s="27" t="s">
        <v>7</v>
      </c>
      <c r="CQ664" s="27" t="s">
        <v>8</v>
      </c>
      <c r="CR664" s="27" t="s">
        <v>7</v>
      </c>
      <c r="CS664" s="27" t="s">
        <v>8</v>
      </c>
      <c r="CT664" s="27" t="s">
        <v>7</v>
      </c>
      <c r="CY664" s="27" t="s">
        <v>8</v>
      </c>
      <c r="CZ664" s="27" t="s">
        <v>7</v>
      </c>
      <c r="DC664" s="27" t="s">
        <v>8</v>
      </c>
      <c r="DD664" s="27" t="s">
        <v>7</v>
      </c>
      <c r="EC664" s="27" t="s">
        <v>8</v>
      </c>
      <c r="ED664" s="27" t="s">
        <v>7</v>
      </c>
      <c r="EI664" s="27" t="s">
        <v>8</v>
      </c>
      <c r="EJ664" s="27" t="s">
        <v>7</v>
      </c>
      <c r="EK664" s="27" t="s">
        <v>8</v>
      </c>
      <c r="EL664" s="27" t="s">
        <v>7</v>
      </c>
      <c r="EM664" s="27" t="s">
        <v>8</v>
      </c>
      <c r="EN664" s="27" t="s">
        <v>7</v>
      </c>
      <c r="EP664" s="27" t="s">
        <v>7</v>
      </c>
      <c r="EQ664" s="27" t="s">
        <v>8</v>
      </c>
      <c r="ER664" s="27" t="s">
        <v>7</v>
      </c>
      <c r="ES664" s="27" t="s">
        <v>8</v>
      </c>
      <c r="ET664" s="27" t="s">
        <v>7</v>
      </c>
      <c r="EY664" s="27" t="s">
        <v>8</v>
      </c>
      <c r="EZ664" s="27" t="s">
        <v>7</v>
      </c>
      <c r="FA664" s="27" t="s">
        <v>8</v>
      </c>
      <c r="FF664" s="27" t="s">
        <v>7</v>
      </c>
      <c r="FH664" s="27" t="s">
        <v>7</v>
      </c>
      <c r="FI664" s="27" t="s">
        <v>8</v>
      </c>
      <c r="FJ664" s="27" t="s">
        <v>7</v>
      </c>
      <c r="FL664" s="27" t="s">
        <v>7</v>
      </c>
      <c r="FM664" s="27" t="s">
        <v>8</v>
      </c>
      <c r="FN664" s="27" t="s">
        <v>7</v>
      </c>
      <c r="FO664" s="27" t="s">
        <v>8</v>
      </c>
      <c r="FP664" s="27" t="s">
        <v>7</v>
      </c>
      <c r="FQ664" s="27" t="s">
        <v>8</v>
      </c>
      <c r="FS664" s="27" t="s">
        <v>8</v>
      </c>
      <c r="FT664" s="27" t="s">
        <v>7</v>
      </c>
      <c r="FU664" s="27" t="s">
        <v>8</v>
      </c>
      <c r="FV664" s="27" t="s">
        <v>7</v>
      </c>
      <c r="FW664" s="27" t="s">
        <v>8</v>
      </c>
      <c r="FX664" s="27" t="s">
        <v>7</v>
      </c>
      <c r="FY664" s="27" t="s">
        <v>8</v>
      </c>
      <c r="FZ664" s="27" t="s">
        <v>7</v>
      </c>
      <c r="GA664" s="27" t="s">
        <v>8</v>
      </c>
      <c r="GQ664" s="27" t="s">
        <v>8</v>
      </c>
      <c r="GR664" s="27" t="s">
        <v>7</v>
      </c>
    </row>
    <row r="665" spans="1:206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H665" s="27" t="s">
        <v>7</v>
      </c>
      <c r="AI665" s="27" t="s">
        <v>8</v>
      </c>
      <c r="AJ665" s="27" t="s">
        <v>7</v>
      </c>
      <c r="AK665" s="27" t="s">
        <v>8</v>
      </c>
      <c r="AL665" s="27" t="s">
        <v>7</v>
      </c>
      <c r="AM665" s="27" t="s">
        <v>8</v>
      </c>
      <c r="BX665" s="27" t="s">
        <v>7</v>
      </c>
      <c r="BY665" s="27" t="s">
        <v>8</v>
      </c>
      <c r="CN665" s="27" t="s">
        <v>7</v>
      </c>
      <c r="CQ665" s="27" t="s">
        <v>8</v>
      </c>
      <c r="CR665" s="27" t="s">
        <v>7</v>
      </c>
      <c r="CS665" s="27" t="s">
        <v>8</v>
      </c>
      <c r="CT665" s="27" t="s">
        <v>7</v>
      </c>
      <c r="CU665" s="27" t="s">
        <v>8</v>
      </c>
      <c r="CY665" s="27" t="s">
        <v>8</v>
      </c>
      <c r="CZ665" s="27" t="s">
        <v>7</v>
      </c>
      <c r="DC665" s="27" t="s">
        <v>8</v>
      </c>
      <c r="DD665" s="27" t="s">
        <v>7</v>
      </c>
      <c r="DG665" s="27" t="s">
        <v>8</v>
      </c>
      <c r="EC665" s="27" t="s">
        <v>8</v>
      </c>
      <c r="ED665" s="27" t="s">
        <v>7</v>
      </c>
      <c r="EI665" s="27" t="s">
        <v>8</v>
      </c>
      <c r="EJ665" s="27" t="s">
        <v>7</v>
      </c>
      <c r="EK665" s="27" t="s">
        <v>8</v>
      </c>
      <c r="EL665" s="27" t="s">
        <v>7</v>
      </c>
      <c r="EM665" s="27" t="s">
        <v>8</v>
      </c>
      <c r="EP665" s="27" t="s">
        <v>7</v>
      </c>
      <c r="ER665" s="27" t="s">
        <v>7</v>
      </c>
      <c r="ES665" s="27" t="s">
        <v>8</v>
      </c>
      <c r="ET665" s="27" t="s">
        <v>7</v>
      </c>
      <c r="EY665" s="27" t="s">
        <v>8</v>
      </c>
      <c r="EZ665" s="27" t="s">
        <v>7</v>
      </c>
      <c r="FA665" s="27" t="s">
        <v>8</v>
      </c>
      <c r="FH665" s="27" t="s">
        <v>7</v>
      </c>
      <c r="FI665" s="27" t="s">
        <v>8</v>
      </c>
      <c r="FL665" s="27" t="s">
        <v>7</v>
      </c>
      <c r="FM665" s="27" t="s">
        <v>8</v>
      </c>
      <c r="FN665" s="27" t="s">
        <v>7</v>
      </c>
      <c r="FO665" s="27" t="s">
        <v>8</v>
      </c>
      <c r="FP665" s="27" t="s">
        <v>7</v>
      </c>
      <c r="FQ665" s="27" t="s">
        <v>8</v>
      </c>
      <c r="FR665" s="27" t="s">
        <v>7</v>
      </c>
      <c r="FS665" s="27" t="s">
        <v>8</v>
      </c>
      <c r="FT665" s="27" t="s">
        <v>7</v>
      </c>
      <c r="FU665" s="27" t="s">
        <v>8</v>
      </c>
      <c r="FV665" s="27" t="s">
        <v>7</v>
      </c>
      <c r="FW665" s="27" t="s">
        <v>8</v>
      </c>
      <c r="FX665" s="27" t="s">
        <v>7</v>
      </c>
      <c r="FY665" s="27" t="s">
        <v>8</v>
      </c>
      <c r="FZ665" s="27" t="s">
        <v>7</v>
      </c>
      <c r="GA665" s="27" t="s">
        <v>8</v>
      </c>
      <c r="GB665" s="27" t="s">
        <v>7</v>
      </c>
      <c r="GE665" s="27" t="s">
        <v>8</v>
      </c>
      <c r="GQ665" s="27" t="s">
        <v>8</v>
      </c>
      <c r="GR665" s="27" t="s">
        <v>7</v>
      </c>
    </row>
    <row r="666" spans="1:206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AI666" s="27" t="s">
        <v>8</v>
      </c>
      <c r="AJ666" s="27" t="s">
        <v>7</v>
      </c>
      <c r="AL666" s="27" t="s">
        <v>7</v>
      </c>
      <c r="AM666" s="27" t="s">
        <v>8</v>
      </c>
      <c r="BX666" s="27" t="s">
        <v>7</v>
      </c>
      <c r="BY666" s="27" t="s">
        <v>8</v>
      </c>
      <c r="CN666" s="27" t="s">
        <v>7</v>
      </c>
      <c r="CQ666" s="27" t="s">
        <v>8</v>
      </c>
      <c r="CR666" s="27" t="s">
        <v>7</v>
      </c>
      <c r="CS666" s="27" t="s">
        <v>8</v>
      </c>
      <c r="CT666" s="27" t="s">
        <v>7</v>
      </c>
      <c r="CU666" s="27" t="s">
        <v>8</v>
      </c>
      <c r="CV666" s="27" t="s">
        <v>7</v>
      </c>
      <c r="CY666" s="27" t="s">
        <v>8</v>
      </c>
      <c r="CZ666" s="27" t="s">
        <v>7</v>
      </c>
      <c r="DC666" s="27" t="s">
        <v>8</v>
      </c>
      <c r="DD666" s="27" t="s">
        <v>7</v>
      </c>
      <c r="DG666" s="27" t="s">
        <v>8</v>
      </c>
      <c r="DH666" s="27" t="s">
        <v>7</v>
      </c>
      <c r="EC666" s="27" t="s">
        <v>8</v>
      </c>
      <c r="ED666" s="27" t="s">
        <v>7</v>
      </c>
      <c r="EI666" s="27" t="s">
        <v>8</v>
      </c>
      <c r="EJ666" s="27" t="s">
        <v>7</v>
      </c>
      <c r="EK666" s="27" t="s">
        <v>8</v>
      </c>
      <c r="EL666" s="27" t="s">
        <v>7</v>
      </c>
      <c r="EM666" s="27" t="s">
        <v>8</v>
      </c>
      <c r="ER666" s="27" t="s">
        <v>7</v>
      </c>
      <c r="ES666" s="27" t="s">
        <v>8</v>
      </c>
      <c r="ET666" s="27" t="s">
        <v>7</v>
      </c>
      <c r="EY666" s="27" t="s">
        <v>8</v>
      </c>
      <c r="EZ666" s="27" t="s">
        <v>7</v>
      </c>
      <c r="FA666" s="27" t="s">
        <v>8</v>
      </c>
      <c r="FH666" s="27" t="s">
        <v>7</v>
      </c>
      <c r="FI666" s="27" t="s">
        <v>8</v>
      </c>
      <c r="FL666" s="27" t="s">
        <v>7</v>
      </c>
      <c r="FM666" s="27" t="s">
        <v>8</v>
      </c>
      <c r="FN666" s="27" t="s">
        <v>7</v>
      </c>
      <c r="FP666" s="27" t="s">
        <v>7</v>
      </c>
      <c r="FQ666" s="27" t="s">
        <v>8</v>
      </c>
      <c r="FR666" s="27" t="s">
        <v>7</v>
      </c>
      <c r="FS666" s="27" t="s">
        <v>8</v>
      </c>
      <c r="FT666" s="27" t="s">
        <v>7</v>
      </c>
      <c r="FU666" s="27" t="s">
        <v>8</v>
      </c>
      <c r="FV666" s="27" t="s">
        <v>7</v>
      </c>
      <c r="FX666" s="27" t="s">
        <v>7</v>
      </c>
      <c r="FY666" s="27" t="s">
        <v>8</v>
      </c>
      <c r="FZ666" s="27" t="s">
        <v>7</v>
      </c>
      <c r="GA666" s="27" t="s">
        <v>8</v>
      </c>
      <c r="GB666" s="27" t="s">
        <v>7</v>
      </c>
      <c r="GE666" s="27" t="s">
        <v>8</v>
      </c>
      <c r="GF666" s="27" t="s">
        <v>7</v>
      </c>
      <c r="GQ666" s="27" t="s">
        <v>8</v>
      </c>
      <c r="GR666" s="27" t="s">
        <v>7</v>
      </c>
    </row>
    <row r="667" spans="1:206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  <c r="H667" s="27" t="s">
        <v>7</v>
      </c>
      <c r="AI667" s="27" t="s">
        <v>8</v>
      </c>
      <c r="AL667" s="27" t="s">
        <v>7</v>
      </c>
      <c r="AM667" s="27" t="s">
        <v>8</v>
      </c>
      <c r="BX667" s="27" t="s">
        <v>7</v>
      </c>
      <c r="BY667" s="27" t="s">
        <v>8</v>
      </c>
      <c r="CN667" s="27" t="s">
        <v>7</v>
      </c>
      <c r="CO667" s="27" t="s">
        <v>8</v>
      </c>
      <c r="CQ667" s="27" t="s">
        <v>8</v>
      </c>
      <c r="CR667" s="27" t="s">
        <v>7</v>
      </c>
      <c r="CS667" s="27" t="s">
        <v>8</v>
      </c>
      <c r="CT667" s="27" t="s">
        <v>7</v>
      </c>
      <c r="CU667" s="27" t="s">
        <v>8</v>
      </c>
      <c r="CV667" s="27" t="s">
        <v>7</v>
      </c>
      <c r="CY667" s="27" t="s">
        <v>8</v>
      </c>
      <c r="CZ667" s="27" t="s">
        <v>7</v>
      </c>
      <c r="DC667" s="27" t="s">
        <v>8</v>
      </c>
      <c r="DD667" s="27" t="s">
        <v>7</v>
      </c>
      <c r="DG667" s="27" t="s">
        <v>8</v>
      </c>
      <c r="DH667" s="27" t="s">
        <v>7</v>
      </c>
      <c r="EC667" s="27" t="s">
        <v>8</v>
      </c>
      <c r="ED667" s="27" t="s">
        <v>7</v>
      </c>
      <c r="EI667" s="27" t="s">
        <v>8</v>
      </c>
      <c r="EJ667" s="27" t="s">
        <v>7</v>
      </c>
      <c r="EK667" s="27" t="s">
        <v>8</v>
      </c>
      <c r="EL667" s="27" t="s">
        <v>7</v>
      </c>
      <c r="EM667" s="27" t="s">
        <v>8</v>
      </c>
      <c r="ER667" s="27" t="s">
        <v>7</v>
      </c>
      <c r="ES667" s="27" t="s">
        <v>8</v>
      </c>
      <c r="ET667" s="27" t="s">
        <v>7</v>
      </c>
      <c r="EY667" s="27" t="s">
        <v>8</v>
      </c>
      <c r="EZ667" s="27" t="s">
        <v>7</v>
      </c>
      <c r="FA667" s="27" t="s">
        <v>8</v>
      </c>
      <c r="FH667" s="27" t="s">
        <v>7</v>
      </c>
      <c r="FI667" s="27" t="s">
        <v>8</v>
      </c>
      <c r="FL667" s="27" t="s">
        <v>7</v>
      </c>
      <c r="FP667" s="27" t="s">
        <v>7</v>
      </c>
      <c r="FR667" s="27" t="s">
        <v>7</v>
      </c>
      <c r="FS667" s="27" t="s">
        <v>8</v>
      </c>
      <c r="FT667" s="27" t="s">
        <v>7</v>
      </c>
      <c r="FU667" s="27" t="s">
        <v>8</v>
      </c>
      <c r="FX667" s="27" t="s">
        <v>7</v>
      </c>
      <c r="FZ667" s="27" t="s">
        <v>7</v>
      </c>
      <c r="GB667" s="27" t="s">
        <v>7</v>
      </c>
      <c r="GE667" s="27" t="s">
        <v>8</v>
      </c>
      <c r="GF667" s="27" t="s">
        <v>7</v>
      </c>
      <c r="GG667" s="27" t="s">
        <v>8</v>
      </c>
      <c r="GI667" s="27" t="s">
        <v>8</v>
      </c>
      <c r="GO667" s="27" t="s">
        <v>8</v>
      </c>
      <c r="GQ667" s="27" t="s">
        <v>8</v>
      </c>
      <c r="GR667" s="27" t="s">
        <v>7</v>
      </c>
      <c r="GW667" s="27" t="s">
        <v>8</v>
      </c>
    </row>
    <row r="668" spans="1:206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  <c r="H668" s="27" t="s">
        <v>7</v>
      </c>
      <c r="AI668" s="27" t="s">
        <v>8</v>
      </c>
      <c r="AL668" s="27" t="s">
        <v>7</v>
      </c>
      <c r="BX668" s="27" t="s">
        <v>7</v>
      </c>
      <c r="BY668" s="27" t="s">
        <v>8</v>
      </c>
      <c r="CN668" s="27" t="s">
        <v>7</v>
      </c>
      <c r="CO668" s="27" t="s">
        <v>8</v>
      </c>
      <c r="CP668" s="27" t="s">
        <v>7</v>
      </c>
      <c r="CQ668" s="27" t="s">
        <v>8</v>
      </c>
      <c r="CR668" s="27" t="s">
        <v>7</v>
      </c>
      <c r="CS668" s="27" t="s">
        <v>8</v>
      </c>
      <c r="CT668" s="27" t="s">
        <v>7</v>
      </c>
      <c r="CV668" s="27" t="s">
        <v>7</v>
      </c>
      <c r="CW668" s="27" t="s">
        <v>8</v>
      </c>
      <c r="CY668" s="27" t="s">
        <v>8</v>
      </c>
      <c r="CZ668" s="27" t="s">
        <v>7</v>
      </c>
      <c r="DC668" s="27" t="s">
        <v>8</v>
      </c>
      <c r="DD668" s="27" t="s">
        <v>7</v>
      </c>
      <c r="DG668" s="27" t="s">
        <v>8</v>
      </c>
      <c r="DH668" s="27" t="s">
        <v>7</v>
      </c>
      <c r="EC668" s="27" t="s">
        <v>8</v>
      </c>
      <c r="ED668" s="27" t="s">
        <v>7</v>
      </c>
      <c r="EI668" s="27" t="s">
        <v>8</v>
      </c>
      <c r="EJ668" s="27" t="s">
        <v>7</v>
      </c>
      <c r="EK668" s="27" t="s">
        <v>8</v>
      </c>
      <c r="EL668" s="27" t="s">
        <v>7</v>
      </c>
      <c r="EM668" s="27" t="s">
        <v>8</v>
      </c>
      <c r="ER668" s="27" t="s">
        <v>7</v>
      </c>
      <c r="ES668" s="27" t="s">
        <v>8</v>
      </c>
      <c r="ET668" s="27" t="s">
        <v>7</v>
      </c>
      <c r="EU668" s="27" t="s">
        <v>8</v>
      </c>
      <c r="EY668" s="27" t="s">
        <v>8</v>
      </c>
      <c r="EZ668" s="27" t="s">
        <v>7</v>
      </c>
      <c r="FA668" s="27" t="s">
        <v>8</v>
      </c>
      <c r="FH668" s="27" t="s">
        <v>7</v>
      </c>
      <c r="FI668" s="27" t="s">
        <v>8</v>
      </c>
      <c r="FR668" s="27" t="s">
        <v>7</v>
      </c>
      <c r="FS668" s="27" t="s">
        <v>8</v>
      </c>
      <c r="FT668" s="27" t="s">
        <v>7</v>
      </c>
      <c r="FU668" s="27" t="s">
        <v>8</v>
      </c>
      <c r="GB668" s="27" t="s">
        <v>7</v>
      </c>
      <c r="GE668" s="27" t="s">
        <v>8</v>
      </c>
      <c r="GF668" s="27" t="s">
        <v>7</v>
      </c>
      <c r="GG668" s="27" t="s">
        <v>8</v>
      </c>
      <c r="GH668" s="27" t="s">
        <v>7</v>
      </c>
      <c r="GI668" s="27" t="s">
        <v>8</v>
      </c>
      <c r="GJ668" s="27" t="s">
        <v>7</v>
      </c>
      <c r="GK668" s="27" t="s">
        <v>8</v>
      </c>
      <c r="GM668" s="27" t="s">
        <v>8</v>
      </c>
      <c r="GO668" s="27" t="s">
        <v>8</v>
      </c>
      <c r="GP668" s="27" t="s">
        <v>7</v>
      </c>
      <c r="GQ668" s="27" t="s">
        <v>8</v>
      </c>
      <c r="GR668" s="27" t="s">
        <v>7</v>
      </c>
      <c r="GW668" s="27" t="s">
        <v>8</v>
      </c>
      <c r="GX668" s="27" t="s">
        <v>7</v>
      </c>
    </row>
    <row r="669" spans="1:206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H669" s="27" t="s">
        <v>7</v>
      </c>
      <c r="AI669" s="27" t="s">
        <v>8</v>
      </c>
      <c r="BX669" s="27" t="s">
        <v>7</v>
      </c>
      <c r="BY669" s="27" t="s">
        <v>8</v>
      </c>
      <c r="CN669" s="27" t="s">
        <v>7</v>
      </c>
      <c r="CO669" s="27" t="s">
        <v>8</v>
      </c>
      <c r="CP669" s="27" t="s">
        <v>7</v>
      </c>
      <c r="CQ669" s="27" t="s">
        <v>8</v>
      </c>
      <c r="CR669" s="27" t="s">
        <v>7</v>
      </c>
      <c r="CS669" s="27" t="s">
        <v>8</v>
      </c>
      <c r="CV669" s="27" t="s">
        <v>7</v>
      </c>
      <c r="CW669" s="27" t="s">
        <v>8</v>
      </c>
      <c r="CX669" s="27" t="s">
        <v>7</v>
      </c>
      <c r="CY669" s="27" t="s">
        <v>8</v>
      </c>
      <c r="CZ669" s="27" t="s">
        <v>7</v>
      </c>
      <c r="DC669" s="27" t="s">
        <v>8</v>
      </c>
      <c r="DD669" s="27" t="s">
        <v>7</v>
      </c>
      <c r="DG669" s="27" t="s">
        <v>8</v>
      </c>
      <c r="DH669" s="27" t="s">
        <v>7</v>
      </c>
      <c r="EC669" s="27" t="s">
        <v>8</v>
      </c>
      <c r="ED669" s="27" t="s">
        <v>7</v>
      </c>
      <c r="EI669" s="27" t="s">
        <v>8</v>
      </c>
      <c r="EJ669" s="27" t="s">
        <v>7</v>
      </c>
      <c r="EK669" s="27" t="s">
        <v>8</v>
      </c>
      <c r="EL669" s="27" t="s">
        <v>7</v>
      </c>
      <c r="EM669" s="27" t="s">
        <v>8</v>
      </c>
      <c r="ER669" s="27" t="s">
        <v>7</v>
      </c>
      <c r="ES669" s="27" t="s">
        <v>8</v>
      </c>
      <c r="ET669" s="27" t="s">
        <v>7</v>
      </c>
      <c r="EU669" s="27" t="s">
        <v>8</v>
      </c>
      <c r="EV669" s="27" t="s">
        <v>7</v>
      </c>
      <c r="EW669" s="27" t="s">
        <v>8</v>
      </c>
      <c r="EY669" s="27" t="s">
        <v>8</v>
      </c>
      <c r="EZ669" s="27" t="s">
        <v>7</v>
      </c>
      <c r="FA669" s="27" t="s">
        <v>8</v>
      </c>
      <c r="FH669" s="27" t="s">
        <v>7</v>
      </c>
      <c r="FI669" s="27" t="s">
        <v>8</v>
      </c>
      <c r="FR669" s="27" t="s">
        <v>7</v>
      </c>
      <c r="FT669" s="27" t="s">
        <v>7</v>
      </c>
      <c r="FU669" s="27" t="s">
        <v>8</v>
      </c>
      <c r="GB669" s="27" t="s">
        <v>7</v>
      </c>
      <c r="GC669" s="27" t="s">
        <v>8</v>
      </c>
      <c r="GE669" s="27" t="s">
        <v>8</v>
      </c>
      <c r="GF669" s="27" t="s">
        <v>7</v>
      </c>
      <c r="GG669" s="27" t="s">
        <v>8</v>
      </c>
      <c r="GH669" s="27" t="s">
        <v>7</v>
      </c>
      <c r="GI669" s="27" t="s">
        <v>8</v>
      </c>
      <c r="GJ669" s="27" t="s">
        <v>7</v>
      </c>
      <c r="GK669" s="27" t="s">
        <v>8</v>
      </c>
      <c r="GL669" s="27" t="s">
        <v>7</v>
      </c>
      <c r="GM669" s="27" t="s">
        <v>8</v>
      </c>
      <c r="GN669" s="27" t="s">
        <v>7</v>
      </c>
      <c r="GO669" s="27" t="s">
        <v>8</v>
      </c>
      <c r="GP669" s="27" t="s">
        <v>7</v>
      </c>
      <c r="GQ669" s="27" t="s">
        <v>8</v>
      </c>
      <c r="GR669" s="27" t="s">
        <v>7</v>
      </c>
      <c r="GW669" s="27" t="s">
        <v>8</v>
      </c>
      <c r="GX669" s="27" t="s">
        <v>7</v>
      </c>
    </row>
    <row r="670" spans="1:206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AI670" s="27" t="s">
        <v>8</v>
      </c>
      <c r="BX670" s="27" t="s">
        <v>7</v>
      </c>
      <c r="BY670" s="27" t="s">
        <v>8</v>
      </c>
      <c r="CN670" s="27" t="s">
        <v>7</v>
      </c>
      <c r="CO670" s="27" t="s">
        <v>8</v>
      </c>
      <c r="CP670" s="27" t="s">
        <v>7</v>
      </c>
      <c r="CQ670" s="27" t="s">
        <v>8</v>
      </c>
      <c r="CR670" s="27" t="s">
        <v>7</v>
      </c>
      <c r="CS670" s="27" t="s">
        <v>8</v>
      </c>
      <c r="CV670" s="27" t="s">
        <v>7</v>
      </c>
      <c r="CW670" s="27" t="s">
        <v>8</v>
      </c>
      <c r="CX670" s="27" t="s">
        <v>7</v>
      </c>
      <c r="CY670" s="27" t="s">
        <v>8</v>
      </c>
      <c r="CZ670" s="27" t="s">
        <v>7</v>
      </c>
      <c r="DC670" s="27" t="s">
        <v>8</v>
      </c>
      <c r="DD670" s="27" t="s">
        <v>7</v>
      </c>
      <c r="DG670" s="27" t="s">
        <v>8</v>
      </c>
      <c r="DH670" s="27" t="s">
        <v>7</v>
      </c>
      <c r="EC670" s="27" t="s">
        <v>8</v>
      </c>
      <c r="ED670" s="27" t="s">
        <v>7</v>
      </c>
      <c r="EI670" s="27" t="s">
        <v>8</v>
      </c>
      <c r="EJ670" s="27" t="s">
        <v>7</v>
      </c>
      <c r="EK670" s="27" t="s">
        <v>8</v>
      </c>
      <c r="EL670" s="27" t="s">
        <v>7</v>
      </c>
      <c r="ER670" s="27" t="s">
        <v>7</v>
      </c>
      <c r="ES670" s="27" t="s">
        <v>8</v>
      </c>
      <c r="ET670" s="27" t="s">
        <v>7</v>
      </c>
      <c r="EU670" s="27" t="s">
        <v>8</v>
      </c>
      <c r="EV670" s="27" t="s">
        <v>7</v>
      </c>
      <c r="EW670" s="27" t="s">
        <v>8</v>
      </c>
      <c r="EX670" s="27" t="s">
        <v>7</v>
      </c>
      <c r="EY670" s="27" t="s">
        <v>8</v>
      </c>
      <c r="EZ670" s="27" t="s">
        <v>7</v>
      </c>
      <c r="FA670" s="27" t="s">
        <v>8</v>
      </c>
      <c r="FH670" s="27" t="s">
        <v>7</v>
      </c>
      <c r="FI670" s="27" t="s">
        <v>8</v>
      </c>
      <c r="FT670" s="27" t="s">
        <v>7</v>
      </c>
      <c r="GB670" s="27" t="s">
        <v>7</v>
      </c>
      <c r="GC670" s="27" t="s">
        <v>8</v>
      </c>
      <c r="GD670" s="27" t="s">
        <v>7</v>
      </c>
      <c r="GE670" s="27" t="s">
        <v>8</v>
      </c>
      <c r="GF670" s="27" t="s">
        <v>7</v>
      </c>
      <c r="GG670" s="27" t="s">
        <v>8</v>
      </c>
      <c r="GH670" s="27" t="s">
        <v>7</v>
      </c>
      <c r="GJ670" s="27" t="s">
        <v>7</v>
      </c>
      <c r="GK670" s="27" t="s">
        <v>8</v>
      </c>
      <c r="GL670" s="27" t="s">
        <v>7</v>
      </c>
      <c r="GM670" s="27" t="s">
        <v>8</v>
      </c>
      <c r="GN670" s="27" t="s">
        <v>7</v>
      </c>
      <c r="GO670" s="27" t="s">
        <v>8</v>
      </c>
      <c r="GP670" s="27" t="s">
        <v>7</v>
      </c>
      <c r="GQ670" s="27" t="s">
        <v>8</v>
      </c>
      <c r="GR670" s="27" t="s">
        <v>7</v>
      </c>
      <c r="GW670" s="27" t="s">
        <v>8</v>
      </c>
      <c r="GX670" s="27" t="s">
        <v>7</v>
      </c>
    </row>
    <row r="671" spans="1:206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AA671" s="27" t="s">
        <v>8</v>
      </c>
      <c r="AC671" s="27" t="s">
        <v>8</v>
      </c>
      <c r="AI671" s="27" t="s">
        <v>8</v>
      </c>
      <c r="BX671" s="27" t="s">
        <v>7</v>
      </c>
      <c r="CN671" s="27" t="s">
        <v>7</v>
      </c>
      <c r="CO671" s="27" t="s">
        <v>8</v>
      </c>
      <c r="CP671" s="27" t="s">
        <v>7</v>
      </c>
      <c r="CQ671" s="27" t="s">
        <v>8</v>
      </c>
      <c r="CR671" s="27" t="s">
        <v>7</v>
      </c>
      <c r="CS671" s="27" t="s">
        <v>8</v>
      </c>
      <c r="CV671" s="27" t="s">
        <v>7</v>
      </c>
      <c r="CW671" s="27" t="s">
        <v>8</v>
      </c>
      <c r="CX671" s="27" t="s">
        <v>7</v>
      </c>
      <c r="CY671" s="27" t="s">
        <v>8</v>
      </c>
      <c r="CZ671" s="27" t="s">
        <v>7</v>
      </c>
      <c r="DC671" s="27" t="s">
        <v>8</v>
      </c>
      <c r="DD671" s="27" t="s">
        <v>7</v>
      </c>
      <c r="DG671" s="27" t="s">
        <v>8</v>
      </c>
      <c r="DH671" s="27" t="s">
        <v>7</v>
      </c>
      <c r="EC671" s="27" t="s">
        <v>8</v>
      </c>
      <c r="ED671" s="27" t="s">
        <v>7</v>
      </c>
      <c r="EI671" s="27" t="s">
        <v>8</v>
      </c>
      <c r="EJ671" s="27" t="s">
        <v>7</v>
      </c>
      <c r="EK671" s="27" t="s">
        <v>8</v>
      </c>
      <c r="ER671" s="27" t="s">
        <v>7</v>
      </c>
      <c r="ES671" s="27" t="s">
        <v>8</v>
      </c>
      <c r="ET671" s="27" t="s">
        <v>7</v>
      </c>
      <c r="EU671" s="27" t="s">
        <v>8</v>
      </c>
      <c r="EV671" s="27" t="s">
        <v>7</v>
      </c>
      <c r="EW671" s="27" t="s">
        <v>8</v>
      </c>
      <c r="EX671" s="27" t="s">
        <v>7</v>
      </c>
      <c r="EY671" s="27" t="s">
        <v>8</v>
      </c>
      <c r="EZ671" s="27" t="s">
        <v>7</v>
      </c>
      <c r="FH671" s="27" t="s">
        <v>7</v>
      </c>
      <c r="FI671" s="27" t="s">
        <v>8</v>
      </c>
      <c r="GB671" s="27" t="s">
        <v>7</v>
      </c>
      <c r="GC671" s="27" t="s">
        <v>8</v>
      </c>
      <c r="GD671" s="27" t="s">
        <v>7</v>
      </c>
      <c r="GE671" s="27" t="s">
        <v>8</v>
      </c>
      <c r="GF671" s="27" t="s">
        <v>7</v>
      </c>
      <c r="GG671" s="27" t="s">
        <v>8</v>
      </c>
      <c r="GJ671" s="27" t="s">
        <v>7</v>
      </c>
      <c r="GL671" s="27" t="s">
        <v>7</v>
      </c>
      <c r="GM671" s="27" t="s">
        <v>8</v>
      </c>
      <c r="GN671" s="27" t="s">
        <v>7</v>
      </c>
      <c r="GO671" s="27" t="s">
        <v>8</v>
      </c>
      <c r="GP671" s="27" t="s">
        <v>7</v>
      </c>
      <c r="GQ671" s="27" t="s">
        <v>8</v>
      </c>
      <c r="GR671" s="27" t="s">
        <v>7</v>
      </c>
      <c r="GW671" s="27" t="s">
        <v>8</v>
      </c>
      <c r="GX671" s="27" t="s">
        <v>7</v>
      </c>
    </row>
    <row r="672" spans="1:206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M672" s="27" t="s">
        <v>8</v>
      </c>
      <c r="AA672" s="27" t="s">
        <v>8</v>
      </c>
      <c r="AB672" s="27" t="s">
        <v>7</v>
      </c>
      <c r="AC672" s="27" t="s">
        <v>8</v>
      </c>
      <c r="AD672" s="27" t="s">
        <v>7</v>
      </c>
      <c r="AI672" s="27" t="s">
        <v>8</v>
      </c>
      <c r="CN672" s="27" t="s">
        <v>7</v>
      </c>
      <c r="CO672" s="27" t="s">
        <v>8</v>
      </c>
      <c r="CP672" s="27" t="s">
        <v>7</v>
      </c>
      <c r="CQ672" s="27" t="s">
        <v>8</v>
      </c>
      <c r="CR672" s="27" t="s">
        <v>7</v>
      </c>
      <c r="CS672" s="27" t="s">
        <v>8</v>
      </c>
      <c r="CV672" s="27" t="s">
        <v>7</v>
      </c>
      <c r="CW672" s="27" t="s">
        <v>8</v>
      </c>
      <c r="CX672" s="27" t="s">
        <v>7</v>
      </c>
      <c r="CY672" s="27" t="s">
        <v>8</v>
      </c>
      <c r="CZ672" s="27" t="s">
        <v>7</v>
      </c>
      <c r="DC672" s="27" t="s">
        <v>8</v>
      </c>
      <c r="DD672" s="27" t="s">
        <v>7</v>
      </c>
      <c r="DE672" s="27" t="s">
        <v>8</v>
      </c>
      <c r="DG672" s="27" t="s">
        <v>8</v>
      </c>
      <c r="DH672" s="27" t="s">
        <v>7</v>
      </c>
      <c r="EC672" s="27" t="s">
        <v>8</v>
      </c>
      <c r="ED672" s="27" t="s">
        <v>7</v>
      </c>
      <c r="EI672" s="27" t="s">
        <v>8</v>
      </c>
      <c r="EJ672" s="27" t="s">
        <v>7</v>
      </c>
      <c r="EK672" s="27" t="s">
        <v>8</v>
      </c>
      <c r="ER672" s="27" t="s">
        <v>7</v>
      </c>
      <c r="ES672" s="27" t="s">
        <v>8</v>
      </c>
      <c r="ET672" s="27" t="s">
        <v>7</v>
      </c>
      <c r="EU672" s="27" t="s">
        <v>8</v>
      </c>
      <c r="EV672" s="27" t="s">
        <v>7</v>
      </c>
      <c r="EW672" s="27" t="s">
        <v>8</v>
      </c>
      <c r="EX672" s="27" t="s">
        <v>7</v>
      </c>
      <c r="EY672" s="27" t="s">
        <v>8</v>
      </c>
      <c r="FH672" s="27" t="s">
        <v>7</v>
      </c>
      <c r="FI672" s="27" t="s">
        <v>8</v>
      </c>
      <c r="GB672" s="27" t="s">
        <v>7</v>
      </c>
      <c r="GC672" s="27" t="s">
        <v>8</v>
      </c>
      <c r="GD672" s="27" t="s">
        <v>7</v>
      </c>
      <c r="GF672" s="27" t="s">
        <v>7</v>
      </c>
      <c r="GL672" s="27" t="s">
        <v>7</v>
      </c>
      <c r="GM672" s="27" t="s">
        <v>8</v>
      </c>
      <c r="GN672" s="27" t="s">
        <v>7</v>
      </c>
      <c r="GO672" s="27" t="s">
        <v>8</v>
      </c>
      <c r="GP672" s="27" t="s">
        <v>7</v>
      </c>
      <c r="GQ672" s="27" t="s">
        <v>8</v>
      </c>
      <c r="GR672" s="27" t="s">
        <v>7</v>
      </c>
      <c r="GW672" s="27" t="s">
        <v>8</v>
      </c>
      <c r="GX672" s="27" t="s">
        <v>7</v>
      </c>
    </row>
    <row r="673" spans="1:228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  <c r="H673" s="27" t="s">
        <v>7</v>
      </c>
      <c r="M673" s="27" t="s">
        <v>8</v>
      </c>
      <c r="N673" s="27" t="s">
        <v>7</v>
      </c>
      <c r="AA673" s="27" t="s">
        <v>8</v>
      </c>
      <c r="AB673" s="27" t="s">
        <v>7</v>
      </c>
      <c r="AC673" s="27" t="s">
        <v>8</v>
      </c>
      <c r="AD673" s="27" t="s">
        <v>7</v>
      </c>
      <c r="AI673" s="27" t="s">
        <v>8</v>
      </c>
      <c r="CN673" s="27" t="s">
        <v>7</v>
      </c>
      <c r="CO673" s="27" t="s">
        <v>8</v>
      </c>
      <c r="CP673" s="27" t="s">
        <v>7</v>
      </c>
      <c r="CQ673" s="27" t="s">
        <v>8</v>
      </c>
      <c r="CR673" s="27" t="s">
        <v>7</v>
      </c>
      <c r="CS673" s="27" t="s">
        <v>8</v>
      </c>
      <c r="CV673" s="27" t="s">
        <v>7</v>
      </c>
      <c r="CX673" s="27" t="s">
        <v>7</v>
      </c>
      <c r="CY673" s="27" t="s">
        <v>8</v>
      </c>
      <c r="CZ673" s="27" t="s">
        <v>7</v>
      </c>
      <c r="DC673" s="27" t="s">
        <v>8</v>
      </c>
      <c r="DD673" s="27" t="s">
        <v>7</v>
      </c>
      <c r="DE673" s="27" t="s">
        <v>8</v>
      </c>
      <c r="DF673" s="27" t="s">
        <v>7</v>
      </c>
      <c r="DG673" s="27" t="s">
        <v>8</v>
      </c>
      <c r="DH673" s="27" t="s">
        <v>7</v>
      </c>
      <c r="EC673" s="27" t="s">
        <v>8</v>
      </c>
      <c r="ED673" s="27" t="s">
        <v>7</v>
      </c>
      <c r="EI673" s="27" t="s">
        <v>8</v>
      </c>
      <c r="EJ673" s="27" t="s">
        <v>7</v>
      </c>
      <c r="EK673" s="27" t="s">
        <v>8</v>
      </c>
      <c r="ER673" s="27" t="s">
        <v>7</v>
      </c>
      <c r="ES673" s="27" t="s">
        <v>8</v>
      </c>
      <c r="ET673" s="27" t="s">
        <v>7</v>
      </c>
      <c r="EU673" s="27" t="s">
        <v>8</v>
      </c>
      <c r="EV673" s="27" t="s">
        <v>7</v>
      </c>
      <c r="EW673" s="27" t="s">
        <v>8</v>
      </c>
      <c r="EX673" s="27" t="s">
        <v>7</v>
      </c>
      <c r="FH673" s="27" t="s">
        <v>7</v>
      </c>
      <c r="FI673" s="27" t="s">
        <v>8</v>
      </c>
      <c r="GB673" s="27" t="s">
        <v>7</v>
      </c>
      <c r="GC673" s="27" t="s">
        <v>8</v>
      </c>
      <c r="GL673" s="27" t="s">
        <v>7</v>
      </c>
      <c r="GM673" s="27" t="s">
        <v>8</v>
      </c>
      <c r="GN673" s="27" t="s">
        <v>7</v>
      </c>
      <c r="GO673" s="27" t="s">
        <v>8</v>
      </c>
      <c r="GP673" s="27" t="s">
        <v>7</v>
      </c>
      <c r="GQ673" s="27" t="s">
        <v>8</v>
      </c>
      <c r="GR673" s="27" t="s">
        <v>7</v>
      </c>
      <c r="GW673" s="27" t="s">
        <v>8</v>
      </c>
      <c r="GX673" s="27" t="s">
        <v>7</v>
      </c>
    </row>
    <row r="674" spans="1:228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H674" s="27" t="s">
        <v>7</v>
      </c>
      <c r="M674" s="27" t="s">
        <v>8</v>
      </c>
      <c r="N674" s="27" t="s">
        <v>7</v>
      </c>
      <c r="AA674" s="27" t="s">
        <v>8</v>
      </c>
      <c r="AB674" s="27" t="s">
        <v>7</v>
      </c>
      <c r="AC674" s="27" t="s">
        <v>8</v>
      </c>
      <c r="AD674" s="27" t="s">
        <v>7</v>
      </c>
      <c r="AG674" s="27" t="s">
        <v>8</v>
      </c>
      <c r="AI674" s="27" t="s">
        <v>8</v>
      </c>
      <c r="CN674" s="27" t="s">
        <v>7</v>
      </c>
      <c r="CO674" s="27" t="s">
        <v>8</v>
      </c>
      <c r="CP674" s="27" t="s">
        <v>7</v>
      </c>
      <c r="CQ674" s="27" t="s">
        <v>8</v>
      </c>
      <c r="CR674" s="27" t="s">
        <v>7</v>
      </c>
      <c r="CS674" s="27" t="s">
        <v>8</v>
      </c>
      <c r="CX674" s="27" t="s">
        <v>7</v>
      </c>
      <c r="CZ674" s="27" t="s">
        <v>7</v>
      </c>
      <c r="DA674" s="27" t="s">
        <v>8</v>
      </c>
      <c r="DC674" s="27" t="s">
        <v>8</v>
      </c>
      <c r="DD674" s="27" t="s">
        <v>7</v>
      </c>
      <c r="DE674" s="27" t="s">
        <v>8</v>
      </c>
      <c r="DF674" s="27" t="s">
        <v>7</v>
      </c>
      <c r="DG674" s="27" t="s">
        <v>8</v>
      </c>
      <c r="DH674" s="27" t="s">
        <v>7</v>
      </c>
      <c r="EC674" s="27" t="s">
        <v>8</v>
      </c>
      <c r="ED674" s="27" t="s">
        <v>7</v>
      </c>
      <c r="EI674" s="27" t="s">
        <v>8</v>
      </c>
      <c r="EJ674" s="27" t="s">
        <v>7</v>
      </c>
      <c r="EK674" s="27" t="s">
        <v>8</v>
      </c>
      <c r="ER674" s="27" t="s">
        <v>7</v>
      </c>
      <c r="ES674" s="27" t="s">
        <v>8</v>
      </c>
      <c r="ET674" s="27" t="s">
        <v>7</v>
      </c>
      <c r="EV674" s="27" t="s">
        <v>7</v>
      </c>
      <c r="EW674" s="27" t="s">
        <v>8</v>
      </c>
      <c r="FH674" s="27" t="s">
        <v>7</v>
      </c>
      <c r="FI674" s="27" t="s">
        <v>8</v>
      </c>
      <c r="GB674" s="27" t="s">
        <v>7</v>
      </c>
      <c r="GC674" s="27" t="s">
        <v>8</v>
      </c>
      <c r="GL674" s="27" t="s">
        <v>7</v>
      </c>
      <c r="GN674" s="27" t="s">
        <v>7</v>
      </c>
      <c r="GO674" s="27" t="s">
        <v>8</v>
      </c>
      <c r="GP674" s="27" t="s">
        <v>7</v>
      </c>
      <c r="GQ674" s="27" t="s">
        <v>8</v>
      </c>
      <c r="GR674" s="27" t="s">
        <v>7</v>
      </c>
      <c r="GS674" s="27" t="s">
        <v>8</v>
      </c>
      <c r="GU674" s="27" t="s">
        <v>8</v>
      </c>
      <c r="GW674" s="27" t="s">
        <v>8</v>
      </c>
      <c r="GX674" s="27" t="s">
        <v>7</v>
      </c>
    </row>
    <row r="675" spans="1:228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M675" s="27" t="s">
        <v>8</v>
      </c>
      <c r="N675" s="27" t="s">
        <v>7</v>
      </c>
      <c r="AA675" s="27" t="s">
        <v>8</v>
      </c>
      <c r="AB675" s="27" t="s">
        <v>7</v>
      </c>
      <c r="AC675" s="27" t="s">
        <v>8</v>
      </c>
      <c r="AD675" s="27" t="s">
        <v>7</v>
      </c>
      <c r="AG675" s="27" t="s">
        <v>8</v>
      </c>
      <c r="AH675" s="27" t="s">
        <v>7</v>
      </c>
      <c r="AI675" s="27" t="s">
        <v>8</v>
      </c>
      <c r="CN675" s="27" t="s">
        <v>7</v>
      </c>
      <c r="CO675" s="27" t="s">
        <v>8</v>
      </c>
      <c r="CP675" s="27" t="s">
        <v>7</v>
      </c>
      <c r="CQ675" s="27" t="s">
        <v>8</v>
      </c>
      <c r="CR675" s="27" t="s">
        <v>7</v>
      </c>
      <c r="CS675" s="27" t="s">
        <v>8</v>
      </c>
      <c r="CZ675" s="27" t="s">
        <v>7</v>
      </c>
      <c r="DA675" s="27" t="s">
        <v>8</v>
      </c>
      <c r="DB675" s="27" t="s">
        <v>7</v>
      </c>
      <c r="DC675" s="27" t="s">
        <v>8</v>
      </c>
      <c r="DD675" s="27" t="s">
        <v>7</v>
      </c>
      <c r="DE675" s="27" t="s">
        <v>8</v>
      </c>
      <c r="DF675" s="27" t="s">
        <v>7</v>
      </c>
      <c r="DG675" s="27" t="s">
        <v>8</v>
      </c>
      <c r="DH675" s="27" t="s">
        <v>7</v>
      </c>
      <c r="EC675" s="27" t="s">
        <v>8</v>
      </c>
      <c r="ED675" s="27" t="s">
        <v>7</v>
      </c>
      <c r="EI675" s="27" t="s">
        <v>8</v>
      </c>
      <c r="EJ675" s="27" t="s">
        <v>7</v>
      </c>
      <c r="EK675" s="27" t="s">
        <v>8</v>
      </c>
      <c r="ER675" s="27" t="s">
        <v>7</v>
      </c>
      <c r="EV675" s="27" t="s">
        <v>7</v>
      </c>
      <c r="EW675" s="27" t="s">
        <v>8</v>
      </c>
      <c r="FH675" s="27" t="s">
        <v>7</v>
      </c>
      <c r="FI675" s="27" t="s">
        <v>8</v>
      </c>
      <c r="GB675" s="27" t="s">
        <v>7</v>
      </c>
      <c r="GC675" s="27" t="s">
        <v>8</v>
      </c>
      <c r="GN675" s="27" t="s">
        <v>7</v>
      </c>
      <c r="GO675" s="27" t="s">
        <v>8</v>
      </c>
      <c r="GP675" s="27" t="s">
        <v>7</v>
      </c>
      <c r="GQ675" s="27" t="s">
        <v>8</v>
      </c>
      <c r="GR675" s="27" t="s">
        <v>7</v>
      </c>
      <c r="GS675" s="27" t="s">
        <v>8</v>
      </c>
      <c r="GT675" s="27" t="s">
        <v>7</v>
      </c>
      <c r="GU675" s="27" t="s">
        <v>8</v>
      </c>
      <c r="GV675" s="27" t="s">
        <v>7</v>
      </c>
      <c r="GW675" s="27" t="s">
        <v>8</v>
      </c>
      <c r="GX675" s="27" t="s">
        <v>7</v>
      </c>
    </row>
    <row r="676" spans="1:228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M676" s="27" t="s">
        <v>8</v>
      </c>
      <c r="N676" s="27" t="s">
        <v>7</v>
      </c>
      <c r="AA676" s="27" t="s">
        <v>8</v>
      </c>
      <c r="AB676" s="27" t="s">
        <v>7</v>
      </c>
      <c r="AC676" s="27" t="s">
        <v>8</v>
      </c>
      <c r="AD676" s="27" t="s">
        <v>7</v>
      </c>
      <c r="AG676" s="27" t="s">
        <v>8</v>
      </c>
      <c r="AH676" s="27" t="s">
        <v>7</v>
      </c>
      <c r="AI676" s="27" t="s">
        <v>8</v>
      </c>
      <c r="CN676" s="27" t="s">
        <v>7</v>
      </c>
      <c r="CO676" s="27" t="s">
        <v>8</v>
      </c>
      <c r="CP676" s="27" t="s">
        <v>7</v>
      </c>
      <c r="CQ676" s="27" t="s">
        <v>8</v>
      </c>
      <c r="CR676" s="27" t="s">
        <v>7</v>
      </c>
      <c r="CS676" s="27" t="s">
        <v>8</v>
      </c>
      <c r="CZ676" s="27" t="s">
        <v>7</v>
      </c>
      <c r="DA676" s="27" t="s">
        <v>8</v>
      </c>
      <c r="DB676" s="27" t="s">
        <v>7</v>
      </c>
      <c r="DC676" s="27" t="s">
        <v>8</v>
      </c>
      <c r="DD676" s="27" t="s">
        <v>7</v>
      </c>
      <c r="DE676" s="27" t="s">
        <v>8</v>
      </c>
      <c r="DF676" s="27" t="s">
        <v>7</v>
      </c>
      <c r="DG676" s="27" t="s">
        <v>8</v>
      </c>
      <c r="DH676" s="27" t="s">
        <v>7</v>
      </c>
      <c r="EC676" s="27" t="s">
        <v>8</v>
      </c>
      <c r="ED676" s="27" t="s">
        <v>7</v>
      </c>
      <c r="EI676" s="27" t="s">
        <v>8</v>
      </c>
      <c r="EJ676" s="27" t="s">
        <v>7</v>
      </c>
      <c r="EK676" s="27" t="s">
        <v>8</v>
      </c>
      <c r="EV676" s="27" t="s">
        <v>7</v>
      </c>
      <c r="EW676" s="27" t="s">
        <v>8</v>
      </c>
      <c r="FH676" s="27" t="s">
        <v>7</v>
      </c>
      <c r="FI676" s="27" t="s">
        <v>8</v>
      </c>
      <c r="GB676" s="27" t="s">
        <v>7</v>
      </c>
      <c r="GC676" s="27" t="s">
        <v>8</v>
      </c>
      <c r="GN676" s="27" t="s">
        <v>7</v>
      </c>
      <c r="GO676" s="27" t="s">
        <v>8</v>
      </c>
      <c r="GP676" s="27" t="s">
        <v>7</v>
      </c>
      <c r="GR676" s="27" t="s">
        <v>7</v>
      </c>
      <c r="GS676" s="27" t="s">
        <v>8</v>
      </c>
      <c r="GT676" s="27" t="s">
        <v>7</v>
      </c>
      <c r="GU676" s="27" t="s">
        <v>8</v>
      </c>
      <c r="GV676" s="27" t="s">
        <v>7</v>
      </c>
      <c r="GW676" s="27" t="s">
        <v>8</v>
      </c>
      <c r="GX676" s="27" t="s">
        <v>7</v>
      </c>
    </row>
    <row r="677" spans="1:228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I677" s="27" t="s">
        <v>8</v>
      </c>
      <c r="M677" s="27" t="s">
        <v>8</v>
      </c>
      <c r="N677" s="27" t="s">
        <v>7</v>
      </c>
      <c r="AA677" s="27" t="s">
        <v>8</v>
      </c>
      <c r="AB677" s="27" t="s">
        <v>7</v>
      </c>
      <c r="AC677" s="27" t="s">
        <v>8</v>
      </c>
      <c r="AD677" s="27" t="s">
        <v>7</v>
      </c>
      <c r="AE677" s="27" t="s">
        <v>8</v>
      </c>
      <c r="AG677" s="27" t="s">
        <v>8</v>
      </c>
      <c r="AH677" s="27" t="s">
        <v>7</v>
      </c>
      <c r="AI677" s="27" t="s">
        <v>8</v>
      </c>
      <c r="CN677" s="27" t="s">
        <v>7</v>
      </c>
      <c r="CO677" s="27" t="s">
        <v>8</v>
      </c>
      <c r="CP677" s="27" t="s">
        <v>7</v>
      </c>
      <c r="CQ677" s="27" t="s">
        <v>8</v>
      </c>
      <c r="CR677" s="27" t="s">
        <v>7</v>
      </c>
      <c r="CS677" s="27" t="s">
        <v>8</v>
      </c>
      <c r="CZ677" s="27" t="s">
        <v>7</v>
      </c>
      <c r="DA677" s="27" t="s">
        <v>8</v>
      </c>
      <c r="DB677" s="27" t="s">
        <v>7</v>
      </c>
      <c r="DC677" s="27" t="s">
        <v>8</v>
      </c>
      <c r="DD677" s="27" t="s">
        <v>7</v>
      </c>
      <c r="DF677" s="27" t="s">
        <v>7</v>
      </c>
      <c r="DH677" s="27" t="s">
        <v>7</v>
      </c>
      <c r="EC677" s="27" t="s">
        <v>8</v>
      </c>
      <c r="ED677" s="27" t="s">
        <v>7</v>
      </c>
      <c r="EG677" s="27" t="s">
        <v>8</v>
      </c>
      <c r="EI677" s="27" t="s">
        <v>8</v>
      </c>
      <c r="EJ677" s="27" t="s">
        <v>7</v>
      </c>
      <c r="EV677" s="27" t="s">
        <v>7</v>
      </c>
      <c r="EW677" s="27" t="s">
        <v>8</v>
      </c>
      <c r="FH677" s="27" t="s">
        <v>7</v>
      </c>
      <c r="FI677" s="27" t="s">
        <v>8</v>
      </c>
      <c r="GB677" s="27" t="s">
        <v>7</v>
      </c>
      <c r="GC677" s="27" t="s">
        <v>8</v>
      </c>
      <c r="GN677" s="27" t="s">
        <v>7</v>
      </c>
      <c r="GO677" s="27" t="s">
        <v>8</v>
      </c>
      <c r="GR677" s="27" t="s">
        <v>7</v>
      </c>
      <c r="GS677" s="27" t="s">
        <v>8</v>
      </c>
      <c r="GT677" s="27" t="s">
        <v>7</v>
      </c>
      <c r="GU677" s="27" t="s">
        <v>8</v>
      </c>
      <c r="GV677" s="27" t="s">
        <v>7</v>
      </c>
      <c r="GX677" s="27" t="s">
        <v>7</v>
      </c>
      <c r="HG677" s="27" t="s">
        <v>8</v>
      </c>
    </row>
    <row r="678" spans="1:228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I678" s="27" t="s">
        <v>8</v>
      </c>
      <c r="J678" s="27" t="s">
        <v>7</v>
      </c>
      <c r="M678" s="27" t="s">
        <v>8</v>
      </c>
      <c r="N678" s="27" t="s">
        <v>7</v>
      </c>
      <c r="S678" s="27" t="s">
        <v>8</v>
      </c>
      <c r="AA678" s="27" t="s">
        <v>8</v>
      </c>
      <c r="AB678" s="27" t="s">
        <v>7</v>
      </c>
      <c r="AC678" s="27" t="s">
        <v>8</v>
      </c>
      <c r="AD678" s="27" t="s">
        <v>7</v>
      </c>
      <c r="AE678" s="27" t="s">
        <v>8</v>
      </c>
      <c r="AF678" s="27" t="s">
        <v>7</v>
      </c>
      <c r="AG678" s="27" t="s">
        <v>8</v>
      </c>
      <c r="AH678" s="27" t="s">
        <v>7</v>
      </c>
      <c r="CN678" s="27" t="s">
        <v>7</v>
      </c>
      <c r="CO678" s="27" t="s">
        <v>8</v>
      </c>
      <c r="CP678" s="27" t="s">
        <v>7</v>
      </c>
      <c r="CQ678" s="27" t="s">
        <v>8</v>
      </c>
      <c r="CR678" s="27" t="s">
        <v>7</v>
      </c>
      <c r="CZ678" s="27" t="s">
        <v>7</v>
      </c>
      <c r="DA678" s="27" t="s">
        <v>8</v>
      </c>
      <c r="DB678" s="27" t="s">
        <v>7</v>
      </c>
      <c r="DC678" s="27" t="s">
        <v>8</v>
      </c>
      <c r="DH678" s="27" t="s">
        <v>7</v>
      </c>
      <c r="DW678" s="27" t="s">
        <v>8</v>
      </c>
      <c r="EC678" s="27" t="s">
        <v>8</v>
      </c>
      <c r="ED678" s="27" t="s">
        <v>7</v>
      </c>
      <c r="EE678" s="27" t="s">
        <v>8</v>
      </c>
      <c r="EG678" s="27" t="s">
        <v>8</v>
      </c>
      <c r="EH678" s="27" t="s">
        <v>7</v>
      </c>
      <c r="EI678" s="27" t="s">
        <v>8</v>
      </c>
      <c r="EV678" s="27" t="s">
        <v>7</v>
      </c>
      <c r="FH678" s="27" t="s">
        <v>7</v>
      </c>
      <c r="FI678" s="27" t="s">
        <v>8</v>
      </c>
      <c r="GB678" s="27" t="s">
        <v>7</v>
      </c>
      <c r="GC678" s="27" t="s">
        <v>8</v>
      </c>
      <c r="GN678" s="27" t="s">
        <v>7</v>
      </c>
      <c r="GO678" s="27" t="s">
        <v>8</v>
      </c>
      <c r="GR678" s="27" t="s">
        <v>7</v>
      </c>
      <c r="GT678" s="27" t="s">
        <v>7</v>
      </c>
      <c r="GU678" s="27" t="s">
        <v>8</v>
      </c>
      <c r="GX678" s="27" t="s">
        <v>7</v>
      </c>
      <c r="HG678" s="27" t="s">
        <v>8</v>
      </c>
      <c r="HH678" s="27" t="s">
        <v>7</v>
      </c>
    </row>
    <row r="679" spans="1:228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I679" s="27" t="s">
        <v>8</v>
      </c>
      <c r="J679" s="27" t="s">
        <v>7</v>
      </c>
      <c r="M679" s="27" t="s">
        <v>8</v>
      </c>
      <c r="N679" s="27" t="s">
        <v>7</v>
      </c>
      <c r="S679" s="27" t="s">
        <v>8</v>
      </c>
      <c r="T679" s="27" t="s">
        <v>7</v>
      </c>
      <c r="AA679" s="27" t="s">
        <v>8</v>
      </c>
      <c r="AB679" s="27" t="s">
        <v>7</v>
      </c>
      <c r="AC679" s="27" t="s">
        <v>8</v>
      </c>
      <c r="AD679" s="27" t="s">
        <v>7</v>
      </c>
      <c r="AE679" s="27" t="s">
        <v>8</v>
      </c>
      <c r="AF679" s="27" t="s">
        <v>7</v>
      </c>
      <c r="AG679" s="27" t="s">
        <v>8</v>
      </c>
      <c r="CN679" s="27" t="s">
        <v>7</v>
      </c>
      <c r="CO679" s="27" t="s">
        <v>8</v>
      </c>
      <c r="CP679" s="27" t="s">
        <v>7</v>
      </c>
      <c r="CQ679" s="27" t="s">
        <v>8</v>
      </c>
      <c r="CZ679" s="27" t="s">
        <v>7</v>
      </c>
      <c r="DB679" s="27" t="s">
        <v>7</v>
      </c>
      <c r="DC679" s="27" t="s">
        <v>8</v>
      </c>
      <c r="DH679" s="27" t="s">
        <v>7</v>
      </c>
      <c r="DW679" s="27" t="s">
        <v>8</v>
      </c>
      <c r="DX679" s="27" t="s">
        <v>7</v>
      </c>
      <c r="EC679" s="27" t="s">
        <v>8</v>
      </c>
      <c r="ED679" s="27" t="s">
        <v>7</v>
      </c>
      <c r="EE679" s="27" t="s">
        <v>8</v>
      </c>
      <c r="EF679" s="27" t="s">
        <v>7</v>
      </c>
      <c r="EG679" s="27" t="s">
        <v>8</v>
      </c>
      <c r="EH679" s="27" t="s">
        <v>7</v>
      </c>
      <c r="EI679" s="27" t="s">
        <v>8</v>
      </c>
      <c r="FH679" s="27" t="s">
        <v>7</v>
      </c>
      <c r="FI679" s="27" t="s">
        <v>8</v>
      </c>
      <c r="GB679" s="27" t="s">
        <v>7</v>
      </c>
      <c r="GN679" s="27" t="s">
        <v>7</v>
      </c>
      <c r="GO679" s="27" t="s">
        <v>8</v>
      </c>
      <c r="GT679" s="27" t="s">
        <v>7</v>
      </c>
      <c r="GX679" s="27" t="s">
        <v>7</v>
      </c>
      <c r="GY679" s="27" t="s">
        <v>8</v>
      </c>
      <c r="HG679" s="27" t="s">
        <v>8</v>
      </c>
      <c r="HH679" s="27" t="s">
        <v>7</v>
      </c>
    </row>
    <row r="680" spans="1:228" x14ac:dyDescent="0.25">
      <c r="A680" s="7">
        <v>0.15855649108315376</v>
      </c>
      <c r="B680"/>
      <c r="C680"/>
      <c r="D680"/>
      <c r="E680"/>
      <c r="F680" s="27" t="s">
        <v>7</v>
      </c>
      <c r="H680" s="27" t="s">
        <v>7</v>
      </c>
      <c r="I680" s="27" t="s">
        <v>8</v>
      </c>
      <c r="J680" s="27" t="s">
        <v>7</v>
      </c>
      <c r="M680" s="27" t="s">
        <v>8</v>
      </c>
      <c r="N680" s="27" t="s">
        <v>7</v>
      </c>
      <c r="S680" s="27" t="s">
        <v>8</v>
      </c>
      <c r="T680" s="27" t="s">
        <v>7</v>
      </c>
      <c r="U680" s="27" t="s">
        <v>8</v>
      </c>
      <c r="AA680" s="27" t="s">
        <v>8</v>
      </c>
      <c r="AB680" s="27" t="s">
        <v>7</v>
      </c>
      <c r="AC680" s="27" t="s">
        <v>8</v>
      </c>
      <c r="AD680" s="27" t="s">
        <v>7</v>
      </c>
      <c r="AE680" s="27" t="s">
        <v>8</v>
      </c>
      <c r="AF680" s="27" t="s">
        <v>7</v>
      </c>
      <c r="AG680" s="27" t="s">
        <v>8</v>
      </c>
      <c r="CN680" s="27" t="s">
        <v>7</v>
      </c>
      <c r="CO680" s="27" t="s">
        <v>8</v>
      </c>
      <c r="CP680" s="27" t="s">
        <v>7</v>
      </c>
      <c r="CQ680" s="27" t="s">
        <v>8</v>
      </c>
      <c r="DB680" s="27" t="s">
        <v>7</v>
      </c>
      <c r="DC680" s="27" t="s">
        <v>8</v>
      </c>
      <c r="DH680" s="27" t="s">
        <v>7</v>
      </c>
      <c r="DW680" s="27" t="s">
        <v>8</v>
      </c>
      <c r="DX680" s="27" t="s">
        <v>7</v>
      </c>
      <c r="EC680" s="27" t="s">
        <v>8</v>
      </c>
      <c r="ED680" s="27" t="s">
        <v>7</v>
      </c>
      <c r="EE680" s="27" t="s">
        <v>8</v>
      </c>
      <c r="EF680" s="27" t="s">
        <v>7</v>
      </c>
      <c r="EG680" s="27" t="s">
        <v>8</v>
      </c>
      <c r="EH680" s="27" t="s">
        <v>7</v>
      </c>
      <c r="EI680" s="27" t="s">
        <v>8</v>
      </c>
      <c r="FH680" s="27" t="s">
        <v>7</v>
      </c>
      <c r="FI680" s="27" t="s">
        <v>8</v>
      </c>
      <c r="GN680" s="27" t="s">
        <v>7</v>
      </c>
      <c r="GO680" s="27" t="s">
        <v>8</v>
      </c>
      <c r="GX680" s="27" t="s">
        <v>7</v>
      </c>
      <c r="GY680" s="27" t="s">
        <v>8</v>
      </c>
      <c r="GZ680" s="27" t="s">
        <v>7</v>
      </c>
      <c r="HG680" s="27" t="s">
        <v>8</v>
      </c>
      <c r="HH680" s="27" t="s">
        <v>7</v>
      </c>
    </row>
    <row r="681" spans="1:228" x14ac:dyDescent="0.25">
      <c r="A681" s="7">
        <v>0.15544754027760171</v>
      </c>
      <c r="B681"/>
      <c r="C681"/>
      <c r="D681"/>
      <c r="E681"/>
      <c r="H681" s="27" t="s">
        <v>7</v>
      </c>
      <c r="I681" s="27" t="s">
        <v>8</v>
      </c>
      <c r="J681" s="27" t="s">
        <v>7</v>
      </c>
      <c r="M681" s="27" t="s">
        <v>8</v>
      </c>
      <c r="N681" s="27" t="s">
        <v>7</v>
      </c>
      <c r="S681" s="27" t="s">
        <v>8</v>
      </c>
      <c r="T681" s="27" t="s">
        <v>7</v>
      </c>
      <c r="U681" s="27" t="s">
        <v>8</v>
      </c>
      <c r="V681" s="27" t="s">
        <v>7</v>
      </c>
      <c r="AA681" s="27" t="s">
        <v>8</v>
      </c>
      <c r="AB681" s="27" t="s">
        <v>7</v>
      </c>
      <c r="AC681" s="27" t="s">
        <v>8</v>
      </c>
      <c r="AD681" s="27" t="s">
        <v>7</v>
      </c>
      <c r="AE681" s="27" t="s">
        <v>8</v>
      </c>
      <c r="AF681" s="27" t="s">
        <v>7</v>
      </c>
      <c r="AG681" s="27" t="s">
        <v>8</v>
      </c>
      <c r="CN681" s="27" t="s">
        <v>7</v>
      </c>
      <c r="CO681" s="27" t="s">
        <v>8</v>
      </c>
      <c r="CP681" s="27" t="s">
        <v>7</v>
      </c>
      <c r="CQ681" s="27" t="s">
        <v>8</v>
      </c>
      <c r="DB681" s="27" t="s">
        <v>7</v>
      </c>
      <c r="DC681" s="27" t="s">
        <v>8</v>
      </c>
      <c r="DH681" s="27" t="s">
        <v>7</v>
      </c>
      <c r="DI681" s="27" t="s">
        <v>8</v>
      </c>
      <c r="DS681" s="27" t="s">
        <v>8</v>
      </c>
      <c r="DW681" s="27" t="s">
        <v>8</v>
      </c>
      <c r="DX681" s="27" t="s">
        <v>7</v>
      </c>
      <c r="EC681" s="27" t="s">
        <v>8</v>
      </c>
      <c r="ED681" s="27" t="s">
        <v>7</v>
      </c>
      <c r="EE681" s="27" t="s">
        <v>8</v>
      </c>
      <c r="EF681" s="27" t="s">
        <v>7</v>
      </c>
      <c r="EG681" s="27" t="s">
        <v>8</v>
      </c>
      <c r="EH681" s="27" t="s">
        <v>7</v>
      </c>
      <c r="EI681" s="27" t="s">
        <v>8</v>
      </c>
      <c r="FH681" s="27" t="s">
        <v>7</v>
      </c>
      <c r="FI681" s="27" t="s">
        <v>8</v>
      </c>
      <c r="GN681" s="27" t="s">
        <v>7</v>
      </c>
      <c r="GO681" s="27" t="s">
        <v>8</v>
      </c>
      <c r="GX681" s="27" t="s">
        <v>7</v>
      </c>
      <c r="GY681" s="27" t="s">
        <v>8</v>
      </c>
      <c r="GZ681" s="27" t="s">
        <v>7</v>
      </c>
      <c r="HG681" s="27" t="s">
        <v>8</v>
      </c>
      <c r="HH681" s="27" t="s">
        <v>7</v>
      </c>
    </row>
    <row r="682" spans="1:228" x14ac:dyDescent="0.25">
      <c r="A682" s="7">
        <v>0.15239954929176638</v>
      </c>
      <c r="B682"/>
      <c r="C682"/>
      <c r="D682"/>
      <c r="E682"/>
      <c r="H682" s="27" t="s">
        <v>7</v>
      </c>
      <c r="I682" s="27" t="s">
        <v>8</v>
      </c>
      <c r="J682" s="27" t="s">
        <v>7</v>
      </c>
      <c r="M682" s="27" t="s">
        <v>8</v>
      </c>
      <c r="N682" s="27" t="s">
        <v>7</v>
      </c>
      <c r="S682" s="27" t="s">
        <v>8</v>
      </c>
      <c r="T682" s="27" t="s">
        <v>7</v>
      </c>
      <c r="U682" s="27" t="s">
        <v>8</v>
      </c>
      <c r="V682" s="27" t="s">
        <v>7</v>
      </c>
      <c r="AA682" s="27" t="s">
        <v>8</v>
      </c>
      <c r="AB682" s="27" t="s">
        <v>7</v>
      </c>
      <c r="AD682" s="27" t="s">
        <v>7</v>
      </c>
      <c r="AE682" s="27" t="s">
        <v>8</v>
      </c>
      <c r="AF682" s="27" t="s">
        <v>7</v>
      </c>
      <c r="AG682" s="27" t="s">
        <v>8</v>
      </c>
      <c r="CN682" s="27" t="s">
        <v>7</v>
      </c>
      <c r="CP682" s="27" t="s">
        <v>7</v>
      </c>
      <c r="CQ682" s="27" t="s">
        <v>8</v>
      </c>
      <c r="DB682" s="27" t="s">
        <v>7</v>
      </c>
      <c r="DH682" s="27" t="s">
        <v>7</v>
      </c>
      <c r="DI682" s="27" t="s">
        <v>8</v>
      </c>
      <c r="DJ682" s="27" t="s">
        <v>7</v>
      </c>
      <c r="DS682" s="27" t="s">
        <v>8</v>
      </c>
      <c r="DT682" s="27" t="s">
        <v>7</v>
      </c>
      <c r="DW682" s="27" t="s">
        <v>8</v>
      </c>
      <c r="DX682" s="27" t="s">
        <v>7</v>
      </c>
      <c r="EC682" s="27" t="s">
        <v>8</v>
      </c>
      <c r="ED682" s="27" t="s">
        <v>7</v>
      </c>
      <c r="EE682" s="27" t="s">
        <v>8</v>
      </c>
      <c r="EF682" s="27" t="s">
        <v>7</v>
      </c>
      <c r="EG682" s="27" t="s">
        <v>8</v>
      </c>
      <c r="EH682" s="27" t="s">
        <v>7</v>
      </c>
      <c r="EI682" s="27" t="s">
        <v>8</v>
      </c>
      <c r="FH682" s="27" t="s">
        <v>7</v>
      </c>
      <c r="FI682" s="27" t="s">
        <v>8</v>
      </c>
      <c r="GN682" s="27" t="s">
        <v>7</v>
      </c>
      <c r="GX682" s="27" t="s">
        <v>7</v>
      </c>
      <c r="GY682" s="27" t="s">
        <v>8</v>
      </c>
      <c r="GZ682" s="27" t="s">
        <v>7</v>
      </c>
      <c r="HG682" s="27" t="s">
        <v>8</v>
      </c>
      <c r="HH682" s="27" t="s">
        <v>7</v>
      </c>
      <c r="HI682" s="27" t="s">
        <v>8</v>
      </c>
    </row>
    <row r="683" spans="1:228" x14ac:dyDescent="0.25">
      <c r="A683" s="7">
        <v>0.14941132283506509</v>
      </c>
      <c r="B683"/>
      <c r="C683"/>
      <c r="D683"/>
      <c r="E683"/>
      <c r="H683" s="27" t="s">
        <v>7</v>
      </c>
      <c r="I683" s="27" t="s">
        <v>8</v>
      </c>
      <c r="J683" s="27" t="s">
        <v>7</v>
      </c>
      <c r="M683" s="27" t="s">
        <v>8</v>
      </c>
      <c r="N683" s="27" t="s">
        <v>7</v>
      </c>
      <c r="Q683" s="27" t="s">
        <v>8</v>
      </c>
      <c r="S683" s="27" t="s">
        <v>8</v>
      </c>
      <c r="T683" s="27" t="s">
        <v>7</v>
      </c>
      <c r="U683" s="27" t="s">
        <v>8</v>
      </c>
      <c r="V683" s="27" t="s">
        <v>7</v>
      </c>
      <c r="Y683" s="27" t="s">
        <v>8</v>
      </c>
      <c r="AA683" s="27" t="s">
        <v>8</v>
      </c>
      <c r="AD683" s="27" t="s">
        <v>7</v>
      </c>
      <c r="AE683" s="27" t="s">
        <v>8</v>
      </c>
      <c r="AF683" s="27" t="s">
        <v>7</v>
      </c>
      <c r="AG683" s="27" t="s">
        <v>8</v>
      </c>
      <c r="CP683" s="27" t="s">
        <v>7</v>
      </c>
      <c r="CQ683" s="27" t="s">
        <v>8</v>
      </c>
      <c r="DH683" s="27" t="s">
        <v>7</v>
      </c>
      <c r="DI683" s="27" t="s">
        <v>8</v>
      </c>
      <c r="DJ683" s="27" t="s">
        <v>7</v>
      </c>
      <c r="DO683" s="27" t="s">
        <v>8</v>
      </c>
      <c r="DS683" s="27" t="s">
        <v>8</v>
      </c>
      <c r="DT683" s="27" t="s">
        <v>7</v>
      </c>
      <c r="DW683" s="27" t="s">
        <v>8</v>
      </c>
      <c r="DX683" s="27" t="s">
        <v>7</v>
      </c>
      <c r="EC683" s="27" t="s">
        <v>8</v>
      </c>
      <c r="ED683" s="27" t="s">
        <v>7</v>
      </c>
      <c r="EF683" s="27" t="s">
        <v>7</v>
      </c>
      <c r="EG683" s="27" t="s">
        <v>8</v>
      </c>
      <c r="EH683" s="27" t="s">
        <v>7</v>
      </c>
      <c r="EI683" s="27" t="s">
        <v>8</v>
      </c>
      <c r="FH683" s="27" t="s">
        <v>7</v>
      </c>
      <c r="GX683" s="27" t="s">
        <v>7</v>
      </c>
      <c r="GY683" s="27" t="s">
        <v>8</v>
      </c>
      <c r="GZ683" s="27" t="s">
        <v>7</v>
      </c>
      <c r="HG683" s="27" t="s">
        <v>8</v>
      </c>
      <c r="HH683" s="27" t="s">
        <v>7</v>
      </c>
      <c r="HI683" s="27" t="s">
        <v>8</v>
      </c>
      <c r="HJ683" s="27" t="s">
        <v>7</v>
      </c>
    </row>
    <row r="684" spans="1:228" x14ac:dyDescent="0.25">
      <c r="A684" s="7">
        <v>0.14648168905398537</v>
      </c>
      <c r="B684"/>
      <c r="C684"/>
      <c r="D684"/>
      <c r="E684"/>
      <c r="H684" s="27" t="s">
        <v>7</v>
      </c>
      <c r="I684" s="27" t="s">
        <v>8</v>
      </c>
      <c r="J684" s="27" t="s">
        <v>7</v>
      </c>
      <c r="M684" s="27" t="s">
        <v>8</v>
      </c>
      <c r="N684" s="27" t="s">
        <v>7</v>
      </c>
      <c r="Q684" s="27" t="s">
        <v>8</v>
      </c>
      <c r="R684" s="27" t="s">
        <v>7</v>
      </c>
      <c r="S684" s="27" t="s">
        <v>8</v>
      </c>
      <c r="T684" s="27" t="s">
        <v>7</v>
      </c>
      <c r="U684" s="27" t="s">
        <v>8</v>
      </c>
      <c r="V684" s="27" t="s">
        <v>7</v>
      </c>
      <c r="W684" s="27" t="s">
        <v>8</v>
      </c>
      <c r="Y684" s="27" t="s">
        <v>8</v>
      </c>
      <c r="Z684" s="27" t="s">
        <v>7</v>
      </c>
      <c r="AA684" s="27" t="s">
        <v>8</v>
      </c>
      <c r="AD684" s="27" t="s">
        <v>7</v>
      </c>
      <c r="AE684" s="27" t="s">
        <v>8</v>
      </c>
      <c r="AF684" s="27" t="s">
        <v>7</v>
      </c>
      <c r="AG684" s="27" t="s">
        <v>8</v>
      </c>
      <c r="CP684" s="27" t="s">
        <v>7</v>
      </c>
      <c r="CQ684" s="27" t="s">
        <v>8</v>
      </c>
      <c r="DH684" s="27" t="s">
        <v>7</v>
      </c>
      <c r="DI684" s="27" t="s">
        <v>8</v>
      </c>
      <c r="DJ684" s="27" t="s">
        <v>7</v>
      </c>
      <c r="DO684" s="27" t="s">
        <v>8</v>
      </c>
      <c r="DP684" s="27" t="s">
        <v>7</v>
      </c>
      <c r="DS684" s="27" t="s">
        <v>8</v>
      </c>
      <c r="DT684" s="27" t="s">
        <v>7</v>
      </c>
      <c r="DW684" s="27" t="s">
        <v>8</v>
      </c>
      <c r="DX684" s="27" t="s">
        <v>7</v>
      </c>
      <c r="EA684" s="27" t="s">
        <v>8</v>
      </c>
      <c r="EC684" s="27" t="s">
        <v>8</v>
      </c>
      <c r="EF684" s="27" t="s">
        <v>7</v>
      </c>
      <c r="EG684" s="27" t="s">
        <v>8</v>
      </c>
      <c r="EH684" s="27" t="s">
        <v>7</v>
      </c>
      <c r="EI684" s="27" t="s">
        <v>8</v>
      </c>
      <c r="GX684" s="27" t="s">
        <v>7</v>
      </c>
      <c r="GY684" s="27" t="s">
        <v>8</v>
      </c>
      <c r="GZ684" s="27" t="s">
        <v>7</v>
      </c>
      <c r="HG684" s="27" t="s">
        <v>8</v>
      </c>
      <c r="HH684" s="27" t="s">
        <v>7</v>
      </c>
      <c r="HI684" s="27" t="s">
        <v>8</v>
      </c>
      <c r="HJ684" s="27" t="s">
        <v>7</v>
      </c>
    </row>
    <row r="685" spans="1:228" x14ac:dyDescent="0.25">
      <c r="A685" s="7">
        <v>0.14360949907253467</v>
      </c>
      <c r="B685"/>
      <c r="C685"/>
      <c r="D685"/>
      <c r="E685"/>
      <c r="H685" s="27" t="s">
        <v>7</v>
      </c>
      <c r="J685" s="27" t="s">
        <v>7</v>
      </c>
      <c r="M685" s="27" t="s">
        <v>8</v>
      </c>
      <c r="N685" s="27" t="s">
        <v>7</v>
      </c>
      <c r="Q685" s="27" t="s">
        <v>8</v>
      </c>
      <c r="R685" s="27" t="s">
        <v>7</v>
      </c>
      <c r="S685" s="27" t="s">
        <v>8</v>
      </c>
      <c r="T685" s="27" t="s">
        <v>7</v>
      </c>
      <c r="U685" s="27" t="s">
        <v>8</v>
      </c>
      <c r="V685" s="27" t="s">
        <v>7</v>
      </c>
      <c r="W685" s="27" t="s">
        <v>8</v>
      </c>
      <c r="X685" s="27" t="s">
        <v>7</v>
      </c>
      <c r="Y685" s="27" t="s">
        <v>8</v>
      </c>
      <c r="Z685" s="27" t="s">
        <v>7</v>
      </c>
      <c r="AA685" s="27" t="s">
        <v>8</v>
      </c>
      <c r="AD685" s="27" t="s">
        <v>7</v>
      </c>
      <c r="AE685" s="27" t="s">
        <v>8</v>
      </c>
      <c r="AF685" s="27" t="s">
        <v>7</v>
      </c>
      <c r="AG685" s="27" t="s">
        <v>8</v>
      </c>
      <c r="CP685" s="27" t="s">
        <v>7</v>
      </c>
      <c r="CQ685" s="27" t="s">
        <v>8</v>
      </c>
      <c r="DH685" s="27" t="s">
        <v>7</v>
      </c>
      <c r="DI685" s="27" t="s">
        <v>8</v>
      </c>
      <c r="DJ685" s="27" t="s">
        <v>7</v>
      </c>
      <c r="DO685" s="27" t="s">
        <v>8</v>
      </c>
      <c r="DP685" s="27" t="s">
        <v>7</v>
      </c>
      <c r="DQ685" s="27" t="s">
        <v>8</v>
      </c>
      <c r="DS685" s="27" t="s">
        <v>8</v>
      </c>
      <c r="DT685" s="27" t="s">
        <v>7</v>
      </c>
      <c r="DW685" s="27" t="s">
        <v>8</v>
      </c>
      <c r="DX685" s="27" t="s">
        <v>7</v>
      </c>
      <c r="EA685" s="27" t="s">
        <v>8</v>
      </c>
      <c r="EB685" s="27" t="s">
        <v>7</v>
      </c>
      <c r="EC685" s="27" t="s">
        <v>8</v>
      </c>
      <c r="EF685" s="27" t="s">
        <v>7</v>
      </c>
      <c r="EG685" s="27" t="s">
        <v>8</v>
      </c>
      <c r="EH685" s="27" t="s">
        <v>7</v>
      </c>
      <c r="GX685" s="27" t="s">
        <v>7</v>
      </c>
      <c r="GY685" s="27" t="s">
        <v>8</v>
      </c>
      <c r="GZ685" s="27" t="s">
        <v>7</v>
      </c>
      <c r="HG685" s="27" t="s">
        <v>8</v>
      </c>
      <c r="HH685" s="27" t="s">
        <v>7</v>
      </c>
      <c r="HI685" s="27" t="s">
        <v>8</v>
      </c>
      <c r="HJ685" s="27" t="s">
        <v>7</v>
      </c>
    </row>
    <row r="686" spans="1:228" x14ac:dyDescent="0.25">
      <c r="A686" s="7">
        <v>0.14079362654170066</v>
      </c>
      <c r="B686"/>
      <c r="C686"/>
      <c r="D686"/>
      <c r="E686"/>
      <c r="J686" s="27" t="s">
        <v>7</v>
      </c>
      <c r="M686" s="27" t="s">
        <v>8</v>
      </c>
      <c r="N686" s="27" t="s">
        <v>7</v>
      </c>
      <c r="Q686" s="27" t="s">
        <v>8</v>
      </c>
      <c r="R686" s="27" t="s">
        <v>7</v>
      </c>
      <c r="S686" s="27" t="s">
        <v>8</v>
      </c>
      <c r="T686" s="27" t="s">
        <v>7</v>
      </c>
      <c r="U686" s="27" t="s">
        <v>8</v>
      </c>
      <c r="V686" s="27" t="s">
        <v>7</v>
      </c>
      <c r="W686" s="27" t="s">
        <v>8</v>
      </c>
      <c r="X686" s="27" t="s">
        <v>7</v>
      </c>
      <c r="Y686" s="27" t="s">
        <v>8</v>
      </c>
      <c r="Z686" s="27" t="s">
        <v>7</v>
      </c>
      <c r="AA686" s="27" t="s">
        <v>8</v>
      </c>
      <c r="AD686" s="27" t="s">
        <v>7</v>
      </c>
      <c r="AE686" s="27" t="s">
        <v>8</v>
      </c>
      <c r="AF686" s="27" t="s">
        <v>7</v>
      </c>
      <c r="AG686" s="27" t="s">
        <v>8</v>
      </c>
      <c r="CP686" s="27" t="s">
        <v>7</v>
      </c>
      <c r="CQ686" s="27" t="s">
        <v>8</v>
      </c>
      <c r="DH686" s="27" t="s">
        <v>7</v>
      </c>
      <c r="DI686" s="27" t="s">
        <v>8</v>
      </c>
      <c r="DJ686" s="27" t="s">
        <v>7</v>
      </c>
      <c r="DO686" s="27" t="s">
        <v>8</v>
      </c>
      <c r="DP686" s="27" t="s">
        <v>7</v>
      </c>
      <c r="DQ686" s="27" t="s">
        <v>8</v>
      </c>
      <c r="DR686" s="27" t="s">
        <v>7</v>
      </c>
      <c r="DS686" s="27" t="s">
        <v>8</v>
      </c>
      <c r="DT686" s="27" t="s">
        <v>7</v>
      </c>
      <c r="DW686" s="27" t="s">
        <v>8</v>
      </c>
      <c r="DX686" s="27" t="s">
        <v>7</v>
      </c>
      <c r="EA686" s="27" t="s">
        <v>8</v>
      </c>
      <c r="EB686" s="27" t="s">
        <v>7</v>
      </c>
      <c r="EC686" s="27" t="s">
        <v>8</v>
      </c>
      <c r="EF686" s="27" t="s">
        <v>7</v>
      </c>
      <c r="GX686" s="27" t="s">
        <v>7</v>
      </c>
      <c r="GY686" s="27" t="s">
        <v>8</v>
      </c>
      <c r="GZ686" s="27" t="s">
        <v>7</v>
      </c>
      <c r="HG686" s="27" t="s">
        <v>8</v>
      </c>
      <c r="HH686" s="27" t="s">
        <v>7</v>
      </c>
      <c r="HI686" s="27" t="s">
        <v>8</v>
      </c>
      <c r="HJ686" s="27" t="s">
        <v>7</v>
      </c>
      <c r="HS686" s="27" t="s">
        <v>8</v>
      </c>
    </row>
    <row r="687" spans="1:228" x14ac:dyDescent="0.25">
      <c r="A687" s="7">
        <v>0.13803296719774574</v>
      </c>
      <c r="B687"/>
      <c r="C687"/>
      <c r="D687"/>
      <c r="E687"/>
      <c r="J687" s="27" t="s">
        <v>7</v>
      </c>
      <c r="M687" s="27" t="s">
        <v>8</v>
      </c>
      <c r="N687" s="27" t="s">
        <v>7</v>
      </c>
      <c r="Q687" s="27" t="s">
        <v>8</v>
      </c>
      <c r="R687" s="27" t="s">
        <v>7</v>
      </c>
      <c r="S687" s="27" t="s">
        <v>8</v>
      </c>
      <c r="T687" s="27" t="s">
        <v>7</v>
      </c>
      <c r="U687" s="27" t="s">
        <v>8</v>
      </c>
      <c r="V687" s="27" t="s">
        <v>7</v>
      </c>
      <c r="W687" s="27" t="s">
        <v>8</v>
      </c>
      <c r="X687" s="27" t="s">
        <v>7</v>
      </c>
      <c r="Y687" s="27" t="s">
        <v>8</v>
      </c>
      <c r="Z687" s="27" t="s">
        <v>7</v>
      </c>
      <c r="AA687" s="27" t="s">
        <v>8</v>
      </c>
      <c r="AD687" s="27" t="s">
        <v>7</v>
      </c>
      <c r="AE687" s="27" t="s">
        <v>8</v>
      </c>
      <c r="AF687" s="27" t="s">
        <v>7</v>
      </c>
      <c r="CP687" s="27" t="s">
        <v>7</v>
      </c>
      <c r="CQ687" s="27" t="s">
        <v>8</v>
      </c>
      <c r="DH687" s="27" t="s">
        <v>7</v>
      </c>
      <c r="DI687" s="27" t="s">
        <v>8</v>
      </c>
      <c r="DJ687" s="27" t="s">
        <v>7</v>
      </c>
      <c r="DM687" s="27" t="s">
        <v>8</v>
      </c>
      <c r="DO687" s="27" t="s">
        <v>8</v>
      </c>
      <c r="DP687" s="27" t="s">
        <v>7</v>
      </c>
      <c r="DQ687" s="27" t="s">
        <v>8</v>
      </c>
      <c r="DR687" s="27" t="s">
        <v>7</v>
      </c>
      <c r="DS687" s="27" t="s">
        <v>8</v>
      </c>
      <c r="DT687" s="27" t="s">
        <v>7</v>
      </c>
      <c r="DU687" s="27" t="s">
        <v>8</v>
      </c>
      <c r="DW687" s="27" t="s">
        <v>8</v>
      </c>
      <c r="DX687" s="27" t="s">
        <v>7</v>
      </c>
      <c r="EA687" s="27" t="s">
        <v>8</v>
      </c>
      <c r="EB687" s="27" t="s">
        <v>7</v>
      </c>
      <c r="EC687" s="27" t="s">
        <v>8</v>
      </c>
      <c r="GX687" s="27" t="s">
        <v>7</v>
      </c>
      <c r="GY687" s="27" t="s">
        <v>8</v>
      </c>
      <c r="GZ687" s="27" t="s">
        <v>7</v>
      </c>
      <c r="HG687" s="27" t="s">
        <v>8</v>
      </c>
      <c r="HH687" s="27" t="s">
        <v>7</v>
      </c>
      <c r="HI687" s="27" t="s">
        <v>8</v>
      </c>
      <c r="HJ687" s="27" t="s">
        <v>7</v>
      </c>
      <c r="HS687" s="27" t="s">
        <v>8</v>
      </c>
      <c r="HT687" s="27" t="s">
        <v>7</v>
      </c>
    </row>
    <row r="688" spans="1:228" x14ac:dyDescent="0.25">
      <c r="A688" s="7">
        <v>0.1353264384291625</v>
      </c>
      <c r="B688"/>
      <c r="C688"/>
      <c r="D688"/>
      <c r="E688"/>
      <c r="J688" s="27" t="s">
        <v>7</v>
      </c>
      <c r="M688" s="27" t="s">
        <v>8</v>
      </c>
      <c r="N688" s="27" t="s">
        <v>7</v>
      </c>
      <c r="Q688" s="27" t="s">
        <v>8</v>
      </c>
      <c r="R688" s="27" t="s">
        <v>7</v>
      </c>
      <c r="S688" s="27" t="s">
        <v>8</v>
      </c>
      <c r="T688" s="27" t="s">
        <v>7</v>
      </c>
      <c r="U688" s="27" t="s">
        <v>8</v>
      </c>
      <c r="V688" s="27" t="s">
        <v>7</v>
      </c>
      <c r="W688" s="27" t="s">
        <v>8</v>
      </c>
      <c r="X688" s="27" t="s">
        <v>7</v>
      </c>
      <c r="Y688" s="27" t="s">
        <v>8</v>
      </c>
      <c r="Z688" s="27" t="s">
        <v>7</v>
      </c>
      <c r="AA688" s="27" t="s">
        <v>8</v>
      </c>
      <c r="AD688" s="27" t="s">
        <v>7</v>
      </c>
      <c r="AE688" s="27" t="s">
        <v>8</v>
      </c>
      <c r="CP688" s="27" t="s">
        <v>7</v>
      </c>
      <c r="CQ688" s="27" t="s">
        <v>8</v>
      </c>
      <c r="DH688" s="27" t="s">
        <v>7</v>
      </c>
      <c r="DI688" s="27" t="s">
        <v>8</v>
      </c>
      <c r="DJ688" s="27" t="s">
        <v>7</v>
      </c>
      <c r="DK688" s="27" t="s">
        <v>8</v>
      </c>
      <c r="DM688" s="27" t="s">
        <v>8</v>
      </c>
      <c r="DN688" s="27" t="s">
        <v>7</v>
      </c>
      <c r="DO688" s="27" t="s">
        <v>8</v>
      </c>
      <c r="DP688" s="27" t="s">
        <v>7</v>
      </c>
      <c r="DR688" s="27" t="s">
        <v>7</v>
      </c>
      <c r="DS688" s="27" t="s">
        <v>8</v>
      </c>
      <c r="DT688" s="27" t="s">
        <v>7</v>
      </c>
      <c r="DU688" s="27" t="s">
        <v>8</v>
      </c>
      <c r="DV688" s="27" t="s">
        <v>7</v>
      </c>
      <c r="DW688" s="27" t="s">
        <v>8</v>
      </c>
      <c r="DX688" s="27" t="s">
        <v>7</v>
      </c>
      <c r="EA688" s="27" t="s">
        <v>8</v>
      </c>
      <c r="EB688" s="27" t="s">
        <v>7</v>
      </c>
      <c r="EC688" s="27" t="s">
        <v>8</v>
      </c>
      <c r="GX688" s="27" t="s">
        <v>7</v>
      </c>
      <c r="GY688" s="27" t="s">
        <v>8</v>
      </c>
      <c r="GZ688" s="27" t="s">
        <v>7</v>
      </c>
      <c r="HG688" s="27" t="s">
        <v>8</v>
      </c>
      <c r="HH688" s="27" t="s">
        <v>7</v>
      </c>
      <c r="HI688" s="27" t="s">
        <v>8</v>
      </c>
      <c r="HJ688" s="27" t="s">
        <v>7</v>
      </c>
      <c r="HS688" s="27" t="s">
        <v>8</v>
      </c>
      <c r="HT688" s="27" t="s">
        <v>7</v>
      </c>
    </row>
    <row r="689" spans="1:232" x14ac:dyDescent="0.25">
      <c r="A689" s="7">
        <v>0.13267297885212009</v>
      </c>
      <c r="B689"/>
      <c r="C689"/>
      <c r="D689"/>
      <c r="E689"/>
      <c r="J689" s="27" t="s">
        <v>7</v>
      </c>
      <c r="M689" s="27" t="s">
        <v>8</v>
      </c>
      <c r="N689" s="27" t="s">
        <v>7</v>
      </c>
      <c r="Q689" s="27" t="s">
        <v>8</v>
      </c>
      <c r="R689" s="27" t="s">
        <v>7</v>
      </c>
      <c r="S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X689" s="27" t="s">
        <v>7</v>
      </c>
      <c r="Y689" s="27" t="s">
        <v>8</v>
      </c>
      <c r="Z689" s="27" t="s">
        <v>7</v>
      </c>
      <c r="AA689" s="27" t="s">
        <v>8</v>
      </c>
      <c r="AD689" s="27" t="s">
        <v>7</v>
      </c>
      <c r="AE689" s="27" t="s">
        <v>8</v>
      </c>
      <c r="CP689" s="27" t="s">
        <v>7</v>
      </c>
      <c r="CQ689" s="27" t="s">
        <v>8</v>
      </c>
      <c r="DH689" s="27" t="s">
        <v>7</v>
      </c>
      <c r="DI689" s="27" t="s">
        <v>8</v>
      </c>
      <c r="DJ689" s="27" t="s">
        <v>7</v>
      </c>
      <c r="DK689" s="27" t="s">
        <v>8</v>
      </c>
      <c r="DL689" s="27" t="s">
        <v>7</v>
      </c>
      <c r="DM689" s="27" t="s">
        <v>8</v>
      </c>
      <c r="DN689" s="27" t="s">
        <v>7</v>
      </c>
      <c r="DO689" s="27" t="s">
        <v>8</v>
      </c>
      <c r="DR689" s="27" t="s">
        <v>7</v>
      </c>
      <c r="DT689" s="27" t="s">
        <v>7</v>
      </c>
      <c r="DU689" s="27" t="s">
        <v>8</v>
      </c>
      <c r="DV689" s="27" t="s">
        <v>7</v>
      </c>
      <c r="DW689" s="27" t="s">
        <v>8</v>
      </c>
      <c r="DX689" s="27" t="s">
        <v>7</v>
      </c>
      <c r="EA689" s="27" t="s">
        <v>8</v>
      </c>
      <c r="EB689" s="27" t="s">
        <v>7</v>
      </c>
      <c r="EC689" s="27" t="s">
        <v>8</v>
      </c>
      <c r="GX689" s="27" t="s">
        <v>7</v>
      </c>
      <c r="GY689" s="27" t="s">
        <v>8</v>
      </c>
      <c r="GZ689" s="27" t="s">
        <v>7</v>
      </c>
      <c r="HA689" s="27" t="s">
        <v>8</v>
      </c>
      <c r="HG689" s="27" t="s">
        <v>8</v>
      </c>
      <c r="HH689" s="27" t="s">
        <v>7</v>
      </c>
      <c r="HI689" s="27" t="s">
        <v>8</v>
      </c>
      <c r="HJ689" s="27" t="s">
        <v>7</v>
      </c>
      <c r="HS689" s="27" t="s">
        <v>8</v>
      </c>
      <c r="HT689" s="27" t="s">
        <v>7</v>
      </c>
    </row>
    <row r="690" spans="1:232" x14ac:dyDescent="0.25">
      <c r="A690" s="7">
        <v>0.13007154789423539</v>
      </c>
      <c r="B690"/>
      <c r="C690"/>
      <c r="D690"/>
      <c r="E690"/>
      <c r="J690" s="27" t="s">
        <v>7</v>
      </c>
      <c r="M690" s="27" t="s">
        <v>8</v>
      </c>
      <c r="N690" s="27" t="s">
        <v>7</v>
      </c>
      <c r="Q690" s="27" t="s">
        <v>8</v>
      </c>
      <c r="R690" s="27" t="s">
        <v>7</v>
      </c>
      <c r="S690" s="27" t="s">
        <v>8</v>
      </c>
      <c r="T690" s="27" t="s">
        <v>7</v>
      </c>
      <c r="U690" s="27" t="s">
        <v>8</v>
      </c>
      <c r="V690" s="27" t="s">
        <v>7</v>
      </c>
      <c r="W690" s="27" t="s">
        <v>8</v>
      </c>
      <c r="X690" s="27" t="s">
        <v>7</v>
      </c>
      <c r="Y690" s="27" t="s">
        <v>8</v>
      </c>
      <c r="Z690" s="27" t="s">
        <v>7</v>
      </c>
      <c r="AA690" s="27" t="s">
        <v>8</v>
      </c>
      <c r="AD690" s="27" t="s">
        <v>7</v>
      </c>
      <c r="AE690" s="27" t="s">
        <v>8</v>
      </c>
      <c r="CP690" s="27" t="s">
        <v>7</v>
      </c>
      <c r="CQ690" s="27" t="s">
        <v>8</v>
      </c>
      <c r="DH690" s="27" t="s">
        <v>7</v>
      </c>
      <c r="DI690" s="27" t="s">
        <v>8</v>
      </c>
      <c r="DJ690" s="27" t="s">
        <v>7</v>
      </c>
      <c r="DK690" s="27" t="s">
        <v>8</v>
      </c>
      <c r="DL690" s="27" t="s">
        <v>7</v>
      </c>
      <c r="DM690" s="27" t="s">
        <v>8</v>
      </c>
      <c r="DN690" s="27" t="s">
        <v>7</v>
      </c>
      <c r="DO690" s="27" t="s">
        <v>8</v>
      </c>
      <c r="DT690" s="27" t="s">
        <v>7</v>
      </c>
      <c r="DV690" s="27" t="s">
        <v>7</v>
      </c>
      <c r="DW690" s="27" t="s">
        <v>8</v>
      </c>
      <c r="DX690" s="27" t="s">
        <v>7</v>
      </c>
      <c r="EA690" s="27" t="s">
        <v>8</v>
      </c>
      <c r="EB690" s="27" t="s">
        <v>7</v>
      </c>
      <c r="EC690" s="27" t="s">
        <v>8</v>
      </c>
      <c r="GX690" s="27" t="s">
        <v>7</v>
      </c>
      <c r="GZ690" s="27" t="s">
        <v>7</v>
      </c>
      <c r="HA690" s="27" t="s">
        <v>8</v>
      </c>
      <c r="HB690" s="27" t="s">
        <v>7</v>
      </c>
      <c r="HE690" s="27" t="s">
        <v>8</v>
      </c>
      <c r="HG690" s="27" t="s">
        <v>8</v>
      </c>
      <c r="HH690" s="27" t="s">
        <v>7</v>
      </c>
      <c r="HI690" s="27" t="s">
        <v>8</v>
      </c>
      <c r="HJ690" s="27" t="s">
        <v>7</v>
      </c>
      <c r="HS690" s="27" t="s">
        <v>8</v>
      </c>
      <c r="HT690" s="27" t="s">
        <v>7</v>
      </c>
    </row>
    <row r="691" spans="1:232" x14ac:dyDescent="0.25">
      <c r="A691" s="7">
        <v>0.12752112538650529</v>
      </c>
      <c r="B691"/>
      <c r="C691"/>
      <c r="D691"/>
      <c r="E691"/>
      <c r="J691" s="27" t="s">
        <v>7</v>
      </c>
      <c r="M691" s="27" t="s">
        <v>8</v>
      </c>
      <c r="N691" s="27" t="s">
        <v>7</v>
      </c>
      <c r="Q691" s="27" t="s">
        <v>8</v>
      </c>
      <c r="R691" s="27" t="s">
        <v>7</v>
      </c>
      <c r="T691" s="27" t="s">
        <v>7</v>
      </c>
      <c r="U691" s="27" t="s">
        <v>8</v>
      </c>
      <c r="V691" s="27" t="s">
        <v>7</v>
      </c>
      <c r="W691" s="27" t="s">
        <v>8</v>
      </c>
      <c r="X691" s="27" t="s">
        <v>7</v>
      </c>
      <c r="Y691" s="27" t="s">
        <v>8</v>
      </c>
      <c r="Z691" s="27" t="s">
        <v>7</v>
      </c>
      <c r="AA691" s="27" t="s">
        <v>8</v>
      </c>
      <c r="AD691" s="27" t="s">
        <v>7</v>
      </c>
      <c r="AE691" s="27" t="s">
        <v>8</v>
      </c>
      <c r="CP691" s="27" t="s">
        <v>7</v>
      </c>
      <c r="CQ691" s="27" t="s">
        <v>8</v>
      </c>
      <c r="DH691" s="27" t="s">
        <v>7</v>
      </c>
      <c r="DI691" s="27" t="s">
        <v>8</v>
      </c>
      <c r="DJ691" s="27" t="s">
        <v>7</v>
      </c>
      <c r="DK691" s="27" t="s">
        <v>8</v>
      </c>
      <c r="DL691" s="27" t="s">
        <v>7</v>
      </c>
      <c r="DN691" s="27" t="s">
        <v>7</v>
      </c>
      <c r="DO691" s="27" t="s">
        <v>8</v>
      </c>
      <c r="DV691" s="27" t="s">
        <v>7</v>
      </c>
      <c r="DW691" s="27" t="s">
        <v>8</v>
      </c>
      <c r="DX691" s="27" t="s">
        <v>7</v>
      </c>
      <c r="EA691" s="27" t="s">
        <v>8</v>
      </c>
      <c r="EB691" s="27" t="s">
        <v>7</v>
      </c>
      <c r="GZ691" s="27" t="s">
        <v>7</v>
      </c>
      <c r="HA691" s="27" t="s">
        <v>8</v>
      </c>
      <c r="HB691" s="27" t="s">
        <v>7</v>
      </c>
      <c r="HE691" s="27" t="s">
        <v>8</v>
      </c>
      <c r="HF691" s="27" t="s">
        <v>7</v>
      </c>
      <c r="HG691" s="27" t="s">
        <v>8</v>
      </c>
      <c r="HH691" s="27" t="s">
        <v>7</v>
      </c>
      <c r="HI691" s="27" t="s">
        <v>8</v>
      </c>
      <c r="HJ691" s="27" t="s">
        <v>7</v>
      </c>
      <c r="HM691" s="27" t="s">
        <v>8</v>
      </c>
      <c r="HS691" s="27" t="s">
        <v>8</v>
      </c>
      <c r="HT691" s="27" t="s">
        <v>7</v>
      </c>
    </row>
    <row r="692" spans="1:232" x14ac:dyDescent="0.25">
      <c r="A692" s="7">
        <v>0.12502071116324048</v>
      </c>
      <c r="B692"/>
      <c r="C692"/>
      <c r="D692"/>
      <c r="E692"/>
      <c r="J692" s="27" t="s">
        <v>7</v>
      </c>
      <c r="M692" s="27" t="s">
        <v>8</v>
      </c>
      <c r="N692" s="27" t="s">
        <v>7</v>
      </c>
      <c r="Q692" s="27" t="s">
        <v>8</v>
      </c>
      <c r="T692" s="27" t="s">
        <v>7</v>
      </c>
      <c r="V692" s="27" t="s">
        <v>7</v>
      </c>
      <c r="W692" s="27" t="s">
        <v>8</v>
      </c>
      <c r="X692" s="27" t="s">
        <v>7</v>
      </c>
      <c r="Y692" s="27" t="s">
        <v>8</v>
      </c>
      <c r="Z692" s="27" t="s">
        <v>7</v>
      </c>
      <c r="AA692" s="27" t="s">
        <v>8</v>
      </c>
      <c r="AD692" s="27" t="s">
        <v>7</v>
      </c>
      <c r="CP692" s="27" t="s">
        <v>7</v>
      </c>
      <c r="CQ692" s="27" t="s">
        <v>8</v>
      </c>
      <c r="DH692" s="27" t="s">
        <v>7</v>
      </c>
      <c r="DI692" s="27" t="s">
        <v>8</v>
      </c>
      <c r="DJ692" s="27" t="s">
        <v>7</v>
      </c>
      <c r="DK692" s="27" t="s">
        <v>8</v>
      </c>
      <c r="DN692" s="27" t="s">
        <v>7</v>
      </c>
      <c r="DV692" s="27" t="s">
        <v>7</v>
      </c>
      <c r="DX692" s="27" t="s">
        <v>7</v>
      </c>
      <c r="DY692" s="27" t="s">
        <v>8</v>
      </c>
      <c r="EA692" s="27" t="s">
        <v>8</v>
      </c>
      <c r="GZ692" s="27" t="s">
        <v>7</v>
      </c>
      <c r="HA692" s="27" t="s">
        <v>8</v>
      </c>
      <c r="HB692" s="27" t="s">
        <v>7</v>
      </c>
      <c r="HE692" s="27" t="s">
        <v>8</v>
      </c>
      <c r="HF692" s="27" t="s">
        <v>7</v>
      </c>
      <c r="HG692" s="27" t="s">
        <v>8</v>
      </c>
      <c r="HH692" s="27" t="s">
        <v>7</v>
      </c>
      <c r="HI692" s="27" t="s">
        <v>8</v>
      </c>
      <c r="HJ692" s="27" t="s">
        <v>7</v>
      </c>
      <c r="HK692" s="27" t="s">
        <v>8</v>
      </c>
      <c r="HM692" s="27" t="s">
        <v>8</v>
      </c>
      <c r="HN692" s="27" t="s">
        <v>7</v>
      </c>
      <c r="HO692" s="27" t="s">
        <v>8</v>
      </c>
      <c r="HQ692" s="27" t="s">
        <v>8</v>
      </c>
      <c r="HS692" s="27" t="s">
        <v>8</v>
      </c>
      <c r="HT692" s="27" t="s">
        <v>7</v>
      </c>
    </row>
    <row r="693" spans="1:232" x14ac:dyDescent="0.25">
      <c r="A693" s="7">
        <v>0.1225693246698436</v>
      </c>
      <c r="B693"/>
      <c r="C693"/>
      <c r="D693"/>
      <c r="E693"/>
      <c r="J693" s="27" t="s">
        <v>7</v>
      </c>
      <c r="M693" s="27" t="s">
        <v>8</v>
      </c>
      <c r="N693" s="27" t="s">
        <v>7</v>
      </c>
      <c r="O693" s="27" t="s">
        <v>8</v>
      </c>
      <c r="Q693" s="27" t="s">
        <v>8</v>
      </c>
      <c r="V693" s="27" t="s">
        <v>7</v>
      </c>
      <c r="W693" s="27" t="s">
        <v>8</v>
      </c>
      <c r="X693" s="27" t="s">
        <v>7</v>
      </c>
      <c r="Y693" s="27" t="s">
        <v>8</v>
      </c>
      <c r="Z693" s="27" t="s">
        <v>7</v>
      </c>
      <c r="CP693" s="27" t="s">
        <v>7</v>
      </c>
      <c r="CQ693" s="27" t="s">
        <v>8</v>
      </c>
      <c r="DH693" s="27" t="s">
        <v>7</v>
      </c>
      <c r="DI693" s="27" t="s">
        <v>8</v>
      </c>
      <c r="DJ693" s="27" t="s">
        <v>7</v>
      </c>
      <c r="DK693" s="27" t="s">
        <v>8</v>
      </c>
      <c r="DX693" s="27" t="s">
        <v>7</v>
      </c>
      <c r="DY693" s="27" t="s">
        <v>8</v>
      </c>
      <c r="DZ693" s="27" t="s">
        <v>7</v>
      </c>
      <c r="EA693" s="27" t="s">
        <v>8</v>
      </c>
      <c r="GZ693" s="27" t="s">
        <v>7</v>
      </c>
      <c r="HB693" s="27" t="s">
        <v>7</v>
      </c>
      <c r="HC693" s="27" t="s">
        <v>8</v>
      </c>
      <c r="HE693" s="27" t="s">
        <v>8</v>
      </c>
      <c r="HF693" s="27" t="s">
        <v>7</v>
      </c>
      <c r="HG693" s="27" t="s">
        <v>8</v>
      </c>
      <c r="HH693" s="27" t="s">
        <v>7</v>
      </c>
      <c r="HI693" s="27" t="s">
        <v>8</v>
      </c>
      <c r="HJ693" s="27" t="s">
        <v>7</v>
      </c>
      <c r="HK693" s="27" t="s">
        <v>8</v>
      </c>
      <c r="HL693" s="27" t="s">
        <v>7</v>
      </c>
      <c r="HM693" s="27" t="s">
        <v>8</v>
      </c>
      <c r="HN693" s="27" t="s">
        <v>7</v>
      </c>
      <c r="HO693" s="27" t="s">
        <v>8</v>
      </c>
      <c r="HP693" s="27" t="s">
        <v>7</v>
      </c>
      <c r="HQ693" s="27" t="s">
        <v>8</v>
      </c>
      <c r="HR693" s="27" t="s">
        <v>7</v>
      </c>
      <c r="HS693" s="27" t="s">
        <v>8</v>
      </c>
      <c r="HT693" s="27" t="s">
        <v>7</v>
      </c>
    </row>
    <row r="694" spans="1:232" x14ac:dyDescent="0.25">
      <c r="A694" s="7">
        <v>0.12016600457827803</v>
      </c>
      <c r="B694"/>
      <c r="C694"/>
      <c r="D694"/>
      <c r="E694"/>
      <c r="J694" s="27" t="s">
        <v>7</v>
      </c>
      <c r="K694" s="27" t="s">
        <v>8</v>
      </c>
      <c r="M694" s="27" t="s">
        <v>8</v>
      </c>
      <c r="N694" s="27" t="s">
        <v>7</v>
      </c>
      <c r="O694" s="27" t="s">
        <v>8</v>
      </c>
      <c r="P694" s="27" t="s">
        <v>7</v>
      </c>
      <c r="Q694" s="27" t="s">
        <v>8</v>
      </c>
      <c r="V694" s="27" t="s">
        <v>7</v>
      </c>
      <c r="W694" s="27" t="s">
        <v>8</v>
      </c>
      <c r="X694" s="27" t="s">
        <v>7</v>
      </c>
      <c r="CP694" s="27" t="s">
        <v>7</v>
      </c>
      <c r="CQ694" s="27" t="s">
        <v>8</v>
      </c>
      <c r="DH694" s="27" t="s">
        <v>7</v>
      </c>
      <c r="DI694" s="27" t="s">
        <v>8</v>
      </c>
      <c r="DJ694" s="27" t="s">
        <v>7</v>
      </c>
      <c r="DX694" s="27" t="s">
        <v>7</v>
      </c>
      <c r="DY694" s="27" t="s">
        <v>8</v>
      </c>
      <c r="DZ694" s="27" t="s">
        <v>7</v>
      </c>
      <c r="EA694" s="27" t="s">
        <v>8</v>
      </c>
      <c r="HB694" s="27" t="s">
        <v>7</v>
      </c>
      <c r="HC694" s="27" t="s">
        <v>8</v>
      </c>
      <c r="HD694" s="27" t="s">
        <v>7</v>
      </c>
      <c r="HE694" s="27" t="s">
        <v>8</v>
      </c>
      <c r="HF694" s="27" t="s">
        <v>7</v>
      </c>
      <c r="HG694" s="27" t="s">
        <v>8</v>
      </c>
      <c r="HH694" s="27" t="s">
        <v>7</v>
      </c>
      <c r="HI694" s="27" t="s">
        <v>8</v>
      </c>
      <c r="HJ694" s="27" t="s">
        <v>7</v>
      </c>
      <c r="HK694" s="27" t="s">
        <v>8</v>
      </c>
      <c r="HL694" s="27" t="s">
        <v>7</v>
      </c>
      <c r="HM694" s="27" t="s">
        <v>8</v>
      </c>
      <c r="HN694" s="27" t="s">
        <v>7</v>
      </c>
      <c r="HO694" s="27" t="s">
        <v>8</v>
      </c>
      <c r="HP694" s="27" t="s">
        <v>7</v>
      </c>
      <c r="HQ694" s="27" t="s">
        <v>8</v>
      </c>
      <c r="HR694" s="27" t="s">
        <v>7</v>
      </c>
      <c r="HS694" s="27" t="s">
        <v>8</v>
      </c>
      <c r="HT694" s="27" t="s">
        <v>7</v>
      </c>
    </row>
    <row r="695" spans="1:232" x14ac:dyDescent="0.25">
      <c r="A695" s="7">
        <v>0.1178098084100765</v>
      </c>
      <c r="B695"/>
      <c r="C695"/>
      <c r="D695"/>
      <c r="E695"/>
      <c r="J695" s="27" t="s">
        <v>7</v>
      </c>
      <c r="K695" s="27" t="s">
        <v>8</v>
      </c>
      <c r="L695" s="27" t="s">
        <v>7</v>
      </c>
      <c r="M695" s="27" t="s">
        <v>8</v>
      </c>
      <c r="N695" s="27" t="s">
        <v>7</v>
      </c>
      <c r="O695" s="27" t="s">
        <v>8</v>
      </c>
      <c r="P695" s="27" t="s">
        <v>7</v>
      </c>
      <c r="Q695" s="27" t="s">
        <v>8</v>
      </c>
      <c r="V695" s="27" t="s">
        <v>7</v>
      </c>
      <c r="W695" s="27" t="s">
        <v>8</v>
      </c>
      <c r="CP695" s="27" t="s">
        <v>7</v>
      </c>
      <c r="CQ695" s="27" t="s">
        <v>8</v>
      </c>
      <c r="DH695" s="27" t="s">
        <v>7</v>
      </c>
      <c r="DI695" s="27" t="s">
        <v>8</v>
      </c>
      <c r="DX695" s="27" t="s">
        <v>7</v>
      </c>
      <c r="DZ695" s="27" t="s">
        <v>7</v>
      </c>
      <c r="EA695" s="27" t="s">
        <v>8</v>
      </c>
      <c r="HB695" s="27" t="s">
        <v>7</v>
      </c>
      <c r="HC695" s="27" t="s">
        <v>8</v>
      </c>
      <c r="HD695" s="27" t="s">
        <v>7</v>
      </c>
      <c r="HE695" s="27" t="s">
        <v>8</v>
      </c>
      <c r="HF695" s="27" t="s">
        <v>7</v>
      </c>
      <c r="HG695" s="27" t="s">
        <v>8</v>
      </c>
      <c r="HH695" s="27" t="s">
        <v>7</v>
      </c>
      <c r="HI695" s="27" t="s">
        <v>8</v>
      </c>
      <c r="HJ695" s="27" t="s">
        <v>7</v>
      </c>
      <c r="HK695" s="27" t="s">
        <v>8</v>
      </c>
      <c r="HL695" s="27" t="s">
        <v>7</v>
      </c>
      <c r="HN695" s="27" t="s">
        <v>7</v>
      </c>
      <c r="HO695" s="27" t="s">
        <v>8</v>
      </c>
      <c r="HP695" s="27" t="s">
        <v>7</v>
      </c>
      <c r="HQ695" s="27" t="s">
        <v>8</v>
      </c>
      <c r="HR695" s="27" t="s">
        <v>7</v>
      </c>
      <c r="HT695" s="27" t="s">
        <v>7</v>
      </c>
      <c r="HW695" s="27" t="s">
        <v>8</v>
      </c>
    </row>
    <row r="696" spans="1:232" x14ac:dyDescent="0.25">
      <c r="A696" s="7">
        <v>0.11549981216674166</v>
      </c>
      <c r="B696"/>
      <c r="C696"/>
      <c r="D696"/>
      <c r="E696"/>
      <c r="J696" s="27" t="s">
        <v>7</v>
      </c>
      <c r="K696" s="27" t="s">
        <v>8</v>
      </c>
      <c r="L696" s="27" t="s">
        <v>7</v>
      </c>
      <c r="M696" s="27" t="s">
        <v>8</v>
      </c>
      <c r="N696" s="27" t="s">
        <v>7</v>
      </c>
      <c r="O696" s="27" t="s">
        <v>8</v>
      </c>
      <c r="P696" s="27" t="s">
        <v>7</v>
      </c>
      <c r="Q696" s="27" t="s">
        <v>8</v>
      </c>
      <c r="V696" s="27" t="s">
        <v>7</v>
      </c>
      <c r="W696" s="27" t="s">
        <v>8</v>
      </c>
      <c r="CP696" s="27" t="s">
        <v>7</v>
      </c>
      <c r="DH696" s="27" t="s">
        <v>7</v>
      </c>
      <c r="DZ696" s="27" t="s">
        <v>7</v>
      </c>
      <c r="EA696" s="27" t="s">
        <v>8</v>
      </c>
      <c r="HB696" s="27" t="s">
        <v>7</v>
      </c>
      <c r="HC696" s="27" t="s">
        <v>8</v>
      </c>
      <c r="HD696" s="27" t="s">
        <v>7</v>
      </c>
      <c r="HE696" s="27" t="s">
        <v>8</v>
      </c>
      <c r="HF696" s="27" t="s">
        <v>7</v>
      </c>
      <c r="HG696" s="27" t="s">
        <v>8</v>
      </c>
      <c r="HH696" s="27" t="s">
        <v>7</v>
      </c>
      <c r="HI696" s="27" t="s">
        <v>8</v>
      </c>
      <c r="HJ696" s="27" t="s">
        <v>7</v>
      </c>
      <c r="HN696" s="27" t="s">
        <v>7</v>
      </c>
      <c r="HO696" s="27" t="s">
        <v>8</v>
      </c>
      <c r="HP696" s="27" t="s">
        <v>7</v>
      </c>
      <c r="HQ696" s="27" t="s">
        <v>8</v>
      </c>
      <c r="HT696" s="27" t="s">
        <v>7</v>
      </c>
      <c r="HW696" s="27" t="s">
        <v>8</v>
      </c>
      <c r="HX696" s="27" t="s">
        <v>7</v>
      </c>
    </row>
    <row r="697" spans="1:232" x14ac:dyDescent="0.25">
      <c r="A697" s="7">
        <v>0.11323510996739378</v>
      </c>
      <c r="B697"/>
      <c r="C697"/>
      <c r="D697"/>
      <c r="E697"/>
      <c r="J697" s="27" t="s">
        <v>7</v>
      </c>
      <c r="K697" s="27" t="s">
        <v>8</v>
      </c>
      <c r="L697" s="27" t="s">
        <v>7</v>
      </c>
      <c r="M697" s="27" t="s">
        <v>8</v>
      </c>
      <c r="N697" s="27" t="s">
        <v>7</v>
      </c>
      <c r="O697" s="27" t="s">
        <v>8</v>
      </c>
      <c r="P697" s="27" t="s">
        <v>7</v>
      </c>
      <c r="Q697" s="27" t="s">
        <v>8</v>
      </c>
      <c r="V697" s="27" t="s">
        <v>7</v>
      </c>
      <c r="W697" s="27" t="s">
        <v>8</v>
      </c>
      <c r="DZ697" s="27" t="s">
        <v>7</v>
      </c>
      <c r="EA697" s="27" t="s">
        <v>8</v>
      </c>
      <c r="HB697" s="27" t="s">
        <v>7</v>
      </c>
      <c r="HC697" s="27" t="s">
        <v>8</v>
      </c>
      <c r="HD697" s="27" t="s">
        <v>7</v>
      </c>
      <c r="HE697" s="27" t="s">
        <v>8</v>
      </c>
      <c r="HF697" s="27" t="s">
        <v>7</v>
      </c>
      <c r="HH697" s="27" t="s">
        <v>7</v>
      </c>
      <c r="HI697" s="27" t="s">
        <v>8</v>
      </c>
      <c r="HN697" s="27" t="s">
        <v>7</v>
      </c>
      <c r="HO697" s="27" t="s">
        <v>8</v>
      </c>
      <c r="HP697" s="27" t="s">
        <v>7</v>
      </c>
      <c r="HQ697" s="27" t="s">
        <v>8</v>
      </c>
      <c r="HT697" s="27" t="s">
        <v>7</v>
      </c>
      <c r="HW697" s="27" t="s">
        <v>8</v>
      </c>
      <c r="HX697" s="27" t="s">
        <v>7</v>
      </c>
    </row>
    <row r="698" spans="1:232" x14ac:dyDescent="0.25">
      <c r="A698" s="7">
        <v>0.11101481369352331</v>
      </c>
      <c r="B698"/>
      <c r="C698"/>
      <c r="D698"/>
      <c r="E698"/>
      <c r="J698" s="27" t="s">
        <v>7</v>
      </c>
      <c r="K698" s="27" t="s">
        <v>8</v>
      </c>
      <c r="L698" s="27" t="s">
        <v>7</v>
      </c>
      <c r="M698" s="27" t="s">
        <v>8</v>
      </c>
      <c r="N698" s="27" t="s">
        <v>7</v>
      </c>
      <c r="O698" s="27" t="s">
        <v>8</v>
      </c>
      <c r="P698" s="27" t="s">
        <v>7</v>
      </c>
      <c r="Q698" s="27" t="s">
        <v>8</v>
      </c>
      <c r="V698" s="27" t="s">
        <v>7</v>
      </c>
      <c r="W698" s="27" t="s">
        <v>8</v>
      </c>
      <c r="DZ698" s="18" t="s">
        <v>7</v>
      </c>
      <c r="EA698" s="27" t="s">
        <v>8</v>
      </c>
      <c r="HB698" s="27" t="s">
        <v>7</v>
      </c>
      <c r="HD698" s="27" t="s">
        <v>7</v>
      </c>
      <c r="HH698" s="27" t="s">
        <v>7</v>
      </c>
      <c r="HN698" s="27" t="s">
        <v>7</v>
      </c>
      <c r="HO698" s="27" t="s">
        <v>8</v>
      </c>
      <c r="HP698" s="27" t="s">
        <v>7</v>
      </c>
      <c r="HQ698" s="27" t="s">
        <v>8</v>
      </c>
      <c r="HT698" s="27" t="s">
        <v>7</v>
      </c>
      <c r="HW698" s="27" t="s">
        <v>8</v>
      </c>
      <c r="HX698" s="27" t="s">
        <v>7</v>
      </c>
    </row>
    <row r="699" spans="1:232" x14ac:dyDescent="0.25">
      <c r="A699" s="7">
        <v>0.10883805264070913</v>
      </c>
      <c r="B699"/>
      <c r="C699"/>
      <c r="D699"/>
      <c r="E699"/>
      <c r="J699" s="27" t="s">
        <v>7</v>
      </c>
      <c r="K699" s="27" t="s">
        <v>8</v>
      </c>
      <c r="L699" s="27" t="s">
        <v>7</v>
      </c>
      <c r="N699" s="27" t="s">
        <v>7</v>
      </c>
      <c r="O699" s="27" t="s">
        <v>8</v>
      </c>
      <c r="P699" s="27" t="s">
        <v>7</v>
      </c>
      <c r="V699" s="27" t="s">
        <v>7</v>
      </c>
      <c r="DZ699" s="27" t="s">
        <v>7</v>
      </c>
      <c r="EA699" s="27" t="s">
        <v>8</v>
      </c>
      <c r="HN699" s="27" t="s">
        <v>7</v>
      </c>
      <c r="HP699" s="27" t="s">
        <v>7</v>
      </c>
      <c r="HT699" s="27" t="s">
        <v>7</v>
      </c>
      <c r="HW699" s="27" t="s">
        <v>8</v>
      </c>
      <c r="HX699" s="27" t="s">
        <v>7</v>
      </c>
    </row>
    <row r="700" spans="1:232" x14ac:dyDescent="0.25">
      <c r="A700" s="7">
        <v>0.10670397317716582</v>
      </c>
      <c r="B700"/>
      <c r="C700"/>
      <c r="D700"/>
      <c r="E700"/>
      <c r="J700" s="27" t="s">
        <v>7</v>
      </c>
      <c r="K700" s="27" t="s">
        <v>8</v>
      </c>
      <c r="N700" s="27" t="s">
        <v>7</v>
      </c>
      <c r="O700" s="27" t="s">
        <v>8</v>
      </c>
      <c r="DZ700" s="27" t="s">
        <v>7</v>
      </c>
      <c r="EA700" s="27" t="s">
        <v>8</v>
      </c>
      <c r="HT700" s="27" t="s">
        <v>7</v>
      </c>
      <c r="HW700" s="27" t="s">
        <v>8</v>
      </c>
      <c r="HX700" s="27" t="s">
        <v>7</v>
      </c>
    </row>
    <row r="701" spans="1:232" x14ac:dyDescent="0.25">
      <c r="A701" s="7">
        <v>0.1046117384089861</v>
      </c>
      <c r="B701"/>
      <c r="C701"/>
      <c r="D701"/>
      <c r="E701"/>
      <c r="J701" s="27" t="s">
        <v>7</v>
      </c>
      <c r="K701" s="27" t="s">
        <v>8</v>
      </c>
      <c r="N701" s="27" t="s">
        <v>7</v>
      </c>
      <c r="DZ701" s="27" t="s">
        <v>7</v>
      </c>
      <c r="EA701" s="27" t="s">
        <v>8</v>
      </c>
      <c r="HT701" s="27" t="s">
        <v>7</v>
      </c>
      <c r="HW701" s="27" t="s">
        <v>8</v>
      </c>
      <c r="HX701" s="27" t="s">
        <v>7</v>
      </c>
    </row>
    <row r="702" spans="1:232" x14ac:dyDescent="0.25">
      <c r="A702" s="7">
        <v>0.10256052785194716</v>
      </c>
      <c r="B702"/>
      <c r="C702"/>
      <c r="D702"/>
      <c r="E702"/>
      <c r="J702" s="27" t="s">
        <v>7</v>
      </c>
      <c r="K702" s="27" t="s">
        <v>8</v>
      </c>
      <c r="DZ702" s="27" t="s">
        <v>7</v>
      </c>
      <c r="HT702" s="27" t="s">
        <v>7</v>
      </c>
      <c r="HW702" s="27" t="s">
        <v>8</v>
      </c>
    </row>
    <row r="703" spans="1:232" x14ac:dyDescent="0.25">
      <c r="A703" s="7">
        <v>0.10054953710975212</v>
      </c>
      <c r="B703"/>
      <c r="C703"/>
      <c r="D703"/>
      <c r="E703"/>
      <c r="J703" s="27" t="s">
        <v>7</v>
      </c>
      <c r="HT703" s="27" t="s">
        <v>7</v>
      </c>
      <c r="HU703" s="27" t="s">
        <v>8</v>
      </c>
      <c r="HW703" s="27" t="s">
        <v>8</v>
      </c>
    </row>
    <row r="704" spans="1:232" x14ac:dyDescent="0.25">
      <c r="A704" s="7">
        <v>9.8577977558580512E-2</v>
      </c>
      <c r="B704"/>
      <c r="C704"/>
      <c r="D704"/>
      <c r="E704"/>
      <c r="HT704" s="27" t="s">
        <v>7</v>
      </c>
      <c r="HU704" s="27" t="s">
        <v>8</v>
      </c>
      <c r="HV704" s="27" t="s">
        <v>7</v>
      </c>
      <c r="HW704" s="27" t="s">
        <v>8</v>
      </c>
    </row>
    <row r="705" spans="1:231" x14ac:dyDescent="0.25">
      <c r="A705" s="7">
        <v>9.6645076037824032E-2</v>
      </c>
      <c r="B705"/>
      <c r="C705"/>
      <c r="D705"/>
      <c r="E705"/>
      <c r="HT705" s="27" t="s">
        <v>7</v>
      </c>
      <c r="HU705" s="27" t="s">
        <v>8</v>
      </c>
      <c r="HV705" s="27" t="s">
        <v>7</v>
      </c>
      <c r="HW705" s="27" t="s">
        <v>8</v>
      </c>
    </row>
    <row r="706" spans="1:231" x14ac:dyDescent="0.25">
      <c r="A706" s="7">
        <v>9.4750074546886304E-2</v>
      </c>
      <c r="B706"/>
      <c r="C706"/>
      <c r="D706"/>
      <c r="E706"/>
      <c r="HT706" s="27" t="s">
        <v>7</v>
      </c>
      <c r="HU706" s="27" t="s">
        <v>8</v>
      </c>
      <c r="HV706" s="27" t="s">
        <v>7</v>
      </c>
      <c r="HW706" s="27" t="s">
        <v>8</v>
      </c>
    </row>
    <row r="707" spans="1:231" x14ac:dyDescent="0.25">
      <c r="A707" s="7">
        <v>9.2892229947927743E-2</v>
      </c>
      <c r="B707"/>
      <c r="C707"/>
      <c r="D707"/>
      <c r="E707"/>
      <c r="HT707" s="27" t="s">
        <v>7</v>
      </c>
      <c r="HU707" s="27" t="s">
        <v>8</v>
      </c>
      <c r="HV707" s="27" t="s">
        <v>7</v>
      </c>
      <c r="HW707" s="27" t="s">
        <v>8</v>
      </c>
    </row>
    <row r="708" spans="1:231" x14ac:dyDescent="0.25">
      <c r="A708" s="7">
        <v>9.1070813674438963E-2</v>
      </c>
      <c r="B708"/>
      <c r="C708"/>
      <c r="D708"/>
      <c r="E708"/>
      <c r="HT708" s="27" t="s">
        <v>7</v>
      </c>
      <c r="HU708" s="27" t="s">
        <v>8</v>
      </c>
      <c r="HV708" s="27" t="s">
        <v>7</v>
      </c>
      <c r="HW708" s="27" t="s">
        <v>8</v>
      </c>
    </row>
    <row r="709" spans="1:231" x14ac:dyDescent="0.25">
      <c r="A709" s="7">
        <v>8.9285111445528392E-2</v>
      </c>
      <c r="B709"/>
      <c r="C709"/>
      <c r="D709"/>
      <c r="E709"/>
      <c r="HT709" s="27" t="s">
        <v>7</v>
      </c>
      <c r="HU709" s="27" t="s">
        <v>8</v>
      </c>
      <c r="HV709" s="27" t="s">
        <v>7</v>
      </c>
      <c r="HW709" s="27" t="s">
        <v>8</v>
      </c>
    </row>
    <row r="710" spans="1:231" x14ac:dyDescent="0.25">
      <c r="A710" s="7">
        <v>8.7534422985812155E-2</v>
      </c>
      <c r="B710"/>
      <c r="C710"/>
      <c r="D710"/>
      <c r="E710"/>
      <c r="HT710" s="27" t="s">
        <v>7</v>
      </c>
      <c r="HV710" s="27" t="s">
        <v>7</v>
      </c>
      <c r="HW710" s="27" t="s">
        <v>8</v>
      </c>
    </row>
    <row r="711" spans="1:231" x14ac:dyDescent="0.25">
      <c r="A711" s="7">
        <v>8.5818061750796232E-2</v>
      </c>
      <c r="B711"/>
      <c r="C711"/>
      <c r="D711"/>
      <c r="E711"/>
      <c r="HV711" s="27" t="s">
        <v>7</v>
      </c>
    </row>
    <row r="712" spans="1:231" x14ac:dyDescent="0.25">
      <c r="A712" s="7">
        <v>8.4135354657643366E-2</v>
      </c>
      <c r="B712"/>
      <c r="C712"/>
      <c r="D712"/>
      <c r="E712"/>
    </row>
    <row r="713" spans="1:231" x14ac:dyDescent="0.25">
      <c r="A713" s="7">
        <v>8.248564182121898E-2</v>
      </c>
      <c r="B713"/>
      <c r="C713"/>
      <c r="D713"/>
      <c r="E713"/>
    </row>
    <row r="714" spans="1:231" x14ac:dyDescent="0.25">
      <c r="A714" s="7">
        <v>8.0868276295312735E-2</v>
      </c>
      <c r="B714"/>
      <c r="C714"/>
      <c r="D714"/>
      <c r="E714"/>
    </row>
    <row r="715" spans="1:231" x14ac:dyDescent="0.25">
      <c r="A715" s="7">
        <v>7.9282623818934056E-2</v>
      </c>
      <c r="B715"/>
      <c r="C715"/>
      <c r="D715"/>
      <c r="E715"/>
    </row>
    <row r="716" spans="1:231" x14ac:dyDescent="0.25">
      <c r="A716" s="7">
        <v>7.7728062567582412E-2</v>
      </c>
      <c r="B716"/>
      <c r="C716"/>
      <c r="D716"/>
      <c r="E716"/>
    </row>
    <row r="717" spans="1:231" x14ac:dyDescent="0.25">
      <c r="A717" s="7">
        <v>7.6203982909394521E-2</v>
      </c>
      <c r="B717"/>
      <c r="C717"/>
      <c r="D717"/>
      <c r="E717"/>
    </row>
    <row r="718" spans="1:231" x14ac:dyDescent="0.25">
      <c r="A718" s="7">
        <v>7.4709787166073058E-2</v>
      </c>
      <c r="B718"/>
      <c r="C718"/>
      <c r="D718"/>
      <c r="E718"/>
    </row>
    <row r="719" spans="1:231" x14ac:dyDescent="0.25">
      <c r="A719" s="7">
        <v>7.3244889378503E-2</v>
      </c>
      <c r="B719"/>
      <c r="C719"/>
      <c r="D719"/>
      <c r="E719"/>
    </row>
    <row r="720" spans="1:231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18" operator="equal">
      <formula>$U$1</formula>
    </cfRule>
    <cfRule type="cellIs" dxfId="89" priority="819" operator="equal">
      <formula>$S$1</formula>
    </cfRule>
  </conditionalFormatting>
  <conditionalFormatting sqref="D27">
    <cfRule type="cellIs" dxfId="88" priority="816" operator="equal">
      <formula>$S$1</formula>
    </cfRule>
    <cfRule type="cellIs" dxfId="87" priority="817" operator="equal">
      <formula>$U$1</formula>
    </cfRule>
  </conditionalFormatting>
  <conditionalFormatting sqref="C164">
    <cfRule type="cellIs" dxfId="86" priority="814" operator="equal">
      <formula>$U$1</formula>
    </cfRule>
    <cfRule type="cellIs" dxfId="85" priority="815" operator="equal">
      <formula>$S$1</formula>
    </cfRule>
  </conditionalFormatting>
  <conditionalFormatting sqref="D164">
    <cfRule type="cellIs" dxfId="84" priority="812" operator="equal">
      <formula>$S$1</formula>
    </cfRule>
    <cfRule type="cellIs" dxfId="83" priority="813" operator="equal">
      <formula>$U$1</formula>
    </cfRule>
  </conditionalFormatting>
  <conditionalFormatting sqref="C55">
    <cfRule type="cellIs" dxfId="82" priority="810" operator="equal">
      <formula>$U$1</formula>
    </cfRule>
    <cfRule type="cellIs" dxfId="81" priority="811" operator="equal">
      <formula>$S$1</formula>
    </cfRule>
  </conditionalFormatting>
  <conditionalFormatting sqref="D55">
    <cfRule type="cellIs" dxfId="80" priority="808" operator="equal">
      <formula>$S$1</formula>
    </cfRule>
    <cfRule type="cellIs" dxfId="79" priority="809" operator="equal">
      <formula>$U$1</formula>
    </cfRule>
  </conditionalFormatting>
  <conditionalFormatting sqref="C89">
    <cfRule type="cellIs" dxfId="78" priority="806" operator="equal">
      <formula>$U$1</formula>
    </cfRule>
    <cfRule type="cellIs" dxfId="77" priority="807" operator="equal">
      <formula>$S$1</formula>
    </cfRule>
  </conditionalFormatting>
  <conditionalFormatting sqref="D89">
    <cfRule type="cellIs" dxfId="76" priority="804" operator="equal">
      <formula>$S$1</formula>
    </cfRule>
    <cfRule type="cellIs" dxfId="75" priority="805" operator="equal">
      <formula>$U$1</formula>
    </cfRule>
  </conditionalFormatting>
  <conditionalFormatting sqref="C136">
    <cfRule type="cellIs" dxfId="74" priority="802" operator="equal">
      <formula>$U$1</formula>
    </cfRule>
    <cfRule type="cellIs" dxfId="73" priority="803" operator="equal">
      <formula>$S$1</formula>
    </cfRule>
  </conditionalFormatting>
  <conditionalFormatting sqref="D136">
    <cfRule type="cellIs" dxfId="72" priority="800" operator="equal">
      <formula>$S$1</formula>
    </cfRule>
    <cfRule type="cellIs" dxfId="71" priority="801" operator="equal">
      <formula>$U$1</formula>
    </cfRule>
  </conditionalFormatting>
  <conditionalFormatting sqref="C1">
    <cfRule type="cellIs" dxfId="70" priority="79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G284" sqref="EG28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$A$283</v>
      </c>
      <c r="D111" s="1" t="str">
        <f>ADDRESS(C121-1,D121,1,1)</f>
        <v>$EG$283</v>
      </c>
      <c r="E111"/>
    </row>
    <row r="112" spans="1:5" x14ac:dyDescent="0.25">
      <c r="A112" s="30">
        <v>515.50191262726139</v>
      </c>
      <c r="C112" s="1" t="str">
        <f>ADDRESS(C121,1,1,1)</f>
        <v>$A$284</v>
      </c>
      <c r="D112" s="1" t="str">
        <f>ADDRESS(C121,D121-1,1,1)</f>
        <v>$EF$284</v>
      </c>
      <c r="E112"/>
    </row>
    <row r="113" spans="1:5" x14ac:dyDescent="0.25">
      <c r="A113" s="30">
        <v>490.95420250215363</v>
      </c>
      <c r="C113" s="1" t="str">
        <f>ADDRESS(C121+1,1,1,1)</f>
        <v>$A$285</v>
      </c>
      <c r="D113" s="1" t="str">
        <f>ADDRESS(C121-1,D121+1,1,1)</f>
        <v>$EH$283</v>
      </c>
    </row>
    <row r="114" spans="1:5" x14ac:dyDescent="0.25">
      <c r="A114" s="30">
        <v>467.57543095443202</v>
      </c>
      <c r="C114" s="1" t="str">
        <f>ADDRESS(C121,D121,1,1)</f>
        <v>$EG$284</v>
      </c>
      <c r="D114" s="1" t="str">
        <f>ADDRESS(C121+1,D121+1,1,1)</f>
        <v>$EH$285</v>
      </c>
    </row>
    <row r="115" spans="1:5" x14ac:dyDescent="0.25">
      <c r="A115" s="30">
        <v>445.30993424231622</v>
      </c>
      <c r="C115" s="1" t="str">
        <f>ADDRESS(C121+1,D121,1,1)</f>
        <v>$EG$285</v>
      </c>
    </row>
    <row r="116" spans="1:5" x14ac:dyDescent="0.25">
      <c r="A116" s="30">
        <v>424.10469927839637</v>
      </c>
      <c r="C116" s="1">
        <f>C117-1</f>
        <v>283</v>
      </c>
    </row>
    <row r="117" spans="1:5" x14ac:dyDescent="0.25">
      <c r="A117" s="30">
        <v>403.9092374079965</v>
      </c>
      <c r="C117" s="1">
        <f>C121</f>
        <v>284</v>
      </c>
      <c r="D117" s="1">
        <f>D121</f>
        <v>137</v>
      </c>
    </row>
    <row r="118" spans="1:5" x14ac:dyDescent="0.25">
      <c r="A118" s="30">
        <v>384.6754641980919</v>
      </c>
      <c r="C118" s="1">
        <f>C117+1</f>
        <v>285</v>
      </c>
      <c r="D118" s="1">
        <f>D117+1</f>
        <v>138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284</v>
      </c>
      <c r="D121" s="19">
        <v>137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R284</v>
      </c>
      <c r="D123" s="1" t="str">
        <f>"C"&amp;D121</f>
        <v>C137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0.11686133436193799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00" x14ac:dyDescent="0.25">
      <c r="A241" s="30">
        <v>0.952380952380952</v>
      </c>
      <c r="B241"/>
      <c r="C241"/>
      <c r="D241"/>
      <c r="E241"/>
      <c r="F241" s="27" t="s">
        <v>7</v>
      </c>
    </row>
    <row r="242" spans="1:100" x14ac:dyDescent="0.25">
      <c r="A242" s="30">
        <v>0.90702947845804915</v>
      </c>
      <c r="B242"/>
      <c r="C242"/>
      <c r="D242"/>
      <c r="E242"/>
      <c r="F242" s="27" t="s">
        <v>7</v>
      </c>
    </row>
    <row r="243" spans="1:100" x14ac:dyDescent="0.25">
      <c r="A243" s="30">
        <v>0.86383759853147501</v>
      </c>
      <c r="B243"/>
      <c r="C243"/>
      <c r="D243"/>
      <c r="E243"/>
      <c r="F243" s="27" t="s">
        <v>7</v>
      </c>
      <c r="AI243" s="27" t="s">
        <v>8</v>
      </c>
    </row>
    <row r="244" spans="1:100" x14ac:dyDescent="0.25">
      <c r="A244" s="30">
        <v>0.82270247479188063</v>
      </c>
      <c r="B244"/>
      <c r="C244"/>
      <c r="D244"/>
      <c r="E244"/>
      <c r="F244" s="27" t="s">
        <v>7</v>
      </c>
      <c r="AI244" s="27" t="s">
        <v>8</v>
      </c>
      <c r="AJ244" s="27" t="s">
        <v>7</v>
      </c>
    </row>
    <row r="245" spans="1:100" x14ac:dyDescent="0.25">
      <c r="A245" s="30">
        <v>0.78352616646845741</v>
      </c>
      <c r="B245"/>
      <c r="C245"/>
      <c r="D245"/>
      <c r="E245"/>
      <c r="F245" s="27" t="s">
        <v>7</v>
      </c>
      <c r="AI245" s="27" t="s">
        <v>8</v>
      </c>
      <c r="AJ245" s="27" t="s">
        <v>7</v>
      </c>
    </row>
    <row r="246" spans="1:100" x14ac:dyDescent="0.25">
      <c r="A246" s="30">
        <v>0.74621539663662584</v>
      </c>
      <c r="B246"/>
      <c r="C246"/>
      <c r="D246"/>
      <c r="E246"/>
      <c r="F246" s="27" t="s">
        <v>7</v>
      </c>
      <c r="AI246" s="27" t="s">
        <v>8</v>
      </c>
      <c r="AJ246" s="27" t="s">
        <v>7</v>
      </c>
    </row>
    <row r="247" spans="1:100" x14ac:dyDescent="0.25">
      <c r="A247" s="30">
        <v>0.71068133013011958</v>
      </c>
      <c r="B247"/>
      <c r="C247"/>
      <c r="D247"/>
      <c r="E247"/>
      <c r="F247" s="27" t="s">
        <v>7</v>
      </c>
      <c r="AI247" s="27" t="s">
        <v>8</v>
      </c>
      <c r="AJ247" s="27" t="s">
        <v>7</v>
      </c>
    </row>
    <row r="248" spans="1:100" x14ac:dyDescent="0.25">
      <c r="A248" s="30">
        <v>0.676839362028685</v>
      </c>
      <c r="B248"/>
      <c r="C248"/>
      <c r="D248"/>
      <c r="E248"/>
      <c r="F248" s="27" t="s">
        <v>7</v>
      </c>
      <c r="AI248" s="27" t="s">
        <v>8</v>
      </c>
      <c r="AJ248" s="27" t="s">
        <v>7</v>
      </c>
      <c r="AW248" s="27" t="s">
        <v>8</v>
      </c>
    </row>
    <row r="249" spans="1:100" x14ac:dyDescent="0.25">
      <c r="A249" s="30">
        <v>0.64460891621779492</v>
      </c>
      <c r="B249"/>
      <c r="C249"/>
      <c r="D249"/>
      <c r="E249"/>
      <c r="F249" s="27" t="s">
        <v>7</v>
      </c>
      <c r="AI249" s="27" t="s">
        <v>8</v>
      </c>
      <c r="AJ249" s="27" t="s">
        <v>7</v>
      </c>
      <c r="AW249" s="27" t="s">
        <v>8</v>
      </c>
      <c r="AX249" s="27" t="s">
        <v>7</v>
      </c>
    </row>
    <row r="250" spans="1:100" x14ac:dyDescent="0.25">
      <c r="A250" s="30">
        <v>0.61391325354075688</v>
      </c>
      <c r="B250"/>
      <c r="C250"/>
      <c r="D250"/>
      <c r="E250"/>
      <c r="F250" s="27" t="s">
        <v>7</v>
      </c>
      <c r="AI250" s="27" t="s">
        <v>8</v>
      </c>
      <c r="AJ250" s="27" t="s">
        <v>7</v>
      </c>
      <c r="AW250" s="27" t="s">
        <v>8</v>
      </c>
      <c r="AX250" s="27" t="s">
        <v>7</v>
      </c>
      <c r="AY250" s="27" t="s">
        <v>8</v>
      </c>
    </row>
    <row r="251" spans="1:100" x14ac:dyDescent="0.25">
      <c r="A251" s="30">
        <v>0.58467928908643485</v>
      </c>
      <c r="B251"/>
      <c r="C251"/>
      <c r="D251"/>
      <c r="E251"/>
      <c r="F251" s="27" t="s">
        <v>7</v>
      </c>
      <c r="AI251" s="27" t="s">
        <v>8</v>
      </c>
      <c r="AJ251" s="27" t="s">
        <v>7</v>
      </c>
      <c r="AM251" s="27" t="s">
        <v>8</v>
      </c>
      <c r="AW251" s="27" t="s">
        <v>8</v>
      </c>
      <c r="AX251" s="27" t="s">
        <v>7</v>
      </c>
      <c r="AY251" s="27" t="s">
        <v>8</v>
      </c>
      <c r="AZ251" s="27" t="s">
        <v>7</v>
      </c>
    </row>
    <row r="252" spans="1:100" x14ac:dyDescent="0.25">
      <c r="A252" s="30">
        <v>0.55683741817755672</v>
      </c>
      <c r="B252"/>
      <c r="C252"/>
      <c r="D252"/>
      <c r="E252"/>
      <c r="F252" s="27" t="s">
        <v>7</v>
      </c>
      <c r="AI252" s="27" t="s">
        <v>8</v>
      </c>
      <c r="AJ252" s="27" t="s">
        <v>7</v>
      </c>
      <c r="AM252" s="27" t="s">
        <v>8</v>
      </c>
      <c r="AN252" s="27" t="s">
        <v>7</v>
      </c>
      <c r="AW252" s="27" t="s">
        <v>8</v>
      </c>
      <c r="AX252" s="27" t="s">
        <v>7</v>
      </c>
      <c r="AY252" s="27" t="s">
        <v>8</v>
      </c>
      <c r="AZ252" s="27" t="s">
        <v>7</v>
      </c>
    </row>
    <row r="253" spans="1:100" x14ac:dyDescent="0.25">
      <c r="A253" s="30">
        <v>0.53032135064529184</v>
      </c>
      <c r="B253"/>
      <c r="C253"/>
      <c r="D253"/>
      <c r="E253"/>
      <c r="F253" s="27" t="s">
        <v>7</v>
      </c>
      <c r="AI253" s="27" t="s">
        <v>8</v>
      </c>
      <c r="AJ253" s="27" t="s">
        <v>7</v>
      </c>
      <c r="AM253" s="27" t="s">
        <v>8</v>
      </c>
      <c r="AN253" s="27" t="s">
        <v>7</v>
      </c>
      <c r="AW253" s="27" t="s">
        <v>8</v>
      </c>
      <c r="AX253" s="27" t="s">
        <v>7</v>
      </c>
      <c r="AY253" s="27" t="s">
        <v>8</v>
      </c>
      <c r="AZ253" s="27" t="s">
        <v>7</v>
      </c>
      <c r="BG253" s="27" t="s">
        <v>8</v>
      </c>
    </row>
    <row r="254" spans="1:100" x14ac:dyDescent="0.25">
      <c r="A254" s="30">
        <v>0.50506795299551588</v>
      </c>
      <c r="B254"/>
      <c r="C254"/>
      <c r="D254"/>
      <c r="E254"/>
      <c r="F254" s="27" t="s">
        <v>7</v>
      </c>
      <c r="AI254" s="27" t="s">
        <v>8</v>
      </c>
      <c r="AJ254" s="27" t="s">
        <v>7</v>
      </c>
      <c r="AM254" s="27" t="s">
        <v>8</v>
      </c>
      <c r="AN254" s="27" t="s">
        <v>7</v>
      </c>
      <c r="AW254" s="27" t="s">
        <v>8</v>
      </c>
      <c r="AX254" s="27" t="s">
        <v>7</v>
      </c>
      <c r="AY254" s="27" t="s">
        <v>8</v>
      </c>
      <c r="AZ254" s="27" t="s">
        <v>7</v>
      </c>
      <c r="BG254" s="27" t="s">
        <v>8</v>
      </c>
      <c r="BH254" s="27" t="s">
        <v>7</v>
      </c>
    </row>
    <row r="255" spans="1:100" x14ac:dyDescent="0.25">
      <c r="A255" s="30">
        <v>0.48101709809096732</v>
      </c>
      <c r="E255"/>
      <c r="F255" s="27" t="s">
        <v>7</v>
      </c>
      <c r="AI255" s="27" t="s">
        <v>8</v>
      </c>
      <c r="AJ255" s="27" t="s">
        <v>7</v>
      </c>
      <c r="AK255" s="27" t="s">
        <v>8</v>
      </c>
      <c r="AM255" s="27" t="s">
        <v>8</v>
      </c>
      <c r="AN255" s="27" t="s">
        <v>7</v>
      </c>
      <c r="AW255" s="27" t="s">
        <v>8</v>
      </c>
      <c r="AX255" s="27" t="s">
        <v>7</v>
      </c>
      <c r="AY255" s="27" t="s">
        <v>8</v>
      </c>
      <c r="AZ255" s="27" t="s">
        <v>7</v>
      </c>
      <c r="BG255" s="27" t="s">
        <v>8</v>
      </c>
      <c r="BH255" s="27" t="s">
        <v>7</v>
      </c>
      <c r="CU255" s="27" t="s">
        <v>8</v>
      </c>
    </row>
    <row r="256" spans="1:100" x14ac:dyDescent="0.25">
      <c r="A256" s="30">
        <v>0.45811152199139726</v>
      </c>
      <c r="E256"/>
      <c r="F256" s="27" t="s">
        <v>7</v>
      </c>
      <c r="AI256" s="27" t="s">
        <v>8</v>
      </c>
      <c r="AJ256" s="27" t="s">
        <v>7</v>
      </c>
      <c r="AK256" s="27" t="s">
        <v>8</v>
      </c>
      <c r="AL256" s="27" t="s">
        <v>7</v>
      </c>
      <c r="AM256" s="27" t="s">
        <v>8</v>
      </c>
      <c r="AN256" s="27" t="s">
        <v>7</v>
      </c>
      <c r="AW256" s="27" t="s">
        <v>8</v>
      </c>
      <c r="AX256" s="27" t="s">
        <v>7</v>
      </c>
      <c r="AY256" s="27" t="s">
        <v>8</v>
      </c>
      <c r="AZ256" s="27" t="s">
        <v>7</v>
      </c>
      <c r="BE256" s="27" t="s">
        <v>8</v>
      </c>
      <c r="BG256" s="27" t="s">
        <v>8</v>
      </c>
      <c r="BH256" s="27" t="s">
        <v>7</v>
      </c>
      <c r="CU256" s="27" t="s">
        <v>8</v>
      </c>
      <c r="CV256" s="27" t="s">
        <v>7</v>
      </c>
    </row>
    <row r="257" spans="1:118" x14ac:dyDescent="0.25">
      <c r="A257" s="30">
        <v>0.43629668761085438</v>
      </c>
      <c r="B257"/>
      <c r="C257"/>
      <c r="D257"/>
      <c r="E257"/>
      <c r="F257" s="27" t="s">
        <v>7</v>
      </c>
      <c r="AI257" s="27" t="s">
        <v>8</v>
      </c>
      <c r="AJ257" s="27" t="s">
        <v>7</v>
      </c>
      <c r="AK257" s="27" t="s">
        <v>8</v>
      </c>
      <c r="AL257" s="27" t="s">
        <v>7</v>
      </c>
      <c r="AM257" s="27" t="s">
        <v>8</v>
      </c>
      <c r="AN257" s="27" t="s">
        <v>7</v>
      </c>
      <c r="AS257" s="27" t="s">
        <v>8</v>
      </c>
      <c r="AW257" s="27" t="s">
        <v>8</v>
      </c>
      <c r="AX257" s="27" t="s">
        <v>7</v>
      </c>
      <c r="AZ257" s="27" t="s">
        <v>7</v>
      </c>
      <c r="BE257" s="27" t="s">
        <v>8</v>
      </c>
      <c r="BF257" s="27" t="s">
        <v>7</v>
      </c>
      <c r="BG257" s="27" t="s">
        <v>8</v>
      </c>
      <c r="BH257" s="27" t="s">
        <v>7</v>
      </c>
      <c r="BM257" s="27" t="s">
        <v>8</v>
      </c>
      <c r="BO257" s="27" t="s">
        <v>8</v>
      </c>
      <c r="BQ257" s="27" t="s">
        <v>8</v>
      </c>
      <c r="CU257" s="27" t="s">
        <v>8</v>
      </c>
      <c r="CV257" s="27" t="s">
        <v>7</v>
      </c>
    </row>
    <row r="258" spans="1:118" x14ac:dyDescent="0.25">
      <c r="A258" s="30">
        <v>0.41552065486748019</v>
      </c>
      <c r="B258"/>
      <c r="C258"/>
      <c r="D258"/>
      <c r="E258"/>
      <c r="F258" s="27" t="s">
        <v>7</v>
      </c>
      <c r="AI258" s="27" t="s">
        <v>8</v>
      </c>
      <c r="AJ258" s="27" t="s">
        <v>7</v>
      </c>
      <c r="AL258" s="27" t="s">
        <v>7</v>
      </c>
      <c r="AN258" s="27" t="s">
        <v>7</v>
      </c>
      <c r="AS258" s="27" t="s">
        <v>8</v>
      </c>
      <c r="AT258" s="27" t="s">
        <v>7</v>
      </c>
      <c r="AW258" s="27" t="s">
        <v>8</v>
      </c>
      <c r="AZ258" s="27" t="s">
        <v>7</v>
      </c>
      <c r="BA258" s="27" t="s">
        <v>8</v>
      </c>
      <c r="BC258" s="27" t="s">
        <v>8</v>
      </c>
      <c r="BE258" s="27" t="s">
        <v>8</v>
      </c>
      <c r="BF258" s="27" t="s">
        <v>7</v>
      </c>
      <c r="BG258" s="27" t="s">
        <v>8</v>
      </c>
      <c r="BH258" s="27" t="s">
        <v>7</v>
      </c>
      <c r="BM258" s="27" t="s">
        <v>8</v>
      </c>
      <c r="BN258" s="27" t="s">
        <v>7</v>
      </c>
      <c r="BO258" s="27" t="s">
        <v>8</v>
      </c>
      <c r="BP258" s="27" t="s">
        <v>7</v>
      </c>
      <c r="BQ258" s="27" t="s">
        <v>8</v>
      </c>
      <c r="BR258" s="27" t="s">
        <v>7</v>
      </c>
      <c r="CU258" s="27" t="s">
        <v>8</v>
      </c>
      <c r="CV258" s="27" t="s">
        <v>7</v>
      </c>
    </row>
    <row r="259" spans="1:118" x14ac:dyDescent="0.25">
      <c r="A259" s="30">
        <v>0.39573395701664765</v>
      </c>
      <c r="B259"/>
      <c r="C259"/>
      <c r="D259"/>
      <c r="E259"/>
      <c r="F259" s="27" t="s">
        <v>7</v>
      </c>
      <c r="AI259" s="27" t="s">
        <v>8</v>
      </c>
      <c r="AN259" s="27" t="s">
        <v>7</v>
      </c>
      <c r="AS259" s="27" t="s">
        <v>8</v>
      </c>
      <c r="AT259" s="27" t="s">
        <v>7</v>
      </c>
      <c r="AU259" s="27" t="s">
        <v>8</v>
      </c>
      <c r="AW259" s="27" t="s">
        <v>8</v>
      </c>
      <c r="AZ259" s="27" t="s">
        <v>7</v>
      </c>
      <c r="BA259" s="27" t="s">
        <v>8</v>
      </c>
      <c r="BB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M259" s="27" t="s">
        <v>8</v>
      </c>
      <c r="BN259" s="27" t="s">
        <v>7</v>
      </c>
      <c r="BO259" s="27" t="s">
        <v>8</v>
      </c>
      <c r="BP259" s="27" t="s">
        <v>7</v>
      </c>
      <c r="BQ259" s="27" t="s">
        <v>8</v>
      </c>
      <c r="BR259" s="27" t="s">
        <v>7</v>
      </c>
      <c r="CU259" s="27" t="s">
        <v>8</v>
      </c>
      <c r="CV259" s="27" t="s">
        <v>7</v>
      </c>
    </row>
    <row r="260" spans="1:118" x14ac:dyDescent="0.25">
      <c r="A260" s="30">
        <v>0.37688948287299762</v>
      </c>
      <c r="B260"/>
      <c r="C260"/>
      <c r="D260"/>
      <c r="E260"/>
      <c r="F260" s="27" t="s">
        <v>7</v>
      </c>
      <c r="AG260" s="27" t="s">
        <v>8</v>
      </c>
      <c r="AI260" s="27" t="s">
        <v>8</v>
      </c>
      <c r="AN260" s="27" t="s">
        <v>7</v>
      </c>
      <c r="AO260" s="27" t="s">
        <v>8</v>
      </c>
      <c r="AS260" s="27" t="s">
        <v>8</v>
      </c>
      <c r="AT260" s="27" t="s">
        <v>7</v>
      </c>
      <c r="AU260" s="27" t="s">
        <v>8</v>
      </c>
      <c r="AV260" s="27" t="s">
        <v>7</v>
      </c>
      <c r="AW260" s="27" t="s">
        <v>8</v>
      </c>
      <c r="AZ260" s="27" t="s">
        <v>7</v>
      </c>
      <c r="BA260" s="27" t="s">
        <v>8</v>
      </c>
      <c r="BB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H260" s="27" t="s">
        <v>7</v>
      </c>
      <c r="BM260" s="27" t="s">
        <v>8</v>
      </c>
      <c r="BN260" s="27" t="s">
        <v>7</v>
      </c>
      <c r="BO260" s="27" t="s">
        <v>8</v>
      </c>
      <c r="BP260" s="27" t="s">
        <v>7</v>
      </c>
      <c r="BQ260" s="27" t="s">
        <v>8</v>
      </c>
      <c r="BR260" s="27" t="s">
        <v>7</v>
      </c>
      <c r="BU260" s="27" t="s">
        <v>8</v>
      </c>
      <c r="CU260" s="27" t="s">
        <v>8</v>
      </c>
      <c r="CV260" s="27" t="s">
        <v>7</v>
      </c>
    </row>
    <row r="261" spans="1:118" x14ac:dyDescent="0.25">
      <c r="A261" s="30">
        <v>0.35894236464094997</v>
      </c>
      <c r="B261"/>
      <c r="C261"/>
      <c r="D261"/>
      <c r="E261"/>
      <c r="F261" s="27" t="s">
        <v>7</v>
      </c>
      <c r="AG261" s="27" t="s">
        <v>8</v>
      </c>
      <c r="AH261" s="27" t="s">
        <v>7</v>
      </c>
      <c r="AI261" s="27" t="s">
        <v>8</v>
      </c>
      <c r="AN261" s="27" t="s">
        <v>7</v>
      </c>
      <c r="AO261" s="27" t="s">
        <v>8</v>
      </c>
      <c r="AP261" s="27" t="s">
        <v>7</v>
      </c>
      <c r="AS261" s="27" t="s">
        <v>8</v>
      </c>
      <c r="AT261" s="27" t="s">
        <v>7</v>
      </c>
      <c r="AU261" s="27" t="s">
        <v>8</v>
      </c>
      <c r="AV261" s="27" t="s">
        <v>7</v>
      </c>
      <c r="AW261" s="27" t="s">
        <v>8</v>
      </c>
      <c r="AZ261" s="27" t="s">
        <v>7</v>
      </c>
      <c r="BA261" s="27" t="s">
        <v>8</v>
      </c>
      <c r="BB261" s="27" t="s">
        <v>7</v>
      </c>
      <c r="BC261" s="27" t="s">
        <v>8</v>
      </c>
      <c r="BD261" s="27" t="s">
        <v>7</v>
      </c>
      <c r="BH261" s="27" t="s">
        <v>7</v>
      </c>
      <c r="BI261" s="27" t="s">
        <v>8</v>
      </c>
      <c r="BK261" s="27" t="s">
        <v>8</v>
      </c>
      <c r="BM261" s="27" t="s">
        <v>8</v>
      </c>
      <c r="BN261" s="27" t="s">
        <v>7</v>
      </c>
      <c r="BP261" s="27" t="s">
        <v>7</v>
      </c>
      <c r="BQ261" s="27" t="s">
        <v>8</v>
      </c>
      <c r="BR261" s="27" t="s">
        <v>7</v>
      </c>
      <c r="BU261" s="27" t="s">
        <v>8</v>
      </c>
      <c r="BV261" s="27" t="s">
        <v>7</v>
      </c>
      <c r="CU261" s="27" t="s">
        <v>8</v>
      </c>
      <c r="CV261" s="27" t="s">
        <v>7</v>
      </c>
    </row>
    <row r="262" spans="1:118" x14ac:dyDescent="0.25">
      <c r="A262" s="30">
        <v>0.34184987108661891</v>
      </c>
      <c r="B262"/>
      <c r="C262"/>
      <c r="D262"/>
      <c r="E262"/>
      <c r="F262" s="27" t="s">
        <v>7</v>
      </c>
      <c r="AG262" s="27" t="s">
        <v>8</v>
      </c>
      <c r="AH262" s="27" t="s">
        <v>7</v>
      </c>
      <c r="AI262" s="27" t="s">
        <v>8</v>
      </c>
      <c r="AN262" s="27" t="s">
        <v>7</v>
      </c>
      <c r="AO262" s="27" t="s">
        <v>8</v>
      </c>
      <c r="AP262" s="27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W262" s="27" t="s">
        <v>8</v>
      </c>
      <c r="AZ262" s="27" t="s">
        <v>7</v>
      </c>
      <c r="BB262" s="27" t="s">
        <v>7</v>
      </c>
      <c r="BC262" s="27" t="s">
        <v>8</v>
      </c>
      <c r="BH262" s="27" t="s">
        <v>7</v>
      </c>
      <c r="BI262" s="27" t="s">
        <v>8</v>
      </c>
      <c r="BJ262" s="27" t="s">
        <v>7</v>
      </c>
      <c r="BK262" s="27" t="s">
        <v>8</v>
      </c>
      <c r="BL262" s="27" t="s">
        <v>7</v>
      </c>
      <c r="BM262" s="27" t="s">
        <v>8</v>
      </c>
      <c r="BP262" s="27" t="s">
        <v>7</v>
      </c>
      <c r="BR262" s="27" t="s">
        <v>7</v>
      </c>
      <c r="BU262" s="27" t="s">
        <v>8</v>
      </c>
      <c r="BV262" s="27" t="s">
        <v>7</v>
      </c>
      <c r="CU262" s="27" t="s">
        <v>8</v>
      </c>
      <c r="CV262" s="27" t="s">
        <v>7</v>
      </c>
      <c r="DA262" s="27" t="s">
        <v>8</v>
      </c>
    </row>
    <row r="263" spans="1:118" x14ac:dyDescent="0.25">
      <c r="A263" s="30">
        <v>0.32557130579677979</v>
      </c>
      <c r="B263"/>
      <c r="C263"/>
      <c r="D263"/>
      <c r="E263"/>
      <c r="F263" s="27" t="s">
        <v>7</v>
      </c>
      <c r="AG263" s="27" t="s">
        <v>8</v>
      </c>
      <c r="AH263" s="27" t="s">
        <v>7</v>
      </c>
      <c r="AI263" s="27" t="s">
        <v>8</v>
      </c>
      <c r="AN263" s="27" t="s">
        <v>7</v>
      </c>
      <c r="AO263" s="27" t="s">
        <v>8</v>
      </c>
      <c r="AP263" s="27" t="s">
        <v>7</v>
      </c>
      <c r="AQ263" s="27" t="s">
        <v>8</v>
      </c>
      <c r="AS263" s="27" t="s">
        <v>8</v>
      </c>
      <c r="AT263" s="27" t="s">
        <v>7</v>
      </c>
      <c r="AU263" s="27" t="s">
        <v>8</v>
      </c>
      <c r="AV263" s="27" t="s">
        <v>7</v>
      </c>
      <c r="BB263" s="27" t="s">
        <v>7</v>
      </c>
      <c r="BH263" s="27" t="s">
        <v>7</v>
      </c>
      <c r="BI263" s="27" t="s">
        <v>8</v>
      </c>
      <c r="BJ263" s="27" t="s">
        <v>7</v>
      </c>
      <c r="BK263" s="27" t="s">
        <v>8</v>
      </c>
      <c r="BL263" s="27" t="s">
        <v>7</v>
      </c>
      <c r="BM263" s="27" t="s">
        <v>8</v>
      </c>
      <c r="BR263" s="27" t="s">
        <v>7</v>
      </c>
      <c r="BU263" s="27" t="s">
        <v>8</v>
      </c>
      <c r="BV263" s="27" t="s">
        <v>7</v>
      </c>
      <c r="CU263" s="27" t="s">
        <v>8</v>
      </c>
      <c r="CV263" s="27" t="s">
        <v>7</v>
      </c>
      <c r="DA263" s="27" t="s">
        <v>8</v>
      </c>
      <c r="DB263" s="27" t="s">
        <v>7</v>
      </c>
    </row>
    <row r="264" spans="1:118" x14ac:dyDescent="0.25">
      <c r="A264" s="30">
        <v>0.3100679102826473</v>
      </c>
      <c r="B264"/>
      <c r="C264"/>
      <c r="D264"/>
      <c r="E264"/>
      <c r="F264" s="27" t="s">
        <v>7</v>
      </c>
      <c r="AG264" s="27" t="s">
        <v>8</v>
      </c>
      <c r="AH264" s="27" t="s">
        <v>7</v>
      </c>
      <c r="AI264" s="27" t="s">
        <v>8</v>
      </c>
      <c r="AN264" s="27" t="s">
        <v>7</v>
      </c>
      <c r="AO264" s="27" t="s">
        <v>8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BH264" s="27" t="s">
        <v>7</v>
      </c>
      <c r="BI264" s="27" t="s">
        <v>8</v>
      </c>
      <c r="BJ264" s="27" t="s">
        <v>7</v>
      </c>
      <c r="BK264" s="27" t="s">
        <v>8</v>
      </c>
      <c r="BL264" s="27" t="s">
        <v>7</v>
      </c>
      <c r="BM264" s="27" t="s">
        <v>8</v>
      </c>
      <c r="BR264" s="27" t="s">
        <v>7</v>
      </c>
      <c r="BU264" s="27" t="s">
        <v>8</v>
      </c>
      <c r="BV264" s="27" t="s">
        <v>7</v>
      </c>
      <c r="CU264" s="27" t="s">
        <v>8</v>
      </c>
      <c r="CV264" s="27" t="s">
        <v>7</v>
      </c>
      <c r="DA264" s="27" t="s">
        <v>8</v>
      </c>
      <c r="DB264" s="27" t="s">
        <v>7</v>
      </c>
    </row>
    <row r="265" spans="1:118" x14ac:dyDescent="0.25">
      <c r="A265" s="30">
        <v>0.2953027716977592</v>
      </c>
      <c r="B265"/>
      <c r="C265"/>
      <c r="D265"/>
      <c r="E265"/>
      <c r="F265" s="27" t="s">
        <v>7</v>
      </c>
      <c r="AG265" s="27" t="s">
        <v>8</v>
      </c>
      <c r="AH265" s="27" t="s">
        <v>7</v>
      </c>
      <c r="AI265" s="27" t="s">
        <v>8</v>
      </c>
      <c r="AN265" s="27" t="s">
        <v>7</v>
      </c>
      <c r="AP265" s="27" t="s">
        <v>7</v>
      </c>
      <c r="AQ265" s="27" t="s">
        <v>8</v>
      </c>
      <c r="AR265" s="27" t="s">
        <v>7</v>
      </c>
      <c r="AS265" s="27" t="s">
        <v>8</v>
      </c>
      <c r="BH265" s="27" t="s">
        <v>7</v>
      </c>
      <c r="BI265" s="27" t="s">
        <v>8</v>
      </c>
      <c r="BJ265" s="27" t="s">
        <v>7</v>
      </c>
      <c r="BK265" s="27" t="s">
        <v>8</v>
      </c>
      <c r="BL265" s="27" t="s">
        <v>7</v>
      </c>
      <c r="BM265" s="27" t="s">
        <v>8</v>
      </c>
      <c r="BR265" s="27" t="s">
        <v>7</v>
      </c>
      <c r="BU265" s="27" t="s">
        <v>8</v>
      </c>
      <c r="BV265" s="27" t="s">
        <v>7</v>
      </c>
      <c r="CU265" s="27" t="s">
        <v>8</v>
      </c>
      <c r="CV265" s="27" t="s">
        <v>7</v>
      </c>
      <c r="DA265" s="27" t="s">
        <v>8</v>
      </c>
      <c r="DB265" s="27" t="s">
        <v>7</v>
      </c>
      <c r="DG265" s="27" t="s">
        <v>8</v>
      </c>
    </row>
    <row r="266" spans="1:118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AC266" s="27" t="s">
        <v>8</v>
      </c>
      <c r="AG266" s="27" t="s">
        <v>8</v>
      </c>
      <c r="AH266" s="27" t="s">
        <v>7</v>
      </c>
      <c r="AI266" s="27" t="s">
        <v>8</v>
      </c>
      <c r="AP266" s="27" t="s">
        <v>7</v>
      </c>
      <c r="AQ266" s="27" t="s">
        <v>8</v>
      </c>
      <c r="AR266" s="27" t="s">
        <v>7</v>
      </c>
      <c r="AS266" s="27" t="s">
        <v>8</v>
      </c>
      <c r="BH266" s="27" t="s">
        <v>7</v>
      </c>
      <c r="BI266" s="27" t="s">
        <v>8</v>
      </c>
      <c r="BJ266" s="27" t="s">
        <v>7</v>
      </c>
      <c r="BL266" s="27" t="s">
        <v>7</v>
      </c>
      <c r="BM266" s="27" t="s">
        <v>8</v>
      </c>
      <c r="BR266" s="27" t="s">
        <v>7</v>
      </c>
      <c r="BU266" s="27" t="s">
        <v>8</v>
      </c>
      <c r="BV266" s="27" t="s">
        <v>7</v>
      </c>
      <c r="CA266" s="27" t="s">
        <v>8</v>
      </c>
      <c r="CU266" s="27" t="s">
        <v>8</v>
      </c>
      <c r="CV266" s="27" t="s">
        <v>7</v>
      </c>
      <c r="CW266" s="27" t="s">
        <v>8</v>
      </c>
      <c r="DA266" s="27" t="s">
        <v>8</v>
      </c>
      <c r="DB266" s="27" t="s">
        <v>7</v>
      </c>
      <c r="DG266" s="27" t="s">
        <v>8</v>
      </c>
      <c r="DH266" s="27" t="s">
        <v>7</v>
      </c>
    </row>
    <row r="267" spans="1:118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AC267" s="27" t="s">
        <v>8</v>
      </c>
      <c r="AD267" s="27" t="s">
        <v>7</v>
      </c>
      <c r="AG267" s="27" t="s">
        <v>8</v>
      </c>
      <c r="AH267" s="27" t="s">
        <v>7</v>
      </c>
      <c r="AI267" s="27" t="s">
        <v>8</v>
      </c>
      <c r="AP267" s="27" t="s">
        <v>7</v>
      </c>
      <c r="AR267" s="27" t="s">
        <v>7</v>
      </c>
      <c r="AS267" s="27" t="s">
        <v>8</v>
      </c>
      <c r="BH267" s="27" t="s">
        <v>7</v>
      </c>
      <c r="BI267" s="27" t="s">
        <v>8</v>
      </c>
      <c r="BL267" s="27" t="s">
        <v>7</v>
      </c>
      <c r="BR267" s="27" t="s">
        <v>7</v>
      </c>
      <c r="BU267" s="27" t="s">
        <v>8</v>
      </c>
      <c r="BV267" s="27" t="s">
        <v>7</v>
      </c>
      <c r="CA267" s="27" t="s">
        <v>8</v>
      </c>
      <c r="CB267" s="27" t="s">
        <v>7</v>
      </c>
      <c r="CU267" s="27" t="s">
        <v>8</v>
      </c>
      <c r="CV267" s="27" t="s">
        <v>7</v>
      </c>
      <c r="CW267" s="27" t="s">
        <v>8</v>
      </c>
      <c r="CX267" s="27" t="s">
        <v>7</v>
      </c>
      <c r="CY267" s="27" t="s">
        <v>8</v>
      </c>
      <c r="DA267" s="27" t="s">
        <v>8</v>
      </c>
      <c r="DB267" s="27" t="s">
        <v>7</v>
      </c>
      <c r="DG267" s="27" t="s">
        <v>8</v>
      </c>
      <c r="DH267" s="27" t="s">
        <v>7</v>
      </c>
    </row>
    <row r="268" spans="1:118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AC268" s="27" t="s">
        <v>8</v>
      </c>
      <c r="AD268" s="27" t="s">
        <v>7</v>
      </c>
      <c r="AE268" s="27" t="s">
        <v>8</v>
      </c>
      <c r="AG268" s="27" t="s">
        <v>8</v>
      </c>
      <c r="AH268" s="27" t="s">
        <v>7</v>
      </c>
      <c r="AI268" s="27" t="s">
        <v>8</v>
      </c>
      <c r="AR268" s="27" t="s">
        <v>7</v>
      </c>
      <c r="BH268" s="27" t="s">
        <v>7</v>
      </c>
      <c r="BI268" s="27" t="s">
        <v>8</v>
      </c>
      <c r="BR268" s="27" t="s">
        <v>7</v>
      </c>
      <c r="BU268" s="27" t="s">
        <v>8</v>
      </c>
      <c r="BV268" s="27" t="s">
        <v>7</v>
      </c>
      <c r="BW268" s="27" t="s">
        <v>8</v>
      </c>
      <c r="CA268" s="27" t="s">
        <v>8</v>
      </c>
      <c r="CB268" s="27" t="s">
        <v>7</v>
      </c>
      <c r="CK268" s="27" t="s">
        <v>8</v>
      </c>
      <c r="CU268" s="27" t="s">
        <v>8</v>
      </c>
      <c r="CV268" s="27" t="s">
        <v>7</v>
      </c>
      <c r="CW268" s="27" t="s">
        <v>8</v>
      </c>
      <c r="CX268" s="27" t="s">
        <v>7</v>
      </c>
      <c r="CY268" s="27" t="s">
        <v>8</v>
      </c>
      <c r="CZ268" s="27" t="s">
        <v>7</v>
      </c>
      <c r="DA268" s="27" t="s">
        <v>8</v>
      </c>
      <c r="DB268" s="27" t="s">
        <v>7</v>
      </c>
      <c r="DC268" s="27" t="s">
        <v>8</v>
      </c>
      <c r="DG268" s="27" t="s">
        <v>8</v>
      </c>
      <c r="DH268" s="27" t="s">
        <v>7</v>
      </c>
    </row>
    <row r="269" spans="1:118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AC269" s="27" t="s">
        <v>8</v>
      </c>
      <c r="AD269" s="27" t="s">
        <v>7</v>
      </c>
      <c r="AE269" s="27" t="s">
        <v>8</v>
      </c>
      <c r="AF269" s="27" t="s">
        <v>7</v>
      </c>
      <c r="AG269" s="27" t="s">
        <v>8</v>
      </c>
      <c r="AH269" s="27" t="s">
        <v>7</v>
      </c>
      <c r="BH269" s="27" t="s">
        <v>7</v>
      </c>
      <c r="BI269" s="27" t="s">
        <v>8</v>
      </c>
      <c r="BR269" s="27" t="s">
        <v>7</v>
      </c>
      <c r="BU269" s="27" t="s">
        <v>8</v>
      </c>
      <c r="BV269" s="27" t="s">
        <v>7</v>
      </c>
      <c r="BW269" s="27" t="s">
        <v>8</v>
      </c>
      <c r="BX269" s="27" t="s">
        <v>7</v>
      </c>
      <c r="CA269" s="27" t="s">
        <v>8</v>
      </c>
      <c r="CB269" s="27" t="s">
        <v>7</v>
      </c>
      <c r="CK269" s="27" t="s">
        <v>8</v>
      </c>
      <c r="CL269" s="27" t="s">
        <v>7</v>
      </c>
      <c r="CQ269" s="27" t="s">
        <v>8</v>
      </c>
      <c r="CU269" s="27" t="s">
        <v>8</v>
      </c>
      <c r="CV269" s="27" t="s">
        <v>7</v>
      </c>
      <c r="CX269" s="27" t="s">
        <v>7</v>
      </c>
      <c r="CY269" s="27" t="s">
        <v>8</v>
      </c>
      <c r="CZ269" s="27" t="s">
        <v>7</v>
      </c>
      <c r="DA269" s="27" t="s">
        <v>8</v>
      </c>
      <c r="DB269" s="27" t="s">
        <v>7</v>
      </c>
      <c r="DC269" s="27" t="s">
        <v>8</v>
      </c>
      <c r="DD269" s="27" t="s">
        <v>7</v>
      </c>
      <c r="DG269" s="27" t="s">
        <v>8</v>
      </c>
      <c r="DH269" s="27" t="s">
        <v>7</v>
      </c>
    </row>
    <row r="270" spans="1:118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AC270" s="27" t="s">
        <v>8</v>
      </c>
      <c r="AD270" s="27" t="s">
        <v>7</v>
      </c>
      <c r="AE270" s="27" t="s">
        <v>8</v>
      </c>
      <c r="AF270" s="27" t="s">
        <v>7</v>
      </c>
      <c r="AG270" s="27" t="s">
        <v>8</v>
      </c>
      <c r="BH270" s="27" t="s">
        <v>7</v>
      </c>
      <c r="BI270" s="27" t="s">
        <v>8</v>
      </c>
      <c r="BR270" s="27" t="s">
        <v>7</v>
      </c>
      <c r="BU270" s="27" t="s">
        <v>8</v>
      </c>
      <c r="BV270" s="27" t="s">
        <v>7</v>
      </c>
      <c r="BW270" s="27" t="s">
        <v>8</v>
      </c>
      <c r="BX270" s="27" t="s">
        <v>7</v>
      </c>
      <c r="BY270" s="27" t="s">
        <v>8</v>
      </c>
      <c r="CA270" s="27" t="s">
        <v>8</v>
      </c>
      <c r="CB270" s="27" t="s">
        <v>7</v>
      </c>
      <c r="CK270" s="27" t="s">
        <v>8</v>
      </c>
      <c r="CL270" s="27" t="s">
        <v>7</v>
      </c>
      <c r="CO270" s="27" t="s">
        <v>8</v>
      </c>
      <c r="CQ270" s="27" t="s">
        <v>8</v>
      </c>
      <c r="CR270" s="27" t="s">
        <v>7</v>
      </c>
      <c r="CU270" s="27" t="s">
        <v>8</v>
      </c>
      <c r="CX270" s="27" t="s">
        <v>7</v>
      </c>
      <c r="CY270" s="27" t="s">
        <v>8</v>
      </c>
      <c r="CZ270" s="27" t="s">
        <v>7</v>
      </c>
      <c r="DA270" s="27" t="s">
        <v>8</v>
      </c>
      <c r="DB270" s="27" t="s">
        <v>7</v>
      </c>
      <c r="DC270" s="27" t="s">
        <v>8</v>
      </c>
      <c r="DD270" s="27" t="s">
        <v>7</v>
      </c>
      <c r="DE270" s="27" t="s">
        <v>8</v>
      </c>
      <c r="DG270" s="27" t="s">
        <v>8</v>
      </c>
      <c r="DH270" s="27" t="s">
        <v>7</v>
      </c>
    </row>
    <row r="271" spans="1:118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AC271" s="27" t="s">
        <v>8</v>
      </c>
      <c r="AD271" s="27" t="s">
        <v>7</v>
      </c>
      <c r="AE271" s="27" t="s">
        <v>8</v>
      </c>
      <c r="AF271" s="27" t="s">
        <v>7</v>
      </c>
      <c r="AG271" s="27" t="s">
        <v>8</v>
      </c>
      <c r="BH271" s="27" t="s">
        <v>7</v>
      </c>
      <c r="BI271" s="27" t="s">
        <v>8</v>
      </c>
      <c r="BR271" s="27" t="s">
        <v>7</v>
      </c>
      <c r="BU271" s="27" t="s">
        <v>8</v>
      </c>
      <c r="BV271" s="27" t="s">
        <v>7</v>
      </c>
      <c r="BW271" s="27" t="s">
        <v>8</v>
      </c>
      <c r="BX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  <c r="CK271" s="27" t="s">
        <v>8</v>
      </c>
      <c r="CL271" s="27" t="s">
        <v>7</v>
      </c>
      <c r="CO271" s="27" t="s">
        <v>8</v>
      </c>
      <c r="CP271" s="27" t="s">
        <v>7</v>
      </c>
      <c r="CQ271" s="27" t="s">
        <v>8</v>
      </c>
      <c r="CR271" s="27" t="s">
        <v>7</v>
      </c>
      <c r="CS271" s="27" t="s">
        <v>8</v>
      </c>
      <c r="CU271" s="27" t="s">
        <v>8</v>
      </c>
      <c r="CX271" s="27" t="s">
        <v>7</v>
      </c>
      <c r="CZ271" s="27" t="s">
        <v>7</v>
      </c>
      <c r="DA271" s="27" t="s">
        <v>8</v>
      </c>
      <c r="DB271" s="27" t="s">
        <v>7</v>
      </c>
      <c r="DD271" s="27" t="s">
        <v>7</v>
      </c>
      <c r="DE271" s="27" t="s">
        <v>8</v>
      </c>
      <c r="DF271" s="27" t="s">
        <v>7</v>
      </c>
      <c r="DG271" s="27" t="s">
        <v>8</v>
      </c>
      <c r="DH271" s="27" t="s">
        <v>7</v>
      </c>
      <c r="DM271" s="27" t="s">
        <v>8</v>
      </c>
    </row>
    <row r="272" spans="1:118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H272" s="27" t="s">
        <v>7</v>
      </c>
      <c r="AC272" s="27" t="s">
        <v>8</v>
      </c>
      <c r="AD272" s="27" t="s">
        <v>7</v>
      </c>
      <c r="AF272" s="27" t="s">
        <v>7</v>
      </c>
      <c r="AG272" s="27" t="s">
        <v>8</v>
      </c>
      <c r="BH272" s="27" t="s">
        <v>7</v>
      </c>
      <c r="BI272" s="27" t="s">
        <v>8</v>
      </c>
      <c r="BR272" s="27" t="s">
        <v>7</v>
      </c>
      <c r="BU272" s="27" t="s">
        <v>8</v>
      </c>
      <c r="BV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A272" s="27" t="s">
        <v>8</v>
      </c>
      <c r="CB272" s="27" t="s">
        <v>7</v>
      </c>
      <c r="CC272" s="27" t="s">
        <v>8</v>
      </c>
      <c r="CK272" s="27" t="s">
        <v>8</v>
      </c>
      <c r="CL272" s="27" t="s">
        <v>7</v>
      </c>
      <c r="CO272" s="27" t="s">
        <v>8</v>
      </c>
      <c r="CP272" s="27" t="s">
        <v>7</v>
      </c>
      <c r="CQ272" s="27" t="s">
        <v>8</v>
      </c>
      <c r="CR272" s="27" t="s">
        <v>7</v>
      </c>
      <c r="CS272" s="27" t="s">
        <v>8</v>
      </c>
      <c r="CT272" s="27" t="s">
        <v>7</v>
      </c>
      <c r="CU272" s="27" t="s">
        <v>8</v>
      </c>
      <c r="CZ272" s="27" t="s">
        <v>7</v>
      </c>
      <c r="DA272" s="27" t="s">
        <v>8</v>
      </c>
      <c r="DD272" s="27" t="s">
        <v>7</v>
      </c>
      <c r="DE272" s="27" t="s">
        <v>8</v>
      </c>
      <c r="DF272" s="27" t="s">
        <v>7</v>
      </c>
      <c r="DG272" s="27" t="s">
        <v>8</v>
      </c>
      <c r="DH272" s="27" t="s">
        <v>7</v>
      </c>
      <c r="DI272" s="27" t="s">
        <v>8</v>
      </c>
      <c r="DM272" s="27" t="s">
        <v>8</v>
      </c>
      <c r="DN272" s="27" t="s">
        <v>7</v>
      </c>
    </row>
    <row r="273" spans="1:137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AC273" s="27" t="s">
        <v>8</v>
      </c>
      <c r="AF273" s="27" t="s">
        <v>7</v>
      </c>
      <c r="BH273" s="27" t="s">
        <v>7</v>
      </c>
      <c r="BI273" s="27" t="s">
        <v>8</v>
      </c>
      <c r="BR273" s="27" t="s">
        <v>7</v>
      </c>
      <c r="BS273" s="27" t="s">
        <v>8</v>
      </c>
      <c r="BU273" s="27" t="s">
        <v>8</v>
      </c>
      <c r="BV273" s="27" t="s">
        <v>7</v>
      </c>
      <c r="BW273" s="27" t="s">
        <v>8</v>
      </c>
      <c r="BX273" s="27" t="s">
        <v>7</v>
      </c>
      <c r="BY273" s="27" t="s">
        <v>8</v>
      </c>
      <c r="BZ273" s="27" t="s">
        <v>7</v>
      </c>
      <c r="CA273" s="27" t="s">
        <v>8</v>
      </c>
      <c r="CB273" s="27" t="s">
        <v>7</v>
      </c>
      <c r="CC273" s="27" t="s">
        <v>8</v>
      </c>
      <c r="CD273" s="27" t="s">
        <v>7</v>
      </c>
      <c r="CK273" s="27" t="s">
        <v>8</v>
      </c>
      <c r="CL273" s="27" t="s">
        <v>7</v>
      </c>
      <c r="CO273" s="27" t="s">
        <v>8</v>
      </c>
      <c r="CP273" s="27" t="s">
        <v>7</v>
      </c>
      <c r="CQ273" s="27" t="s">
        <v>8</v>
      </c>
      <c r="CR273" s="27" t="s">
        <v>7</v>
      </c>
      <c r="CS273" s="27" t="s">
        <v>8</v>
      </c>
      <c r="CT273" s="27" t="s">
        <v>7</v>
      </c>
      <c r="CU273" s="27" t="s">
        <v>8</v>
      </c>
      <c r="CZ273" s="27" t="s">
        <v>7</v>
      </c>
      <c r="DA273" s="27" t="s">
        <v>8</v>
      </c>
      <c r="DD273" s="27" t="s">
        <v>7</v>
      </c>
      <c r="DF273" s="27" t="s">
        <v>7</v>
      </c>
      <c r="DH273" s="27" t="s">
        <v>7</v>
      </c>
      <c r="DI273" s="27" t="s">
        <v>8</v>
      </c>
      <c r="DJ273" s="27" t="s">
        <v>7</v>
      </c>
      <c r="DK273" s="27" t="s">
        <v>8</v>
      </c>
      <c r="DM273" s="27" t="s">
        <v>8</v>
      </c>
      <c r="DN273" s="27" t="s">
        <v>7</v>
      </c>
      <c r="DO273" s="27" t="s">
        <v>8</v>
      </c>
    </row>
    <row r="274" spans="1:137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H274" s="27" t="s">
        <v>7</v>
      </c>
      <c r="AC274" s="27" t="s">
        <v>8</v>
      </c>
      <c r="BH274" s="27" t="s">
        <v>7</v>
      </c>
      <c r="BR274" s="27" t="s">
        <v>7</v>
      </c>
      <c r="BS274" s="27" t="s">
        <v>8</v>
      </c>
      <c r="BT274" s="27" t="s">
        <v>7</v>
      </c>
      <c r="BU274" s="27" t="s">
        <v>8</v>
      </c>
      <c r="BV274" s="27" t="s">
        <v>7</v>
      </c>
      <c r="BW274" s="27" t="s">
        <v>8</v>
      </c>
      <c r="BX274" s="27" t="s">
        <v>7</v>
      </c>
      <c r="BY274" s="27" t="s">
        <v>8</v>
      </c>
      <c r="BZ274" s="27" t="s">
        <v>7</v>
      </c>
      <c r="CA274" s="27" t="s">
        <v>8</v>
      </c>
      <c r="CB274" s="27" t="s">
        <v>7</v>
      </c>
      <c r="CC274" s="27" t="s">
        <v>8</v>
      </c>
      <c r="CD274" s="27" t="s">
        <v>7</v>
      </c>
      <c r="CK274" s="27" t="s">
        <v>8</v>
      </c>
      <c r="CL274" s="27" t="s">
        <v>7</v>
      </c>
      <c r="CO274" s="27" t="s">
        <v>8</v>
      </c>
      <c r="CP274" s="27" t="s">
        <v>7</v>
      </c>
      <c r="CQ274" s="27" t="s">
        <v>8</v>
      </c>
      <c r="CR274" s="27" t="s">
        <v>7</v>
      </c>
      <c r="CS274" s="27" t="s">
        <v>8</v>
      </c>
      <c r="CT274" s="27" t="s">
        <v>7</v>
      </c>
      <c r="CU274" s="27" t="s">
        <v>8</v>
      </c>
      <c r="CZ274" s="27" t="s">
        <v>7</v>
      </c>
      <c r="DA274" s="27" t="s">
        <v>8</v>
      </c>
      <c r="DH274" s="27" t="s">
        <v>7</v>
      </c>
      <c r="DI274" s="27" t="s">
        <v>8</v>
      </c>
      <c r="DJ274" s="27" t="s">
        <v>7</v>
      </c>
      <c r="DK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</row>
    <row r="275" spans="1:137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  <c r="H275" s="27" t="s">
        <v>7</v>
      </c>
      <c r="K275" s="27" t="s">
        <v>8</v>
      </c>
      <c r="W275" s="27" t="s">
        <v>8</v>
      </c>
      <c r="Y275" s="27" t="s">
        <v>8</v>
      </c>
      <c r="AC275" s="27" t="s">
        <v>8</v>
      </c>
      <c r="BR275" s="27" t="s">
        <v>7</v>
      </c>
      <c r="BS275" s="27" t="s">
        <v>8</v>
      </c>
      <c r="BT275" s="27" t="s">
        <v>7</v>
      </c>
      <c r="BU275" s="27" t="s">
        <v>8</v>
      </c>
      <c r="BV275" s="27" t="s">
        <v>7</v>
      </c>
      <c r="BW275" s="27" t="s">
        <v>8</v>
      </c>
      <c r="BX275" s="27" t="s">
        <v>7</v>
      </c>
      <c r="BZ275" s="27" t="s">
        <v>7</v>
      </c>
      <c r="CA275" s="27" t="s">
        <v>8</v>
      </c>
      <c r="CB275" s="27" t="s">
        <v>7</v>
      </c>
      <c r="CC275" s="27" t="s">
        <v>8</v>
      </c>
      <c r="CD275" s="27" t="s">
        <v>7</v>
      </c>
      <c r="CK275" s="27" t="s">
        <v>8</v>
      </c>
      <c r="CL275" s="27" t="s">
        <v>7</v>
      </c>
      <c r="CO275" s="27" t="s">
        <v>8</v>
      </c>
      <c r="CP275" s="27" t="s">
        <v>7</v>
      </c>
      <c r="CQ275" s="27" t="s">
        <v>8</v>
      </c>
      <c r="CR275" s="27" t="s">
        <v>7</v>
      </c>
      <c r="CT275" s="27" t="s">
        <v>7</v>
      </c>
      <c r="CU275" s="27" t="s">
        <v>8</v>
      </c>
      <c r="CZ275" s="27" t="s">
        <v>7</v>
      </c>
      <c r="DA275" s="27" t="s">
        <v>8</v>
      </c>
      <c r="DH275" s="27" t="s">
        <v>7</v>
      </c>
      <c r="DI275" s="27" t="s">
        <v>8</v>
      </c>
      <c r="DJ275" s="27" t="s">
        <v>7</v>
      </c>
      <c r="DK275" s="27" t="s">
        <v>8</v>
      </c>
      <c r="DL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</row>
    <row r="276" spans="1:137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  <c r="H276" s="27" t="s">
        <v>7</v>
      </c>
      <c r="K276" s="27" t="s">
        <v>8</v>
      </c>
      <c r="L276" s="27" t="s">
        <v>7</v>
      </c>
      <c r="W276" s="27" t="s">
        <v>8</v>
      </c>
      <c r="X276" s="27" t="s">
        <v>7</v>
      </c>
      <c r="Y276" s="27" t="s">
        <v>8</v>
      </c>
      <c r="Z276" s="27" t="s">
        <v>7</v>
      </c>
      <c r="AC276" s="27" t="s">
        <v>8</v>
      </c>
      <c r="BR276" s="27" t="s">
        <v>7</v>
      </c>
      <c r="BS276" s="27" t="s">
        <v>8</v>
      </c>
      <c r="BT276" s="27" t="s">
        <v>7</v>
      </c>
      <c r="BU276" s="27" t="s">
        <v>8</v>
      </c>
      <c r="BV276" s="27" t="s">
        <v>7</v>
      </c>
      <c r="BW276" s="27" t="s">
        <v>8</v>
      </c>
      <c r="BZ276" s="27" t="s">
        <v>7</v>
      </c>
      <c r="CA276" s="27" t="s">
        <v>8</v>
      </c>
      <c r="CB276" s="27" t="s">
        <v>7</v>
      </c>
      <c r="CD276" s="27" t="s">
        <v>7</v>
      </c>
      <c r="CK276" s="27" t="s">
        <v>8</v>
      </c>
      <c r="CL276" s="27" t="s">
        <v>7</v>
      </c>
      <c r="CO276" s="27" t="s">
        <v>8</v>
      </c>
      <c r="CP276" s="27" t="s">
        <v>7</v>
      </c>
      <c r="CT276" s="27" t="s">
        <v>7</v>
      </c>
      <c r="CU276" s="27" t="s">
        <v>8</v>
      </c>
      <c r="CZ276" s="27" t="s">
        <v>7</v>
      </c>
      <c r="DA276" s="27" t="s">
        <v>8</v>
      </c>
      <c r="DH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  <c r="DN276" s="27" t="s">
        <v>7</v>
      </c>
      <c r="DO276" s="27" t="s">
        <v>8</v>
      </c>
      <c r="DP276" s="27" t="s">
        <v>7</v>
      </c>
    </row>
    <row r="277" spans="1:137" x14ac:dyDescent="0.25">
      <c r="A277" s="30">
        <v>0.16443563297285677</v>
      </c>
      <c r="B277"/>
      <c r="C277"/>
      <c r="D277"/>
      <c r="E277"/>
      <c r="F277" s="27" t="s">
        <v>7</v>
      </c>
      <c r="H277" s="27" t="s">
        <v>7</v>
      </c>
      <c r="I277" s="27" t="s">
        <v>8</v>
      </c>
      <c r="K277" s="27" t="s">
        <v>8</v>
      </c>
      <c r="L277" s="27" t="s">
        <v>7</v>
      </c>
      <c r="O277" s="27" t="s">
        <v>8</v>
      </c>
      <c r="W277" s="27" t="s">
        <v>8</v>
      </c>
      <c r="X277" s="27" t="s">
        <v>7</v>
      </c>
      <c r="Y277" s="27" t="s">
        <v>8</v>
      </c>
      <c r="Z277" s="27" t="s">
        <v>7</v>
      </c>
      <c r="AA277" s="27" t="s">
        <v>8</v>
      </c>
      <c r="AC277" s="27" t="s">
        <v>8</v>
      </c>
      <c r="BR277" s="27" t="s">
        <v>7</v>
      </c>
      <c r="BS277" s="27" t="s">
        <v>8</v>
      </c>
      <c r="BT277" s="27" t="s">
        <v>7</v>
      </c>
      <c r="BU277" s="27" t="s">
        <v>8</v>
      </c>
      <c r="BV277" s="27" t="s">
        <v>7</v>
      </c>
      <c r="BZ277" s="27" t="s">
        <v>7</v>
      </c>
      <c r="CA277" s="27" t="s">
        <v>8</v>
      </c>
      <c r="CD277" s="27" t="s">
        <v>7</v>
      </c>
      <c r="CI277" s="27" t="s">
        <v>8</v>
      </c>
      <c r="CK277" s="27" t="s">
        <v>8</v>
      </c>
      <c r="CL277" s="27" t="s">
        <v>7</v>
      </c>
      <c r="CM277" s="27" t="s">
        <v>8</v>
      </c>
      <c r="CO277" s="27" t="s">
        <v>8</v>
      </c>
      <c r="CT277" s="27" t="s">
        <v>7</v>
      </c>
      <c r="CZ277" s="27" t="s">
        <v>7</v>
      </c>
      <c r="DA277" s="27" t="s">
        <v>8</v>
      </c>
      <c r="DH277" s="27" t="s">
        <v>7</v>
      </c>
      <c r="DJ277" s="27" t="s">
        <v>7</v>
      </c>
      <c r="DK277" s="27" t="s">
        <v>8</v>
      </c>
      <c r="DN277" s="27" t="s">
        <v>7</v>
      </c>
      <c r="DP277" s="27" t="s">
        <v>7</v>
      </c>
      <c r="DQ277" s="27" t="s">
        <v>8</v>
      </c>
      <c r="DU277" s="27" t="s">
        <v>8</v>
      </c>
    </row>
    <row r="278" spans="1:137" x14ac:dyDescent="0.25">
      <c r="A278" s="30">
        <v>0.15660536473605399</v>
      </c>
      <c r="B278"/>
      <c r="C278"/>
      <c r="D278"/>
      <c r="E278"/>
      <c r="H278" s="27" t="s">
        <v>7</v>
      </c>
      <c r="I278" s="27" t="s">
        <v>8</v>
      </c>
      <c r="J278" s="27" t="s">
        <v>7</v>
      </c>
      <c r="K278" s="27" t="s">
        <v>8</v>
      </c>
      <c r="L278" s="27" t="s">
        <v>7</v>
      </c>
      <c r="O278" s="27" t="s">
        <v>8</v>
      </c>
      <c r="P278" s="27" t="s">
        <v>7</v>
      </c>
      <c r="Q278" s="27" t="s">
        <v>8</v>
      </c>
      <c r="W278" s="27" t="s">
        <v>8</v>
      </c>
      <c r="X278" s="27" t="s">
        <v>7</v>
      </c>
      <c r="Z278" s="27" t="s">
        <v>7</v>
      </c>
      <c r="AA278" s="27" t="s">
        <v>8</v>
      </c>
      <c r="AB278" s="27" t="s">
        <v>7</v>
      </c>
      <c r="AC278" s="27" t="s">
        <v>8</v>
      </c>
      <c r="BR278" s="27" t="s">
        <v>7</v>
      </c>
      <c r="BT278" s="27" t="s">
        <v>7</v>
      </c>
      <c r="BU278" s="27" t="s">
        <v>8</v>
      </c>
      <c r="BZ278" s="27" t="s">
        <v>7</v>
      </c>
      <c r="CD278" s="27" t="s">
        <v>7</v>
      </c>
      <c r="CE278" s="27" t="s">
        <v>8</v>
      </c>
      <c r="CI278" s="27" t="s">
        <v>8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O278" s="27" t="s">
        <v>8</v>
      </c>
      <c r="CZ278" s="27" t="s">
        <v>7</v>
      </c>
      <c r="DA278" s="27" t="s">
        <v>8</v>
      </c>
      <c r="DJ278" s="27" t="s">
        <v>7</v>
      </c>
      <c r="DP278" s="27" t="s">
        <v>7</v>
      </c>
      <c r="DQ278" s="27" t="s">
        <v>8</v>
      </c>
      <c r="DR278" s="27" t="s">
        <v>7</v>
      </c>
      <c r="DS278" s="27" t="s">
        <v>8</v>
      </c>
      <c r="DU278" s="27" t="s">
        <v>8</v>
      </c>
      <c r="DV278" s="27" t="s">
        <v>7</v>
      </c>
    </row>
    <row r="279" spans="1:137" x14ac:dyDescent="0.25">
      <c r="A279" s="30">
        <v>0.14914796641528946</v>
      </c>
      <c r="B279"/>
      <c r="C279"/>
      <c r="D279"/>
      <c r="E279"/>
      <c r="H279" s="27" t="s">
        <v>7</v>
      </c>
      <c r="I279" s="27" t="s">
        <v>8</v>
      </c>
      <c r="J279" s="27" t="s">
        <v>7</v>
      </c>
      <c r="K279" s="27" t="s">
        <v>8</v>
      </c>
      <c r="L279" s="27" t="s">
        <v>7</v>
      </c>
      <c r="M279" s="27" t="s">
        <v>8</v>
      </c>
      <c r="O279" s="27" t="s">
        <v>8</v>
      </c>
      <c r="P279" s="27" t="s">
        <v>7</v>
      </c>
      <c r="Q279" s="27" t="s">
        <v>8</v>
      </c>
      <c r="R279" s="27" t="s">
        <v>7</v>
      </c>
      <c r="U279" s="27" t="s">
        <v>8</v>
      </c>
      <c r="W279" s="27" t="s">
        <v>8</v>
      </c>
      <c r="Z279" s="27" t="s">
        <v>7</v>
      </c>
      <c r="AA279" s="27" t="s">
        <v>8</v>
      </c>
      <c r="AB279" s="27" t="s">
        <v>7</v>
      </c>
      <c r="AC279" s="27" t="s">
        <v>8</v>
      </c>
      <c r="BT279" s="27" t="s">
        <v>7</v>
      </c>
      <c r="BU279" s="27" t="s">
        <v>8</v>
      </c>
      <c r="CD279" s="27" t="s">
        <v>7</v>
      </c>
      <c r="CE279" s="27" t="s">
        <v>8</v>
      </c>
      <c r="CF279" s="27" t="s">
        <v>7</v>
      </c>
      <c r="CG279" s="27" t="s">
        <v>8</v>
      </c>
      <c r="CI279" s="27" t="s">
        <v>8</v>
      </c>
      <c r="CJ279" s="27" t="s">
        <v>7</v>
      </c>
      <c r="CK279" s="27" t="s">
        <v>8</v>
      </c>
      <c r="CL279" s="27" t="s">
        <v>7</v>
      </c>
      <c r="CM279" s="27" t="s">
        <v>8</v>
      </c>
      <c r="CN279" s="27" t="s">
        <v>7</v>
      </c>
      <c r="CO279" s="27" t="s">
        <v>8</v>
      </c>
      <c r="CZ279" s="27" t="s">
        <v>7</v>
      </c>
      <c r="DP279" s="27" t="s">
        <v>7</v>
      </c>
      <c r="DQ279" s="27" t="s">
        <v>8</v>
      </c>
      <c r="DR279" s="27" t="s">
        <v>7</v>
      </c>
      <c r="DS279" s="27" t="s">
        <v>8</v>
      </c>
      <c r="DT279" s="27" t="s">
        <v>7</v>
      </c>
      <c r="DU279" s="27" t="s">
        <v>8</v>
      </c>
      <c r="DV279" s="27" t="s">
        <v>7</v>
      </c>
      <c r="DW279" s="27" t="s">
        <v>8</v>
      </c>
    </row>
    <row r="280" spans="1:137" x14ac:dyDescent="0.25">
      <c r="A280" s="30">
        <v>0.14204568230027562</v>
      </c>
      <c r="B280"/>
      <c r="C280"/>
      <c r="D280"/>
      <c r="E280"/>
      <c r="H280" s="27" t="s">
        <v>7</v>
      </c>
      <c r="J280" s="27" t="s">
        <v>7</v>
      </c>
      <c r="K280" s="27" t="s">
        <v>8</v>
      </c>
      <c r="L280" s="27" t="s">
        <v>7</v>
      </c>
      <c r="M280" s="27" t="s">
        <v>8</v>
      </c>
      <c r="N280" s="27" t="s">
        <v>7</v>
      </c>
      <c r="O280" s="27" t="s">
        <v>8</v>
      </c>
      <c r="P280" s="27" t="s">
        <v>7</v>
      </c>
      <c r="Q280" s="27" t="s">
        <v>8</v>
      </c>
      <c r="R280" s="27" t="s">
        <v>7</v>
      </c>
      <c r="S280" s="27" t="s">
        <v>8</v>
      </c>
      <c r="U280" s="27" t="s">
        <v>8</v>
      </c>
      <c r="V280" s="27" t="s">
        <v>7</v>
      </c>
      <c r="W280" s="27" t="s">
        <v>8</v>
      </c>
      <c r="Z280" s="27" t="s">
        <v>7</v>
      </c>
      <c r="AA280" s="27" t="s">
        <v>8</v>
      </c>
      <c r="AB280" s="27" t="s">
        <v>7</v>
      </c>
      <c r="BT280" s="27" t="s">
        <v>7</v>
      </c>
      <c r="BU280" s="27" t="s">
        <v>8</v>
      </c>
      <c r="CD280" s="27" t="s">
        <v>7</v>
      </c>
      <c r="CE280" s="27" t="s">
        <v>8</v>
      </c>
      <c r="CF280" s="27" t="s">
        <v>7</v>
      </c>
      <c r="CG280" s="27" t="s">
        <v>8</v>
      </c>
      <c r="CH280" s="27" t="s">
        <v>7</v>
      </c>
      <c r="CI280" s="27" t="s">
        <v>8</v>
      </c>
      <c r="CJ280" s="27" t="s">
        <v>7</v>
      </c>
      <c r="CK280" s="27" t="s">
        <v>8</v>
      </c>
      <c r="CL280" s="27" t="s">
        <v>7</v>
      </c>
      <c r="CN280" s="27" t="s">
        <v>7</v>
      </c>
      <c r="DP280" s="27" t="s">
        <v>7</v>
      </c>
      <c r="DR280" s="27" t="s">
        <v>7</v>
      </c>
      <c r="DS280" s="27" t="s">
        <v>8</v>
      </c>
      <c r="DT280" s="27" t="s">
        <v>7</v>
      </c>
      <c r="DU280" s="27" t="s">
        <v>8</v>
      </c>
      <c r="DV280" s="27" t="s">
        <v>7</v>
      </c>
      <c r="DW280" s="27" t="s">
        <v>8</v>
      </c>
      <c r="DX280" s="27" t="s">
        <v>7</v>
      </c>
    </row>
    <row r="281" spans="1:137" x14ac:dyDescent="0.25">
      <c r="A281" s="30">
        <v>0.13528160219073862</v>
      </c>
      <c r="B281"/>
      <c r="C281"/>
      <c r="D281"/>
      <c r="E281"/>
      <c r="J281" s="27" t="s">
        <v>7</v>
      </c>
      <c r="K281" s="27" t="s">
        <v>8</v>
      </c>
      <c r="L281" s="27" t="s">
        <v>7</v>
      </c>
      <c r="M281" s="27" t="s">
        <v>8</v>
      </c>
      <c r="N281" s="27" t="s">
        <v>7</v>
      </c>
      <c r="O281" s="27" t="s">
        <v>8</v>
      </c>
      <c r="P281" s="27" t="s">
        <v>7</v>
      </c>
      <c r="Q281" s="27" t="s">
        <v>8</v>
      </c>
      <c r="R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Z281" s="27" t="s">
        <v>7</v>
      </c>
      <c r="AA281" s="27" t="s">
        <v>8</v>
      </c>
      <c r="BT281" s="27" t="s">
        <v>7</v>
      </c>
      <c r="BU281" s="27" t="s">
        <v>8</v>
      </c>
      <c r="CD281" s="27" t="s">
        <v>7</v>
      </c>
      <c r="CE281" s="27" t="s">
        <v>8</v>
      </c>
      <c r="CF281" s="27" t="s">
        <v>7</v>
      </c>
      <c r="CG281" s="27" t="s">
        <v>8</v>
      </c>
      <c r="CH281" s="27" t="s">
        <v>7</v>
      </c>
      <c r="CI281" s="27" t="s">
        <v>8</v>
      </c>
      <c r="CJ281" s="27" t="s">
        <v>7</v>
      </c>
      <c r="CK281" s="27" t="s">
        <v>8</v>
      </c>
      <c r="DR281" s="27" t="s">
        <v>7</v>
      </c>
      <c r="DT281" s="27" t="s">
        <v>7</v>
      </c>
      <c r="DU281" s="27" t="s">
        <v>8</v>
      </c>
      <c r="DV281" s="27" t="s">
        <v>7</v>
      </c>
      <c r="DW281" s="27" t="s">
        <v>8</v>
      </c>
      <c r="DX281" s="27" t="s">
        <v>7</v>
      </c>
      <c r="DY281" s="27" t="s">
        <v>8</v>
      </c>
      <c r="EA281" s="27" t="s">
        <v>8</v>
      </c>
      <c r="EC281" s="27" t="s">
        <v>8</v>
      </c>
    </row>
    <row r="282" spans="1:137" x14ac:dyDescent="0.25">
      <c r="A282" s="30">
        <v>0.12883962113403674</v>
      </c>
      <c r="B282"/>
      <c r="C282"/>
      <c r="D282"/>
      <c r="E282"/>
      <c r="J282" s="27" t="s">
        <v>7</v>
      </c>
      <c r="K282" s="27" t="s">
        <v>8</v>
      </c>
      <c r="L282" s="27" t="s">
        <v>7</v>
      </c>
      <c r="M282" s="27" t="s">
        <v>8</v>
      </c>
      <c r="N282" s="27" t="s">
        <v>7</v>
      </c>
      <c r="P282" s="27" t="s">
        <v>7</v>
      </c>
      <c r="R282" s="27" t="s">
        <v>7</v>
      </c>
      <c r="S282" s="27" t="s">
        <v>8</v>
      </c>
      <c r="T282" s="27" t="s">
        <v>7</v>
      </c>
      <c r="U282" s="27" t="s">
        <v>8</v>
      </c>
      <c r="V282" s="27" t="s">
        <v>7</v>
      </c>
      <c r="W282" s="27" t="s">
        <v>8</v>
      </c>
      <c r="Z282" s="27" t="s">
        <v>7</v>
      </c>
      <c r="AA282" s="27" t="s">
        <v>8</v>
      </c>
      <c r="BT282" s="27" t="s">
        <v>7</v>
      </c>
      <c r="BU282" s="27" t="s">
        <v>8</v>
      </c>
      <c r="CD282" s="27" t="s">
        <v>7</v>
      </c>
      <c r="CE282" s="27" t="s">
        <v>8</v>
      </c>
      <c r="CF282" s="27" t="s">
        <v>7</v>
      </c>
      <c r="CG282" s="27" t="s">
        <v>8</v>
      </c>
      <c r="CH282" s="27" t="s">
        <v>7</v>
      </c>
      <c r="CJ282" s="27" t="s">
        <v>7</v>
      </c>
      <c r="CK282" s="27" t="s">
        <v>8</v>
      </c>
      <c r="DT282" s="27" t="s">
        <v>7</v>
      </c>
      <c r="DU282" s="27" t="s">
        <v>8</v>
      </c>
      <c r="DV282" s="27" t="s">
        <v>7</v>
      </c>
      <c r="DW282" s="27" t="s">
        <v>8</v>
      </c>
      <c r="DX282" s="27" t="s">
        <v>7</v>
      </c>
      <c r="DY282" s="27" t="s">
        <v>8</v>
      </c>
      <c r="DZ282" s="27" t="s">
        <v>7</v>
      </c>
      <c r="EA282" s="27" t="s">
        <v>8</v>
      </c>
      <c r="EB282" s="27" t="s">
        <v>7</v>
      </c>
      <c r="EC282" s="27" t="s">
        <v>8</v>
      </c>
      <c r="ED282" s="27" t="s">
        <v>7</v>
      </c>
    </row>
    <row r="283" spans="1:137" x14ac:dyDescent="0.25">
      <c r="A283" s="30">
        <v>0.12270440108003494</v>
      </c>
      <c r="B283"/>
      <c r="C283"/>
      <c r="D283"/>
      <c r="E283"/>
      <c r="J283" s="27" t="s">
        <v>7</v>
      </c>
      <c r="K283" s="27" t="s">
        <v>8</v>
      </c>
      <c r="L283" s="27" t="s">
        <v>7</v>
      </c>
      <c r="M283" s="27" t="s">
        <v>8</v>
      </c>
      <c r="R283" s="27" t="s">
        <v>7</v>
      </c>
      <c r="S283" s="27" t="s">
        <v>8</v>
      </c>
      <c r="T283" s="27" t="s">
        <v>7</v>
      </c>
      <c r="V283" s="27" t="s">
        <v>7</v>
      </c>
      <c r="Z283" s="27" t="s">
        <v>7</v>
      </c>
      <c r="BT283" s="27" t="s">
        <v>7</v>
      </c>
      <c r="BU283" s="27" t="s">
        <v>8</v>
      </c>
      <c r="CD283" s="27" t="s">
        <v>7</v>
      </c>
      <c r="CE283" s="27" t="s">
        <v>8</v>
      </c>
      <c r="CF283" s="27" t="s">
        <v>7</v>
      </c>
      <c r="CJ283" s="27" t="s">
        <v>7</v>
      </c>
      <c r="CK283" s="27" t="s">
        <v>8</v>
      </c>
      <c r="DT283" s="27" t="s">
        <v>7</v>
      </c>
      <c r="DU283" s="27" t="s">
        <v>8</v>
      </c>
      <c r="DV283" s="27" t="s">
        <v>7</v>
      </c>
      <c r="DW283" s="27" t="s">
        <v>8</v>
      </c>
      <c r="DX283" s="27" t="s">
        <v>7</v>
      </c>
      <c r="DY283" s="27" t="s">
        <v>8</v>
      </c>
      <c r="DZ283" s="27" t="s">
        <v>7</v>
      </c>
      <c r="EA283" s="27" t="s">
        <v>8</v>
      </c>
      <c r="EB283" s="27" t="s">
        <v>7</v>
      </c>
      <c r="EC283" s="27" t="s">
        <v>8</v>
      </c>
      <c r="ED283" s="27" t="s">
        <v>7</v>
      </c>
    </row>
    <row r="284" spans="1:137" x14ac:dyDescent="0.25">
      <c r="A284" s="30">
        <v>0.11686133436193799</v>
      </c>
      <c r="B284"/>
      <c r="C284"/>
      <c r="D284"/>
      <c r="E284"/>
      <c r="J284" s="27" t="s">
        <v>7</v>
      </c>
      <c r="K284" s="27" t="s">
        <v>8</v>
      </c>
      <c r="L284" s="27" t="s">
        <v>7</v>
      </c>
      <c r="M284" s="27" t="s">
        <v>8</v>
      </c>
      <c r="R284" s="27" t="s">
        <v>7</v>
      </c>
      <c r="S284" s="27" t="s">
        <v>8</v>
      </c>
      <c r="BT284" s="27" t="s">
        <v>7</v>
      </c>
      <c r="CD284" s="27" t="s">
        <v>7</v>
      </c>
      <c r="CJ284" s="27" t="s">
        <v>7</v>
      </c>
      <c r="CK284" s="27" t="s">
        <v>8</v>
      </c>
      <c r="DT284" s="27" t="s">
        <v>7</v>
      </c>
      <c r="DU284" s="27" t="s">
        <v>8</v>
      </c>
      <c r="DV284" s="27" t="s">
        <v>7</v>
      </c>
      <c r="DW284" s="27" t="s">
        <v>8</v>
      </c>
      <c r="DX284" s="27" t="s">
        <v>7</v>
      </c>
      <c r="DZ284" s="27" t="s">
        <v>7</v>
      </c>
      <c r="EB284" s="27" t="s">
        <v>7</v>
      </c>
      <c r="EC284" s="27" t="s">
        <v>8</v>
      </c>
      <c r="ED284" s="27" t="s">
        <v>7</v>
      </c>
      <c r="EG284" s="27" t="s">
        <v>8</v>
      </c>
    </row>
    <row r="285" spans="1:137" x14ac:dyDescent="0.25">
      <c r="A285" s="30">
        <v>0.11129650891613138</v>
      </c>
      <c r="B285"/>
      <c r="C285"/>
      <c r="D285"/>
      <c r="E285"/>
      <c r="J285" s="27" t="s">
        <v>7</v>
      </c>
      <c r="K285" s="27" t="s">
        <v>8</v>
      </c>
      <c r="L285" s="27" t="s">
        <v>7</v>
      </c>
      <c r="M285" s="27" t="s">
        <v>8</v>
      </c>
      <c r="R285" s="27" t="s">
        <v>7</v>
      </c>
      <c r="CJ285" s="18" t="s">
        <v>7</v>
      </c>
      <c r="CK285" s="27" t="s">
        <v>8</v>
      </c>
      <c r="DT285" s="27" t="s">
        <v>7</v>
      </c>
      <c r="DV285" s="27" t="s">
        <v>7</v>
      </c>
      <c r="EB285" s="27" t="s">
        <v>7</v>
      </c>
      <c r="ED285" s="27" t="s">
        <v>7</v>
      </c>
      <c r="EG285" s="27" t="s">
        <v>8</v>
      </c>
    </row>
    <row r="286" spans="1:137" x14ac:dyDescent="0.25">
      <c r="A286" s="30">
        <v>0.10599667515822032</v>
      </c>
      <c r="B286"/>
      <c r="C286"/>
      <c r="D286"/>
      <c r="E286"/>
      <c r="J286" s="27" t="s">
        <v>7</v>
      </c>
      <c r="K286" s="27" t="s">
        <v>8</v>
      </c>
      <c r="L286" s="27" t="s">
        <v>7</v>
      </c>
      <c r="CJ286" s="27" t="s">
        <v>7</v>
      </c>
      <c r="ED286" s="27" t="s">
        <v>7</v>
      </c>
      <c r="EG286" s="27" t="s">
        <v>8</v>
      </c>
    </row>
    <row r="287" spans="1:137" x14ac:dyDescent="0.25">
      <c r="A287" s="30">
        <v>0.10094921443640027</v>
      </c>
      <c r="B287"/>
      <c r="C287"/>
      <c r="D287"/>
      <c r="E287"/>
      <c r="J287" s="27" t="s">
        <v>7</v>
      </c>
      <c r="ED287" s="27" t="s">
        <v>7</v>
      </c>
      <c r="EE287" s="27" t="s">
        <v>8</v>
      </c>
      <c r="EG287" s="27" t="s">
        <v>8</v>
      </c>
    </row>
    <row r="288" spans="1:137" x14ac:dyDescent="0.25">
      <c r="A288" s="30">
        <v>9.6142108987047836E-2</v>
      </c>
      <c r="B288"/>
      <c r="C288"/>
      <c r="D288"/>
      <c r="E288"/>
      <c r="ED288" s="27" t="s">
        <v>7</v>
      </c>
      <c r="EE288" s="27" t="s">
        <v>8</v>
      </c>
      <c r="EF288" s="27" t="s">
        <v>7</v>
      </c>
      <c r="EG288" s="27" t="s">
        <v>8</v>
      </c>
    </row>
    <row r="289" spans="1:137" x14ac:dyDescent="0.25">
      <c r="A289" s="30">
        <v>9.1563913320997906E-2</v>
      </c>
      <c r="B289"/>
      <c r="C289"/>
      <c r="D289"/>
      <c r="E289"/>
      <c r="ED289" s="27" t="s">
        <v>7</v>
      </c>
      <c r="EE289" s="27" t="s">
        <v>8</v>
      </c>
      <c r="EF289" s="27" t="s">
        <v>7</v>
      </c>
      <c r="EG289" s="27" t="s">
        <v>8</v>
      </c>
    </row>
    <row r="290" spans="1:137" x14ac:dyDescent="0.25">
      <c r="A290" s="30">
        <v>8.7203726972378923E-2</v>
      </c>
      <c r="B290"/>
      <c r="C290"/>
      <c r="D290"/>
      <c r="E290"/>
      <c r="ED290" s="27" t="s">
        <v>7</v>
      </c>
      <c r="EF290" s="27" t="s">
        <v>7</v>
      </c>
    </row>
    <row r="291" spans="1:137" x14ac:dyDescent="0.25">
      <c r="A291" s="30">
        <v>8.3051168545122747E-2</v>
      </c>
      <c r="B291"/>
      <c r="C291"/>
      <c r="D291"/>
      <c r="E291"/>
    </row>
    <row r="292" spans="1:137" x14ac:dyDescent="0.25">
      <c r="A292" s="30">
        <v>7.9096350995354961E-2</v>
      </c>
      <c r="B292"/>
      <c r="C292"/>
      <c r="D292"/>
      <c r="E292"/>
    </row>
    <row r="293" spans="1:137" x14ac:dyDescent="0.25">
      <c r="A293" s="30">
        <v>7.5329858090814217E-2</v>
      </c>
      <c r="B293"/>
      <c r="C293"/>
      <c r="D293"/>
      <c r="E293"/>
    </row>
    <row r="294" spans="1:137" x14ac:dyDescent="0.25">
      <c r="A294" s="30">
        <v>7.1742721991251604E-2</v>
      </c>
      <c r="B294"/>
      <c r="C294"/>
      <c r="D294"/>
      <c r="E294"/>
    </row>
    <row r="295" spans="1:137" x14ac:dyDescent="0.25">
      <c r="A295" s="30">
        <v>6.8326401896430078E-2</v>
      </c>
      <c r="B295"/>
      <c r="C295"/>
      <c r="D295"/>
      <c r="E295"/>
    </row>
    <row r="296" spans="1:137" x14ac:dyDescent="0.25">
      <c r="A296" s="30">
        <v>6.5072763710885759E-2</v>
      </c>
      <c r="B296"/>
      <c r="C296"/>
      <c r="D296"/>
      <c r="E296"/>
    </row>
    <row r="297" spans="1:137" x14ac:dyDescent="0.25">
      <c r="A297" s="30">
        <v>6.197406067703403E-2</v>
      </c>
      <c r="B297"/>
      <c r="C297"/>
      <c r="D297"/>
      <c r="E297"/>
    </row>
    <row r="298" spans="1:137" x14ac:dyDescent="0.25">
      <c r="A298" s="30">
        <v>5.9022914930508576E-2</v>
      </c>
      <c r="B298"/>
      <c r="C298"/>
      <c r="D298"/>
      <c r="E298"/>
    </row>
    <row r="299" spans="1:137" x14ac:dyDescent="0.25">
      <c r="A299" s="30">
        <v>5.6212299933817669E-2</v>
      </c>
      <c r="B299"/>
      <c r="C299"/>
      <c r="D299"/>
      <c r="E299"/>
    </row>
    <row r="300" spans="1:137" x14ac:dyDescent="0.25">
      <c r="A300" s="30">
        <v>5.3535523746492994E-2</v>
      </c>
      <c r="B300"/>
      <c r="C300"/>
      <c r="D300"/>
      <c r="E300"/>
    </row>
    <row r="301" spans="1:137" x14ac:dyDescent="0.25">
      <c r="A301" s="30">
        <v>5.0986213091898068E-2</v>
      </c>
      <c r="B301"/>
      <c r="C301"/>
      <c r="D301"/>
      <c r="E301"/>
    </row>
    <row r="302" spans="1:137" x14ac:dyDescent="0.25">
      <c r="A302" s="30">
        <v>4.8558298182760043E-2</v>
      </c>
      <c r="B302"/>
      <c r="C302"/>
      <c r="D302"/>
      <c r="E302"/>
    </row>
    <row r="303" spans="1:137" x14ac:dyDescent="0.25">
      <c r="A303" s="30">
        <v>4.6245998269295263E-2</v>
      </c>
      <c r="B303"/>
      <c r="C303"/>
      <c r="D303"/>
      <c r="E303"/>
    </row>
    <row r="304" spans="1:137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33" operator="equal">
      <formula>$U$1</formula>
    </cfRule>
    <cfRule type="cellIs" dxfId="67" priority="834" operator="equal">
      <formula>$S$1</formula>
    </cfRule>
  </conditionalFormatting>
  <conditionalFormatting sqref="D136">
    <cfRule type="cellIs" dxfId="66" priority="831" operator="equal">
      <formula>$S$1</formula>
    </cfRule>
    <cfRule type="cellIs" dxfId="65" priority="832" operator="equal">
      <formula>$U$1</formula>
    </cfRule>
  </conditionalFormatting>
  <conditionalFormatting sqref="C162">
    <cfRule type="cellIs" dxfId="64" priority="829" operator="equal">
      <formula>$U$1</formula>
    </cfRule>
    <cfRule type="cellIs" dxfId="63" priority="830" operator="equal">
      <formula>$S$1</formula>
    </cfRule>
  </conditionalFormatting>
  <conditionalFormatting sqref="D162">
    <cfRule type="cellIs" dxfId="62" priority="827" operator="equal">
      <formula>$S$1</formula>
    </cfRule>
    <cfRule type="cellIs" dxfId="61" priority="828" operator="equal">
      <formula>$U$1</formula>
    </cfRule>
  </conditionalFormatting>
  <conditionalFormatting sqref="C187">
    <cfRule type="cellIs" dxfId="60" priority="825" operator="equal">
      <formula>$U$1</formula>
    </cfRule>
    <cfRule type="cellIs" dxfId="59" priority="826" operator="equal">
      <formula>$S$1</formula>
    </cfRule>
  </conditionalFormatting>
  <conditionalFormatting sqref="D187">
    <cfRule type="cellIs" dxfId="58" priority="823" operator="equal">
      <formula>$S$1</formula>
    </cfRule>
    <cfRule type="cellIs" dxfId="57" priority="824" operator="equal">
      <formula>$U$1</formula>
    </cfRule>
  </conditionalFormatting>
  <conditionalFormatting sqref="C212">
    <cfRule type="cellIs" dxfId="56" priority="821" operator="equal">
      <formula>$U$1</formula>
    </cfRule>
    <cfRule type="cellIs" dxfId="55" priority="822" operator="equal">
      <formula>$S$1</formula>
    </cfRule>
  </conditionalFormatting>
  <conditionalFormatting sqref="D212">
    <cfRule type="cellIs" dxfId="54" priority="819" operator="equal">
      <formula>$S$1</formula>
    </cfRule>
    <cfRule type="cellIs" dxfId="53" priority="820" operator="equal">
      <formula>$U$1</formula>
    </cfRule>
  </conditionalFormatting>
  <conditionalFormatting sqref="C237">
    <cfRule type="cellIs" dxfId="52" priority="817" operator="equal">
      <formula>$U$1</formula>
    </cfRule>
    <cfRule type="cellIs" dxfId="51" priority="818" operator="equal">
      <formula>$S$1</formula>
    </cfRule>
  </conditionalFormatting>
  <conditionalFormatting sqref="D237">
    <cfRule type="cellIs" dxfId="50" priority="815" operator="equal">
      <formula>$S$1</formula>
    </cfRule>
    <cfRule type="cellIs" dxfId="49" priority="816" operator="equal">
      <formula>$U$1</formula>
    </cfRule>
  </conditionalFormatting>
  <conditionalFormatting sqref="C106">
    <cfRule type="cellIs" dxfId="48" priority="813" operator="equal">
      <formula>$U$1</formula>
    </cfRule>
    <cfRule type="cellIs" dxfId="47" priority="814" operator="equal">
      <formula>$S$1</formula>
    </cfRule>
  </conditionalFormatting>
  <conditionalFormatting sqref="D106">
    <cfRule type="cellIs" dxfId="46" priority="811" operator="equal">
      <formula>$S$1</formula>
    </cfRule>
    <cfRule type="cellIs" dxfId="45" priority="812" operator="equal">
      <formula>$U$1</formula>
    </cfRule>
  </conditionalFormatting>
  <conditionalFormatting sqref="C81">
    <cfRule type="cellIs" dxfId="44" priority="809" operator="equal">
      <formula>$U$1</formula>
    </cfRule>
    <cfRule type="cellIs" dxfId="43" priority="810" operator="equal">
      <formula>$S$1</formula>
    </cfRule>
  </conditionalFormatting>
  <conditionalFormatting sqref="D81">
    <cfRule type="cellIs" dxfId="42" priority="807" operator="equal">
      <formula>$S$1</formula>
    </cfRule>
    <cfRule type="cellIs" dxfId="41" priority="808" operator="equal">
      <formula>$U$1</formula>
    </cfRule>
  </conditionalFormatting>
  <conditionalFormatting sqref="C56">
    <cfRule type="cellIs" dxfId="40" priority="805" operator="equal">
      <formula>$U$1</formula>
    </cfRule>
    <cfRule type="cellIs" dxfId="39" priority="806" operator="equal">
      <formula>$S$1</formula>
    </cfRule>
  </conditionalFormatting>
  <conditionalFormatting sqref="D56">
    <cfRule type="cellIs" dxfId="38" priority="803" operator="equal">
      <formula>$S$1</formula>
    </cfRule>
    <cfRule type="cellIs" dxfId="37" priority="804" operator="equal">
      <formula>$U$1</formula>
    </cfRule>
  </conditionalFormatting>
  <conditionalFormatting sqref="C31">
    <cfRule type="cellIs" dxfId="36" priority="801" operator="equal">
      <formula>$U$1</formula>
    </cfRule>
    <cfRule type="cellIs" dxfId="35" priority="802" operator="equal">
      <formula>$S$1</formula>
    </cfRule>
  </conditionalFormatting>
  <conditionalFormatting sqref="D31">
    <cfRule type="cellIs" dxfId="34" priority="799" operator="equal">
      <formula>$S$1</formula>
    </cfRule>
    <cfRule type="cellIs" dxfId="33" priority="80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46" sqref="BD1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$A$145</v>
      </c>
      <c r="D111" s="1" t="str">
        <f>ADDRESS(C121-1,D121,1,1)</f>
        <v>$BD$145</v>
      </c>
      <c r="E111"/>
    </row>
    <row r="112" spans="1:5" x14ac:dyDescent="0.25">
      <c r="A112" s="30">
        <v>2.3579476910000019</v>
      </c>
      <c r="C112" s="1" t="str">
        <f>ADDRESS(C121,1,1,1)</f>
        <v>$A$146</v>
      </c>
      <c r="D112" s="1" t="str">
        <f>ADDRESS(C121,D121-1,1,1)</f>
        <v>$BC$146</v>
      </c>
      <c r="E112"/>
    </row>
    <row r="113" spans="1:27" x14ac:dyDescent="0.25">
      <c r="A113" s="30">
        <v>2.1435888100000016</v>
      </c>
      <c r="C113" s="1" t="str">
        <f>ADDRESS(C121+1,1,1,1)</f>
        <v>$A$147</v>
      </c>
      <c r="D113" s="1" t="str">
        <f>ADDRESS(C121-1,D121+1,1,1)</f>
        <v>$BE$145</v>
      </c>
    </row>
    <row r="114" spans="1:27" x14ac:dyDescent="0.25">
      <c r="A114" s="30">
        <v>1.9487171000000014</v>
      </c>
      <c r="C114" s="1" t="str">
        <f>ADDRESS(C121,D121,1,1)</f>
        <v>$BD$146</v>
      </c>
      <c r="D114" s="1" t="str">
        <f>ADDRESS(C121+1,D121+1,1,1)</f>
        <v>$BE$147</v>
      </c>
    </row>
    <row r="115" spans="1:27" x14ac:dyDescent="0.25">
      <c r="A115" s="30">
        <v>1.7715610000000011</v>
      </c>
      <c r="C115" s="1" t="str">
        <f>ADDRESS(C121+1,D121,1,1)</f>
        <v>$BD$147</v>
      </c>
    </row>
    <row r="116" spans="1:27" x14ac:dyDescent="0.25">
      <c r="A116" s="30">
        <v>1.6105100000000008</v>
      </c>
      <c r="C116" s="1">
        <f>C117-1</f>
        <v>145</v>
      </c>
    </row>
    <row r="117" spans="1:27" x14ac:dyDescent="0.25">
      <c r="A117" s="30">
        <v>1.4641000000000006</v>
      </c>
      <c r="C117" s="1">
        <f>C121</f>
        <v>146</v>
      </c>
      <c r="D117" s="1">
        <f>D121</f>
        <v>56</v>
      </c>
    </row>
    <row r="118" spans="1:27" x14ac:dyDescent="0.25">
      <c r="A118" s="30">
        <v>1.3310000000000004</v>
      </c>
      <c r="C118" s="1">
        <f>C117+1</f>
        <v>147</v>
      </c>
      <c r="D118" s="1">
        <f>D117+1</f>
        <v>57</v>
      </c>
    </row>
    <row r="119" spans="1:27" x14ac:dyDescent="0.25">
      <c r="A119" s="30">
        <v>1.2100000000000002</v>
      </c>
    </row>
    <row r="120" spans="1:27" x14ac:dyDescent="0.25">
      <c r="A120" s="30">
        <v>1.1000000000000001</v>
      </c>
      <c r="C120" s="1" t="s">
        <v>9</v>
      </c>
    </row>
    <row r="121" spans="1:27" x14ac:dyDescent="0.25">
      <c r="A121" s="30">
        <v>1</v>
      </c>
      <c r="C121" s="18">
        <v>146</v>
      </c>
      <c r="D121" s="19">
        <v>56</v>
      </c>
      <c r="E121" s="18" t="s">
        <v>8</v>
      </c>
    </row>
    <row r="122" spans="1:27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27" x14ac:dyDescent="0.25">
      <c r="A123" s="30">
        <v>0.82644628099173523</v>
      </c>
      <c r="C123" s="1" t="str">
        <f>"R"&amp;C121</f>
        <v>R146</v>
      </c>
      <c r="D123" s="1" t="str">
        <f>"C"&amp;D121</f>
        <v>C56</v>
      </c>
      <c r="F123" s="27" t="s">
        <v>7</v>
      </c>
      <c r="Q123" s="27" t="s">
        <v>8</v>
      </c>
    </row>
    <row r="124" spans="1:27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Q124" s="27" t="s">
        <v>8</v>
      </c>
      <c r="R124" s="27" t="s">
        <v>7</v>
      </c>
    </row>
    <row r="125" spans="1:27" x14ac:dyDescent="0.25">
      <c r="A125" s="30">
        <v>0.68301345536507019</v>
      </c>
      <c r="F125" s="27" t="s">
        <v>7</v>
      </c>
      <c r="Q125" s="27" t="s">
        <v>8</v>
      </c>
      <c r="R125" s="27" t="s">
        <v>7</v>
      </c>
      <c r="W125" s="27" t="s">
        <v>8</v>
      </c>
    </row>
    <row r="126" spans="1:27" x14ac:dyDescent="0.25">
      <c r="A126" s="30">
        <v>0.6209213230591546</v>
      </c>
      <c r="C126" s="1" t="s">
        <v>10</v>
      </c>
      <c r="F126" s="27" t="s">
        <v>7</v>
      </c>
      <c r="Q126" s="27" t="s">
        <v>8</v>
      </c>
      <c r="R126" s="27" t="s">
        <v>7</v>
      </c>
      <c r="W126" s="27" t="s">
        <v>8</v>
      </c>
      <c r="X126" s="27" t="s">
        <v>7</v>
      </c>
    </row>
    <row r="127" spans="1:27" x14ac:dyDescent="0.25">
      <c r="A127" s="30">
        <v>0.56447393005377677</v>
      </c>
      <c r="C127" s="30">
        <v>9.2295998177063854E-2</v>
      </c>
      <c r="D127"/>
      <c r="F127" s="27" t="s">
        <v>7</v>
      </c>
      <c r="Q127" s="27" t="s">
        <v>8</v>
      </c>
      <c r="R127" s="27" t="s">
        <v>7</v>
      </c>
      <c r="S127" s="27" t="s">
        <v>8</v>
      </c>
      <c r="W127" s="27" t="s">
        <v>8</v>
      </c>
      <c r="X127" s="27" t="s">
        <v>7</v>
      </c>
      <c r="Y127" s="27" t="s">
        <v>8</v>
      </c>
    </row>
    <row r="128" spans="1:27" x14ac:dyDescent="0.25">
      <c r="A128" s="30">
        <v>0.51315811823070612</v>
      </c>
      <c r="F128" s="27" t="s">
        <v>7</v>
      </c>
      <c r="Q128" s="27" t="s">
        <v>8</v>
      </c>
      <c r="R128" s="27" t="s">
        <v>7</v>
      </c>
      <c r="S128" s="27" t="s">
        <v>8</v>
      </c>
      <c r="T128" s="27" t="s">
        <v>7</v>
      </c>
      <c r="W128" s="27" t="s">
        <v>8</v>
      </c>
      <c r="X128" s="27" t="s">
        <v>7</v>
      </c>
      <c r="Y128" s="27" t="s">
        <v>8</v>
      </c>
      <c r="Z128" s="27" t="s">
        <v>7</v>
      </c>
      <c r="AA128" s="27" t="s">
        <v>8</v>
      </c>
    </row>
    <row r="129" spans="1:5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Q129" s="27" t="s">
        <v>8</v>
      </c>
      <c r="R129" s="27" t="s">
        <v>7</v>
      </c>
      <c r="S129" s="27" t="s">
        <v>8</v>
      </c>
      <c r="T129" s="27" t="s">
        <v>7</v>
      </c>
      <c r="W129" s="27" t="s">
        <v>8</v>
      </c>
      <c r="X129" s="27" t="s">
        <v>7</v>
      </c>
      <c r="Y129" s="27" t="s">
        <v>8</v>
      </c>
      <c r="Z129" s="27" t="s">
        <v>7</v>
      </c>
      <c r="AA129" s="27" t="s">
        <v>8</v>
      </c>
      <c r="AB129" s="27" t="s">
        <v>7</v>
      </c>
      <c r="AS129" s="27" t="s">
        <v>8</v>
      </c>
    </row>
    <row r="130" spans="1:56" x14ac:dyDescent="0.25">
      <c r="A130" s="30">
        <v>0.42409761837248428</v>
      </c>
      <c r="C130" s="6"/>
      <c r="D130" s="6"/>
      <c r="E130"/>
      <c r="F130" s="27" t="s">
        <v>7</v>
      </c>
      <c r="Q130" s="27" t="s">
        <v>8</v>
      </c>
      <c r="R130" s="27" t="s">
        <v>7</v>
      </c>
      <c r="T130" s="27" t="s">
        <v>7</v>
      </c>
      <c r="U130" s="27" t="s">
        <v>8</v>
      </c>
      <c r="W130" s="27" t="s">
        <v>8</v>
      </c>
      <c r="X130" s="27" t="s">
        <v>7</v>
      </c>
      <c r="Z130" s="27" t="s">
        <v>7</v>
      </c>
      <c r="AA130" s="27" t="s">
        <v>8</v>
      </c>
      <c r="AB130" s="27" t="s">
        <v>7</v>
      </c>
      <c r="AE130" s="27" t="s">
        <v>8</v>
      </c>
      <c r="AS130" s="27" t="s">
        <v>8</v>
      </c>
      <c r="AT130" s="27" t="s">
        <v>7</v>
      </c>
    </row>
    <row r="131" spans="1:56" x14ac:dyDescent="0.25">
      <c r="A131" s="30">
        <v>0.38554328942953109</v>
      </c>
      <c r="E131"/>
      <c r="F131" s="27" t="s">
        <v>7</v>
      </c>
      <c r="Q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Z131" s="27" t="s">
        <v>7</v>
      </c>
      <c r="AA131" s="27" t="s">
        <v>8</v>
      </c>
      <c r="AB131" s="27" t="s">
        <v>7</v>
      </c>
      <c r="AE131" s="27" t="s">
        <v>8</v>
      </c>
      <c r="AF131" s="27" t="s">
        <v>7</v>
      </c>
      <c r="AG131" s="27" t="s">
        <v>8</v>
      </c>
      <c r="AS131" s="27" t="s">
        <v>8</v>
      </c>
      <c r="AT131" s="27" t="s">
        <v>7</v>
      </c>
    </row>
    <row r="132" spans="1:56" x14ac:dyDescent="0.25">
      <c r="A132" s="30">
        <v>0.35049389948139187</v>
      </c>
      <c r="C132" s="1" t="s">
        <v>13</v>
      </c>
      <c r="E132"/>
      <c r="F132" s="27" t="s">
        <v>7</v>
      </c>
      <c r="O132" s="27" t="s">
        <v>8</v>
      </c>
      <c r="Q132" s="27" t="s">
        <v>8</v>
      </c>
      <c r="T132" s="27" t="s">
        <v>7</v>
      </c>
      <c r="U132" s="27" t="s">
        <v>8</v>
      </c>
      <c r="V132" s="27" t="s">
        <v>7</v>
      </c>
      <c r="W132" s="27" t="s">
        <v>8</v>
      </c>
      <c r="Z132" s="27" t="s">
        <v>7</v>
      </c>
      <c r="AB132" s="27" t="s">
        <v>7</v>
      </c>
      <c r="AC132" s="27" t="s">
        <v>8</v>
      </c>
      <c r="AE132" s="27" t="s">
        <v>8</v>
      </c>
      <c r="AF132" s="27" t="s">
        <v>7</v>
      </c>
      <c r="AG132" s="27" t="s">
        <v>8</v>
      </c>
      <c r="AH132" s="27" t="s">
        <v>7</v>
      </c>
      <c r="AS132" s="27" t="s">
        <v>8</v>
      </c>
      <c r="AT132" s="27" t="s">
        <v>7</v>
      </c>
    </row>
    <row r="133" spans="1:56" x14ac:dyDescent="0.25">
      <c r="A133" s="30">
        <v>0.31863081771035617</v>
      </c>
      <c r="C133" s="1" t="str">
        <f>C122</f>
        <v>O</v>
      </c>
      <c r="E133"/>
      <c r="F133" s="27" t="s">
        <v>7</v>
      </c>
      <c r="O133" s="27" t="s">
        <v>8</v>
      </c>
      <c r="P133" s="27" t="s">
        <v>7</v>
      </c>
      <c r="Q133" s="27" t="s">
        <v>8</v>
      </c>
      <c r="T133" s="27" t="s">
        <v>7</v>
      </c>
      <c r="U133" s="27" t="s">
        <v>8</v>
      </c>
      <c r="V133" s="27" t="s">
        <v>7</v>
      </c>
      <c r="AB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S133" s="27" t="s">
        <v>8</v>
      </c>
      <c r="AT133" s="27" t="s">
        <v>7</v>
      </c>
      <c r="AU133" s="27" t="s">
        <v>8</v>
      </c>
    </row>
    <row r="134" spans="1:56" x14ac:dyDescent="0.25">
      <c r="A134" s="30">
        <v>0.28966437973668741</v>
      </c>
      <c r="C134"/>
      <c r="D134"/>
      <c r="E134"/>
      <c r="F134" s="27" t="s">
        <v>7</v>
      </c>
      <c r="O134" s="27" t="s">
        <v>8</v>
      </c>
      <c r="P134" s="27" t="s">
        <v>7</v>
      </c>
      <c r="Q134" s="27" t="s">
        <v>8</v>
      </c>
      <c r="T134" s="27" t="s">
        <v>7</v>
      </c>
      <c r="U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  <c r="AK134" s="27" t="s">
        <v>8</v>
      </c>
      <c r="AS134" s="27" t="s">
        <v>8</v>
      </c>
      <c r="AT134" s="27" t="s">
        <v>7</v>
      </c>
      <c r="AU134" s="27" t="s">
        <v>8</v>
      </c>
      <c r="AV134" s="27" t="s">
        <v>7</v>
      </c>
      <c r="AW134" s="27" t="s">
        <v>8</v>
      </c>
    </row>
    <row r="135" spans="1:56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O135" s="27" t="s">
        <v>8</v>
      </c>
      <c r="P135" s="27" t="s">
        <v>7</v>
      </c>
      <c r="Q135" s="27" t="s">
        <v>8</v>
      </c>
      <c r="T135" s="27" t="s">
        <v>7</v>
      </c>
      <c r="AB135" s="27" t="s">
        <v>7</v>
      </c>
      <c r="AC135" s="27" t="s">
        <v>8</v>
      </c>
      <c r="AD135" s="27" t="s">
        <v>7</v>
      </c>
      <c r="AF135" s="27" t="s">
        <v>7</v>
      </c>
      <c r="AG135" s="27" t="s">
        <v>8</v>
      </c>
      <c r="AH135" s="27" t="s">
        <v>7</v>
      </c>
      <c r="AK135" s="27" t="s">
        <v>8</v>
      </c>
      <c r="AL135" s="27" t="s">
        <v>7</v>
      </c>
      <c r="AS135" s="27" t="s">
        <v>8</v>
      </c>
      <c r="AT135" s="27" t="s">
        <v>7</v>
      </c>
      <c r="AU135" s="27" t="s">
        <v>8</v>
      </c>
      <c r="AV135" s="27" t="s">
        <v>7</v>
      </c>
      <c r="AW135" s="27" t="s">
        <v>8</v>
      </c>
      <c r="AX135" s="27" t="s">
        <v>7</v>
      </c>
    </row>
    <row r="136" spans="1:5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O136" s="27" t="s">
        <v>8</v>
      </c>
      <c r="P136" s="27" t="s">
        <v>7</v>
      </c>
      <c r="AB136" s="27" t="s">
        <v>7</v>
      </c>
      <c r="AC136" s="27" t="s">
        <v>8</v>
      </c>
      <c r="AF136" s="27" t="s">
        <v>7</v>
      </c>
      <c r="AG136" s="27" t="s">
        <v>8</v>
      </c>
      <c r="AH136" s="27" t="s">
        <v>7</v>
      </c>
      <c r="AI136" s="27" t="s">
        <v>8</v>
      </c>
      <c r="AK136" s="27" t="s">
        <v>8</v>
      </c>
      <c r="AL136" s="27" t="s">
        <v>7</v>
      </c>
      <c r="AO136" s="27" t="s">
        <v>8</v>
      </c>
      <c r="AQ136" s="27" t="s">
        <v>8</v>
      </c>
      <c r="AS136" s="27" t="s">
        <v>8</v>
      </c>
      <c r="AT136" s="27" t="s">
        <v>7</v>
      </c>
      <c r="AU136" s="27" t="s">
        <v>8</v>
      </c>
      <c r="AV136" s="27" t="s">
        <v>7</v>
      </c>
      <c r="AW136" s="27" t="s">
        <v>8</v>
      </c>
      <c r="AX136" s="27" t="s">
        <v>7</v>
      </c>
    </row>
    <row r="137" spans="1:56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O137" s="27" t="s">
        <v>8</v>
      </c>
      <c r="AB137" s="27" t="s">
        <v>7</v>
      </c>
      <c r="AC137" s="27" t="s">
        <v>8</v>
      </c>
      <c r="AF137" s="27" t="s">
        <v>7</v>
      </c>
      <c r="AG137" s="27" t="s">
        <v>8</v>
      </c>
      <c r="AH137" s="27" t="s">
        <v>7</v>
      </c>
      <c r="AI137" s="27" t="s">
        <v>8</v>
      </c>
      <c r="AJ137" s="27" t="s">
        <v>7</v>
      </c>
      <c r="AK137" s="27" t="s">
        <v>8</v>
      </c>
      <c r="AL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AX137" s="27" t="s">
        <v>7</v>
      </c>
      <c r="AY137" s="27" t="s">
        <v>8</v>
      </c>
    </row>
    <row r="138" spans="1:5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O138" s="27" t="s">
        <v>8</v>
      </c>
      <c r="AB138" s="27" t="s">
        <v>7</v>
      </c>
      <c r="AF138" s="27" t="s">
        <v>7</v>
      </c>
      <c r="AG138" s="27" t="s">
        <v>8</v>
      </c>
      <c r="AH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O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X138" s="27" t="s">
        <v>7</v>
      </c>
      <c r="AY138" s="27" t="s">
        <v>8</v>
      </c>
      <c r="AZ138" s="27" t="s">
        <v>7</v>
      </c>
    </row>
    <row r="139" spans="1:56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  <c r="I139" s="27" t="s">
        <v>8</v>
      </c>
      <c r="M139" s="27" t="s">
        <v>8</v>
      </c>
      <c r="O139" s="27" t="s">
        <v>8</v>
      </c>
      <c r="AF139" s="27" t="s">
        <v>7</v>
      </c>
      <c r="AG139" s="27" t="s">
        <v>8</v>
      </c>
      <c r="AH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O139" s="27" t="s">
        <v>8</v>
      </c>
      <c r="AP139" s="27" t="s">
        <v>7</v>
      </c>
      <c r="AQ139" s="27" t="s">
        <v>8</v>
      </c>
      <c r="AR139" s="27" t="s">
        <v>7</v>
      </c>
      <c r="AT139" s="27" t="s">
        <v>7</v>
      </c>
      <c r="AU139" s="27" t="s">
        <v>8</v>
      </c>
      <c r="AX139" s="27" t="s">
        <v>7</v>
      </c>
      <c r="AY139" s="27" t="s">
        <v>8</v>
      </c>
      <c r="AZ139" s="27" t="s">
        <v>7</v>
      </c>
    </row>
    <row r="140" spans="1:56" x14ac:dyDescent="0.25">
      <c r="A140" s="30">
        <v>0.16350799082655756</v>
      </c>
      <c r="C140" s="1">
        <v>0</v>
      </c>
      <c r="E140"/>
      <c r="F140" s="27" t="s">
        <v>7</v>
      </c>
      <c r="H140" s="27" t="s">
        <v>7</v>
      </c>
      <c r="I140" s="27" t="s">
        <v>8</v>
      </c>
      <c r="J140" s="27" t="s">
        <v>7</v>
      </c>
      <c r="K140" s="27" t="s">
        <v>8</v>
      </c>
      <c r="M140" s="27" t="s">
        <v>8</v>
      </c>
      <c r="N140" s="27" t="s">
        <v>7</v>
      </c>
      <c r="O140" s="27" t="s">
        <v>8</v>
      </c>
      <c r="AF140" s="27" t="s">
        <v>7</v>
      </c>
      <c r="AG140" s="27" t="s">
        <v>8</v>
      </c>
      <c r="AH140" s="27" t="s">
        <v>7</v>
      </c>
      <c r="AJ140" s="27" t="s">
        <v>7</v>
      </c>
      <c r="AL140" s="27" t="s">
        <v>7</v>
      </c>
      <c r="AM140" s="27" t="s">
        <v>8</v>
      </c>
      <c r="AO140" s="27" t="s">
        <v>8</v>
      </c>
      <c r="AP140" s="27" t="s">
        <v>7</v>
      </c>
      <c r="AQ140" s="27" t="s">
        <v>8</v>
      </c>
      <c r="AT140" s="27" t="s">
        <v>7</v>
      </c>
      <c r="AX140" s="27" t="s">
        <v>7</v>
      </c>
      <c r="AZ140" s="27" t="s">
        <v>7</v>
      </c>
      <c r="BA140" s="27" t="s">
        <v>8</v>
      </c>
    </row>
    <row r="141" spans="1:56" x14ac:dyDescent="0.25">
      <c r="A141" s="30">
        <v>0.14864362802414322</v>
      </c>
      <c r="C141" s="1">
        <v>1</v>
      </c>
      <c r="E141"/>
      <c r="H141" s="27" t="s">
        <v>7</v>
      </c>
      <c r="I141" s="27" t="s">
        <v>8</v>
      </c>
      <c r="J141" s="27" t="s">
        <v>7</v>
      </c>
      <c r="K141" s="27" t="s">
        <v>8</v>
      </c>
      <c r="L141" s="27" t="s">
        <v>7</v>
      </c>
      <c r="M141" s="27" t="s">
        <v>8</v>
      </c>
      <c r="N141" s="27" t="s">
        <v>7</v>
      </c>
      <c r="O141" s="27" t="s">
        <v>8</v>
      </c>
      <c r="AF141" s="27" t="s">
        <v>7</v>
      </c>
      <c r="AG141" s="27" t="s">
        <v>8</v>
      </c>
      <c r="AL141" s="27" t="s">
        <v>7</v>
      </c>
      <c r="AM141" s="27" t="s">
        <v>8</v>
      </c>
      <c r="AN141" s="27" t="s">
        <v>7</v>
      </c>
      <c r="AO141" s="27" t="s">
        <v>8</v>
      </c>
      <c r="AP141" s="27" t="s">
        <v>7</v>
      </c>
      <c r="AZ141" s="27" t="s">
        <v>7</v>
      </c>
      <c r="BA141" s="27" t="s">
        <v>8</v>
      </c>
      <c r="BB141" s="27" t="s">
        <v>7</v>
      </c>
      <c r="BC141" s="27" t="s">
        <v>8</v>
      </c>
    </row>
    <row r="142" spans="1:56" x14ac:dyDescent="0.25">
      <c r="A142" s="30">
        <v>0.13513057093103928</v>
      </c>
      <c r="C142" s="1">
        <v>2</v>
      </c>
      <c r="E142"/>
      <c r="H142" s="27" t="s">
        <v>7</v>
      </c>
      <c r="I142" s="27" t="s">
        <v>8</v>
      </c>
      <c r="J142" s="27" t="s">
        <v>7</v>
      </c>
      <c r="K142" s="27" t="s">
        <v>8</v>
      </c>
      <c r="L142" s="27" t="s">
        <v>7</v>
      </c>
      <c r="M142" s="27" t="s">
        <v>8</v>
      </c>
      <c r="N142" s="27" t="s">
        <v>7</v>
      </c>
      <c r="O142" s="27" t="s">
        <v>8</v>
      </c>
      <c r="AF142" s="27" t="s">
        <v>7</v>
      </c>
      <c r="AG142" s="27" t="s">
        <v>8</v>
      </c>
      <c r="AL142" s="27" t="s">
        <v>7</v>
      </c>
      <c r="AM142" s="27" t="s">
        <v>8</v>
      </c>
      <c r="AN142" s="27" t="s">
        <v>7</v>
      </c>
      <c r="AO142" s="27" t="s">
        <v>8</v>
      </c>
      <c r="AZ142" s="27" t="s">
        <v>7</v>
      </c>
      <c r="BA142" s="27" t="s">
        <v>8</v>
      </c>
      <c r="BB142" s="27" t="s">
        <v>7</v>
      </c>
      <c r="BC142" s="27" t="s">
        <v>8</v>
      </c>
      <c r="BD142" s="27" t="s">
        <v>7</v>
      </c>
    </row>
    <row r="143" spans="1:56" x14ac:dyDescent="0.25">
      <c r="A143" s="30">
        <v>0.12284597357367205</v>
      </c>
      <c r="C143" s="1">
        <v>3</v>
      </c>
      <c r="E143"/>
      <c r="H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M143" s="27" t="s">
        <v>8</v>
      </c>
      <c r="N143" s="27" t="s">
        <v>7</v>
      </c>
      <c r="AF143" s="27" t="s">
        <v>7</v>
      </c>
      <c r="AL143" s="27" t="s">
        <v>7</v>
      </c>
      <c r="AN143" s="27" t="s">
        <v>7</v>
      </c>
      <c r="AO143" s="27" t="s">
        <v>8</v>
      </c>
      <c r="AZ143" s="27" t="s">
        <v>7</v>
      </c>
      <c r="BA143" s="27" t="s">
        <v>8</v>
      </c>
      <c r="BB143" s="27" t="s">
        <v>7</v>
      </c>
      <c r="BC143" s="27" t="s">
        <v>8</v>
      </c>
      <c r="BD143" s="27" t="s">
        <v>7</v>
      </c>
    </row>
    <row r="144" spans="1:56" x14ac:dyDescent="0.25">
      <c r="A144" s="30">
        <v>0.11167815779424731</v>
      </c>
      <c r="C144" s="1">
        <v>4</v>
      </c>
      <c r="E144"/>
      <c r="H144" s="27" t="s">
        <v>7</v>
      </c>
      <c r="I144" s="27" t="s">
        <v>8</v>
      </c>
      <c r="J144" s="27" t="s">
        <v>7</v>
      </c>
      <c r="L144" s="27" t="s">
        <v>7</v>
      </c>
      <c r="AN144" s="18" t="s">
        <v>7</v>
      </c>
      <c r="AO144" s="27" t="s">
        <v>8</v>
      </c>
      <c r="AZ144" s="27" t="s">
        <v>7</v>
      </c>
      <c r="BB144" s="27" t="s">
        <v>7</v>
      </c>
      <c r="BD144" s="27" t="s">
        <v>7</v>
      </c>
    </row>
    <row r="145" spans="1:56" x14ac:dyDescent="0.25">
      <c r="A145" s="30">
        <v>0.10152559799477026</v>
      </c>
      <c r="B145"/>
      <c r="C145"/>
      <c r="D145"/>
      <c r="E145"/>
      <c r="H145" s="27" t="s">
        <v>7</v>
      </c>
      <c r="AN145" s="27" t="s">
        <v>7</v>
      </c>
      <c r="BD145" s="27" t="s">
        <v>7</v>
      </c>
    </row>
    <row r="146" spans="1:56" x14ac:dyDescent="0.25">
      <c r="A146" s="30">
        <v>9.2295998177063854E-2</v>
      </c>
      <c r="B146"/>
      <c r="C146"/>
      <c r="D146"/>
      <c r="E146"/>
      <c r="BD146" s="27" t="s">
        <v>7</v>
      </c>
    </row>
    <row r="147" spans="1:56" x14ac:dyDescent="0.25">
      <c r="A147" s="30">
        <v>8.3905452888239848E-2</v>
      </c>
      <c r="B147"/>
      <c r="C147"/>
      <c r="D147"/>
      <c r="E147"/>
    </row>
    <row r="148" spans="1:56" x14ac:dyDescent="0.25">
      <c r="A148" s="30">
        <v>7.6277684443854396E-2</v>
      </c>
      <c r="B148"/>
      <c r="C148"/>
      <c r="D148"/>
      <c r="E148"/>
    </row>
    <row r="149" spans="1:56" x14ac:dyDescent="0.25">
      <c r="A149" s="30">
        <v>6.9343349494413078E-2</v>
      </c>
      <c r="B149"/>
      <c r="C149"/>
      <c r="D149"/>
      <c r="E149"/>
    </row>
    <row r="150" spans="1:56" x14ac:dyDescent="0.25">
      <c r="A150" s="30">
        <v>6.3039408631284613E-2</v>
      </c>
      <c r="B150"/>
      <c r="C150"/>
      <c r="D150"/>
      <c r="E150"/>
    </row>
    <row r="151" spans="1:56" x14ac:dyDescent="0.25">
      <c r="A151" s="30">
        <v>5.7308553301167818E-2</v>
      </c>
      <c r="B151"/>
      <c r="C151"/>
      <c r="D151"/>
      <c r="E151"/>
    </row>
    <row r="152" spans="1:56" x14ac:dyDescent="0.25">
      <c r="A152" s="30">
        <v>5.2098684819243464E-2</v>
      </c>
      <c r="B152"/>
      <c r="C152"/>
      <c r="D152"/>
      <c r="E152"/>
    </row>
    <row r="153" spans="1:56" x14ac:dyDescent="0.25">
      <c r="A153" s="30">
        <v>4.7362440744766775E-2</v>
      </c>
      <c r="B153"/>
      <c r="C153"/>
      <c r="D153"/>
      <c r="E153"/>
    </row>
    <row r="154" spans="1:56" x14ac:dyDescent="0.25">
      <c r="A154" s="30">
        <v>4.3056764313424332E-2</v>
      </c>
      <c r="B154"/>
      <c r="C154"/>
      <c r="D154"/>
      <c r="E154"/>
    </row>
    <row r="155" spans="1:56" x14ac:dyDescent="0.25">
      <c r="A155" s="30">
        <v>3.9142513012203929E-2</v>
      </c>
      <c r="B155"/>
      <c r="C155"/>
      <c r="D155"/>
      <c r="E155"/>
    </row>
    <row r="156" spans="1:56" x14ac:dyDescent="0.25">
      <c r="A156" s="30">
        <v>3.55841027383672E-2</v>
      </c>
      <c r="B156"/>
      <c r="C156"/>
      <c r="D156"/>
      <c r="E156"/>
    </row>
    <row r="157" spans="1:56" x14ac:dyDescent="0.25">
      <c r="A157" s="30">
        <v>3.2349184307606541E-2</v>
      </c>
      <c r="B157"/>
      <c r="C157"/>
      <c r="D157"/>
      <c r="E157"/>
    </row>
    <row r="158" spans="1:56" x14ac:dyDescent="0.25">
      <c r="A158" s="30">
        <v>2.9408349370551395E-2</v>
      </c>
      <c r="B158"/>
      <c r="C158"/>
      <c r="D158"/>
      <c r="E158"/>
    </row>
    <row r="159" spans="1:56" x14ac:dyDescent="0.25">
      <c r="A159" s="30">
        <v>2.6734863064137627E-2</v>
      </c>
      <c r="B159"/>
      <c r="C159"/>
      <c r="D159"/>
      <c r="E159"/>
    </row>
    <row r="160" spans="1:5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17" operator="equal">
      <formula>$U$1</formula>
    </cfRule>
    <cfRule type="cellIs" dxfId="30" priority="818" operator="equal">
      <formula>$S$1</formula>
    </cfRule>
  </conditionalFormatting>
  <conditionalFormatting sqref="D136">
    <cfRule type="cellIs" dxfId="29" priority="815" operator="equal">
      <formula>$S$1</formula>
    </cfRule>
    <cfRule type="cellIs" dxfId="28" priority="816" operator="equal">
      <formula>$U$1</formula>
    </cfRule>
  </conditionalFormatting>
  <conditionalFormatting sqref="C102">
    <cfRule type="cellIs" dxfId="27" priority="813" operator="equal">
      <formula>$U$1</formula>
    </cfRule>
    <cfRule type="cellIs" dxfId="26" priority="814" operator="equal">
      <formula>$S$1</formula>
    </cfRule>
  </conditionalFormatting>
  <conditionalFormatting sqref="D102">
    <cfRule type="cellIs" dxfId="25" priority="811" operator="equal">
      <formula>$S$1</formula>
    </cfRule>
    <cfRule type="cellIs" dxfId="24" priority="812" operator="equal">
      <formula>$U$1</formula>
    </cfRule>
  </conditionalFormatting>
  <conditionalFormatting sqref="C77">
    <cfRule type="cellIs" dxfId="23" priority="809" operator="equal">
      <formula>$U$1</formula>
    </cfRule>
    <cfRule type="cellIs" dxfId="22" priority="810" operator="equal">
      <formula>$S$1</formula>
    </cfRule>
  </conditionalFormatting>
  <conditionalFormatting sqref="D77">
    <cfRule type="cellIs" dxfId="21" priority="807" operator="equal">
      <formula>$S$1</formula>
    </cfRule>
    <cfRule type="cellIs" dxfId="20" priority="808" operator="equal">
      <formula>$U$1</formula>
    </cfRule>
  </conditionalFormatting>
  <conditionalFormatting sqref="C52">
    <cfRule type="cellIs" dxfId="19" priority="805" operator="equal">
      <formula>$U$1</formula>
    </cfRule>
    <cfRule type="cellIs" dxfId="18" priority="806" operator="equal">
      <formula>$S$1</formula>
    </cfRule>
  </conditionalFormatting>
  <conditionalFormatting sqref="D52">
    <cfRule type="cellIs" dxfId="17" priority="803" operator="equal">
      <formula>$S$1</formula>
    </cfRule>
    <cfRule type="cellIs" dxfId="16" priority="804" operator="equal">
      <formula>$U$1</formula>
    </cfRule>
  </conditionalFormatting>
  <conditionalFormatting sqref="C26">
    <cfRule type="cellIs" dxfId="15" priority="801" operator="equal">
      <formula>$U$1</formula>
    </cfRule>
    <cfRule type="cellIs" dxfId="14" priority="802" operator="equal">
      <formula>$S$1</formula>
    </cfRule>
  </conditionalFormatting>
  <conditionalFormatting sqref="D26">
    <cfRule type="cellIs" dxfId="13" priority="799" operator="equal">
      <formula>$S$1</formula>
    </cfRule>
    <cfRule type="cellIs" dxfId="12" priority="80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2022-01-28T01:15:48Z</dcterms:modified>
</cp:coreProperties>
</file>